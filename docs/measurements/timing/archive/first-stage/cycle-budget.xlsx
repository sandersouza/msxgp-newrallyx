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2985d9f05441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dget" sheetId="1" r:id="Rebd3b9a229754acf"/>
    <x:sheet xmlns:r="http://schemas.openxmlformats.org/officeDocument/2006/relationships" name="Routines" sheetId="2" r:id="Rd1233f0b46a44a3e"/>
    <x:sheet xmlns:r="http://schemas.openxmlformats.org/officeDocument/2006/relationships" name="Frames" sheetId="3" r:id="R0eb6c97acab6471c"/>
    <x:sheet xmlns:r="http://schemas.openxmlformats.org/officeDocument/2006/relationships" name="Sources" sheetId="4" r:id="R983a4cb8dc4149b2"/>
    <x:sheet xmlns:r="http://schemas.openxmlformats.org/officeDocument/2006/relationships" name="Optimization" sheetId="5" r:id="R46cf1a22a76348a8"/>
    <x:sheet xmlns:r="http://schemas.openxmlformats.org/officeDocument/2006/relationships" name="MultiCar" sheetId="6" r:id="Re148a3e9588c4963"/>
    <x:sheet xmlns:r="http://schemas.openxmlformats.org/officeDocument/2006/relationships" name="MultiCarCosts" sheetId="7" r:id="R7be8f1e6479d4865"/>
    <x:sheet xmlns:r="http://schemas.openxmlformats.org/officeDocument/2006/relationships" name="SmokeCache" sheetId="8" r:id="R11defc3ea93d4979"/>
    <x:sheet xmlns:r="http://schemas.openxmlformats.org/officeDocument/2006/relationships" name="DirtyNames" sheetId="9" r:id="Rb0e1a85eea3f47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"/>
    <x:numFmt numFmtId="201" formatCode="#,##0"/>
    <x:numFmt numFmtId="202" formatCode="0.000"/>
    <x:numFmt numFmtId="203" formatCode="0.0%"/>
    <x:numFmt numFmtId="204" formatCode="0"/>
  </x:numFmts>
  <x:fonts count="7">
    <x:font>
      <x:sz val="11"/>
      <x:name val="Carlito"/>
    </x:font>
    <x:font>
      <x:sz val="11"/>
      <x:color rgb="FF183153"/>
      <x:name val="Arial"/>
    </x:font>
    <x:font>
      <x:b/>
      <x:sz val="18"/>
      <x:color rgb="FF183153"/>
      <x:name val="Arial"/>
    </x:font>
    <x:font>
      <x:b/>
      <x:sz val="10"/>
      <x:color rgb="FFFFFFFF"/>
      <x:name val="Arial"/>
    </x:font>
    <x:font>
      <x:sz val="11"/>
      <x:color rgb="FF2563EB"/>
      <x:name val="Arial"/>
    </x:font>
    <x:font>
      <x:sz val="10"/>
      <x:color rgb="FF526477"/>
      <x:name val="Arial"/>
    </x:font>
    <x:font>
      <x:sz val="9"/>
      <x:color rgb="FF52647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153"/>
      </x:patternFill>
    </x:fill>
    <x:fill>
      <x:patternFill patternType="solid">
        <x:fgColor rgb="FFFEF3C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200" fontId="4" fillId="0" borderId="0" xfId="0" applyNumberFormat="1" applyFont="1" applyFill="1" applyBorder="1"/>
    <x:xf numFmtId="201" fontId="4" fillId="3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color rgb="FFB91C1C"/>
      </x:font>
      <x:fill>
        <x:patternFill patternType="solid">
          <x:bgColor rgb="FFFEE2E2"/>
        </x:patternFill>
      </x:fill>
    </x:dxf>
    <x:dxf>
      <x:font>
        <x:color rgb="FFB91C1C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91fb7ee69b4653" /><Relationship Type="http://schemas.openxmlformats.org/officeDocument/2006/relationships/theme" Target="/xl/theme/theme1.xml" Id="Rbf5952bae0884f17" /><Relationship Type="http://schemas.openxmlformats.org/officeDocument/2006/relationships/sharedStrings" Target="/xl/sharedStrings.xml" Id="R01b8e40ff376438f" /><Relationship Type="http://schemas.openxmlformats.org/officeDocument/2006/relationships/worksheet" Target="/xl/worksheets/sheet1.xml" Id="Rebd3b9a229754acf" /><Relationship Type="http://schemas.openxmlformats.org/officeDocument/2006/relationships/worksheet" Target="/xl/worksheets/sheet2.xml" Id="Rd1233f0b46a44a3e" /><Relationship Type="http://schemas.openxmlformats.org/officeDocument/2006/relationships/worksheet" Target="/xl/worksheets/sheet3.xml" Id="R0eb6c97acab6471c" /><Relationship Type="http://schemas.openxmlformats.org/officeDocument/2006/relationships/worksheet" Target="/xl/worksheets/sheet4.xml" Id="R983a4cb8dc4149b2" /><Relationship Type="http://schemas.openxmlformats.org/officeDocument/2006/relationships/worksheet" Target="/xl/worksheets/sheet5.xml" Id="R46cf1a22a76348a8" /><Relationship Type="http://schemas.openxmlformats.org/officeDocument/2006/relationships/worksheet" Target="/xl/worksheets/sheet6.xml" Id="Re148a3e9588c4963" /><Relationship Type="http://schemas.openxmlformats.org/officeDocument/2006/relationships/worksheet" Target="/xl/worksheets/sheet7.xml" Id="R7be8f1e6479d4865" /><Relationship Type="http://schemas.openxmlformats.org/officeDocument/2006/relationships/worksheet" Target="/xl/worksheets/sheet8.xml" Id="R11defc3ea93d4979" /><Relationship Type="http://schemas.openxmlformats.org/officeDocument/2006/relationships/worksheet" Target="/xl/worksheets/sheet9.xml" Id="Rb0e1a85eea3f4726" /></Relationships>
</file>

<file path=xl/tables/table1.xml><?xml version="1.0" encoding="utf-8"?>
<x:table xmlns:x="http://schemas.openxmlformats.org/spreadsheetml/2006/main" id="1" name="RoutineCosts" displayName="RoutineCosts" ref="A5:L35" headerRowCount="1" totalsRowCount="0" totalsRowShown="0">
  <x:tableColumns count="12">
    <x:tableColumn id="1" name="Routine / hook"/>
    <x:tableColumn id="2" name="Purpose"/>
    <x:tableColumn id="3" name="Calls"/>
    <x:tableColumn id="4" name="Calls/frame"/>
    <x:tableColumn id="5" name="Min incl."/>
    <x:tableColumn id="6" name="Mean incl."/>
    <x:tableColumn id="7" name="P95 incl."/>
    <x:tableColumn id="8" name="Max incl."/>
    <x:tableColumn id="9" name="Mean self"/>
    <x:tableColumn id="10" name="Self / frame"/>
    <x:tableColumn id="11" name="Mean incl. ms"/>
    <x:tableColumn id="12" name="Self/frame % refresh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rameCosts" displayName="FrameCosts" ref="A5:U918" headerRowCount="1" totalsRowCount="0" totalsRowShown="0">
  <x:tableColumns count="21">
    <x:tableColumn id="1" name="Frame"/>
    <x:tableColumn id="2" name="Camera X"/>
    <x:tableColumn id="3" name="Camera Y"/>
    <x:tableColumn id="4" name="Input ticks"/>
    <x:tableColumn id="5" name="Total cycles"/>
    <x:tableColumn id="6" name="Input cycles"/>
    <x:tableColumn id="7" name="Render cycles"/>
    <x:tableColumn id="8" name="Wait cycles"/>
    <x:tableColumn id="9" name="Commit cycles"/>
    <x:tableColumn id="10" name="Loop + outside IRQ"/>
    <x:tableColumn id="11" name="Work cycles"/>
    <x:tableColumn id="12" name="Work ms"/>
    <x:tableColumn id="13" name="Interval ms"/>
    <x:tableColumn id="14" name="60 Hz margin cycles"/>
    <x:tableColumn id="15" name="Movement command"/>
    <x:tableColumn id="16" name="Delta X"/>
    <x:tableColumn id="17" name="Delta Y"/>
    <x:tableColumn id="18" name="Fine X"/>
    <x:tableColumn id="19" name="Fine Y"/>
    <x:tableColumn id="20" name="Camera tile crossing"/>
    <x:tableColumn id="21" name="Name strip call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OptimizationCosts" displayName="OptimizationCosts" ref="A14:J22" headerRowCount="1" totalsRowCount="0" totalsRowShown="0">
  <x:tableColumns count="10">
    <x:tableColumn id="1" name="Routine"/>
    <x:tableColumn id="2" name="Before mean incl."/>
    <x:tableColumn id="3" name="After mean incl."/>
    <x:tableColumn id="4" name="Saved cycles/call"/>
    <x:tableColumn id="5" name="Before P95"/>
    <x:tableColumn id="6" name="After P95"/>
    <x:tableColumn id="7" name="Before max"/>
    <x:tableColumn id="8" name="After max"/>
    <x:tableColumn id="9" name="Before calls/frame"/>
    <x:tableColumn id="10" name="After calls/fram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hreeEnemyRoutineCosts" displayName="ThreeEnemyRoutineCosts" ref="A5:L35" headerRowCount="1" totalsRowCount="0" totalsRowShown="0">
  <x:tableColumns count="12">
    <x:tableColumn id="1" name="Routine / hook"/>
    <x:tableColumn id="2" name="Purpose"/>
    <x:tableColumn id="3" name="Calls"/>
    <x:tableColumn id="4" name="Calls/frame"/>
    <x:tableColumn id="5" name="Min incl."/>
    <x:tableColumn id="6" name="Mean incl."/>
    <x:tableColumn id="7" name="P95 incl."/>
    <x:tableColumn id="8" name="Max incl."/>
    <x:tableColumn id="9" name="Mean self"/>
    <x:tableColumn id="10" name="Self / frame"/>
    <x:tableColumn id="11" name="Mean incl. ms"/>
    <x:tableColumn id="12" name="Self/frame % refresh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be6415113894d4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e7413b65f59430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3c29c88e272444a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654604d845ba4bac" /></Relationships>
</file>

<file path=xl/worksheets/sheet1.xml><?xml version="1.0" encoding="utf-8"?>
<x:worksheet xmlns:x="http://schemas.openxmlformats.org/spreadsheetml/2006/main">
  <x:sheetPr>
    <x:tabColor rgb="FF183153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3" hidden="0" customWidth="1"/>
    <x:col min="2" max="2" width="20" hidden="0" customWidth="1"/>
    <x:col min="3" max="3" width="20" hidden="0" customWidth="1"/>
    <x:col min="4" max="4" width="20" hidden="0" customWidth="1"/>
    <x:col min="5" max="5" width="3" hidden="0" customWidth="1"/>
    <x:col min="6" max="6" width="91" hidden="0" customWidth="1"/>
  </x:cols>
  <x:sheetData>
    <x:row r="1" ht="23" customHeight="1">
      <x:c r="A1" s="1"/>
      <x:c r="B1" s="1"/>
      <x:c r="C1" s="1"/>
      <x:c r="D1" s="1"/>
      <x:c r="E1" s="1"/>
      <x:c r="F1" s="1"/>
    </x:row>
    <x:row r="2" ht="23" customHeight="1">
      <x:c r="A2" s="2" t="str">
        <x:v>Three-enemy action cycle budget</x:v>
      </x:c>
      <x:c r="B2" s="1"/>
      <x:c r="C2" s="1"/>
      <x:c r="D2" s="1"/>
      <x:c r="E2" s="1"/>
      <x:c r="F2" s="1"/>
    </x:row>
    <x:row r="3" ht="23" customHeight="1">
      <x:c r="A3" s="1" t="str">
        <x:v>913 active presentations; 60 Hz refresh; authorized native effects</x:v>
      </x:c>
      <x:c r="B3" s="1"/>
      <x:c r="C3" s="1"/>
      <x:c r="D3" s="1"/>
      <x:c r="E3" s="1"/>
      <x:c r="F3" s="1"/>
    </x:row>
    <x:row r="4" ht="23" customHeight="1">
      <x:c r="A4" s="1"/>
      <x:c r="B4" s="1"/>
      <x:c r="C4" s="1"/>
      <x:c r="D4" s="1"/>
      <x:c r="E4" s="1"/>
      <x:c r="F4" s="1"/>
    </x:row>
    <x:row r="5" ht="36" customHeight="1">
      <x:c r="A5" s="7" t="str">
        <x:v>Measured result</x:v>
      </x:c>
      <x:c r="B5" s="7" t="str">
        <x:v>Mean</x:v>
      </x:c>
      <x:c r="C5" s="7" t="str">
        <x:v>Maximum</x:v>
      </x:c>
      <x:c r="D5" s="7" t="str">
        <x:v>Unit</x:v>
      </x:c>
      <x:c r="E5" s="1"/>
      <x:c r="F5" s="1"/>
    </x:row>
    <x:row r="6" ht="23" customHeight="1">
      <x:c r="A6" s="1" t="str">
        <x:v>Active work per presentation</x:v>
      </x:c>
      <x:c r="B6" s="8" t="n">
        <x:f>AVERAGE(Frames!L6:L918)</x:f>
        <x:v>21.680575558596768</x:v>
      </x:c>
      <x:c r="C6" s="8" t="n">
        <x:f>MAX(Frames!L6:L918)</x:f>
        <x:v>45.65859627410746</x:v>
      </x:c>
      <x:c r="D6" s="1" t="str">
        <x:v>ms</x:v>
      </x:c>
      <x:c r="E6" s="1"/>
      <x:c r="F6" s="17" t="str">
        <x:v>Active work excludes wait_blank, which contains HALT and its wake-up ISR.</x:v>
      </x:c>
    </x:row>
    <x:row r="7" ht="23" customHeight="1">
      <x:c r="A7" s="1" t="str">
        <x:v>Presentation interval</x:v>
      </x:c>
      <x:c r="B7" s="8" t="n">
        <x:f>AVERAGE(Frames!M6:M918)</x:f>
        <x:v>33.42894040864749</x:v>
      </x:c>
      <x:c r="C7" s="8" t="n">
        <x:f>MAX(Frames!M6:M918)</x:f>
        <x:v>51.28724460790408</x:v>
      </x:c>
      <x:c r="D7" s="1" t="str">
        <x:v>ms</x:v>
      </x:c>
      <x:c r="E7" s="1"/>
      <x:c r="F7" s="17" t="str">
        <x:v>Cadence varies with work; average FPS is not stable FPS. Inspect tails and event intervals.</x:v>
      </x:c>
    </x:row>
    <x:row r="8" ht="23" customHeight="1">
      <x:c r="A8" s="1" t="str">
        <x:v>Presented frames / second</x:v>
      </x:c>
      <x:c r="B8" s="8" t="n">
        <x:f>1000/B7</x:f>
        <x:v>29.914199725616108</x:v>
      </x:c>
      <x:c r="C8" s="8" t="n">
        <x:f>MIN(1000/MIN(Frames!M6:M918),Sources!B4/Sources!B5)</x:f>
        <x:v>59.92274340431231</x:v>
      </x:c>
      <x:c r="D8" s="1" t="str">
        <x:v>FPS</x:v>
      </x:c>
      <x:c r="E8" s="1"/>
      <x:c r="F8" s="17" t="str">
        <x:v>Maximum FPS is bounded by physical refresh; publication intervals include varying commit duration.</x:v>
      </x:c>
    </x:row>
    <x:row r="9" ht="23" customHeight="1">
      <x:c r="A9" s="1" t="str">
        <x:v>Atomic VDP commit</x:v>
      </x:c>
      <x:c r="B9" s="9" t="n">
        <x:f>AVERAGE(Frames!I6:I918)</x:f>
        <x:v>3745.725082147181</x:v>
      </x:c>
      <x:c r="C9" s="9" t="n">
        <x:f>MAX(Frames!I6:I918)</x:f>
        <x:v>6938.000000014901</x:v>
      </x:c>
      <x:c r="D9" s="1" t="str">
        <x:v>cycles</x:v>
      </x:c>
      <x:c r="E9" s="1"/>
      <x:c r="F9" s="17" t="str">
        <x:v>Commit costs do not include VRAM preparation, which runs on back buffers.</x:v>
      </x:c>
    </x:row>
    <x:row r="10" ht="23" customHeight="1">
      <x:c r="A10" s="1" t="str">
        <x:v>Drawing work over 60 Hz budget</x:v>
      </x:c>
      <x:c r="B10" s="9" t="n">
        <x:f>COUNTIF(Frames!N6:N918,"&lt;0")</x:f>
        <x:v>900</x:v>
      </x:c>
      <x:c r="C10" s="9"/>
      <x:c r="D10" s="1" t="str">
        <x:v>frames</x:v>
      </x:c>
      <x:c r="E10" s="1"/>
      <x:c r="F10" s="17"/>
    </x:row>
    <x:row r="11" ht="23" customHeight="1">
      <x:c r="A11" s="1" t="str">
        <x:v>Work over 29.97 FPS budget</x:v>
      </x:c>
      <x:c r="B11" s="1" t="n">
        <x:f>COUNTIF(Frames!K6:K918,"&gt;"&amp;Sources!B4/Sources!B8)</x:f>
        <x:v>16</x:v>
      </x:c>
      <x:c r="C11" s="1"/>
      <x:c r="D11" s="1" t="str">
        <x:v>frames</x:v>
      </x:c>
      <x:c r="E11" s="1"/>
      <x:c r="F11" s="17"/>
    </x:row>
    <x:row r="12" ht="23" customHeight="1">
      <x:c r="A12" s="1"/>
      <x:c r="B12" s="1"/>
      <x:c r="C12" s="1"/>
      <x:c r="D12" s="1"/>
      <x:c r="E12" s="1"/>
      <x:c r="F12" s="17"/>
    </x:row>
    <x:row r="13" ht="36" customHeight="1">
      <x:c r="A13" s="7" t="str">
        <x:v>Planning budget</x:v>
      </x:c>
      <x:c r="B13" s="7" t="str">
        <x:v>Cycles</x:v>
      </x:c>
      <x:c r="C13" s="7" t="str">
        <x:v>Time (ms)</x:v>
      </x:c>
      <x:c r="D13" s="7" t="str">
        <x:v>Status</x:v>
      </x:c>
      <x:c r="E13" s="1"/>
      <x:c r="F13" s="17"/>
    </x:row>
    <x:row r="14" ht="23" customHeight="1">
      <x:c r="A14" s="1" t="str">
        <x:v>Current 60 Hz video refresh</x:v>
      </x:c>
      <x:c r="B14" s="9" t="n">
        <x:f>Sources!B5</x:f>
        <x:v>59736</x:v>
      </x:c>
      <x:c r="C14" s="10" t="n">
        <x:f>B14/Sources!B4*1000</x:f>
        <x:v>16.68815450008311</x:v>
      </x:c>
      <x:c r="D14" s="1" t="str">
        <x:v>Current</x:v>
      </x:c>
      <x:c r="E14" s="1"/>
      <x:c r="F14" s="17"/>
    </x:row>
    <x:row r="15" ht="23" customHeight="1">
      <x:c r="A15" s="1" t="str">
        <x:v>60 Hz video drawing interval</x:v>
      </x:c>
      <x:c r="B15" s="9" t="n">
        <x:f>Sources!B6</x:f>
        <x:v>59736</x:v>
      </x:c>
      <x:c r="C15" s="10" t="n">
        <x:f>B15/Sources!B4*1000</x:f>
        <x:v>16.68815450008311</x:v>
      </x:c>
      <x:c r="D15" s="1" t="str">
        <x:v>Planning</x:v>
      </x:c>
      <x:c r="E15" s="1"/>
      <x:c r="F15" s="17" t="str">
        <x:v>This integration fixture selects R9=$80 and nominal 60 Hz refresh.</x:v>
      </x:c>
    </x:row>
    <x:row r="16" ht="23" customHeight="1">
      <x:c r="A16" s="1" t="str">
        <x:v>Two 60 Hz refreshes</x:v>
      </x:c>
      <x:c r="B16" s="9" t="n">
        <x:f>B15*2</x:f>
        <x:v>119472</x:v>
      </x:c>
      <x:c r="C16" s="10" t="n">
        <x:f>B16/Sources!B4*1000</x:f>
        <x:v>33.37630900016622</x:v>
      </x:c>
      <x:c r="D16" s="1" t="str">
        <x:v>Planning</x:v>
      </x:c>
      <x:c r="E16" s="1"/>
      <x:c r="F16" s="17" t="str">
        <x:v>Two refreshes allow near-30 FPS only with a deliberate, bounded scheduler.</x:v>
      </x:c>
    </x:row>
    <x:row r="17" ht="23" customHeight="1">
      <x:c r="A17" s="1" t="str">
        <x:v>VBlank work reserve</x:v>
      </x:c>
      <x:c r="B17" s="9" t="n">
        <x:f>Sources!B7</x:f>
        <x:v>5000</x:v>
      </x:c>
      <x:c r="C17" s="10" t="n">
        <x:f>B17/Sources!B4*1000</x:f>
        <x:v>1.3968255742000728</x:v>
      </x:c>
      <x:c r="D17" s="1" t="str">
        <x:v>Assumption</x:v>
      </x:c>
      <x:c r="E17" s="1"/>
      <x:c r="F17" s="17" t="str">
        <x:v>5,000 cycles is a provisional usable-work reserve, not a measured VBlank length.</x:v>
      </x:c>
    </x:row>
    <x:row r="18" ht="23" customHeight="1">
      <x:c r="A18" s="1" t="str">
        <x:v>Target presentation interval</x:v>
      </x:c>
      <x:c r="B18" s="9" t="n">
        <x:f>Sources!B4/Sources!B8</x:f>
        <x:v>119437.6042709376</x:v>
      </x:c>
      <x:c r="C18" s="10" t="n">
        <x:f>1000/Sources!B8</x:f>
        <x:v>33.366700033366705</x:v>
      </x:c>
      <x:c r="D18" s="1" t="str">
        <x:v>Goal</x:v>
      </x:c>
      <x:c r="E18" s="1"/>
      <x:c r="F18" s="17" t="str">
        <x:v>Nominal 29.97 FPS target; actual two-refresh cadence follows the measured video clock.</x:v>
      </x:c>
    </x:row>
    <x:row r="19" ht="23" customHeight="1">
      <x:c r="A19" s="1" t="str">
        <x:v>Current mean work: 60 Hz margin</x:v>
      </x:c>
      <x:c r="B19" s="9" t="n">
        <x:f>B15-AVERAGE(Frames!K6:K918)</x:f>
        <x:v>-17870.595837897316</x:v>
      </x:c>
      <x:c r="C19" s="10" t="n">
        <x:f>B19/Sources!B4*1000</x:f>
        <x:v>-4.99242105851367</x:v>
      </x:c>
      <x:c r="D19" s="1" t="str">
        <x:v>Measured</x:v>
      </x:c>
      <x:c r="E19" s="1"/>
      <x:c r="F19" s="17"/>
    </x:row>
    <x:row r="20" ht="23" customHeight="1">
      <x:c r="A20" s="1" t="str">
        <x:v>Mean work: 29.97 FPS remaining budget</x:v>
      </x:c>
      <x:c r="B20" s="9" t="n">
        <x:f>B18-AVERAGE(Frames!K6:K918)</x:f>
        <x:v>41831.00843304029</x:v>
      </x:c>
      <x:c r="C20" s="10" t="n">
        <x:f>B20/Sources!B4*1000</x:f>
        <x:v>11.686124474769919</x:v>
      </x:c>
      <x:c r="D20" s="1" t="str">
        <x:v>Measured</x:v>
      </x:c>
      <x:c r="E20" s="1"/>
      <x:c r="F20" s="17"/>
    </x:row>
    <x:row r="21" ht="23" customHeight="1">
      <x:c r="A21" s="1"/>
      <x:c r="B21" s="1"/>
      <x:c r="C21" s="1"/>
      <x:c r="D21" s="1"/>
      <x:c r="E21" s="1"/>
      <x:c r="F21" s="17"/>
    </x:row>
    <x:row r="22" ht="36" customHeight="1">
      <x:c r="A22" s="7" t="str">
        <x:v>Scheduling candidate</x:v>
      </x:c>
      <x:c r="B22" s="7" t="str">
        <x:v>State</x:v>
      </x:c>
      <x:c r="C22" s="7" t="str">
        <x:v>Budget (cycles)</x:v>
      </x:c>
      <x:c r="D22" s="7" t="str">
        <x:v>Acceptance</x:v>
      </x:c>
      <x:c r="E22" s="1"/>
      <x:c r="F22" s="17"/>
    </x:row>
    <x:row r="23" ht="23" customHeight="1">
      <x:c r="A23" s="1" t="str">
        <x:v>Flag-capture event pause</x:v>
      </x:c>
      <x:c r="B23" s="1" t="str">
        <x:v>Proposed</x:v>
      </x:c>
      <x:c r="C23" s="1" t="str">
        <x:v>Not measured</x:v>
      </x:c>
      <x:c r="D23" s="1" t="str">
        <x:v>User decides</x:v>
      </x:c>
      <x:c r="E23" s="1"/>
      <x:c r="F23" s="17" t="str">
        <x:v>Measure exact pause duration, hook cost and input behavior before gameplay adoption.</x:v>
      </x:c>
    </x:row>
    <x:row r="24" ht="23" customHeight="1">
      <x:c r="A24" s="1" t="str">
        <x:v>Deferred expensive hook</x:v>
      </x:c>
      <x:c r="B24" s="1" t="str">
        <x:v>Proposed</x:v>
      </x:c>
      <x:c r="C24" s="1" t="str">
        <x:v>Not measured</x:v>
      </x:c>
      <x:c r="D24" s="1" t="str">
        <x:v>Measure first</x:v>
      </x:c>
      <x:c r="E24" s="1"/>
      <x:c r="F24" s="17" t="str">
        <x:v>Record whether an operation must finish in VBlank or can prepare an inactive buffer.</x:v>
      </x:c>
    </x:row>
    <x:row r="25" ht="23" customHeight="1">
      <x:c r="A25" s="1" t="str">
        <x:v>Further graphical reduction</x:v>
      </x:c>
      <x:c r="B25" s="1" t="str">
        <x:v>Proposed</x:v>
      </x:c>
      <x:c r="C25" s="1" t="str">
        <x:v>Not measured</x:v>
      </x:c>
      <x:c r="D25" s="1" t="str">
        <x:v>User decides</x:v>
      </x:c>
      <x:c r="E25" s="1"/>
      <x:c r="F25" s="17" t="str">
        <x:v>Smoke/explosion adaptation authorized 2026-10-28 only in this experiment; final visual acceptance pending.</x:v>
      </x:c>
    </x:row>
    <x:row r="26" ht="23" customHeight="1">
      <x:c r="A26" s="1"/>
      <x:c r="B26" s="1"/>
      <x:c r="C26" s="1"/>
      <x:c r="D26" s="1"/>
      <x:c r="E26" s="1"/>
      <x:c r="F26" s="1"/>
    </x:row>
    <x:row r="27" ht="23" customHeight="1">
      <x:c r="A27" s="1"/>
      <x:c r="B27" s="1"/>
      <x:c r="C27" s="1"/>
      <x:c r="D27" s="1"/>
      <x:c r="E27" s="1"/>
      <x:c r="F27" s="1"/>
    </x:row>
    <x:row r="28" ht="45" customHeight="1">
      <x:c r="A28" s="1" t="str">
        <x:v>Scope: three real enemies during action; HUD, PSG, smoke and native logic; death/bonus/stopped intervals excluded.</x:v>
      </x:c>
      <x:c r="B28" s="1"/>
      <x:c r="C28" s="1"/>
      <x:c r="D28" s="1"/>
      <x:c r="E28" s="1"/>
      <x:c r="F28" s="20" t="str">
        <x:v>Heavy/smoke workloads are not measured by this route.</x:v>
      </x:c>
    </x:row>
    <x:row r="29" ht="23" customHeight="1">
      <x:c r="A29" s="1" t="str">
        <x:v>1244 camera/tick states match a run without routine breakpoints; total duration matches within5.01cycles; per-frame observation jitter &lt;=5 cycles</x:v>
      </x:c>
      <x:c r="B29" s="1"/>
      <x:c r="C29" s="1"/>
      <x:c r="D29" s="1"/>
      <x:c r="E29" s="1"/>
      <x:c r="F29" s="17" t="str">
        <x:v>Primary budget and routine tables exclude holds. MultiCar retains separate whole-route/smoke observations.</x:v>
      </x:c>
    </x:row>
    <x:row r="30" ht="23" customHeight="1">
      <x:c r="A30" s="1" t="str">
        <x:v>Routine self costs reconcile with total frame time after loop overhead. See Sources for definitions.</x:v>
      </x:c>
      <x:c r="B30" s="1"/>
      <x:c r="C30" s="1"/>
      <x:c r="D30" s="1"/>
      <x:c r="E30" s="1"/>
      <x:c r="F30" s="1"/>
    </x:row>
    <x:row r="31" ht="23" customHeight="1">
      <x:c r="A31" s="1"/>
      <x:c r="B31" s="1"/>
      <x:c r="C31" s="1"/>
      <x:c r="D31" s="1"/>
      <x:c r="E31" s="1"/>
      <x:c r="F31" s="1"/>
    </x:row>
    <x:row r="32" ht="23" customHeight="1">
      <x:c r="A32" s="1"/>
      <x:c r="B32" s="1"/>
      <x:c r="C32" s="1"/>
      <x:c r="D32" s="1"/>
      <x:c r="E32" s="1"/>
      <x:c r="F32" s="1"/>
    </x:row>
    <x:row r="33" ht="23" customHeight="1">
      <x:c r="A33" s="1"/>
      <x:c r="B33" s="1"/>
      <x:c r="C33" s="1"/>
      <x:c r="D33" s="1"/>
      <x:c r="E33" s="1"/>
      <x:c r="F33" s="1"/>
    </x:row>
  </x:sheetData>
  <x:conditionalFormatting sqref="B19:C19">
    <x:cfRule type="cellIs" dxfId="0" priority="1" operator="less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42" hidden="0" customWidth="1"/>
    <x:col min="3" max="3" width="12" hidden="0" customWidth="1"/>
    <x:col min="4" max="4" width="12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7" hidden="0" customWidth="1"/>
    <x:col min="11" max="11" width="15" hidden="0" customWidth="1"/>
    <x:col min="12" max="12" width="17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3" customHeight="1">
      <x:c r="A2" s="2" t="str">
        <x:v>Three-enemy action: routine costs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3" customHeight="1">
      <x:c r="A3" s="1" t="str">
        <x:v>Cycles per call include guest timing and waits. Never sum inclusive parents and children.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36" customHeight="1">
      <x:c r="A5" s="7" t="str">
        <x:v>Routine / hook</x:v>
      </x:c>
      <x:c r="B5" s="7" t="str">
        <x:v>Purpose</x:v>
      </x:c>
      <x:c r="C5" s="7" t="str">
        <x:v>Calls</x:v>
      </x:c>
      <x:c r="D5" s="7" t="str">
        <x:v>Calls/frame</x:v>
      </x:c>
      <x:c r="E5" s="7" t="str">
        <x:v>Min incl.</x:v>
      </x:c>
      <x:c r="F5" s="7" t="str">
        <x:v>Mean incl.</x:v>
      </x:c>
      <x:c r="G5" s="7" t="str">
        <x:v>P95 incl.</x:v>
      </x:c>
      <x:c r="H5" s="7" t="str">
        <x:v>Max incl.</x:v>
      </x:c>
      <x:c r="I5" s="7" t="str">
        <x:v>Mean self</x:v>
      </x:c>
      <x:c r="J5" s="7" t="str">
        <x:v>Self / frame</x:v>
      </x:c>
      <x:c r="K5" s="7" t="str">
        <x:v>Mean incl. ms</x:v>
      </x:c>
      <x:c r="L5" s="7" t="str">
        <x:v>Self/frame % refresh</x:v>
      </x:c>
    </x:row>
    <x:row r="6" ht="23" customHeight="1">
      <x:c r="A6" s="1" t="str">
        <x:v>Game_Prepare</x:v>
      </x:c>
      <x:c r="B6" s="1" t="str">
        <x:v>Native simulation and foreground actor/HUD preparation</x:v>
      </x:c>
      <x:c r="C6" s="9" t="n">
        <x:v>913</x:v>
      </x:c>
      <x:c r="D6" s="8" t="n">
        <x:v>1</x:v>
      </x:c>
      <x:c r="E6" s="9" t="n">
        <x:v>14424</x:v>
      </x:c>
      <x:c r="F6" s="9" t="n">
        <x:v>37249.899233296666</x:v>
      </x:c>
      <x:c r="G6" s="9" t="n">
        <x:v>46833</x:v>
      </x:c>
      <x:c r="H6" s="9" t="n">
        <x:v>91935</x:v>
      </x:c>
      <x:c r="I6" s="9" t="n">
        <x:v>161.99999999953076</x:v>
      </x:c>
      <x:c r="J6" s="9" t="n">
        <x:v>161.99999999953076</x:v>
      </x:c>
      <x:c r="K6" s="10" t="n">
        <x:f>F6/Sources!$B$4*1000</x:f>
        <x:v>10.406322377088895</x:v>
      </x:c>
      <x:c r="L6" s="11" t="n">
        <x:f>J6/Sources!$B$5</x:f>
        <x:v>0.002711932503005403</x:v>
      </x:c>
    </x:row>
    <x:row r="7" ht="23" customHeight="1">
      <x:c r="A7" s="1" t="str">
        <x:v>Game_Frame</x:v>
      </x:c>
      <x:c r="B7" s="1" t="str">
        <x:v>Elapsed60Hz simulation including audio</x:v>
      </x:c>
      <x:c r="C7" s="9" t="n">
        <x:v>913</x:v>
      </x:c>
      <x:c r="D7" s="8" t="n">
        <x:v>1</x:v>
      </x:c>
      <x:c r="E7" s="9" t="n">
        <x:v>5206</x:v>
      </x:c>
      <x:c r="F7" s="9" t="n">
        <x:v>25171.066812705583</x:v>
      </x:c>
      <x:c r="G7" s="9" t="n">
        <x:v>29640.0000000149</x:v>
      </x:c>
      <x:c r="H7" s="9" t="n">
        <x:v>74617.99999999627</x:v>
      </x:c>
      <x:c r="I7" s="9" t="n">
        <x:v>2035.1259583796518</x:v>
      </x:c>
      <x:c r="J7" s="9" t="n">
        <x:v>2035.1259583796518</x:v>
      </x:c>
      <x:c r="K7" s="10" t="n">
        <x:f>F7/Sources!$B$4*1000</x:f>
        <x:v>7.031917970777175</x:v>
      </x:c>
      <x:c r="L7" s="11" t="n">
        <x:f>J7/Sources!$B$5</x:f>
        <x:v>0.034068668112690034</x:v>
      </x:c>
    </x:row>
    <x:row r="8" ht="23" customHeight="1">
      <x:c r="A8" s="1" t="str">
        <x:v>Game_LogicTick</x:v>
      </x:c>
      <x:c r="B8" s="1" t="str">
        <x:v>Gameplay flags, fuel, collisions and enemy motion</x:v>
      </x:c>
      <x:c r="C8" s="9" t="n">
        <x:v>1833</x:v>
      </x:c>
      <x:c r="D8" s="8" t="n">
        <x:v>2.0076670317634173</x:v>
      </x:c>
      <x:c r="E8" s="9" t="n">
        <x:v>2574.999999985099</x:v>
      </x:c>
      <x:c r="F8" s="9" t="n">
        <x:v>10477.559738134358</x:v>
      </x:c>
      <x:c r="G8" s="9" t="n">
        <x:v>20986</x:v>
      </x:c>
      <x:c r="H8" s="9" t="n">
        <x:v>63843</x:v>
      </x:c>
      <x:c r="I8" s="9" t="n">
        <x:v>10470.055646481333</x:v>
      </x:c>
      <x:c r="J8" s="9" t="n">
        <x:v>21020.385542168984</x:v>
      </x:c>
      <x:c r="K8" s="10" t="n">
        <x:f>F8/Sources!$B$4*1000</x:f>
        <x:v>2.927064679487018</x:v>
      </x:c>
      <x:c r="L8" s="11" t="n">
        <x:f>J8/Sources!$B$5</x:f>
        <x:v>0.3518880665288768</x:v>
      </x:c>
    </x:row>
    <x:row r="9" ht="23" customHeight="1">
      <x:c r="A9" s="1" t="str">
        <x:v>Game_Position</x:v>
      </x:c>
      <x:c r="B9" s="1" t="str">
        <x:v>Native coordinates and clamped camera projection</x:v>
      </x:c>
      <x:c r="C9" s="9" t="n">
        <x:v>913</x:v>
      </x:c>
      <x:c r="D9" s="8" t="n">
        <x:v>1</x:v>
      </x:c>
      <x:c r="E9" s="9" t="n">
        <x:v>859.9999999850988</x:v>
      </x:c>
      <x:c r="F9" s="9" t="n">
        <x:v>884.8849945235528</x:v>
      </x:c>
      <x:c r="G9" s="9" t="n">
        <x:v>900</x:v>
      </x:c>
      <x:c r="H9" s="9" t="n">
        <x:v>900.0000000298023</x:v>
      </x:c>
      <x:c r="I9" s="9" t="n">
        <x:v>884.8849945235528</x:v>
      </x:c>
      <x:c r="J9" s="9" t="n">
        <x:v>884.8849945235528</x:v>
      </x:c>
      <x:c r="K9" s="10" t="n">
        <x:f>F9/Sources!$B$4*1000</x:f>
        <x:v>0.247205998115278</x:v>
      </x:c>
      <x:c r="L9" s="11" t="n">
        <x:f>J9/Sources!$B$5</x:f>
        <x:v>0.014813261593068715</x:v>
      </x:c>
    </x:row>
    <x:row r="10" ht="23" customHeight="1">
      <x:c r="A10" s="1" t="str">
        <x:v>Game_Actors</x:v>
      </x:c>
      <x:c r="B10" s="1" t="str">
        <x:v>Native descriptors to sprite actor list</x:v>
      </x:c>
      <x:c r="C10" s="9" t="n">
        <x:v>913</x:v>
      </x:c>
      <x:c r="D10" s="8" t="n">
        <x:v>1</x:v>
      </x:c>
      <x:c r="E10" s="9" t="n">
        <x:v>3984.9999999701977</x:v>
      </x:c>
      <x:c r="F10" s="9" t="n">
        <x:v>3985.0000000002815</x:v>
      </x:c>
      <x:c r="G10" s="9" t="n">
        <x:v>3985.000000014901</x:v>
      </x:c>
      <x:c r="H10" s="9" t="n">
        <x:v>3985.0000000298023</x:v>
      </x:c>
      <x:c r="I10" s="9" t="n">
        <x:v>3985.0000000002815</x:v>
      </x:c>
      <x:c r="J10" s="9" t="n">
        <x:v>3985.0000000002815</x:v>
      </x:c>
      <x:c r="K10" s="10" t="n">
        <x:f>F10/Sources!$B$4*1000</x:f>
        <x:v>1.1132699826375367</x:v>
      </x:c>
      <x:c r="L10" s="11" t="n">
        <x:f>J10/Sources!$B$5</x:f>
        <x:v>0.06671019150931233</x:v>
      </x:c>
    </x:row>
    <x:row r="11" ht="23" customHeight="1">
      <x:c r="A11" s="1" t="str">
        <x:v>GameSprites_Prepare</x:v>
      </x:c>
      <x:c r="B11" s="1" t="str">
        <x:v>World sprite preparation and dirty pattern upload</x:v>
      </x:c>
      <x:c r="C11" s="9" t="n">
        <x:v>913</x:v>
      </x:c>
      <x:c r="D11" s="8" t="n">
        <x:v>1</x:v>
      </x:c>
      <x:c r="E11" s="9" t="n">
        <x:v>4072.9999999962747</x:v>
      </x:c>
      <x:c r="F11" s="9" t="n">
        <x:v>6136.554216867213</x:v>
      </x:c>
      <x:c r="G11" s="9" t="n">
        <x:v>13129.999999985099</x:v>
      </x:c>
      <x:c r="H11" s="9" t="n">
        <x:v>28019</x:v>
      </x:c>
      <x:c r="I11" s="9" t="n">
        <x:v>5821.079956188079</x:v>
      </x:c>
      <x:c r="J11" s="9" t="n">
        <x:v>5821.079956188079</x:v>
      </x:c>
      <x:c r="K11" s="10" t="n">
        <x:f>F11/Sources!$B$4*1000</x:f>
        <x:v>1.7143391735170848</x:v>
      </x:c>
      <x:c r="L11" s="11" t="n">
        <x:f>J11/Sources!$B$5</x:f>
        <x:v>0.09744676503595955</x:v>
      </x:c>
    </x:row>
    <x:row r="12" ht="23" customHeight="1">
      <x:c r="A12" s="1" t="str">
        <x:v>GameSprites_Commit</x:v>
      </x:c>
      <x:c r="B12" s="1" t="str">
        <x:v>World sprite publication</x:v>
      </x:c>
      <x:c r="C12" s="9" t="n">
        <x:v>913</x:v>
      </x:c>
      <x:c r="D12" s="8" t="n">
        <x:v>1</x:v>
      </x:c>
      <x:c r="E12" s="9" t="n">
        <x:v>1950.9999999701977</x:v>
      </x:c>
      <x:c r="F12" s="9" t="n">
        <x:v>1963.4600219055562</x:v>
      </x:c>
      <x:c r="G12" s="9" t="n">
        <x:v>1951.0000000149012</x:v>
      </x:c>
      <x:c r="H12" s="9" t="n">
        <x:v>3847</x:v>
      </x:c>
      <x:c r="I12" s="9" t="n">
        <x:v>1963.4600219055562</x:v>
      </x:c>
      <x:c r="J12" s="9" t="n">
        <x:v>1963.4600219055562</x:v>
      </x:c>
      <x:c r="K12" s="10" t="n">
        <x:f>F12/Sources!$B$4*1000</x:f>
        <x:v>0.5485222345034233</x:v>
      </x:c>
      <x:c r="L12" s="11" t="n">
        <x:f>J12/Sources!$B$5</x:f>
        <x:v>0.032868957109708656</x:v>
      </x:c>
    </x:row>
    <x:row r="13" ht="23" customHeight="1">
      <x:c r="A13" s="1" t="str">
        <x:v>GameHUD_Prepare</x:v>
      </x:c>
      <x:c r="B13" s="1" t="str">
        <x:v>HUD numeric/fuel/lives preparation</x:v>
      </x:c>
      <x:c r="C13" s="9" t="n">
        <x:v>913</x:v>
      </x:c>
      <x:c r="D13" s="8" t="n">
        <x:v>1</x:v>
      </x:c>
      <x:c r="E13" s="9" t="n">
        <x:v>943.9999999701977</x:v>
      </x:c>
      <x:c r="F13" s="9" t="n">
        <x:v>1795.2782037240563</x:v>
      </x:c>
      <x:c r="G13" s="9" t="n">
        <x:v>2023.0000000149012</x:v>
      </x:c>
      <x:c r="H13" s="9" t="n">
        <x:v>6125.000000014901</x:v>
      </x:c>
      <x:c r="I13" s="9" t="n">
        <x:v>1794.821467689007</x:v>
      </x:c>
      <x:c r="J13" s="9" t="n">
        <x:v>1794.821467689007</x:v>
      </x:c>
      <x:c r="K13" s="10" t="n">
        <x:f>F13/Sources!$B$4*1000</x:f>
        <x:v>0.501538101553146</x:v>
      </x:c>
      <x:c r="L13" s="11" t="n">
        <x:f>J13/Sources!$B$5</x:f>
        <x:v>0.030045893057603572</x:v>
      </x:c>
    </x:row>
    <x:row r="14" ht="23" customHeight="1">
      <x:c r="A14" s="1" t="str">
        <x:v>GameHUD_Commit</x:v>
      </x:c>
      <x:c r="B14" s="1" t="str">
        <x:v>HUD sprite publication</x:v>
      </x:c>
      <x:c r="C14" s="9" t="n">
        <x:v>913</x:v>
      </x:c>
      <x:c r="D14" s="8" t="n">
        <x:v>1</x:v>
      </x:c>
      <x:c r="E14" s="9" t="n">
        <x:v>70.99999998509884</x:v>
      </x:c>
      <x:c r="F14" s="9" t="n">
        <x:v>1239.2650602411434</x:v>
      </x:c>
      <x:c r="G14" s="9" t="n">
        <x:v>1623.0000000149012</x:v>
      </x:c>
      <x:c r="H14" s="9" t="n">
        <x:v>4444.000000014901</x:v>
      </x:c>
      <x:c r="I14" s="9" t="n">
        <x:v>1239.2650602411434</x:v>
      </x:c>
      <x:c r="J14" s="9" t="n">
        <x:v>1239.2650602411434</x:v>
      </x:c>
      <x:c r="K14" s="10" t="n">
        <x:f>F14/Sources!$B$4*1000</x:f>
        <x:v>0.3462074258714846</x:v>
      </x:c>
      <x:c r="L14" s="11" t="n">
        <x:f>J14/Sources!$B$5</x:f>
        <x:v>0.020745698745164447</x:v>
      </x:c>
    </x:row>
    <x:row r="15" ht="23" customHeight="1">
      <x:c r="A15" s="1" t="str">
        <x:v>render</x:v>
      </x:c>
      <x:c r="B15" s="1" t="str">
        <x:v>SCREEN4 background preparation</x:v>
      </x:c>
      <x:c r="C15" s="9" t="n">
        <x:v>913</x:v>
      </x:c>
      <x:c r="D15" s="8" t="n">
        <x:v>1</x:v>
      </x:c>
      <x:c r="E15" s="9" t="n">
        <x:v>23666.9999999851</x:v>
      </x:c>
      <x:c r="F15" s="9" t="n">
        <x:v>36504.971522453416</x:v>
      </x:c>
      <x:c r="G15" s="9" t="n">
        <x:v>59630.999999996275</x:v>
      </x:c>
      <x:c r="H15" s="9" t="n">
        <x:v>97370.0000000298</x:v>
      </x:c>
      <x:c r="I15" s="9" t="n">
        <x:v>6352.231106243089</x:v>
      </x:c>
      <x:c r="J15" s="9" t="n">
        <x:v>6352.231106243089</x:v>
      </x:c>
      <x:c r="K15" s="10" t="n">
        <x:f>F15/Sources!$B$4*1000</x:f>
        <x:v>10.19821556160166</x:v>
      </x:c>
      <x:c r="L15" s="11" t="n">
        <x:f>J15/Sources!$B$5</x:f>
        <x:v>0.10633840743007715</x:v>
      </x:c>
    </x:row>
    <x:row r="16" ht="23" customHeight="1">
      <x:c r="A16" s="1" t="str">
        <x:v>wait_blank</x:v>
      </x:c>
      <x:c r="B16" s="1" t="str">
        <x:v>Synchronization waits including HALT</x:v>
      </x:c>
      <x:c r="C16" s="9" t="n">
        <x:v>913</x:v>
      </x:c>
      <x:c r="D16" s="8" t="n">
        <x:v>1</x:v>
      </x:c>
      <x:c r="E16" s="9" t="n">
        <x:v>405</x:v>
      </x:c>
      <x:c r="F16" s="9" t="n">
        <x:v>42053.80065717385</x:v>
      </x:c>
      <x:c r="G16" s="9" t="n">
        <x:v>54064.9999999851</x:v>
      </x:c>
      <x:c r="H16" s="9" t="n">
        <x:v>58965</x:v>
      </x:c>
      <x:c r="I16" s="9" t="n">
        <x:v>41914.800657173895</x:v>
      </x:c>
      <x:c r="J16" s="9" t="n">
        <x:v>41914.800657173895</x:v>
      </x:c>
      <x:c r="K16" s="10" t="n">
        <x:f>F16/Sources!$B$4*1000</x:f>
        <x:v>11.748364850050454</x:v>
      </x:c>
      <x:c r="L16" s="11" t="n">
        <x:f>J16/Sources!$B$5</x:f>
        <x:v>0.7016673472809344</x:v>
      </x:c>
    </x:row>
    <x:row r="17" ht="23" customHeight="1">
      <x:c r="A17" s="1" t="str">
        <x:v>commit</x:v>
      </x:c>
      <x:c r="B17" s="1" t="str">
        <x:v>Complete presentation publication</x:v>
      </x:c>
      <x:c r="C17" s="9" t="n">
        <x:v>913</x:v>
      </x:c>
      <x:c r="D17" s="8" t="n">
        <x:v>1</x:v>
      </x:c>
      <x:c r="E17" s="9" t="n">
        <x:v>2564.9999999701977</x:v>
      </x:c>
      <x:c r="F17" s="9" t="n">
        <x:v>3745.725082147181</x:v>
      </x:c>
      <x:c r="G17" s="9" t="n">
        <x:v>4117.000000014901</x:v>
      </x:c>
      <x:c r="H17" s="9" t="n">
        <x:v>6938.000000014901</x:v>
      </x:c>
      <x:c r="I17" s="9" t="n">
        <x:v>543.0000000004815</x:v>
      </x:c>
      <x:c r="J17" s="9" t="n">
        <x:v>543.0000000004815</x:v>
      </x:c>
      <x:c r="K17" s="10" t="n">
        <x:f>F17/Sources!$B$4*1000</x:f>
        <x:v>1.0464249177331704</x:v>
      </x:c>
      <x:c r="L17" s="11" t="n">
        <x:f>J17/Sources!$B$5</x:f>
        <x:v>0.009089995982330278</x:v>
      </x:c>
    </x:row>
    <x:row r="18" ht="23" customHeight="1">
      <x:c r="A18" s="1" t="str">
        <x:v>Ring_Prepare</x:v>
      </x:c>
      <x:c r="B18" s="1" t="str">
        <x:v>Incoming world ring cells</x:v>
      </x:c>
      <x:c r="C18" s="9" t="n">
        <x:v>913</x:v>
      </x:c>
      <x:c r="D18" s="8" t="n">
        <x:v>1</x:v>
      </x:c>
      <x:c r="E18" s="9" t="n">
        <x:v>211.99999997019768</x:v>
      </x:c>
      <x:c r="F18" s="9" t="n">
        <x:v>5968.033953997662</x:v>
      </x:c>
      <x:c r="G18" s="9" t="n">
        <x:v>16734</x:v>
      </x:c>
      <x:c r="H18" s="9" t="n">
        <x:v>18467.0000000149</x:v>
      </x:c>
      <x:c r="I18" s="9" t="n">
        <x:v>5962.705366922034</x:v>
      </x:c>
      <x:c r="J18" s="9" t="n">
        <x:v>5962.705366922034</x:v>
      </x:c>
      <x:c r="K18" s="10" t="n">
        <x:f>F18/Sources!$B$4*1000</x:f>
        <x:v>1.6672604909276632</x:v>
      </x:c>
      <x:c r="L18" s="11" t="n">
        <x:f>J18/Sources!$B$5</x:f>
        <x:v>0.09981762031140408</x:v>
      </x:c>
    </x:row>
    <x:row r="19" ht="23" customHeight="1">
      <x:c r="A19" s="1" t="str">
        <x:v>Game_RingPatch</x:v>
      </x:c>
      <x:c r="B19" s="1" t="str">
        <x:v>Flag/smoke/death terrain overrides</x:v>
      </x:c>
      <x:c r="C19" s="9" t="n">
        <x:v>913</x:v>
      </x:c>
      <x:c r="D19" s="8" t="n">
        <x:v>1</x:v>
      </x:c>
      <x:c r="E19" s="9" t="n">
        <x:v>141.99999997019768</x:v>
      </x:c>
      <x:c r="F19" s="9" t="n">
        <x:v>3262.9167579409113</x:v>
      </x:c>
      <x:c r="G19" s="9" t="n">
        <x:v>15493</x:v>
      </x:c>
      <x:c r="H19" s="9" t="n">
        <x:v>58671</x:v>
      </x:c>
      <x:c r="I19" s="9" t="n">
        <x:v>2755.4490690034368</x:v>
      </x:c>
      <x:c r="J19" s="9" t="n">
        <x:v>2755.4490690034368</x:v>
      </x:c>
      <x:c r="K19" s="10" t="n">
        <x:f>F19/Sources!$B$4*1000</x:f>
        <x:v>0.9115451147955708</x:v>
      </x:c>
      <x:c r="L19" s="11" t="n">
        <x:f>J19/Sources!$B$5</x:f>
        <x:v>0.046127110435975574</x:v>
      </x:c>
    </x:row>
    <x:row r="20" ht="23" customHeight="1">
      <x:c r="A20" s="1" t="str">
        <x:v>Game_DirtyTileUpload</x:v>
      </x:c>
      <x:c r="B20" s="1" t="str">
        <x:v>Changed terrain cell publication</x:v>
      </x:c>
      <x:c r="C20" s="9" t="n">
        <x:v>913</x:v>
      </x:c>
      <x:c r="D20" s="8" t="n">
        <x:v>1</x:v>
      </x:c>
      <x:c r="E20" s="9" t="n">
        <x:v>110.99999997019768</x:v>
      </x:c>
      <x:c r="F20" s="9" t="n">
        <x:v>344.0164293539216</x:v>
      </x:c>
      <x:c r="G20" s="9" t="n">
        <x:v>145.00000001490116</x:v>
      </x:c>
      <x:c r="H20" s="9" t="n">
        <x:v>8480.000000014901</x:v>
      </x:c>
      <x:c r="I20" s="9" t="n">
        <x:v>343.4074479738558</x:v>
      </x:c>
      <x:c r="J20" s="9" t="n">
        <x:v>343.4074479738558</x:v>
      </x:c>
      <x:c r="K20" s="10" t="n">
        <x:f>F20/Sources!$B$4*1000</x:f>
        <x:v>0.09610618929331007</x:v>
      </x:c>
      <x:c r="L20" s="11" t="n">
        <x:f>J20/Sources!$B$5</x:f>
        <x:v>0.005748751974920581</x:v>
      </x:c>
    </x:row>
    <x:row r="21" ht="23" customHeight="1">
      <x:c r="A21" s="1" t="str">
        <x:v>Game_Radar</x:v>
      </x:c>
      <x:c r="B21" s="1" t="str">
        <x:v>Native actor and flag radar</x:v>
      </x:c>
      <x:c r="C21" s="9" t="n">
        <x:v>913</x:v>
      </x:c>
      <x:c r="D21" s="8" t="n">
        <x:v>1</x:v>
      </x:c>
      <x:c r="E21" s="9" t="n">
        <x:v>4088.999999985099</x:v>
      </x:c>
      <x:c r="F21" s="9" t="n">
        <x:v>4743.480832420339</x:v>
      </x:c>
      <x:c r="G21" s="9" t="n">
        <x:v>5259</x:v>
      </x:c>
      <x:c r="H21" s="9" t="n">
        <x:v>5827.999999985099</x:v>
      </x:c>
      <x:c r="I21" s="9" t="n">
        <x:v>4712.575027381995</x:v>
      </x:c>
      <x:c r="J21" s="9" t="n">
        <x:v>4712.575027381995</x:v>
      </x:c>
      <x:c r="K21" s="10" t="n">
        <x:f>F21/Sources!$B$4*1000</x:f>
        <x:v>1.325163067490516</x:v>
      </x:c>
      <x:c r="L21" s="11" t="n">
        <x:f>J21/Sources!$B$5</x:f>
        <x:v>0.0788900332694187</x:v>
      </x:c>
    </x:row>
    <x:row r="22" ht="23" customHeight="1">
      <x:c r="A22" s="1" t="str">
        <x:v>Game_RadarUpload</x:v>
      </x:c>
      <x:c r="B22" s="1" t="str">
        <x:v>Radar pattern/color transfers</x:v>
      </x:c>
      <x:c r="C22" s="9" t="n">
        <x:v>913</x:v>
      </x:c>
      <x:c r="D22" s="8" t="n">
        <x:v>1</x:v>
      </x:c>
      <x:c r="E22" s="9" t="n">
        <x:v>1567.9999999701977</x:v>
      </x:c>
      <x:c r="F22" s="9" t="n">
        <x:v>1991.5202628697543</x:v>
      </x:c>
      <x:c r="G22" s="9" t="n">
        <x:v>2336.0000000037253</x:v>
      </x:c>
      <x:c r="H22" s="9" t="n">
        <x:v>2505.000000014901</x:v>
      </x:c>
      <x:c r="I22" s="9" t="n">
        <x:v>1986.3439211392079</x:v>
      </x:c>
      <x:c r="J22" s="9" t="n">
        <x:v>1986.3439211392079</x:v>
      </x:c>
      <x:c r="K22" s="10" t="n">
        <x:f>F22/Sources!$B$4*1000</x:f>
        <x:v>0.5563612869428249</x:v>
      </x:c>
      <x:c r="L22" s="11" t="n">
        <x:f>J22/Sources!$B$5</x:f>
        <x:v>0.033252040999384086</x:v>
      </x:c>
    </x:row>
    <x:row r="23" ht="23" customHeight="1">
      <x:c r="A23" s="1" t="str">
        <x:v>Ring_UploadNames</x:v>
      </x:c>
      <x:c r="B23" s="1" t="str">
        <x:v>Terrain name table publication</x:v>
      </x:c>
      <x:c r="C23" s="9" t="n">
        <x:v>913</x:v>
      </x:c>
      <x:c r="D23" s="8" t="n">
        <x:v>1</x:v>
      </x:c>
      <x:c r="E23" s="9" t="n">
        <x:v>10622</x:v>
      </x:c>
      <x:c r="F23" s="9" t="n">
        <x:v>13071.639649507299</x:v>
      </x:c>
      <x:c r="G23" s="9" t="n">
        <x:v>17260</x:v>
      </x:c>
      <x:c r="H23" s="9" t="n">
        <x:v>38332</x:v>
      </x:c>
      <x:c r="I23" s="9" t="n">
        <x:v>12791.92113910198</x:v>
      </x:c>
      <x:c r="J23" s="9" t="n">
        <x:v>12791.92113910198</x:v>
      </x:c>
      <x:c r="K23" s="10" t="n">
        <x:f>F23/Sources!$B$4*1000</x:f>
        <x:v>3.6517601118318943</x:v>
      </x:c>
      <x:c r="L23" s="11" t="n">
        <x:f>J23/Sources!$B$5</x:f>
        <x:v>0.21414090563650026</x:v>
      </x:c>
    </x:row>
    <x:row r="24" ht="23" customHeight="1">
      <x:c r="A24" s="1" t="str">
        <x:v>hud_upload</x:v>
      </x:c>
      <x:c r="B24" s="1" t="str">
        <x:v>Static HUD phase transition</x:v>
      </x:c>
      <x:c r="C24" s="9" t="n">
        <x:v>913</x:v>
      </x:c>
      <x:c r="D24" s="8" t="n">
        <x:v>1</x:v>
      </x:c>
      <x:c r="E24" s="9" t="n">
        <x:v>355.9999999701977</x:v>
      </x:c>
      <x:c r="F24" s="9" t="n">
        <x:v>508.0306681269353</x:v>
      </x:c>
      <x:c r="G24" s="9" t="n">
        <x:v>356.00000001490116</x:v>
      </x:c>
      <x:c r="H24" s="9" t="n">
        <x:v>20309</x:v>
      </x:c>
      <x:c r="I24" s="9" t="n">
        <x:v>506.2037239867586</x:v>
      </x:c>
      <x:c r="J24" s="9" t="n">
        <x:v>506.2037239867586</x:v>
      </x:c>
      <x:c r="K24" s="10" t="n">
        <x:f>F24/Sources!$B$4*1000</x:f>
        <x:v>0.14192604594353062</x:v>
      </x:c>
      <x:c r="L24" s="11" t="n">
        <x:f>J24/Sources!$B$5</x:f>
        <x:v>0.008474014396457053</x:v>
      </x:c>
    </x:row>
    <x:row r="25" ht="23" customHeight="1">
      <x:c r="A25" s="1" t="str">
        <x:v>GameAudio_Tick</x:v>
      </x:c>
      <x:c r="B25" s="1" t="str">
        <x:v>30Hz PSG worker invoked at60Hz</x:v>
      </x:c>
      <x:c r="C25" s="9" t="n">
        <x:v>1833</x:v>
      </x:c>
      <x:c r="D25" s="8" t="n">
        <x:v>2.0076670317634173</x:v>
      </x:c>
      <x:c r="E25" s="9" t="n">
        <x:v>95.99999997019768</x:v>
      </x:c>
      <x:c r="F25" s="9" t="n">
        <x:v>605.4811783956859</x:v>
      </x:c>
      <x:c r="G25" s="9" t="n">
        <x:v>1936.9999999701977</x:v>
      </x:c>
      <x:c r="H25" s="9" t="n">
        <x:v>2294</x:v>
      </x:c>
      <x:c r="I25" s="9" t="n">
        <x:v>605.4811783956859</x:v>
      </x:c>
      <x:c r="J25" s="9" t="n">
        <x:v>1215.6046002182827</x:v>
      </x:c>
      <x:c r="K25" s="10" t="n">
        <x:f>F25/Sources!$B$4*1000</x:f>
        <x:v>0.16915031893597815</x:v>
      </x:c>
      <x:c r="L25" s="11" t="n">
        <x:f>J25/Sources!$B$5</x:f>
        <x:v>0.02034961497619999</x:v>
      </x:c>
    </x:row>
    <x:row r="26" ht="23" customHeight="1">
      <x:c r="A26" s="1" t="str">
        <x:v>GameNameStream_Wide</x:v>
      </x:c>
      <x:c r="B26" s="1" t="str">
        <x:v>Name strips for camera deltas of 2 or 3 tiles</x:v>
      </x:c>
      <x:c r="C26" s="9" t="n">
        <x:v>9</x:v>
      </x:c>
      <x:c r="D26" s="8" t="n">
        <x:v>0.009857612267250822</x:v>
      </x:c>
      <x:c r="E26" s="9" t="n">
        <x:v>15885</x:v>
      </x:c>
      <x:c r="F26" s="9" t="n">
        <x:v>22476.1111111107</x:v>
      </x:c>
      <x:c r="G26" s="9" t="n">
        <x:v>38177</x:v>
      </x:c>
      <x:c r="H26" s="9" t="n">
        <x:v>38177</x:v>
      </x:c>
      <x:c r="I26" s="9" t="n">
        <x:v>22460.666666666253</x:v>
      </x:c>
      <x:c r="J26" s="9" t="n">
        <x:v>221.40854326396087</x:v>
      </x:c>
      <x:c r="K26" s="10" t="n">
        <x:f>F26/Sources!$B$4*1000</x:f>
        <x:v>6.279041361712368</x:v>
      </x:c>
      <x:c r="L26" s="11" t="n">
        <x:f>J26/Sources!$B$5</x:f>
        <x:v>0.003706450771125634</x:v>
      </x:c>
    </x:row>
    <x:row r="27" ht="23" customHeight="1">
      <x:c r="A27" s="1" t="str">
        <x:v>GS_MaskedCopyFast</x:v>
      </x:c>
      <x:c r="B27" s="1" t="str">
        <x:v>Exact full-height horizontal sprite mask copy</x:v>
      </x:c>
      <x:c r="C27" s="9" t="n">
        <x:v>62</x:v>
      </x:c>
      <x:c r="D27" s="8" t="n">
        <x:v>0.06790799561883899</x:v>
      </x:c>
      <x:c r="E27" s="9" t="n">
        <x:v>4510.999999970198</x:v>
      </x:c>
      <x:c r="F27" s="9" t="n">
        <x:v>4632.161290322881</x:v>
      </x:c>
      <x:c r="G27" s="9" t="n">
        <x:v>5690.999999985099</x:v>
      </x:c>
      <x:c r="H27" s="9" t="n">
        <x:v>5691</x:v>
      </x:c>
      <x:c r="I27" s="9" t="n">
        <x:v>4632.161290322881</x:v>
      </x:c>
      <x:c r="J27" s="9" t="n">
        <x:v>314.5607886090018</x:v>
      </x:c>
      <x:c r="K27" s="10" t="n">
        <x:f>F27/Sources!$B$4*1000</x:f>
        <x:v>1.2940642708285217</x:v>
      </x:c>
      <x:c r="L27" s="11" t="n">
        <x:f>J27/Sources!$B$5</x:f>
        <x:v>0.0052658495481619425</x:v>
      </x:c>
    </x:row>
    <x:row r="28" ht="23" customHeight="1">
      <x:c r="A28" s="1" t="str">
        <x:v>GameBoundary_Upload</x:v>
      </x:c>
      <x:c r="B28" s="1" t="str">
        <x:v>Changed boundary pattern and color bytes</x:v>
      </x:c>
      <x:c r="C28" s="9" t="n">
        <x:v>8</x:v>
      </x:c>
      <x:c r="D28" s="8" t="n">
        <x:v>0.008762322015334063</x:v>
      </x:c>
      <x:c r="E28" s="9" t="n">
        <x:v>13521.999999985099</x:v>
      </x:c>
      <x:c r="F28" s="9" t="n">
        <x:v>15384.249999998137</x:v>
      </x:c>
      <x:c r="G28" s="9" t="n">
        <x:v>27913</x:v>
      </x:c>
      <x:c r="H28" s="9" t="n">
        <x:v>27913</x:v>
      </x:c>
      <x:c r="I28" s="9" t="n">
        <x:v>15332.124999998137</x:v>
      </x:c>
      <x:c r="J28" s="9" t="n">
        <x:v>134.34501642933745</x:v>
      </x:c>
      <x:c r="K28" s="10" t="n">
        <x:f>F28/Sources!$B$4*1000</x:f>
        <x:v>4.2978227679769745</x:v>
      </x:c>
      <x:c r="L28" s="11" t="n">
        <x:f>J28/Sources!$B$5</x:f>
        <x:v>0.0022489791152627806</x:v>
      </x:c>
    </x:row>
    <x:row r="29" ht="23" customHeight="1">
      <x:c r="A29" s="1" t="str">
        <x:v>GameDirty_Plan</x:v>
      </x:c>
      <x:c r="B29" s="1" t="str">
        <x:v>Select sparse writes or complete name refill</x:v>
      </x:c>
      <x:c r="C29" s="9" t="n">
        <x:v>913</x:v>
      </x:c>
      <x:c r="D29" s="8" t="n">
        <x:v>1</x:v>
      </x:c>
      <x:c r="E29" s="9" t="n">
        <x:v>97.99999997019768</x:v>
      </x:c>
      <x:c r="F29" s="9" t="n">
        <x:v>107.44249726174581</x:v>
      </x:c>
      <x:c r="G29" s="9" t="n">
        <x:v>114.00000000372529</x:v>
      </x:c>
      <x:c r="H29" s="9" t="n">
        <x:v>305</x:v>
      </x:c>
      <x:c r="I29" s="9" t="n">
        <x:v>107.29025191671306</x:v>
      </x:c>
      <x:c r="J29" s="9" t="n">
        <x:v>107.29025191671306</x:v>
      </x:c>
      <x:c r="K29" s="10" t="n">
        <x:f>F29/Sources!$B$4*1000</x:f>
        <x:v>0.030015685586225572</x:v>
      </x:c>
      <x:c r="L29" s="11" t="n">
        <x:f>J29/Sources!$B$5</x:f>
        <x:v>0.001796073589070461</x:v>
      </x:c>
    </x:row>
    <x:row r="30" ht="23" customHeight="1">
      <x:c r="A30" s="1" t="str">
        <x:v>GameDirty_Mark</x:v>
      </x:c>
      <x:c r="B30" s="1" t="str">
        <x:v>Queue changed cell for both name tables</x:v>
      </x:c>
      <x:c r="C30" s="9" t="n">
        <x:v>135</x:v>
      </x:c>
      <x:c r="D30" s="8" t="n">
        <x:v>0.14786418400876233</x:v>
      </x:c>
      <x:c r="E30" s="9" t="n">
        <x:v>377.99999998509884</x:v>
      </x:c>
      <x:c r="F30" s="9" t="n">
        <x:v>427.3851851855439</x:v>
      </x:c>
      <x:c r="G30" s="9" t="n">
        <x:v>492.00000001490116</x:v>
      </x:c>
      <x:c r="H30" s="9" t="n">
        <x:v>546.9999999925494</x:v>
      </x:c>
      <x:c r="I30" s="9" t="n">
        <x:v>426.3555555559695</x:v>
      </x:c>
      <x:c r="J30" s="9" t="n">
        <x:v>63.042716319885955</x:v>
      </x:c>
      <x:c r="K30" s="10" t="n">
        <x:f>F30/Sources!$B$4*1000</x:f>
        <x:v>0.11939651134028037</x:v>
      </x:c>
      <x:c r="L30" s="11" t="n">
        <x:f>J30/Sources!$B$5</x:f>
        <x:v>0.0010553555028774266</x:v>
      </x:c>
    </x:row>
    <x:row r="31" ht="23" customHeight="1">
      <x:c r="A31" s="1" t="str">
        <x:v>GameSmoke_ClearRows</x:v>
      </x:c>
      <x:c r="B31" s="1" t="str">
        <x:v>Reset candidate smoke rows on native clear</x:v>
      </x:c>
      <x:c r="C31" s="9" t="n">
        <x:v>1</x:v>
      </x:c>
      <x:c r="D31" s="8" t="n">
        <x:v>0.001095290251916758</x:v>
      </x:c>
      <x:c r="E31" s="9" t="n">
        <x:v>917</x:v>
      </x:c>
      <x:c r="F31" s="9" t="n">
        <x:v>917</x:v>
      </x:c>
      <x:c r="G31" s="9" t="n">
        <x:v>917</x:v>
      </x:c>
      <x:c r="H31" s="9" t="n">
        <x:v>917</x:v>
      </x:c>
      <x:c r="I31" s="9" t="n">
        <x:v>917</x:v>
      </x:c>
      <x:c r="J31" s="9" t="n">
        <x:v>1.004381161007667</x:v>
      </x:c>
      <x:c r="K31" s="10" t="n">
        <x:f>F31/Sources!$B$4*1000</x:f>
        <x:v>0.25617781030829334</x:v>
      </x:c>
      <x:c r="L31" s="11" t="n">
        <x:f>J31/Sources!$B$5</x:f>
        <x:v>0.000016813666147844968</x:v>
      </x:c>
    </x:row>
    <x:row r="32" ht="23" customHeight="1">
      <x:c r="A32" s="1" t="str">
        <x:v>GameSmoke_MarkRow</x:v>
      </x:c>
      <x:c r="B32" s="1" t="str">
        <x:v>Mark candidate native smoke row</x:v>
      </x:c>
      <x:c r="C32" s="9" t="n">
        <x:v>90</x:v>
      </x:c>
      <x:c r="D32" s="8" t="n">
        <x:v>0.09857612267250822</x:v>
      </x:c>
      <x:c r="E32" s="9" t="n">
        <x:v>123.99999999627471</x:v>
      </x:c>
      <x:c r="F32" s="9" t="n">
        <x:v>124.0000000000414</x:v>
      </x:c>
      <x:c r="G32" s="9" t="n">
        <x:v>124</x:v>
      </x:c>
      <x:c r="H32" s="9" t="n">
        <x:v>124.00000000372529</x:v>
      </x:c>
      <x:c r="I32" s="9" t="n">
        <x:v>124.0000000000414</x:v>
      </x:c>
      <x:c r="J32" s="9" t="n">
        <x:v>12.2234392113951</x:v>
      </x:c>
      <x:c r="K32" s="10" t="n">
        <x:f>F32/Sources!$B$4*1000</x:f>
        <x:v>0.034641274240173374</x:v>
      </x:c>
      <x:c r="L32" s="11" t="n">
        <x:f>J32/Sources!$B$5</x:f>
        <x:v>0.00020462433392585876</x:v>
      </x:c>
    </x:row>
    <x:row r="33" ht="23" customHeight="1">
      <x:c r="A33" s="1" t="str">
        <x:v>GameSmoke_MarkCloud</x:v>
      </x:c>
      <x:c r="B33" s="1" t="str">
        <x:v>Mark three candidate cloud rows</x:v>
      </x:c>
      <x:c r="C33" s="9" t="n">
        <x:v>9</x:v>
      </x:c>
      <x:c r="D33" s="8" t="n">
        <x:v>0.009857612267250822</x:v>
      </x:c>
      <x:c r="E33" s="9" t="n">
        <x:v>543</x:v>
      </x:c>
      <x:c r="F33" s="9" t="n">
        <x:v>543</x:v>
      </x:c>
      <x:c r="G33" s="9" t="n">
        <x:v>543</x:v>
      </x:c>
      <x:c r="H33" s="9" t="n">
        <x:v>543</x:v>
      </x:c>
      <x:c r="I33" s="9" t="n">
        <x:v>170.99999999958607</x:v>
      </x:c>
      <x:c r="J33" s="9" t="n">
        <x:v>1.6856516976958102</x:v>
      </x:c>
      <x:c r="K33" s="10" t="n">
        <x:f>F33/Sources!$B$4*1000</x:f>
        <x:v>0.15169525735812792</x:v>
      </x:c>
      <x:c r="L33" s="11" t="n">
        <x:f>J33/Sources!$B$5</x:f>
        <x:v>0.000028218355726794734</x:v>
      </x:c>
    </x:row>
    <x:row r="34" ht="23" customHeight="1">
      <x:c r="A34" s="1" t="str">
        <x:v>GameSmoke_BuildCache</x:v>
      </x:c>
      <x:c r="B34" s="1" t="str">
        <x:v>Rebuild exact sparse smoke list from candidate rows</x:v>
      </x:c>
      <x:c r="C34" s="9" t="n">
        <x:v>24</x:v>
      </x:c>
      <x:c r="D34" s="8" t="n">
        <x:v>0.02628696604600219</x:v>
      </x:c>
      <x:c r="E34" s="9" t="n">
        <x:v>10604</x:v>
      </x:c>
      <x:c r="F34" s="9" t="n">
        <x:v>16443.333333333798</x:v>
      </x:c>
      <x:c r="G34" s="9" t="n">
        <x:v>28794</x:v>
      </x:c>
      <x:c r="H34" s="9" t="n">
        <x:v>30666</x:v>
      </x:c>
      <x:c r="I34" s="9" t="n">
        <x:v>16362.25</x:v>
      </x:c>
      <x:c r="J34" s="9" t="n">
        <x:v>430.11391018619935</x:v>
      </x:c>
      <x:c r="K34" s="10" t="n">
        <x:f>F34/Sources!$B$4*1000</x:f>
        <x:v>4.593693705019437</x:v>
      </x:c>
      <x:c r="L34" s="11" t="n">
        <x:f>J34/Sources!$B$5</x:f>
        <x:v>0.007200246253284441</x:v>
      </x:c>
    </x:row>
    <x:row r="35" ht="23" customHeight="1">
      <x:c r="A35" s="1" t="str">
        <x:v>clock_irq</x:v>
      </x:c>
      <x:c r="B35" s="1" t="str">
        <x:v>VBlank ISR body</x:v>
      </x:c>
      <x:c r="C35" s="9" t="n">
        <x:v>1829</x:v>
      </x:c>
      <x:c r="D35" s="8" t="n">
        <x:v>2.00328587075575</x:v>
      </x:c>
      <x:c r="E35" s="9" t="n">
        <x:v>138.99999997019768</x:v>
      </x:c>
      <x:c r="F35" s="9" t="n">
        <x:v>139.0000000000265</x:v>
      </x:c>
      <x:c r="G35" s="9" t="n">
        <x:v>139.00000001490116</x:v>
      </x:c>
      <x:c r="H35" s="9" t="n">
        <x:v>139.00000002980232</x:v>
      </x:c>
      <x:c r="I35" s="9" t="n">
        <x:v>139.0000000000265</x:v>
      </x:c>
      <x:c r="J35" s="9" t="n">
        <x:v>278.4567360351023</x:v>
      </x:c>
      <x:c r="K35" s="10" t="n">
        <x:f>F35/Sources!$B$4*1000</x:f>
        <x:v>0.038831750962769425</x:v>
      </x:c>
      <x:c r="L35" s="11" t="n">
        <x:f>J35/Sources!$B$5</x:f>
        <x:v>0.004661456007015909</x:v>
      </x:c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 ht="23" customHeight="1">
      <x:c r="A37" s="1" t="str">
        <x:v>P95 = nearest-rank 95th percentile. ISR entry/vector latency is charged to its interrupted context.</x:v>
      </x:c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 ht="23" customHeight="1">
      <x:c r="A38" s="1" t="str">
        <x:v>Self = inclusive minus tracked child spans; untracked helpers remain in their nearest measured owner.</x:v>
      </x:c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 ht="23" customHeight="1">
      <x:c r="A39" s="1" t="str">
        <x:v>Zero calls and blank call timings mean unobserved in this workload; use separate synthetic bounds for those hooks.</x:v>
      </x:c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</x:sheetData>
  <x:pageMargins left="0.7" right="0.7" top="0.75" bottom="0.75" header="0.3" footer="0.3"/>
  <x:tableParts count="1">
    <x:tablePart xmlns:r="http://schemas.openxmlformats.org/officeDocument/2006/relationships" r:id="Rfbe6415113894d4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2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5" hidden="0" customWidth="1"/>
    <x:col min="13" max="13" width="15" hidden="0" customWidth="1"/>
    <x:col min="14" max="14" width="18" hidden="0" customWidth="1"/>
    <x:col min="15" max="15" width="31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5" hidden="0" customWidth="1"/>
    <x:col min="21" max="21" width="17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</x:row>
    <x:row r="2" ht="23" customHeight="1">
      <x:c r="A2" s="2" t="str">
        <x:v>Per-presentation cycle ledger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</x:row>
    <x:row r="3" ht="23" customHeight="1">
      <x:c r="A3" s="1" t="str">
        <x:v>Active intervals within software frames 5..1153; death/bonus/stopped rows omitted. Negative margin exceeds one refresh.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</x:row>
    <x:row r="5" ht="36" customHeight="1">
      <x:c r="A5" s="7" t="str">
        <x:v>Frame</x:v>
      </x:c>
      <x:c r="B5" s="7" t="str">
        <x:v>Camera X</x:v>
      </x:c>
      <x:c r="C5" s="7" t="str">
        <x:v>Camera Y</x:v>
      </x:c>
      <x:c r="D5" s="7" t="str">
        <x:v>Input ticks</x:v>
      </x:c>
      <x:c r="E5" s="7" t="str">
        <x:v>Total cycles</x:v>
      </x:c>
      <x:c r="F5" s="7" t="str">
        <x:v>Simulation + actor/HUD preparation cycles</x:v>
      </x:c>
      <x:c r="G5" s="7" t="str">
        <x:v>Render cycles</x:v>
      </x:c>
      <x:c r="H5" s="7" t="str">
        <x:v>Wait cycles</x:v>
      </x:c>
      <x:c r="I5" s="7" t="str">
        <x:v>Commit cycles</x:v>
      </x:c>
      <x:c r="J5" s="7" t="str">
        <x:v>Loop + outside IRQ</x:v>
      </x:c>
      <x:c r="K5" s="7" t="str">
        <x:v>Work cycles</x:v>
      </x:c>
      <x:c r="L5" s="7" t="str">
        <x:v>Work ms</x:v>
      </x:c>
      <x:c r="M5" s="7" t="str">
        <x:v>Interval ms</x:v>
      </x:c>
      <x:c r="N5" s="7" t="str">
        <x:v>60 Hz margin cycles</x:v>
      </x:c>
      <x:c r="O5" s="7" t="str">
        <x:v>Movement command</x:v>
      </x:c>
      <x:c r="P5" s="7" t="str">
        <x:v>Delta X</x:v>
      </x:c>
      <x:c r="Q5" s="7" t="str">
        <x:v>Delta Y</x:v>
      </x:c>
      <x:c r="R5" s="7" t="str">
        <x:v>Fine X</x:v>
      </x:c>
      <x:c r="S5" s="7" t="str">
        <x:v>Fine Y</x:v>
      </x:c>
      <x:c r="T5" s="7" t="str">
        <x:v>Camera tile crossing</x:v>
      </x:c>
      <x:c r="U5" s="7" t="str">
        <x:v>Name strip calls</x:v>
      </x:c>
    </x:row>
    <x:row r="6" ht="23" customHeight="1">
      <x:c r="A6" s="9" t="n">
        <x:v>5</x:v>
      </x:c>
      <x:c r="B6" s="9" t="n">
        <x:v>292</x:v>
      </x:c>
      <x:c r="C6" s="9" t="n">
        <x:v>1111</x:v>
      </x:c>
      <x:c r="D6" s="9" t="n">
        <x:v>2</x:v>
      </x:c>
      <x:c r="E6" s="9" t="n">
        <x:v>122294</x:v>
      </x:c>
      <x:c r="F6" s="9" t="n">
        <x:v>44630.999999996275</x:v>
      </x:c>
      <x:c r="G6" s="9" t="n">
        <x:v>39544.000000003725</x:v>
      </x:c>
      <x:c r="H6" s="9" t="n">
        <x:v>31075</x:v>
      </x:c>
      <x:c r="I6" s="9" t="n">
        <x:v>6938</x:v>
      </x:c>
      <x:c r="J6" s="9" t="n">
        <x:v>106</x:v>
      </x:c>
      <x:c r="K6" s="9" t="n">
        <x:f>F6+G6+I6+J6</x:f>
        <x:v>91219</x:v>
      </x:c>
      <x:c r="L6" s="10" t="n">
        <x:f>K6/Sources!$B$4*1000</x:f>
        <x:v>25.48340641059129</x:v>
      </x:c>
      <x:c r="M6" s="10" t="n">
        <x:f>E6/Sources!$B$4*1000</x:f>
        <x:v>34.164677354244745</x:v>
      </x:c>
      <x:c r="N6" s="9" t="n">
        <x:f>Sources!$B$6-K6</x:f>
        <x:v>-31483</x:v>
      </x:c>
      <x:c r="O6" s="1" t="str">
        <x:v>keyboard_route</x:v>
      </x:c>
      <x:c r="P6" s="12" t="n">
        <x:v>0</x:v>
      </x:c>
      <x:c r="Q6" s="12" t="n">
        <x:v>-4</x:v>
      </x:c>
      <x:c r="R6" s="12" t="n">
        <x:v>4</x:v>
      </x:c>
      <x:c r="S6" s="12" t="n">
        <x:v>7</x:v>
      </x:c>
      <x:c r="T6" s="1" t="str">
        <x:v>Yes</x:v>
      </x:c>
      <x:c r="U6" s="1" t="n">
        <x:v>0</x:v>
      </x:c>
    </x:row>
    <x:row r="7" ht="23" customHeight="1">
      <x:c r="A7" s="9" t="n">
        <x:v>6</x:v>
      </x:c>
      <x:c r="B7" s="9" t="n">
        <x:v>292</x:v>
      </x:c>
      <x:c r="C7" s="9" t="n">
        <x:v>1107</x:v>
      </x:c>
      <x:c r="D7" s="9" t="n">
        <x:v>2</x:v>
      </x:c>
      <x:c r="E7" s="9" t="n">
        <x:v>116648</x:v>
      </x:c>
      <x:c r="F7" s="9" t="n">
        <x:v>44719</x:v>
      </x:c>
      <x:c r="G7" s="9" t="n">
        <x:v>27531</x:v>
      </x:c>
      <x:c r="H7" s="9" t="n">
        <x:v>40175</x:v>
      </x:c>
      <x:c r="I7" s="9" t="n">
        <x:v>4117</x:v>
      </x:c>
      <x:c r="J7" s="9" t="n">
        <x:v>106</x:v>
      </x:c>
      <x:c r="K7" s="9" t="n">
        <x:f>F7+G7+I7+J7</x:f>
        <x:v>76473</x:v>
      </x:c>
      <x:c r="L7" s="10" t="n">
        <x:f>K7/Sources!$B$4*1000</x:f>
        <x:v>21.363888427160436</x:v>
      </x:c>
      <x:c r="M7" s="10" t="n">
        <x:f>E7/Sources!$B$4*1000</x:f>
        <x:v>32.58738191585802</x:v>
      </x:c>
      <x:c r="N7" s="9" t="n">
        <x:f>Sources!$B$6-K7</x:f>
        <x:v>-16737</x:v>
      </x:c>
      <x:c r="O7" s="1" t="str">
        <x:v>keyboard_route</x:v>
      </x:c>
      <x:c r="P7" s="12" t="n">
        <x:v>0</x:v>
      </x:c>
      <x:c r="Q7" s="12" t="n">
        <x:v>-4</x:v>
      </x:c>
      <x:c r="R7" s="12" t="n">
        <x:v>4</x:v>
      </x:c>
      <x:c r="S7" s="12" t="n">
        <x:v>3</x:v>
      </x:c>
      <x:c r="T7" s="1" t="str">
        <x:v>No</x:v>
      </x:c>
      <x:c r="U7" s="1" t="n">
        <x:v>0</x:v>
      </x:c>
    </x:row>
    <x:row r="8" ht="23" customHeight="1">
      <x:c r="A8" s="9" t="n">
        <x:v>7</x:v>
      </x:c>
      <x:c r="B8" s="9" t="n">
        <x:v>292</x:v>
      </x:c>
      <x:c r="C8" s="9" t="n">
        <x:v>1103</x:v>
      </x:c>
      <x:c r="D8" s="9" t="n">
        <x:v>2</x:v>
      </x:c>
      <x:c r="E8" s="9" t="n">
        <x:v>119475.99999999627</x:v>
      </x:c>
      <x:c r="F8" s="9" t="n">
        <x:v>39973.999999996275</x:v>
      </x:c>
      <x:c r="G8" s="9" t="n">
        <x:v>39544.000000003725</x:v>
      </x:c>
      <x:c r="H8" s="9" t="n">
        <x:v>35735</x:v>
      </x:c>
      <x:c r="I8" s="9" t="n">
        <x:v>4117</x:v>
      </x:c>
      <x:c r="J8" s="9" t="n">
        <x:v>105.99999999627471</x:v>
      </x:c>
      <x:c r="K8" s="9" t="n">
        <x:f>F8+G8+I8+J8</x:f>
        <x:v>83740.99999999627</x:v>
      </x:c>
      <x:c r="L8" s="10" t="n">
        <x:f>K8/Sources!$B$4*1000</x:f>
        <x:v>23.394314081816617</x:v>
      </x:c>
      <x:c r="M8" s="10" t="n">
        <x:f>E8/Sources!$B$4*1000</x:f>
        <x:v>33.37742646062454</x:v>
      </x:c>
      <x:c r="N8" s="9" t="n">
        <x:f>Sources!$B$6-K8</x:f>
        <x:v>-24004.999999996275</x:v>
      </x:c>
      <x:c r="O8" s="1" t="str">
        <x:v>keyboard_route</x:v>
      </x:c>
      <x:c r="P8" s="12" t="n">
        <x:v>0</x:v>
      </x:c>
      <x:c r="Q8" s="12" t="n">
        <x:v>-4</x:v>
      </x:c>
      <x:c r="R8" s="12" t="n">
        <x:v>4</x:v>
      </x:c>
      <x:c r="S8" s="12" t="n">
        <x:v>7</x:v>
      </x:c>
      <x:c r="T8" s="1" t="str">
        <x:v>Yes</x:v>
      </x:c>
      <x:c r="U8" s="1" t="n">
        <x:v>0</x:v>
      </x:c>
    </x:row>
    <x:row r="9" ht="23" customHeight="1">
      <x:c r="A9" s="9" t="n">
        <x:v>8</x:v>
      </x:c>
      <x:c r="B9" s="9" t="n">
        <x:v>292</x:v>
      </x:c>
      <x:c r="C9" s="9" t="n">
        <x:v>1099</x:v>
      </x:c>
      <x:c r="D9" s="9" t="n">
        <x:v>2</x:v>
      </x:c>
      <x:c r="E9" s="9" t="n">
        <x:v>119471</x:v>
      </x:c>
      <x:c r="F9" s="9" t="n">
        <x:v>46192.000000003725</x:v>
      </x:c>
      <x:c r="G9" s="9" t="n">
        <x:v>27530.999999996275</x:v>
      </x:c>
      <x:c r="H9" s="9" t="n">
        <x:v>41525.000000003725</x:v>
      </x:c>
      <x:c r="I9" s="9" t="n">
        <x:v>4117</x:v>
      </x:c>
      <x:c r="J9" s="9" t="n">
        <x:v>105.99999999627471</x:v>
      </x:c>
      <x:c r="K9" s="9" t="n">
        <x:f>F9+G9+I9+J9</x:f>
        <x:v>77945.99999999627</x:v>
      </x:c>
      <x:c r="L9" s="10" t="n">
        <x:f>K9/Sources!$B$4*1000</x:f>
        <x:v>21.775393241318735</x:v>
      </x:c>
      <x:c r="M9" s="10" t="n">
        <x:f>E9/Sources!$B$4*1000</x:f>
        <x:v>33.37602963505138</x:v>
      </x:c>
      <x:c r="N9" s="9" t="n">
        <x:f>Sources!$B$6-K9</x:f>
        <x:v>-18209.999999996275</x:v>
      </x:c>
      <x:c r="O9" s="1" t="str">
        <x:v>keyboard_route</x:v>
      </x:c>
      <x:c r="P9" s="12" t="n">
        <x:v>0</x:v>
      </x:c>
      <x:c r="Q9" s="12" t="n">
        <x:v>-4</x:v>
      </x:c>
      <x:c r="R9" s="12" t="n">
        <x:v>4</x:v>
      </x:c>
      <x:c r="S9" s="12" t="n">
        <x:v>3</x:v>
      </x:c>
      <x:c r="T9" s="1" t="str">
        <x:v>No</x:v>
      </x:c>
      <x:c r="U9" s="1" t="n">
        <x:v>0</x:v>
      </x:c>
    </x:row>
    <x:row r="10" ht="23" customHeight="1">
      <x:c r="A10" s="9" t="n">
        <x:v>9</x:v>
      </x:c>
      <x:c r="B10" s="9" t="n">
        <x:v>292</x:v>
      </x:c>
      <x:c r="C10" s="9" t="n">
        <x:v>1095</x:v>
      </x:c>
      <x:c r="D10" s="9" t="n">
        <x:v>2</x:v>
      </x:c>
      <x:c r="E10" s="9" t="n">
        <x:v>119469.00000000373</x:v>
      </x:c>
      <x:c r="F10" s="9" t="n">
        <x:v>40022</x:v>
      </x:c>
      <x:c r="G10" s="9" t="n">
        <x:v>39544.000000003725</x:v>
      </x:c>
      <x:c r="H10" s="9" t="n">
        <x:v>35679.999999996275</x:v>
      </x:c>
      <x:c r="I10" s="9" t="n">
        <x:v>4117.000000003725</x:v>
      </x:c>
      <x:c r="J10" s="9" t="n">
        <x:v>106</x:v>
      </x:c>
      <x:c r="K10" s="9" t="n">
        <x:f>F10+G10+I10+J10</x:f>
        <x:v>83789.00000000745</x:v>
      </x:c>
      <x:c r="L10" s="10" t="n">
        <x:f>K10/Sources!$B$4*1000</x:f>
        <x:v>23.407723607332066</x:v>
      </x:c>
      <x:c r="M10" s="10" t="n">
        <x:f>E10/Sources!$B$4*1000</x:f>
        <x:v>33.37547090482274</x:v>
      </x:c>
      <x:c r="N10" s="9" t="n">
        <x:f>Sources!$B$6-K10</x:f>
        <x:v>-24053.00000000745</x:v>
      </x:c>
      <x:c r="O10" s="1" t="str">
        <x:v>keyboard_route</x:v>
      </x:c>
      <x:c r="P10" s="12" t="n">
        <x:v>0</x:v>
      </x:c>
      <x:c r="Q10" s="12" t="n">
        <x:v>-4</x:v>
      </x:c>
      <x:c r="R10" s="12" t="n">
        <x:v>4</x:v>
      </x:c>
      <x:c r="S10" s="12" t="n">
        <x:v>7</x:v>
      </x:c>
      <x:c r="T10" s="1" t="str">
        <x:v>Yes</x:v>
      </x:c>
      <x:c r="U10" s="1" t="n">
        <x:v>0</x:v>
      </x:c>
    </x:row>
    <x:row r="11" ht="23" customHeight="1">
      <x:c r="A11" s="9" t="n">
        <x:v>10</x:v>
      </x:c>
      <x:c r="B11" s="9" t="n">
        <x:v>292</x:v>
      </x:c>
      <x:c r="C11" s="9" t="n">
        <x:v>1091</x:v>
      </x:c>
      <x:c r="D11" s="9" t="n">
        <x:v>2</x:v>
      </x:c>
      <x:c r="E11" s="9" t="n">
        <x:v>119474</x:v>
      </x:c>
      <x:c r="F11" s="9" t="n">
        <x:v>44565</x:v>
      </x:c>
      <x:c r="G11" s="9" t="n">
        <x:v>27531</x:v>
      </x:c>
      <x:c r="H11" s="9" t="n">
        <x:v>43155.000000003725</x:v>
      </x:c>
      <x:c r="I11" s="9" t="n">
        <x:v>4117</x:v>
      </x:c>
      <x:c r="J11" s="9" t="n">
        <x:v>105.99999999627471</x:v>
      </x:c>
      <x:c r="K11" s="9" t="n">
        <x:f>F11+G11+I11+J11</x:f>
        <x:v>76318.99999999627</x:v>
      </x:c>
      <x:c r="L11" s="10" t="n">
        <x:f>K11/Sources!$B$4*1000</x:f>
        <x:v>21.320866199474032</x:v>
      </x:c>
      <x:c r="M11" s="10" t="n">
        <x:f>E11/Sources!$B$4*1000</x:f>
        <x:v>33.3768677303959</x:v>
      </x:c>
      <x:c r="N11" s="9" t="n">
        <x:f>Sources!$B$6-K11</x:f>
        <x:v>-16582.999999996275</x:v>
      </x:c>
      <x:c r="O11" s="1" t="str">
        <x:v>keyboard_route</x:v>
      </x:c>
      <x:c r="P11" s="12" t="n">
        <x:v>0</x:v>
      </x:c>
      <x:c r="Q11" s="12" t="n">
        <x:v>-4</x:v>
      </x:c>
      <x:c r="R11" s="12" t="n">
        <x:v>4</x:v>
      </x:c>
      <x:c r="S11" s="12" t="n">
        <x:v>3</x:v>
      </x:c>
      <x:c r="T11" s="1" t="str">
        <x:v>No</x:v>
      </x:c>
      <x:c r="U11" s="1" t="n">
        <x:v>0</x:v>
      </x:c>
    </x:row>
    <x:row r="12" ht="23" customHeight="1">
      <x:c r="A12" s="9" t="n">
        <x:v>11</x:v>
      </x:c>
      <x:c r="B12" s="9" t="n">
        <x:v>292</x:v>
      </x:c>
      <x:c r="C12" s="9" t="n">
        <x:v>1087</x:v>
      </x:c>
      <x:c r="D12" s="9" t="n">
        <x:v>2</x:v>
      </x:c>
      <x:c r="E12" s="9" t="n">
        <x:v>119472</x:v>
      </x:c>
      <x:c r="F12" s="9" t="n">
        <x:v>38003.999999996275</x:v>
      </x:c>
      <x:c r="G12" s="9" t="n">
        <x:v>39570.000000003725</x:v>
      </x:c>
      <x:c r="H12" s="9" t="n">
        <x:v>37675</x:v>
      </x:c>
      <x:c r="I12" s="9" t="n">
        <x:v>4117.000000003725</x:v>
      </x:c>
      <x:c r="J12" s="9" t="n">
        <x:v>105.99999999627471</x:v>
      </x:c>
      <x:c r="K12" s="9" t="n">
        <x:f>F12+G12+I12+J12</x:f>
        <x:v>81797</x:v>
      </x:c>
      <x:c r="L12" s="10" t="n">
        <x:f>K12/Sources!$B$4*1000</x:f>
        <x:v>22.851228298568675</x:v>
      </x:c>
      <x:c r="M12" s="10" t="n">
        <x:f>E12/Sources!$B$4*1000</x:f>
        <x:v>33.37630900016622</x:v>
      </x:c>
      <x:c r="N12" s="9" t="n">
        <x:f>Sources!$B$6-K12</x:f>
        <x:v>-22061</x:v>
      </x:c>
      <x:c r="O12" s="1" t="str">
        <x:v>keyboard_route</x:v>
      </x:c>
      <x:c r="P12" s="12" t="n">
        <x:v>0</x:v>
      </x:c>
      <x:c r="Q12" s="12" t="n">
        <x:v>-4</x:v>
      </x:c>
      <x:c r="R12" s="12" t="n">
        <x:v>4</x:v>
      </x:c>
      <x:c r="S12" s="12" t="n">
        <x:v>7</x:v>
      </x:c>
      <x:c r="T12" s="1" t="str">
        <x:v>Yes</x:v>
      </x:c>
      <x:c r="U12" s="1" t="n">
        <x:v>0</x:v>
      </x:c>
    </x:row>
    <x:row r="13" ht="23" customHeight="1">
      <x:c r="A13" s="9" t="n">
        <x:v>12</x:v>
      </x:c>
      <x:c r="B13" s="9" t="n">
        <x:v>292</x:v>
      </x:c>
      <x:c r="C13" s="9" t="n">
        <x:v>1083</x:v>
      </x:c>
      <x:c r="D13" s="9" t="n">
        <x:v>2</x:v>
      </x:c>
      <x:c r="E13" s="9" t="n">
        <x:v>119471</x:v>
      </x:c>
      <x:c r="F13" s="9" t="n">
        <x:v>45443</x:v>
      </x:c>
      <x:c r="G13" s="9" t="n">
        <x:v>27525</x:v>
      </x:c>
      <x:c r="H13" s="9" t="n">
        <x:v>42280</x:v>
      </x:c>
      <x:c r="I13" s="9" t="n">
        <x:v>4117.000000003725</x:v>
      </x:c>
      <x:c r="J13" s="9" t="n">
        <x:v>105.99999999627471</x:v>
      </x:c>
      <x:c r="K13" s="9" t="n">
        <x:f>F13+G13+I13+J13</x:f>
        <x:v>77191</x:v>
      </x:c>
      <x:c r="L13" s="10" t="n">
        <x:f>K13/Sources!$B$4*1000</x:f>
        <x:v>21.564472579615565</x:v>
      </x:c>
      <x:c r="M13" s="10" t="n">
        <x:f>E13/Sources!$B$4*1000</x:f>
        <x:v>33.37602963505138</x:v>
      </x:c>
      <x:c r="N13" s="9" t="n">
        <x:f>Sources!$B$6-K13</x:f>
        <x:v>-17455</x:v>
      </x:c>
      <x:c r="O13" s="1" t="str">
        <x:v>keyboard_route</x:v>
      </x:c>
      <x:c r="P13" s="12" t="n">
        <x:v>0</x:v>
      </x:c>
      <x:c r="Q13" s="12" t="n">
        <x:v>-4</x:v>
      </x:c>
      <x:c r="R13" s="12" t="n">
        <x:v>4</x:v>
      </x:c>
      <x:c r="S13" s="12" t="n">
        <x:v>3</x:v>
      </x:c>
      <x:c r="T13" s="1" t="str">
        <x:v>No</x:v>
      </x:c>
      <x:c r="U13" s="1" t="n">
        <x:v>0</x:v>
      </x:c>
    </x:row>
    <x:row r="14" ht="23" customHeight="1">
      <x:c r="A14" s="9" t="n">
        <x:v>13</x:v>
      </x:c>
      <x:c r="B14" s="9" t="n">
        <x:v>288</x:v>
      </x:c>
      <x:c r="C14" s="9" t="n">
        <x:v>1083</x:v>
      </x:c>
      <x:c r="D14" s="9" t="n">
        <x:v>2</x:v>
      </x:c>
      <x:c r="E14" s="9" t="n">
        <x:v>117921</x:v>
      </x:c>
      <x:c r="F14" s="9" t="n">
        <x:v>36037</x:v>
      </x:c>
      <x:c r="G14" s="9" t="n">
        <x:v>75193</x:v>
      </x:c>
      <x:c r="H14" s="9" t="n">
        <x:v>4020</x:v>
      </x:c>
      <x:c r="I14" s="9" t="n">
        <x:v>2565</x:v>
      </x:c>
      <x:c r="J14" s="9" t="n">
        <x:v>106</x:v>
      </x:c>
      <x:c r="K14" s="9" t="n">
        <x:f>F14+G14+I14+J14</x:f>
        <x:v>113901</x:v>
      </x:c>
      <x:c r="L14" s="10" t="n">
        <x:f>K14/Sources!$B$4*1000</x:f>
        <x:v>31.8199659453925</x:v>
      </x:c>
      <x:c r="M14" s="10" t="n">
        <x:f>E14/Sources!$B$4*1000</x:f>
        <x:v>32.94301370704936</x:v>
      </x:c>
      <x:c r="N14" s="9" t="n">
        <x:f>Sources!$B$6-K14</x:f>
        <x:v>-54165</x:v>
      </x:c>
      <x:c r="O14" s="1" t="str">
        <x:v>keyboard_route</x:v>
      </x:c>
      <x:c r="P14" s="12" t="n">
        <x:v>-4</x:v>
      </x:c>
      <x:c r="Q14" s="12" t="n">
        <x:v>0</x:v>
      </x:c>
      <x:c r="R14" s="12" t="n">
        <x:v>0</x:v>
      </x:c>
      <x:c r="S14" s="12" t="n">
        <x:v>3</x:v>
      </x:c>
      <x:c r="T14" s="1" t="str">
        <x:v>No</x:v>
      </x:c>
      <x:c r="U14" s="1" t="n">
        <x:v>0</x:v>
      </x:c>
    </x:row>
    <x:row r="15" ht="23" customHeight="1">
      <x:c r="A15" s="9" t="n">
        <x:v>14</x:v>
      </x:c>
      <x:c r="B15" s="9" t="n">
        <x:v>284</x:v>
      </x:c>
      <x:c r="C15" s="9" t="n">
        <x:v>1083</x:v>
      </x:c>
      <x:c r="D15" s="9" t="n">
        <x:v>2</x:v>
      </x:c>
      <x:c r="E15" s="9" t="n">
        <x:v>119474</x:v>
      </x:c>
      <x:c r="F15" s="9" t="n">
        <x:v>38714</x:v>
      </x:c>
      <x:c r="G15" s="9" t="n">
        <x:v>47399.000000003725</x:v>
      </x:c>
      <x:c r="H15" s="9" t="n">
        <x:v>30689.999999996275</x:v>
      </x:c>
      <x:c r="I15" s="9" t="n">
        <x:v>2565.0000000037253</x:v>
      </x:c>
      <x:c r="J15" s="9" t="n">
        <x:v>105.99999999627471</x:v>
      </x:c>
      <x:c r="K15" s="9" t="n">
        <x:f>F15+G15+I15+J15</x:f>
        <x:v>88784.00000000373</x:v>
      </x:c>
      <x:c r="L15" s="10" t="n">
        <x:f>K15/Sources!$B$4*1000</x:f>
        <x:v>24.803152355956893</x:v>
      </x:c>
      <x:c r="M15" s="10" t="n">
        <x:f>E15/Sources!$B$4*1000</x:f>
        <x:v>33.3768677303959</x:v>
      </x:c>
      <x:c r="N15" s="9" t="n">
        <x:f>Sources!$B$6-K15</x:f>
        <x:v>-29048.000000003725</x:v>
      </x:c>
      <x:c r="O15" s="1" t="str">
        <x:v>keyboard_route</x:v>
      </x:c>
      <x:c r="P15" s="12" t="n">
        <x:v>-4</x:v>
      </x:c>
      <x:c r="Q15" s="12" t="n">
        <x:v>0</x:v>
      </x:c>
      <x:c r="R15" s="12" t="n">
        <x:v>4</x:v>
      </x:c>
      <x:c r="S15" s="12" t="n">
        <x:v>3</x:v>
      </x:c>
      <x:c r="T15" s="1" t="str">
        <x:v>Yes</x:v>
      </x:c>
      <x:c r="U15" s="1" t="n">
        <x:v>0</x:v>
      </x:c>
    </x:row>
    <x:row r="16" ht="23" customHeight="1">
      <x:c r="A16" s="9" t="n">
        <x:v>15</x:v>
      </x:c>
      <x:c r="B16" s="9" t="n">
        <x:v>280</x:v>
      </x:c>
      <x:c r="C16" s="9" t="n">
        <x:v>1083</x:v>
      </x:c>
      <x:c r="D16" s="9" t="n">
        <x:v>2</x:v>
      </x:c>
      <x:c r="E16" s="9" t="n">
        <x:v>119471</x:v>
      </x:c>
      <x:c r="F16" s="9" t="n">
        <x:v>37790.000000003725</x:v>
      </x:c>
      <x:c r="G16" s="9" t="n">
        <x:v>31475</x:v>
      </x:c>
      <x:c r="H16" s="9" t="n">
        <x:v>47535</x:v>
      </x:c>
      <x:c r="I16" s="9" t="n">
        <x:v>2565.0000000037253</x:v>
      </x:c>
      <x:c r="J16" s="9" t="n">
        <x:v>105.99999999254942</x:v>
      </x:c>
      <x:c r="K16" s="9" t="n">
        <x:f>F16+G16+I16+J16</x:f>
        <x:v>71936</x:v>
      </x:c>
      <x:c r="L16" s="10" t="n">
        <x:f>K16/Sources!$B$4*1000</x:f>
        <x:v>20.09640890113129</x:v>
      </x:c>
      <x:c r="M16" s="10" t="n">
        <x:f>E16/Sources!$B$4*1000</x:f>
        <x:v>33.37602963505138</x:v>
      </x:c>
      <x:c r="N16" s="9" t="n">
        <x:f>Sources!$B$6-K16</x:f>
        <x:v>-12200</x:v>
      </x:c>
      <x:c r="O16" s="1" t="str">
        <x:v>keyboard_route</x:v>
      </x:c>
      <x:c r="P16" s="12" t="n">
        <x:v>-4</x:v>
      </x:c>
      <x:c r="Q16" s="12" t="n">
        <x:v>0</x:v>
      </x:c>
      <x:c r="R16" s="12" t="n">
        <x:v>0</x:v>
      </x:c>
      <x:c r="S16" s="12" t="n">
        <x:v>3</x:v>
      </x:c>
      <x:c r="T16" s="1" t="str">
        <x:v>No</x:v>
      </x:c>
      <x:c r="U16" s="1" t="n">
        <x:v>0</x:v>
      </x:c>
    </x:row>
    <x:row r="17" ht="23" customHeight="1">
      <x:c r="A17" s="9" t="n">
        <x:v>16</x:v>
      </x:c>
      <x:c r="B17" s="9" t="n">
        <x:v>276</x:v>
      </x:c>
      <x:c r="C17" s="9" t="n">
        <x:v>1083</x:v>
      </x:c>
      <x:c r="D17" s="9" t="n">
        <x:v>2</x:v>
      </x:c>
      <x:c r="E17" s="9" t="n">
        <x:v>119473</x:v>
      </x:c>
      <x:c r="F17" s="9" t="n">
        <x:v>35632.000000003725</x:v>
      </x:c>
      <x:c r="G17" s="9" t="n">
        <x:v>47404.999999996275</x:v>
      </x:c>
      <x:c r="H17" s="9" t="n">
        <x:v>33765.000000003725</x:v>
      </x:c>
      <x:c r="I17" s="9" t="n">
        <x:v>2565</x:v>
      </x:c>
      <x:c r="J17" s="9" t="n">
        <x:v>105.99999999627471</x:v>
      </x:c>
      <x:c r="K17" s="9" t="n">
        <x:f>F17+G17+I17+J17</x:f>
        <x:v>85707.99999999627</x:v>
      </x:c>
      <x:c r="L17" s="10" t="n">
        <x:f>K17/Sources!$B$4*1000</x:f>
        <x:v>23.943825262706927</x:v>
      </x:c>
      <x:c r="M17" s="10" t="n">
        <x:f>E17/Sources!$B$4*1000</x:f>
        <x:v>33.37658836528106</x:v>
      </x:c>
      <x:c r="N17" s="9" t="n">
        <x:f>Sources!$B$6-K17</x:f>
        <x:v>-25971.999999996275</x:v>
      </x:c>
      <x:c r="O17" s="1" t="str">
        <x:v>keyboard_route</x:v>
      </x:c>
      <x:c r="P17" s="12" t="n">
        <x:v>-4</x:v>
      </x:c>
      <x:c r="Q17" s="12" t="n">
        <x:v>0</x:v>
      </x:c>
      <x:c r="R17" s="12" t="n">
        <x:v>4</x:v>
      </x:c>
      <x:c r="S17" s="12" t="n">
        <x:v>3</x:v>
      </x:c>
      <x:c r="T17" s="1" t="str">
        <x:v>Yes</x:v>
      </x:c>
      <x:c r="U17" s="1" t="n">
        <x:v>0</x:v>
      </x:c>
    </x:row>
    <x:row r="18" ht="23" customHeight="1">
      <x:c r="A18" s="9" t="n">
        <x:v>17</x:v>
      </x:c>
      <x:c r="B18" s="9" t="n">
        <x:v>272</x:v>
      </x:c>
      <x:c r="C18" s="9" t="n">
        <x:v>1083</x:v>
      </x:c>
      <x:c r="D18" s="9" t="n">
        <x:v>2</x:v>
      </x:c>
      <x:c r="E18" s="9" t="n">
        <x:v>183581</x:v>
      </x:c>
      <x:c r="F18" s="9" t="n">
        <x:v>91935</x:v>
      </x:c>
      <x:c r="G18" s="9" t="n">
        <x:v>58842</x:v>
      </x:c>
      <x:c r="H18" s="9" t="n">
        <x:v>25760</x:v>
      </x:c>
      <x:c r="I18" s="9" t="n">
        <x:v>6938</x:v>
      </x:c>
      <x:c r="J18" s="9" t="n">
        <x:v>106</x:v>
      </x:c>
      <x:c r="K18" s="9" t="n">
        <x:f>F18+G18+I18+J18</x:f>
        <x:v>157821</x:v>
      </x:c>
      <x:c r="L18" s="10" t="n">
        <x:f>K18/Sources!$B$4*1000</x:f>
        <x:v>44.08968178916594</x:v>
      </x:c>
      <x:c r="M18" s="10" t="n">
        <x:f>E18/Sources!$B$4*1000</x:f>
        <x:v>51.28612714744472</x:v>
      </x:c>
      <x:c r="N18" s="9" t="n">
        <x:f>Sources!$B$6-K18</x:f>
        <x:v>-98085</x:v>
      </x:c>
      <x:c r="O18" s="1" t="str">
        <x:v>keyboard_route</x:v>
      </x:c>
      <x:c r="P18" s="12" t="n">
        <x:v>-4</x:v>
      </x:c>
      <x:c r="Q18" s="12" t="n">
        <x:v>0</x:v>
      </x:c>
      <x:c r="R18" s="12" t="n">
        <x:v>0</x:v>
      </x:c>
      <x:c r="S18" s="12" t="n">
        <x:v>3</x:v>
      </x:c>
      <x:c r="T18" s="1" t="str">
        <x:v>No</x:v>
      </x:c>
      <x:c r="U18" s="1" t="n">
        <x:v>0</x:v>
      </x:c>
    </x:row>
    <x:row r="19" ht="23" customHeight="1">
      <x:c r="A19" s="9" t="n">
        <x:v>18</x:v>
      </x:c>
      <x:c r="B19" s="9" t="n">
        <x:v>264</x:v>
      </x:c>
      <x:c r="C19" s="9" t="n">
        <x:v>1083</x:v>
      </x:c>
      <x:c r="D19" s="9" t="n">
        <x:v>3</x:v>
      </x:c>
      <x:c r="E19" s="9" t="n">
        <x:v>174834.99999999627</x:v>
      </x:c>
      <x:c r="F19" s="9" t="n">
        <x:v>61069</x:v>
      </x:c>
      <x:c r="G19" s="9" t="n">
        <x:v>82905</x:v>
      </x:c>
      <x:c r="H19" s="9" t="n">
        <x:v>28189.999999996275</x:v>
      </x:c>
      <x:c r="I19" s="9" t="n">
        <x:v>2565</x:v>
      </x:c>
      <x:c r="J19" s="9" t="n">
        <x:v>106</x:v>
      </x:c>
      <x:c r="K19" s="9" t="n">
        <x:f>F19+G19+I19+J19</x:f>
        <x:v>146645</x:v>
      </x:c>
      <x:c r="L19" s="10" t="n">
        <x:f>K19/Sources!$B$4*1000</x:f>
        <x:v>40.96749726571394</x:v>
      </x:c>
      <x:c r="M19" s="10" t="n">
        <x:f>E19/Sources!$B$4*1000</x:f>
        <x:v>48.84279985305291</x:v>
      </x:c>
      <x:c r="N19" s="9" t="n">
        <x:f>Sources!$B$6-K19</x:f>
        <x:v>-86909</x:v>
      </x:c>
      <x:c r="O19" s="1" t="str">
        <x:v>keyboard_route</x:v>
      </x:c>
      <x:c r="P19" s="12" t="n">
        <x:v>-8</x:v>
      </x:c>
      <x:c r="Q19" s="12" t="n">
        <x:v>0</x:v>
      </x:c>
      <x:c r="R19" s="12" t="n">
        <x:v>0</x:v>
      </x:c>
      <x:c r="S19" s="12" t="n">
        <x:v>3</x:v>
      </x:c>
      <x:c r="T19" s="1" t="str">
        <x:v>Yes</x:v>
      </x:c>
      <x:c r="U19" s="1" t="n">
        <x:v>0</x:v>
      </x:c>
    </x:row>
    <x:row r="20" ht="23" customHeight="1">
      <x:c r="A20" s="9" t="n">
        <x:v>19</x:v>
      </x:c>
      <x:c r="B20" s="9" t="n">
        <x:v>260</x:v>
      </x:c>
      <x:c r="C20" s="9" t="n">
        <x:v>1083</x:v>
      </x:c>
      <x:c r="D20" s="9" t="n">
        <x:v>3</x:v>
      </x:c>
      <x:c r="E20" s="9" t="n">
        <x:v>119470.00000000373</x:v>
      </x:c>
      <x:c r="F20" s="9" t="n">
        <x:v>47558.000000003725</x:v>
      </x:c>
      <x:c r="G20" s="9" t="n">
        <x:v>53746</x:v>
      </x:c>
      <x:c r="H20" s="9" t="n">
        <x:v>15495</x:v>
      </x:c>
      <x:c r="I20" s="9" t="n">
        <x:v>2565</x:v>
      </x:c>
      <x:c r="J20" s="9" t="n">
        <x:v>106</x:v>
      </x:c>
      <x:c r="K20" s="9" t="n">
        <x:f>F20+G20+I20+J20</x:f>
        <x:v>103975.00000000373</x:v>
      </x:c>
      <x:c r="L20" s="10" t="n">
        <x:f>K20/Sources!$B$4*1000</x:f>
        <x:v>29.046987815491555</x:v>
      </x:c>
      <x:c r="M20" s="10" t="n">
        <x:f>E20/Sources!$B$4*1000</x:f>
        <x:v>33.37575026993758</x:v>
      </x:c>
      <x:c r="N20" s="9" t="n">
        <x:f>Sources!$B$6-K20</x:f>
        <x:v>-44239.000000003725</x:v>
      </x:c>
      <x:c r="O20" s="1" t="str">
        <x:v>keyboard_route</x:v>
      </x:c>
      <x:c r="P20" s="12" t="n">
        <x:v>-4</x:v>
      </x:c>
      <x:c r="Q20" s="12" t="n">
        <x:v>0</x:v>
      </x:c>
      <x:c r="R20" s="12" t="n">
        <x:v>4</x:v>
      </x:c>
      <x:c r="S20" s="12" t="n">
        <x:v>3</x:v>
      </x:c>
      <x:c r="T20" s="1" t="str">
        <x:v>Yes</x:v>
      </x:c>
      <x:c r="U20" s="1" t="n">
        <x:v>0</x:v>
      </x:c>
    </x:row>
    <x:row r="21" ht="23" customHeight="1">
      <x:c r="A21" s="9" t="n">
        <x:v>20</x:v>
      </x:c>
      <x:c r="B21" s="9" t="n">
        <x:v>256</x:v>
      </x:c>
      <x:c r="C21" s="9" t="n">
        <x:v>1083</x:v>
      </x:c>
      <x:c r="D21" s="9" t="n">
        <x:v>2</x:v>
      </x:c>
      <x:c r="E21" s="9" t="n">
        <x:v>119474</x:v>
      </x:c>
      <x:c r="F21" s="9" t="n">
        <x:v>44074.999999996275</x:v>
      </x:c>
      <x:c r="G21" s="9" t="n">
        <x:v>28598.000000003725</x:v>
      </x:c>
      <x:c r="H21" s="9" t="n">
        <x:v>44130.000000003725</x:v>
      </x:c>
      <x:c r="I21" s="9" t="n">
        <x:v>2565</x:v>
      </x:c>
      <x:c r="J21" s="9" t="n">
        <x:v>105.99999999627471</x:v>
      </x:c>
      <x:c r="K21" s="9" t="n">
        <x:f>F21+G21+I21+J21</x:f>
        <x:v>75343.99999999627</x:v>
      </x:c>
      <x:c r="L21" s="10" t="n">
        <x:f>K21/Sources!$B$4*1000</x:f>
        <x:v>21.04848521250502</x:v>
      </x:c>
      <x:c r="M21" s="10" t="n">
        <x:f>E21/Sources!$B$4*1000</x:f>
        <x:v>33.3768677303959</x:v>
      </x:c>
      <x:c r="N21" s="9" t="n">
        <x:f>Sources!$B$6-K21</x:f>
        <x:v>-15607.999999996275</x:v>
      </x:c>
      <x:c r="O21" s="1" t="str">
        <x:v>keyboard_route</x:v>
      </x:c>
      <x:c r="P21" s="12" t="n">
        <x:v>-4</x:v>
      </x:c>
      <x:c r="Q21" s="12" t="n">
        <x:v>0</x:v>
      </x:c>
      <x:c r="R21" s="12" t="n">
        <x:v>0</x:v>
      </x:c>
      <x:c r="S21" s="12" t="n">
        <x:v>3</x:v>
      </x:c>
      <x:c r="T21" s="1" t="str">
        <x:v>No</x:v>
      </x:c>
      <x:c r="U21" s="1" t="n">
        <x:v>0</x:v>
      </x:c>
    </x:row>
    <x:row r="22" ht="23" customHeight="1">
      <x:c r="A22" s="9" t="n">
        <x:v>21</x:v>
      </x:c>
      <x:c r="B22" s="9" t="n">
        <x:v>252</x:v>
      </x:c>
      <x:c r="C22" s="9" t="n">
        <x:v>1083</x:v>
      </x:c>
      <x:c r="D22" s="9" t="n">
        <x:v>2</x:v>
      </x:c>
      <x:c r="E22" s="9" t="n">
        <x:v>119472</x:v>
      </x:c>
      <x:c r="F22" s="9" t="n">
        <x:v>40827</x:v>
      </x:c>
      <x:c r="G22" s="9" t="n">
        <x:v>50989</x:v>
      </x:c>
      <x:c r="H22" s="9" t="n">
        <x:v>24985</x:v>
      </x:c>
      <x:c r="I22" s="9" t="n">
        <x:v>2565</x:v>
      </x:c>
      <x:c r="J22" s="9" t="n">
        <x:v>106</x:v>
      </x:c>
      <x:c r="K22" s="9" t="n">
        <x:f>F22+G22+I22+J22</x:f>
        <x:v>94487</x:v>
      </x:c>
      <x:c r="L22" s="10" t="n">
        <x:f>K22/Sources!$B$4*1000</x:f>
        <x:v>26.396371605888458</x:v>
      </x:c>
      <x:c r="M22" s="10" t="n">
        <x:f>E22/Sources!$B$4*1000</x:f>
        <x:v>33.37630900016622</x:v>
      </x:c>
      <x:c r="N22" s="9" t="n">
        <x:f>Sources!$B$6-K22</x:f>
        <x:v>-34751</x:v>
      </x:c>
      <x:c r="O22" s="1" t="str">
        <x:v>keyboard_route</x:v>
      </x:c>
      <x:c r="P22" s="12" t="n">
        <x:v>-4</x:v>
      </x:c>
      <x:c r="Q22" s="12" t="n">
        <x:v>0</x:v>
      </x:c>
      <x:c r="R22" s="12" t="n">
        <x:v>4</x:v>
      </x:c>
      <x:c r="S22" s="12" t="n">
        <x:v>3</x:v>
      </x:c>
      <x:c r="T22" s="1" t="str">
        <x:v>Yes</x:v>
      </x:c>
      <x:c r="U22" s="1" t="n">
        <x:v>0</x:v>
      </x:c>
    </x:row>
    <x:row r="23" ht="23" customHeight="1">
      <x:c r="A23" s="9" t="n">
        <x:v>22</x:v>
      </x:c>
      <x:c r="B23" s="9" t="n">
        <x:v>248</x:v>
      </x:c>
      <x:c r="C23" s="9" t="n">
        <x:v>1083</x:v>
      </x:c>
      <x:c r="D23" s="9" t="n">
        <x:v>2</x:v>
      </x:c>
      <x:c r="E23" s="9" t="n">
        <x:v>119472</x:v>
      </x:c>
      <x:c r="F23" s="9" t="n">
        <x:v>46132</x:v>
      </x:c>
      <x:c r="G23" s="9" t="n">
        <x:v>68499</x:v>
      </x:c>
      <x:c r="H23" s="9" t="n">
        <x:v>2169.9999999962747</x:v>
      </x:c>
      <x:c r="I23" s="9" t="n">
        <x:v>2565.0000000037253</x:v>
      </x:c>
      <x:c r="J23" s="9" t="n">
        <x:v>106</x:v>
      </x:c>
      <x:c r="K23" s="9" t="n">
        <x:f>F23+G23+I23+J23</x:f>
        <x:v>117302.00000000373</x:v>
      </x:c>
      <x:c r="L23" s="10" t="n">
        <x:f>K23/Sources!$B$4*1000</x:f>
        <x:v>32.77008670096443</x:v>
      </x:c>
      <x:c r="M23" s="10" t="n">
        <x:f>E23/Sources!$B$4*1000</x:f>
        <x:v>33.37630900016622</x:v>
      </x:c>
      <x:c r="N23" s="9" t="n">
        <x:f>Sources!$B$6-K23</x:f>
        <x:v>-57566.000000003725</x:v>
      </x:c>
      <x:c r="O23" s="1" t="str">
        <x:v>keyboard_route</x:v>
      </x:c>
      <x:c r="P23" s="12" t="n">
        <x:v>-4</x:v>
      </x:c>
      <x:c r="Q23" s="12" t="n">
        <x:v>0</x:v>
      </x:c>
      <x:c r="R23" s="12" t="n">
        <x:v>0</x:v>
      </x:c>
      <x:c r="S23" s="12" t="n">
        <x:v>3</x:v>
      </x:c>
      <x:c r="T23" s="1" t="str">
        <x:v>No</x:v>
      </x:c>
      <x:c r="U23" s="1" t="n">
        <x:v>0</x:v>
      </x:c>
    </x:row>
    <x:row r="24" ht="23" customHeight="1">
      <x:c r="A24" s="9" t="n">
        <x:v>23</x:v>
      </x:c>
      <x:c r="B24" s="9" t="n">
        <x:v>244</x:v>
      </x:c>
      <x:c r="C24" s="9" t="n">
        <x:v>1083</x:v>
      </x:c>
      <x:c r="D24" s="9" t="n">
        <x:v>2</x:v>
      </x:c>
      <x:c r="E24" s="9" t="n">
        <x:v>119469</x:v>
      </x:c>
      <x:c r="F24" s="9" t="n">
        <x:v>38393.999999996275</x:v>
      </x:c>
      <x:c r="G24" s="9" t="n">
        <x:v>60894.000000003725</x:v>
      </x:c>
      <x:c r="H24" s="9" t="n">
        <x:v>17510</x:v>
      </x:c>
      <x:c r="I24" s="9" t="n">
        <x:v>2565</x:v>
      </x:c>
      <x:c r="J24" s="9" t="n">
        <x:v>106</x:v>
      </x:c>
      <x:c r="K24" s="9" t="n">
        <x:f>F24+G24+I24+J24</x:f>
        <x:v>101959</x:v>
      </x:c>
      <x:c r="L24" s="10" t="n">
        <x:f>K24/Sources!$B$4*1000</x:f>
        <x:v>28.483787743973046</x:v>
      </x:c>
      <x:c r="M24" s="10" t="n">
        <x:f>E24/Sources!$B$4*1000</x:f>
        <x:v>33.375470904821704</x:v>
      </x:c>
      <x:c r="N24" s="9" t="n">
        <x:f>Sources!$B$6-K24</x:f>
        <x:v>-42223</x:v>
      </x:c>
      <x:c r="O24" s="1" t="str">
        <x:v>keyboard_route</x:v>
      </x:c>
      <x:c r="P24" s="12" t="n">
        <x:v>-4</x:v>
      </x:c>
      <x:c r="Q24" s="12" t="n">
        <x:v>0</x:v>
      </x:c>
      <x:c r="R24" s="12" t="n">
        <x:v>4</x:v>
      </x:c>
      <x:c r="S24" s="12" t="n">
        <x:v>3</x:v>
      </x:c>
      <x:c r="T24" s="1" t="str">
        <x:v>Yes</x:v>
      </x:c>
      <x:c r="U24" s="1" t="n">
        <x:v>0</x:v>
      </x:c>
    </x:row>
    <x:row r="25" ht="23" customHeight="1">
      <x:c r="A25" s="9" t="n">
        <x:v>24</x:v>
      </x:c>
      <x:c r="B25" s="9" t="n">
        <x:v>240</x:v>
      </x:c>
      <x:c r="C25" s="9" t="n">
        <x:v>1083</x:v>
      </x:c>
      <x:c r="D25" s="9" t="n">
        <x:v>2</x:v>
      </x:c>
      <x:c r="E25" s="9" t="n">
        <x:v>119473</x:v>
      </x:c>
      <x:c r="F25" s="9" t="n">
        <x:v>41716</x:v>
      </x:c>
      <x:c r="G25" s="9" t="n">
        <x:v>28601</x:v>
      </x:c>
      <x:c r="H25" s="9" t="n">
        <x:v>46484.999999996275</x:v>
      </x:c>
      <x:c r="I25" s="9" t="n">
        <x:v>2565</x:v>
      </x:c>
      <x:c r="J25" s="9" t="n">
        <x:v>106.00000000372529</x:v>
      </x:c>
      <x:c r="K25" s="9" t="n">
        <x:f>F25+G25+I25+J25</x:f>
        <x:v>72988.00000000373</x:v>
      </x:c>
      <x:c r="L25" s="10" t="n">
        <x:f>K25/Sources!$B$4*1000</x:f>
        <x:v>20.390301001944025</x:v>
      </x:c>
      <x:c r="M25" s="10" t="n">
        <x:f>E25/Sources!$B$4*1000</x:f>
        <x:v>33.37658836528106</x:v>
      </x:c>
      <x:c r="N25" s="9" t="n">
        <x:f>Sources!$B$6-K25</x:f>
        <x:v>-13252.000000003725</x:v>
      </x:c>
      <x:c r="O25" s="1" t="str">
        <x:v>keyboard_route</x:v>
      </x:c>
      <x:c r="P25" s="12" t="n">
        <x:v>-4</x:v>
      </x:c>
      <x:c r="Q25" s="12" t="n">
        <x:v>0</x:v>
      </x:c>
      <x:c r="R25" s="12" t="n">
        <x:v>0</x:v>
      </x:c>
      <x:c r="S25" s="12" t="n">
        <x:v>3</x:v>
      </x:c>
      <x:c r="T25" s="1" t="str">
        <x:v>No</x:v>
      </x:c>
      <x:c r="U25" s="1" t="n">
        <x:v>0</x:v>
      </x:c>
    </x:row>
    <x:row r="26" ht="23" customHeight="1">
      <x:c r="A26" s="9" t="n">
        <x:v>25</x:v>
      </x:c>
      <x:c r="B26" s="9" t="n">
        <x:v>236</x:v>
      </x:c>
      <x:c r="C26" s="9" t="n">
        <x:v>1083</x:v>
      </x:c>
      <x:c r="D26" s="9" t="n">
        <x:v>2</x:v>
      </x:c>
      <x:c r="E26" s="9" t="n">
        <x:v>119471.99999999627</x:v>
      </x:c>
      <x:c r="F26" s="9" t="n">
        <x:v>39132</x:v>
      </x:c>
      <x:c r="G26" s="9" t="n">
        <x:v>53889</x:v>
      </x:c>
      <x:c r="H26" s="9" t="n">
        <x:v>23780</x:v>
      </x:c>
      <x:c r="I26" s="9" t="n">
        <x:v>2565</x:v>
      </x:c>
      <x:c r="J26" s="9" t="n">
        <x:v>105.99999999627471</x:v>
      </x:c>
      <x:c r="K26" s="9" t="n">
        <x:f>F26+G26+I26+J26</x:f>
        <x:v>95691.99999999627</x:v>
      </x:c>
      <x:c r="L26" s="10" t="n">
        <x:f>K26/Sources!$B$4*1000</x:f>
        <x:v>26.733006569269634</x:v>
      </x:c>
      <x:c r="M26" s="10" t="n">
        <x:f>E26/Sources!$B$4*1000</x:f>
        <x:v>33.37630900016518</x:v>
      </x:c>
      <x:c r="N26" s="9" t="n">
        <x:f>Sources!$B$6-K26</x:f>
        <x:v>-35955.999999996275</x:v>
      </x:c>
      <x:c r="O26" s="1" t="str">
        <x:v>keyboard_route</x:v>
      </x:c>
      <x:c r="P26" s="12" t="n">
        <x:v>-4</x:v>
      </x:c>
      <x:c r="Q26" s="12" t="n">
        <x:v>0</x:v>
      </x:c>
      <x:c r="R26" s="12" t="n">
        <x:v>4</x:v>
      </x:c>
      <x:c r="S26" s="12" t="n">
        <x:v>3</x:v>
      </x:c>
      <x:c r="T26" s="1" t="str">
        <x:v>Yes</x:v>
      </x:c>
      <x:c r="U26" s="1" t="n">
        <x:v>0</x:v>
      </x:c>
    </x:row>
    <x:row r="27" ht="23" customHeight="1">
      <x:c r="A27" s="9" t="n">
        <x:v>26</x:v>
      </x:c>
      <x:c r="B27" s="9" t="n">
        <x:v>232</x:v>
      </x:c>
      <x:c r="C27" s="9" t="n">
        <x:v>1083</x:v>
      </x:c>
      <x:c r="D27" s="9" t="n">
        <x:v>2</x:v>
      </x:c>
      <x:c r="E27" s="9" t="n">
        <x:v>119473.00000000373</x:v>
      </x:c>
      <x:c r="F27" s="9" t="n">
        <x:v>43176.000000003725</x:v>
      </x:c>
      <x:c r="G27" s="9" t="n">
        <x:v>28601</x:v>
      </x:c>
      <x:c r="H27" s="9" t="n">
        <x:v>45025</x:v>
      </x:c>
      <x:c r="I27" s="9" t="n">
        <x:v>2565</x:v>
      </x:c>
      <x:c r="J27" s="9" t="n">
        <x:v>106</x:v>
      </x:c>
      <x:c r="K27" s="9" t="n">
        <x:f>F27+G27+I27+J27</x:f>
        <x:v>74448.00000000373</x:v>
      </x:c>
      <x:c r="L27" s="10" t="n">
        <x:f>K27/Sources!$B$4*1000</x:f>
        <x:v>20.798174069610447</x:v>
      </x:c>
      <x:c r="M27" s="10" t="n">
        <x:f>E27/Sources!$B$4*1000</x:f>
        <x:v>33.3765883652821</x:v>
      </x:c>
      <x:c r="N27" s="9" t="n">
        <x:f>Sources!$B$6-K27</x:f>
        <x:v>-14712.000000003725</x:v>
      </x:c>
      <x:c r="O27" s="1" t="str">
        <x:v>keyboard_route</x:v>
      </x:c>
      <x:c r="P27" s="12" t="n">
        <x:v>-4</x:v>
      </x:c>
      <x:c r="Q27" s="12" t="n">
        <x:v>0</x:v>
      </x:c>
      <x:c r="R27" s="12" t="n">
        <x:v>0</x:v>
      </x:c>
      <x:c r="S27" s="12" t="n">
        <x:v>3</x:v>
      </x:c>
      <x:c r="T27" s="1" t="str">
        <x:v>No</x:v>
      </x:c>
      <x:c r="U27" s="1" t="n">
        <x:v>0</x:v>
      </x:c>
    </x:row>
    <x:row r="28" ht="23" customHeight="1">
      <x:c r="A28" s="9" t="n">
        <x:v>27</x:v>
      </x:c>
      <x:c r="B28" s="9" t="n">
        <x:v>228</x:v>
      </x:c>
      <x:c r="C28" s="9" t="n">
        <x:v>1083</x:v>
      </x:c>
      <x:c r="D28" s="9" t="n">
        <x:v>2</x:v>
      </x:c>
      <x:c r="E28" s="9" t="n">
        <x:v>119472.99999999627</x:v>
      </x:c>
      <x:c r="F28" s="9" t="n">
        <x:v>41593</x:v>
      </x:c>
      <x:c r="G28" s="9" t="n">
        <x:v>53888.999999996275</x:v>
      </x:c>
      <x:c r="H28" s="9" t="n">
        <x:v>21320</x:v>
      </x:c>
      <x:c r="I28" s="9" t="n">
        <x:v>2565.0000000037253</x:v>
      </x:c>
      <x:c r="J28" s="9" t="n">
        <x:v>105.99999999627471</x:v>
      </x:c>
      <x:c r="K28" s="9" t="n">
        <x:f>F28+G28+I28+J28</x:f>
        <x:v>98152.99999999627</x:v>
      </x:c>
      <x:c r="L28" s="10" t="n">
        <x:f>K28/Sources!$B$4*1000</x:f>
        <x:v>27.420524116890913</x:v>
      </x:c>
      <x:c r="M28" s="10" t="n">
        <x:f>E28/Sources!$B$4*1000</x:f>
        <x:v>33.37658836528002</x:v>
      </x:c>
      <x:c r="N28" s="9" t="n">
        <x:f>Sources!$B$6-K28</x:f>
        <x:v>-38416.999999996275</x:v>
      </x:c>
      <x:c r="O28" s="1" t="str">
        <x:v>keyboard_route</x:v>
      </x:c>
      <x:c r="P28" s="12" t="n">
        <x:v>-4</x:v>
      </x:c>
      <x:c r="Q28" s="12" t="n">
        <x:v>0</x:v>
      </x:c>
      <x:c r="R28" s="12" t="n">
        <x:v>4</x:v>
      </x:c>
      <x:c r="S28" s="12" t="n">
        <x:v>3</x:v>
      </x:c>
      <x:c r="T28" s="1" t="str">
        <x:v>Yes</x:v>
      </x:c>
      <x:c r="U28" s="1" t="n">
        <x:v>0</x:v>
      </x:c>
    </x:row>
    <x:row r="29" ht="23" customHeight="1">
      <x:c r="A29" s="9" t="n">
        <x:v>28</x:v>
      </x:c>
      <x:c r="B29" s="9" t="n">
        <x:v>224</x:v>
      </x:c>
      <x:c r="C29" s="9" t="n">
        <x:v>1083</x:v>
      </x:c>
      <x:c r="D29" s="9" t="n">
        <x:v>2</x:v>
      </x:c>
      <x:c r="E29" s="9" t="n">
        <x:v>179208.00000000373</x:v>
      </x:c>
      <x:c r="F29" s="9" t="n">
        <x:v>43631.000000003725</x:v>
      </x:c>
      <x:c r="G29" s="9" t="n">
        <x:v>78271</x:v>
      </x:c>
      <x:c r="H29" s="9" t="n">
        <x:v>54635</x:v>
      </x:c>
      <x:c r="I29" s="9" t="n">
        <x:v>2565</x:v>
      </x:c>
      <x:c r="J29" s="9" t="n">
        <x:v>106</x:v>
      </x:c>
      <x:c r="K29" s="9" t="n">
        <x:f>F29+G29+I29+J29</x:f>
        <x:v>124573.00000000373</x:v>
      </x:c>
      <x:c r="L29" s="10" t="n">
        <x:f>K29/Sources!$B$4*1000</x:f>
        <x:v>34.801350450966176</x:v>
      </x:c>
      <x:c r="M29" s="10" t="n">
        <x:f>E29/Sources!$B$4*1000</x:f>
        <x:v>50.06446350025037</x:v>
      </x:c>
      <x:c r="N29" s="9" t="n">
        <x:f>Sources!$B$6-K29</x:f>
        <x:v>-64837.000000003725</x:v>
      </x:c>
      <x:c r="O29" s="1" t="str">
        <x:v>keyboard_route</x:v>
      </x:c>
      <x:c r="P29" s="12" t="n">
        <x:v>-4</x:v>
      </x:c>
      <x:c r="Q29" s="12" t="n">
        <x:v>0</x:v>
      </x:c>
      <x:c r="R29" s="12" t="n">
        <x:v>0</x:v>
      </x:c>
      <x:c r="S29" s="12" t="n">
        <x:v>3</x:v>
      </x:c>
      <x:c r="T29" s="1" t="str">
        <x:v>No</x:v>
      </x:c>
      <x:c r="U29" s="1" t="n">
        <x:v>0</x:v>
      </x:c>
    </x:row>
    <x:row r="30" ht="23" customHeight="1">
      <x:c r="A30" s="9" t="n">
        <x:v>29</x:v>
      </x:c>
      <x:c r="B30" s="9" t="n">
        <x:v>216</x:v>
      </x:c>
      <x:c r="C30" s="9" t="n">
        <x:v>1083</x:v>
      </x:c>
      <x:c r="D30" s="9" t="n">
        <x:v>3</x:v>
      </x:c>
      <x:c r="E30" s="9" t="n">
        <x:v>179207</x:v>
      </x:c>
      <x:c r="F30" s="9" t="n">
        <x:v>55465.999999996275</x:v>
      </x:c>
      <x:c r="G30" s="9" t="n">
        <x:v>65470</x:v>
      </x:c>
      <x:c r="H30" s="9" t="n">
        <x:v>55600</x:v>
      </x:c>
      <x:c r="I30" s="9" t="n">
        <x:v>2565</x:v>
      </x:c>
      <x:c r="J30" s="9" t="n">
        <x:v>106.00000000372529</x:v>
      </x:c>
      <x:c r="K30" s="9" t="n">
        <x:f>F30+G30+I30+J30</x:f>
        <x:v>123607</x:v>
      </x:c>
      <x:c r="L30" s="10" t="n">
        <x:f>K30/Sources!$B$4*1000</x:f>
        <x:v>34.531483750029686</x:v>
      </x:c>
      <x:c r="M30" s="10" t="n">
        <x:f>E30/Sources!$B$4*1000</x:f>
        <x:v>50.06418413513449</x:v>
      </x:c>
      <x:c r="N30" s="9" t="n">
        <x:f>Sources!$B$6-K30</x:f>
        <x:v>-63871</x:v>
      </x:c>
      <x:c r="O30" s="1" t="str">
        <x:v>keyboard_route</x:v>
      </x:c>
      <x:c r="P30" s="12" t="n">
        <x:v>-8</x:v>
      </x:c>
      <x:c r="Q30" s="12" t="n">
        <x:v>0</x:v>
      </x:c>
      <x:c r="R30" s="12" t="n">
        <x:v>0</x:v>
      </x:c>
      <x:c r="S30" s="12" t="n">
        <x:v>3</x:v>
      </x:c>
      <x:c r="T30" s="1" t="str">
        <x:v>Yes</x:v>
      </x:c>
      <x:c r="U30" s="1" t="n">
        <x:v>0</x:v>
      </x:c>
    </x:row>
    <x:row r="31" ht="23" customHeight="1">
      <x:c r="A31" s="9" t="n">
        <x:v>30</x:v>
      </x:c>
      <x:c r="B31" s="9" t="n">
        <x:v>212</x:v>
      </x:c>
      <x:c r="C31" s="9" t="n">
        <x:v>1083</x:v>
      </x:c>
      <x:c r="D31" s="9" t="n">
        <x:v>3</x:v>
      </x:c>
      <x:c r="E31" s="9" t="n">
        <x:v>119469.99999999627</x:v>
      </x:c>
      <x:c r="F31" s="9" t="n">
        <x:v>46811</x:v>
      </x:c>
      <x:c r="G31" s="9" t="n">
        <x:v>62868</x:v>
      </x:c>
      <x:c r="H31" s="9" t="n">
        <x:v>7120</x:v>
      </x:c>
      <x:c r="I31" s="9" t="n">
        <x:v>2565</x:v>
      </x:c>
      <x:c r="J31" s="9" t="n">
        <x:v>105.99999999627471</x:v>
      </x:c>
      <x:c r="K31" s="9" t="n">
        <x:f>F31+G31+I31+J31</x:f>
        <x:v>112349.99999999627</x:v>
      </x:c>
      <x:c r="L31" s="10" t="n">
        <x:f>K31/Sources!$B$4*1000</x:f>
        <x:v>31.3866706522746</x:v>
      </x:c>
      <x:c r="M31" s="10" t="n">
        <x:f>E31/Sources!$B$4*1000</x:f>
        <x:v>33.3757502699355</x:v>
      </x:c>
      <x:c r="N31" s="9" t="n">
        <x:f>Sources!$B$6-K31</x:f>
        <x:v>-52613.999999996275</x:v>
      </x:c>
      <x:c r="O31" s="1" t="str">
        <x:v>keyboard_route</x:v>
      </x:c>
      <x:c r="P31" s="12" t="n">
        <x:v>-4</x:v>
      </x:c>
      <x:c r="Q31" s="12" t="n">
        <x:v>0</x:v>
      </x:c>
      <x:c r="R31" s="12" t="n">
        <x:v>4</x:v>
      </x:c>
      <x:c r="S31" s="12" t="n">
        <x:v>3</x:v>
      </x:c>
      <x:c r="T31" s="1" t="str">
        <x:v>Yes</x:v>
      </x:c>
      <x:c r="U31" s="1" t="n">
        <x:v>0</x:v>
      </x:c>
    </x:row>
    <x:row r="32" ht="23" customHeight="1">
      <x:c r="A32" s="9" t="n">
        <x:v>31</x:v>
      </x:c>
      <x:c r="B32" s="9" t="n">
        <x:v>208</x:v>
      </x:c>
      <x:c r="C32" s="9" t="n">
        <x:v>1083</x:v>
      </x:c>
      <x:c r="D32" s="9" t="n">
        <x:v>2</x:v>
      </x:c>
      <x:c r="E32" s="9" t="n">
        <x:v>119474.00000000373</x:v>
      </x:c>
      <x:c r="F32" s="9" t="n">
        <x:v>44278</x:v>
      </x:c>
      <x:c r="G32" s="9" t="n">
        <x:v>28660</x:v>
      </x:c>
      <x:c r="H32" s="9" t="n">
        <x:v>43865</x:v>
      </x:c>
      <x:c r="I32" s="9" t="n">
        <x:v>2565</x:v>
      </x:c>
      <x:c r="J32" s="9" t="n">
        <x:v>106.00000000372529</x:v>
      </x:c>
      <x:c r="K32" s="9" t="n">
        <x:f>F32+G32+I32+J32</x:f>
        <x:v>75609.00000000373</x:v>
      </x:c>
      <x:c r="L32" s="10" t="n">
        <x:f>K32/Sources!$B$4*1000</x:f>
        <x:v>21.122516967939706</x:v>
      </x:c>
      <x:c r="M32" s="10" t="n">
        <x:f>E32/Sources!$B$4*1000</x:f>
        <x:v>33.37686773039694</x:v>
      </x:c>
      <x:c r="N32" s="9" t="n">
        <x:f>Sources!$B$6-K32</x:f>
        <x:v>-15873.000000003725</x:v>
      </x:c>
      <x:c r="O32" s="1" t="str">
        <x:v>keyboard_route</x:v>
      </x:c>
      <x:c r="P32" s="12" t="n">
        <x:v>-4</x:v>
      </x:c>
      <x:c r="Q32" s="12" t="n">
        <x:v>0</x:v>
      </x:c>
      <x:c r="R32" s="12" t="n">
        <x:v>0</x:v>
      </x:c>
      <x:c r="S32" s="12" t="n">
        <x:v>3</x:v>
      </x:c>
      <x:c r="T32" s="1" t="str">
        <x:v>No</x:v>
      </x:c>
      <x:c r="U32" s="1" t="n">
        <x:v>0</x:v>
      </x:c>
    </x:row>
    <x:row r="33" ht="23" customHeight="1">
      <x:c r="A33" s="9" t="n">
        <x:v>32</x:v>
      </x:c>
      <x:c r="B33" s="9" t="n">
        <x:v>204</x:v>
      </x:c>
      <x:c r="C33" s="9" t="n">
        <x:v>1083</x:v>
      </x:c>
      <x:c r="D33" s="9" t="n">
        <x:v>2</x:v>
      </x:c>
      <x:c r="E33" s="9" t="n">
        <x:v>119471.99999999627</x:v>
      </x:c>
      <x:c r="F33" s="9" t="n">
        <x:v>43695</x:v>
      </x:c>
      <x:c r="G33" s="9" t="n">
        <x:v>58756</x:v>
      </x:c>
      <x:c r="H33" s="9" t="n">
        <x:v>14349.999999996275</x:v>
      </x:c>
      <x:c r="I33" s="9" t="n">
        <x:v>2565</x:v>
      </x:c>
      <x:c r="J33" s="9" t="n">
        <x:v>106</x:v>
      </x:c>
      <x:c r="K33" s="9" t="n">
        <x:f>F33+G33+I33+J33</x:f>
        <x:v>105122</x:v>
      </x:c>
      <x:c r="L33" s="10" t="n">
        <x:f>K33/Sources!$B$4*1000</x:f>
        <x:v>29.36741960221201</x:v>
      </x:c>
      <x:c r="M33" s="10" t="n">
        <x:f>E33/Sources!$B$4*1000</x:f>
        <x:v>33.37630900016518</x:v>
      </x:c>
      <x:c r="N33" s="9" t="n">
        <x:f>Sources!$B$6-K33</x:f>
        <x:v>-45386</x:v>
      </x:c>
      <x:c r="O33" s="1" t="str">
        <x:v>keyboard_route</x:v>
      </x:c>
      <x:c r="P33" s="12" t="n">
        <x:v>-4</x:v>
      </x:c>
      <x:c r="Q33" s="12" t="n">
        <x:v>0</x:v>
      </x:c>
      <x:c r="R33" s="12" t="n">
        <x:v>4</x:v>
      </x:c>
      <x:c r="S33" s="12" t="n">
        <x:v>3</x:v>
      </x:c>
      <x:c r="T33" s="1" t="str">
        <x:v>Yes</x:v>
      </x:c>
      <x:c r="U33" s="1" t="n">
        <x:v>0</x:v>
      </x:c>
    </x:row>
    <x:row r="34" ht="23" customHeight="1">
      <x:c r="A34" s="9" t="n">
        <x:v>33</x:v>
      </x:c>
      <x:c r="B34" s="9" t="n">
        <x:v>200</x:v>
      </x:c>
      <x:c r="C34" s="9" t="n">
        <x:v>1083</x:v>
      </x:c>
      <x:c r="D34" s="9" t="n">
        <x:v>2</x:v>
      </x:c>
      <x:c r="E34" s="9" t="n">
        <x:v>119469.00000000373</x:v>
      </x:c>
      <x:c r="F34" s="9" t="n">
        <x:v>56149.000000003725</x:v>
      </x:c>
      <x:c r="G34" s="9" t="n">
        <x:v>28654</x:v>
      </x:c>
      <x:c r="H34" s="9" t="n">
        <x:v>31995</x:v>
      </x:c>
      <x:c r="I34" s="9" t="n">
        <x:v>2565</x:v>
      </x:c>
      <x:c r="J34" s="9" t="n">
        <x:v>106</x:v>
      </x:c>
      <x:c r="K34" s="9" t="n">
        <x:f>F34+G34+I34+J34</x:f>
        <x:v>87474.00000000373</x:v>
      </x:c>
      <x:c r="L34" s="10" t="n">
        <x:f>K34/Sources!$B$4*1000</x:f>
        <x:v>24.43718405551648</x:v>
      </x:c>
      <x:c r="M34" s="10" t="n">
        <x:f>E34/Sources!$B$4*1000</x:f>
        <x:v>33.37547090482274</x:v>
      </x:c>
      <x:c r="N34" s="9" t="n">
        <x:f>Sources!$B$6-K34</x:f>
        <x:v>-27738.000000003725</x:v>
      </x:c>
      <x:c r="O34" s="1" t="str">
        <x:v>keyboard_route</x:v>
      </x:c>
      <x:c r="P34" s="12" t="n">
        <x:v>-4</x:v>
      </x:c>
      <x:c r="Q34" s="12" t="n">
        <x:v>0</x:v>
      </x:c>
      <x:c r="R34" s="12" t="n">
        <x:v>0</x:v>
      </x:c>
      <x:c r="S34" s="12" t="n">
        <x:v>3</x:v>
      </x:c>
      <x:c r="T34" s="1" t="str">
        <x:v>No</x:v>
      </x:c>
      <x:c r="U34" s="1" t="n">
        <x:v>0</x:v>
      </x:c>
    </x:row>
    <x:row r="35" ht="23" customHeight="1">
      <x:c r="A35" s="9" t="n">
        <x:v>34</x:v>
      </x:c>
      <x:c r="B35" s="9" t="n">
        <x:v>196</x:v>
      </x:c>
      <x:c r="C35" s="9" t="n">
        <x:v>1083</x:v>
      </x:c>
      <x:c r="D35" s="9" t="n">
        <x:v>2</x:v>
      </x:c>
      <x:c r="E35" s="9" t="n">
        <x:v>119474</x:v>
      </x:c>
      <x:c r="F35" s="9" t="n">
        <x:v>46758</x:v>
      </x:c>
      <x:c r="G35" s="9" t="n">
        <x:v>59625</x:v>
      </x:c>
      <x:c r="H35" s="9" t="n">
        <x:v>10420</x:v>
      </x:c>
      <x:c r="I35" s="9" t="n">
        <x:v>2565</x:v>
      </x:c>
      <x:c r="J35" s="9" t="n">
        <x:v>106</x:v>
      </x:c>
      <x:c r="K35" s="9" t="n">
        <x:f>F35+G35+I35+J35</x:f>
        <x:v>109054</x:v>
      </x:c>
      <x:c r="L35" s="10" t="n">
        <x:f>K35/Sources!$B$4*1000</x:f>
        <x:v>30.46588323376295</x:v>
      </x:c>
      <x:c r="M35" s="10" t="n">
        <x:f>E35/Sources!$B$4*1000</x:f>
        <x:v>33.3768677303959</x:v>
      </x:c>
      <x:c r="N35" s="9" t="n">
        <x:f>Sources!$B$6-K35</x:f>
        <x:v>-49318</x:v>
      </x:c>
      <x:c r="O35" s="1" t="str">
        <x:v>keyboard_route</x:v>
      </x:c>
      <x:c r="P35" s="12" t="n">
        <x:v>-4</x:v>
      </x:c>
      <x:c r="Q35" s="12" t="n">
        <x:v>0</x:v>
      </x:c>
      <x:c r="R35" s="12" t="n">
        <x:v>4</x:v>
      </x:c>
      <x:c r="S35" s="12" t="n">
        <x:v>3</x:v>
      </x:c>
      <x:c r="T35" s="1" t="str">
        <x:v>Yes</x:v>
      </x:c>
      <x:c r="U35" s="1" t="n">
        <x:v>0</x:v>
      </x:c>
    </x:row>
    <x:row r="36" ht="23" customHeight="1">
      <x:c r="A36" s="9" t="n">
        <x:v>35</x:v>
      </x:c>
      <x:c r="B36" s="9" t="n">
        <x:v>192</x:v>
      </x:c>
      <x:c r="C36" s="9" t="n">
        <x:v>1083</x:v>
      </x:c>
      <x:c r="D36" s="9" t="n">
        <x:v>2</x:v>
      </x:c>
      <x:c r="E36" s="9" t="n">
        <x:v>119469.99999999627</x:v>
      </x:c>
      <x:c r="F36" s="9" t="n">
        <x:v>49835</x:v>
      </x:c>
      <x:c r="G36" s="9" t="n">
        <x:v>28653.999999996275</x:v>
      </x:c>
      <x:c r="H36" s="9" t="n">
        <x:v>38310</x:v>
      </x:c>
      <x:c r="I36" s="9" t="n">
        <x:v>2565</x:v>
      </x:c>
      <x:c r="J36" s="9" t="n">
        <x:v>106</x:v>
      </x:c>
      <x:c r="K36" s="9" t="n">
        <x:f>F36+G36+I36+J36</x:f>
        <x:v>81159.99999999627</x:v>
      </x:c>
      <x:c r="L36" s="10" t="n">
        <x:f>K36/Sources!$B$4*1000</x:f>
        <x:v>22.67327272041454</x:v>
      </x:c>
      <x:c r="M36" s="10" t="n">
        <x:f>E36/Sources!$B$4*1000</x:f>
        <x:v>33.3757502699355</x:v>
      </x:c>
      <x:c r="N36" s="9" t="n">
        <x:f>Sources!$B$6-K36</x:f>
        <x:v>-21423.999999996275</x:v>
      </x:c>
      <x:c r="O36" s="1" t="str">
        <x:v>keyboard_route</x:v>
      </x:c>
      <x:c r="P36" s="12" t="n">
        <x:v>-4</x:v>
      </x:c>
      <x:c r="Q36" s="12" t="n">
        <x:v>0</x:v>
      </x:c>
      <x:c r="R36" s="12" t="n">
        <x:v>0</x:v>
      </x:c>
      <x:c r="S36" s="12" t="n">
        <x:v>3</x:v>
      </x:c>
      <x:c r="T36" s="1" t="str">
        <x:v>No</x:v>
      </x:c>
      <x:c r="U36" s="1" t="n">
        <x:v>0</x:v>
      </x:c>
    </x:row>
    <x:row r="37" ht="23" customHeight="1">
      <x:c r="A37" s="9" t="n">
        <x:v>36</x:v>
      </x:c>
      <x:c r="B37" s="9" t="n">
        <x:v>188</x:v>
      </x:c>
      <x:c r="C37" s="9" t="n">
        <x:v>1083</x:v>
      </x:c>
      <x:c r="D37" s="9" t="n">
        <x:v>2</x:v>
      </x:c>
      <x:c r="E37" s="9" t="n">
        <x:v>119474.00000000373</x:v>
      </x:c>
      <x:c r="F37" s="9" t="n">
        <x:v>38508</x:v>
      </x:c>
      <x:c r="G37" s="9" t="n">
        <x:v>59625</x:v>
      </x:c>
      <x:c r="H37" s="9" t="n">
        <x:v>18670.000000003725</x:v>
      </x:c>
      <x:c r="I37" s="9" t="n">
        <x:v>2564.9999999962747</x:v>
      </x:c>
      <x:c r="J37" s="9" t="n">
        <x:v>106.00000000372529</x:v>
      </x:c>
      <x:c r="K37" s="9" t="n">
        <x:f>F37+G37+I37+J37</x:f>
        <x:v>100804</x:v>
      </x:c>
      <x:c r="L37" s="10" t="n">
        <x:f>K37/Sources!$B$4*1000</x:f>
        <x:v>28.16112103633283</x:v>
      </x:c>
      <x:c r="M37" s="10" t="n">
        <x:f>E37/Sources!$B$4*1000</x:f>
        <x:v>33.37686773039694</x:v>
      </x:c>
      <x:c r="N37" s="9" t="n">
        <x:f>Sources!$B$6-K37</x:f>
        <x:v>-41068</x:v>
      </x:c>
      <x:c r="O37" s="1" t="str">
        <x:v>keyboard_route</x:v>
      </x:c>
      <x:c r="P37" s="12" t="n">
        <x:v>-4</x:v>
      </x:c>
      <x:c r="Q37" s="12" t="n">
        <x:v>0</x:v>
      </x:c>
      <x:c r="R37" s="12" t="n">
        <x:v>4</x:v>
      </x:c>
      <x:c r="S37" s="12" t="n">
        <x:v>3</x:v>
      </x:c>
      <x:c r="T37" s="1" t="str">
        <x:v>Yes</x:v>
      </x:c>
      <x:c r="U37" s="1" t="n">
        <x:v>0</x:v>
      </x:c>
    </x:row>
    <x:row r="38" ht="23" customHeight="1">
      <x:c r="A38" s="9" t="n">
        <x:v>37</x:v>
      </x:c>
      <x:c r="B38" s="9" t="n">
        <x:v>184</x:v>
      </x:c>
      <x:c r="C38" s="9" t="n">
        <x:v>1083</x:v>
      </x:c>
      <x:c r="D38" s="9" t="n">
        <x:v>2</x:v>
      </x:c>
      <x:c r="E38" s="9" t="n">
        <x:v>119470</x:v>
      </x:c>
      <x:c r="F38" s="9" t="n">
        <x:v>33499.999999996275</x:v>
      </x:c>
      <x:c r="G38" s="9" t="n">
        <x:v>28654</x:v>
      </x:c>
      <x:c r="H38" s="9" t="n">
        <x:v>54645</x:v>
      </x:c>
      <x:c r="I38" s="9" t="n">
        <x:v>2565</x:v>
      </x:c>
      <x:c r="J38" s="9" t="n">
        <x:v>106.00000000372529</x:v>
      </x:c>
      <x:c r="K38" s="9" t="n">
        <x:f>F38+G38+I38+J38</x:f>
        <x:v>64825</x:v>
      </x:c>
      <x:c r="L38" s="10" t="n">
        <x:f>K38/Sources!$B$4*1000</x:f>
        <x:v>18.109843569503944</x:v>
      </x:c>
      <x:c r="M38" s="10" t="n">
        <x:f>E38/Sources!$B$4*1000</x:f>
        <x:v>33.37575026993654</x:v>
      </x:c>
      <x:c r="N38" s="9" t="n">
        <x:f>Sources!$B$6-K38</x:f>
        <x:v>-5089</x:v>
      </x:c>
      <x:c r="O38" s="1" t="str">
        <x:v>keyboard_route</x:v>
      </x:c>
      <x:c r="P38" s="12" t="n">
        <x:v>-4</x:v>
      </x:c>
      <x:c r="Q38" s="12" t="n">
        <x:v>0</x:v>
      </x:c>
      <x:c r="R38" s="12" t="n">
        <x:v>0</x:v>
      </x:c>
      <x:c r="S38" s="12" t="n">
        <x:v>3</x:v>
      </x:c>
      <x:c r="T38" s="1" t="str">
        <x:v>No</x:v>
      </x:c>
      <x:c r="U38" s="1" t="n">
        <x:v>0</x:v>
      </x:c>
    </x:row>
    <x:row r="39" ht="23" customHeight="1">
      <x:c r="A39" s="9" t="n">
        <x:v>38</x:v>
      </x:c>
      <x:c r="B39" s="9" t="n">
        <x:v>180</x:v>
      </x:c>
      <x:c r="C39" s="9" t="n">
        <x:v>1083</x:v>
      </x:c>
      <x:c r="D39" s="9" t="n">
        <x:v>2</x:v>
      </x:c>
      <x:c r="E39" s="9" t="n">
        <x:v>119473</x:v>
      </x:c>
      <x:c r="F39" s="9" t="n">
        <x:v>32171</x:v>
      </x:c>
      <x:c r="G39" s="9" t="n">
        <x:v>59631</x:v>
      </x:c>
      <x:c r="H39" s="9" t="n">
        <x:v>24999.999999996275</x:v>
      </x:c>
      <x:c r="I39" s="9" t="n">
        <x:v>2565.0000000037253</x:v>
      </x:c>
      <x:c r="J39" s="9" t="n">
        <x:v>106</x:v>
      </x:c>
      <x:c r="K39" s="9" t="n">
        <x:f>F39+G39+I39+J39</x:f>
        <x:v>94473.00000000373</x:v>
      </x:c>
      <x:c r="L39" s="10" t="n">
        <x:f>K39/Sources!$B$4*1000</x:f>
        <x:v>26.39246049428174</x:v>
      </x:c>
      <x:c r="M39" s="10" t="n">
        <x:f>E39/Sources!$B$4*1000</x:f>
        <x:v>33.37658836528106</x:v>
      </x:c>
      <x:c r="N39" s="9" t="n">
        <x:f>Sources!$B$6-K39</x:f>
        <x:v>-34737.000000003725</x:v>
      </x:c>
      <x:c r="O39" s="1" t="str">
        <x:v>keyboard_route</x:v>
      </x:c>
      <x:c r="P39" s="12" t="n">
        <x:v>-4</x:v>
      </x:c>
      <x:c r="Q39" s="12" t="n">
        <x:v>0</x:v>
      </x:c>
      <x:c r="R39" s="12" t="n">
        <x:v>4</x:v>
      </x:c>
      <x:c r="S39" s="12" t="n">
        <x:v>3</x:v>
      </x:c>
      <x:c r="T39" s="1" t="str">
        <x:v>Yes</x:v>
      </x:c>
      <x:c r="U39" s="1" t="n">
        <x:v>0</x:v>
      </x:c>
    </x:row>
    <x:row r="40" ht="23" customHeight="1">
      <x:c r="A40" s="9" t="n">
        <x:v>39</x:v>
      </x:c>
      <x:c r="B40" s="9" t="n">
        <x:v>176</x:v>
      </x:c>
      <x:c r="C40" s="9" t="n">
        <x:v>1083</x:v>
      </x:c>
      <x:c r="D40" s="9" t="n">
        <x:v>2</x:v>
      </x:c>
      <x:c r="E40" s="9" t="n">
        <x:v>119474</x:v>
      </x:c>
      <x:c r="F40" s="9" t="n">
        <x:v>35948</x:v>
      </x:c>
      <x:c r="G40" s="9" t="n">
        <x:v>28660.000000003725</x:v>
      </x:c>
      <x:c r="H40" s="9" t="n">
        <x:v>52195.000000003725</x:v>
      </x:c>
      <x:c r="I40" s="9" t="n">
        <x:v>2565</x:v>
      </x:c>
      <x:c r="J40" s="9" t="n">
        <x:v>105.99999999254942</x:v>
      </x:c>
      <x:c r="K40" s="9" t="n">
        <x:f>F40+G40+I40+J40</x:f>
        <x:v>67278.99999999627</x:v>
      </x:c>
      <x:c r="L40" s="10" t="n">
        <x:f>K40/Sources!$B$4*1000</x:f>
        <x:v>18.7954055613203</x:v>
      </x:c>
      <x:c r="M40" s="10" t="n">
        <x:f>E40/Sources!$B$4*1000</x:f>
        <x:v>33.3768677303959</x:v>
      </x:c>
      <x:c r="N40" s="9" t="n">
        <x:f>Sources!$B$6-K40</x:f>
        <x:v>-7542.999999996275</x:v>
      </x:c>
      <x:c r="O40" s="1" t="str">
        <x:v>keyboard_route</x:v>
      </x:c>
      <x:c r="P40" s="12" t="n">
        <x:v>-4</x:v>
      </x:c>
      <x:c r="Q40" s="12" t="n">
        <x:v>0</x:v>
      </x:c>
      <x:c r="R40" s="12" t="n">
        <x:v>0</x:v>
      </x:c>
      <x:c r="S40" s="12" t="n">
        <x:v>3</x:v>
      </x:c>
      <x:c r="T40" s="1" t="str">
        <x:v>No</x:v>
      </x:c>
      <x:c r="U40" s="1" t="n">
        <x:v>0</x:v>
      </x:c>
    </x:row>
    <x:row r="41" ht="23" customHeight="1">
      <x:c r="A41" s="9" t="n">
        <x:v>40</x:v>
      </x:c>
      <x:c r="B41" s="9" t="n">
        <x:v>172</x:v>
      </x:c>
      <x:c r="C41" s="9" t="n">
        <x:v>1083</x:v>
      </x:c>
      <x:c r="D41" s="9" t="n">
        <x:v>2</x:v>
      </x:c>
      <x:c r="E41" s="9" t="n">
        <x:v>119472</x:v>
      </x:c>
      <x:c r="F41" s="9" t="n">
        <x:v>30170</x:v>
      </x:c>
      <x:c r="G41" s="9" t="n">
        <x:v>59630.999999996275</x:v>
      </x:c>
      <x:c r="H41" s="9" t="n">
        <x:v>27000.000000003725</x:v>
      </x:c>
      <x:c r="I41" s="9" t="n">
        <x:v>2565</x:v>
      </x:c>
      <x:c r="J41" s="9" t="n">
        <x:v>106</x:v>
      </x:c>
      <x:c r="K41" s="9" t="n">
        <x:f>F41+G41+I41+J41</x:f>
        <x:v>92471.99999999627</x:v>
      </x:c>
      <x:c r="L41" s="10" t="n">
        <x:f>K41/Sources!$B$4*1000</x:f>
        <x:v>25.833450899484784</x:v>
      </x:c>
      <x:c r="M41" s="10" t="n">
        <x:f>E41/Sources!$B$4*1000</x:f>
        <x:v>33.37630900016622</x:v>
      </x:c>
      <x:c r="N41" s="9" t="n">
        <x:f>Sources!$B$6-K41</x:f>
        <x:v>-32735.999999996275</x:v>
      </x:c>
      <x:c r="O41" s="1" t="str">
        <x:v>keyboard_route</x:v>
      </x:c>
      <x:c r="P41" s="12" t="n">
        <x:v>-4</x:v>
      </x:c>
      <x:c r="Q41" s="12" t="n">
        <x:v>0</x:v>
      </x:c>
      <x:c r="R41" s="12" t="n">
        <x:v>4</x:v>
      </x:c>
      <x:c r="S41" s="12" t="n">
        <x:v>3</x:v>
      </x:c>
      <x:c r="T41" s="1" t="str">
        <x:v>Yes</x:v>
      </x:c>
      <x:c r="U41" s="1" t="n">
        <x:v>0</x:v>
      </x:c>
    </x:row>
    <x:row r="42" ht="23" customHeight="1">
      <x:c r="A42" s="9" t="n">
        <x:v>41</x:v>
      </x:c>
      <x:c r="B42" s="9" t="n">
        <x:v>168</x:v>
      </x:c>
      <x:c r="C42" s="9" t="n">
        <x:v>1083</x:v>
      </x:c>
      <x:c r="D42" s="9" t="n">
        <x:v>2</x:v>
      </x:c>
      <x:c r="E42" s="9" t="n">
        <x:v>119471.99999999627</x:v>
      </x:c>
      <x:c r="F42" s="9" t="n">
        <x:v>32366</x:v>
      </x:c>
      <x:c r="G42" s="9" t="n">
        <x:v>28660</x:v>
      </x:c>
      <x:c r="H42" s="9" t="n">
        <x:v>55774.999999996275</x:v>
      </x:c>
      <x:c r="I42" s="9" t="n">
        <x:v>2565</x:v>
      </x:c>
      <x:c r="J42" s="9" t="n">
        <x:v>106</x:v>
      </x:c>
      <x:c r="K42" s="9" t="n">
        <x:f>F42+G42+I42+J42</x:f>
        <x:v>63697</x:v>
      </x:c>
      <x:c r="L42" s="10" t="n">
        <x:f>K42/Sources!$B$4*1000</x:f>
        <x:v>17.79471971996441</x:v>
      </x:c>
      <x:c r="M42" s="10" t="n">
        <x:f>E42/Sources!$B$4*1000</x:f>
        <x:v>33.37630900016518</x:v>
      </x:c>
      <x:c r="N42" s="9" t="n">
        <x:f>Sources!$B$6-K42</x:f>
        <x:v>-3961</x:v>
      </x:c>
      <x:c r="O42" s="1" t="str">
        <x:v>keyboard_route</x:v>
      </x:c>
      <x:c r="P42" s="12" t="n">
        <x:v>-4</x:v>
      </x:c>
      <x:c r="Q42" s="12" t="n">
        <x:v>0</x:v>
      </x:c>
      <x:c r="R42" s="12" t="n">
        <x:v>0</x:v>
      </x:c>
      <x:c r="S42" s="12" t="n">
        <x:v>3</x:v>
      </x:c>
      <x:c r="T42" s="1" t="str">
        <x:v>No</x:v>
      </x:c>
      <x:c r="U42" s="1" t="n">
        <x:v>0</x:v>
      </x:c>
    </x:row>
    <x:row r="43" ht="23" customHeight="1">
      <x:c r="A43" s="9" t="n">
        <x:v>42</x:v>
      </x:c>
      <x:c r="B43" s="9" t="n">
        <x:v>164</x:v>
      </x:c>
      <x:c r="C43" s="9" t="n">
        <x:v>1083</x:v>
      </x:c>
      <x:c r="D43" s="9" t="n">
        <x:v>2</x:v>
      </x:c>
      <x:c r="E43" s="9" t="n">
        <x:v>119470.00000000373</x:v>
      </x:c>
      <x:c r="F43" s="9" t="n">
        <x:v>30358.000000003725</x:v>
      </x:c>
      <x:c r="G43" s="9" t="n">
        <x:v>59630.999999996275</x:v>
      </x:c>
      <x:c r="H43" s="9" t="n">
        <x:v>26810.000000003725</x:v>
      </x:c>
      <x:c r="I43" s="9" t="n">
        <x:v>2565</x:v>
      </x:c>
      <x:c r="J43" s="9" t="n">
        <x:v>106</x:v>
      </x:c>
      <x:c r="K43" s="9" t="n">
        <x:f>F43+G43+I43+J43</x:f>
        <x:v>92660</x:v>
      </x:c>
      <x:c r="L43" s="10" t="n">
        <x:f>K43/Sources!$B$4*1000</x:f>
        <x:v>25.88597154107575</x:v>
      </x:c>
      <x:c r="M43" s="10" t="n">
        <x:f>E43/Sources!$B$4*1000</x:f>
        <x:v>33.37575026993758</x:v>
      </x:c>
      <x:c r="N43" s="9" t="n">
        <x:f>Sources!$B$6-K43</x:f>
        <x:v>-32924</x:v>
      </x:c>
      <x:c r="O43" s="1" t="str">
        <x:v>keyboard_route</x:v>
      </x:c>
      <x:c r="P43" s="12" t="n">
        <x:v>-4</x:v>
      </x:c>
      <x:c r="Q43" s="12" t="n">
        <x:v>0</x:v>
      </x:c>
      <x:c r="R43" s="12" t="n">
        <x:v>4</x:v>
      </x:c>
      <x:c r="S43" s="12" t="n">
        <x:v>3</x:v>
      </x:c>
      <x:c r="T43" s="1" t="str">
        <x:v>Yes</x:v>
      </x:c>
      <x:c r="U43" s="1" t="n">
        <x:v>0</x:v>
      </x:c>
    </x:row>
    <x:row r="44" ht="23" customHeight="1">
      <x:c r="A44" s="9" t="n">
        <x:v>43</x:v>
      </x:c>
      <x:c r="B44" s="9" t="n">
        <x:v>160</x:v>
      </x:c>
      <x:c r="C44" s="9" t="n">
        <x:v>1083</x:v>
      </x:c>
      <x:c r="D44" s="9" t="n">
        <x:v>2</x:v>
      </x:c>
      <x:c r="E44" s="9" t="n">
        <x:v>119471</x:v>
      </x:c>
      <x:c r="F44" s="9" t="n">
        <x:v>32470</x:v>
      </x:c>
      <x:c r="G44" s="9" t="n">
        <x:v>28660.000000003725</x:v>
      </x:c>
      <x:c r="H44" s="9" t="n">
        <x:v>55670</x:v>
      </x:c>
      <x:c r="I44" s="9" t="n">
        <x:v>2565</x:v>
      </x:c>
      <x:c r="J44" s="9" t="n">
        <x:v>105.99999999627471</x:v>
      </x:c>
      <x:c r="K44" s="9" t="n">
        <x:f>F44+G44+I44+J44</x:f>
        <x:v>63801</x:v>
      </x:c>
      <x:c r="L44" s="10" t="n">
        <x:f>K44/Sources!$B$4*1000</x:f>
        <x:v>17.82377369190777</x:v>
      </x:c>
      <x:c r="M44" s="10" t="n">
        <x:f>E44/Sources!$B$4*1000</x:f>
        <x:v>33.37602963505138</x:v>
      </x:c>
      <x:c r="N44" s="9" t="n">
        <x:f>Sources!$B$6-K44</x:f>
        <x:v>-4065</x:v>
      </x:c>
      <x:c r="O44" s="1" t="str">
        <x:v>keyboard_route</x:v>
      </x:c>
      <x:c r="P44" s="12" t="n">
        <x:v>-4</x:v>
      </x:c>
      <x:c r="Q44" s="12" t="n">
        <x:v>0</x:v>
      </x:c>
      <x:c r="R44" s="12" t="n">
        <x:v>0</x:v>
      </x:c>
      <x:c r="S44" s="12" t="n">
        <x:v>3</x:v>
      </x:c>
      <x:c r="T44" s="1" t="str">
        <x:v>No</x:v>
      </x:c>
      <x:c r="U44" s="1" t="n">
        <x:v>0</x:v>
      </x:c>
    </x:row>
    <x:row r="45" ht="23" customHeight="1">
      <x:c r="A45" s="9" t="n">
        <x:v>44</x:v>
      </x:c>
      <x:c r="B45" s="9" t="n">
        <x:v>156</x:v>
      </x:c>
      <x:c r="C45" s="9" t="n">
        <x:v>1083</x:v>
      </x:c>
      <x:c r="D45" s="9" t="n">
        <x:v>2</x:v>
      </x:c>
      <x:c r="E45" s="9" t="n">
        <x:v>119473</x:v>
      </x:c>
      <x:c r="F45" s="9" t="n">
        <x:v>31736</x:v>
      </x:c>
      <x:c r="G45" s="9" t="n">
        <x:v>59630.999999996275</x:v>
      </x:c>
      <x:c r="H45" s="9" t="n">
        <x:v>25435.000000003725</x:v>
      </x:c>
      <x:c r="I45" s="9" t="n">
        <x:v>2565</x:v>
      </x:c>
      <x:c r="J45" s="9" t="n">
        <x:v>106</x:v>
      </x:c>
      <x:c r="K45" s="9" t="n">
        <x:f>F45+G45+I45+J45</x:f>
        <x:v>94037.99999999627</x:v>
      </x:c>
      <x:c r="L45" s="10" t="n">
        <x:f>K45/Sources!$B$4*1000</x:f>
        <x:v>26.27093666932425</x:v>
      </x:c>
      <x:c r="M45" s="10" t="n">
        <x:f>E45/Sources!$B$4*1000</x:f>
        <x:v>33.37658836528106</x:v>
      </x:c>
      <x:c r="N45" s="9" t="n">
        <x:f>Sources!$B$6-K45</x:f>
        <x:v>-34301.999999996275</x:v>
      </x:c>
      <x:c r="O45" s="1" t="str">
        <x:v>keyboard_route</x:v>
      </x:c>
      <x:c r="P45" s="12" t="n">
        <x:v>-4</x:v>
      </x:c>
      <x:c r="Q45" s="12" t="n">
        <x:v>0</x:v>
      </x:c>
      <x:c r="R45" s="12" t="n">
        <x:v>4</x:v>
      </x:c>
      <x:c r="S45" s="12" t="n">
        <x:v>3</x:v>
      </x:c>
      <x:c r="T45" s="1" t="str">
        <x:v>Yes</x:v>
      </x:c>
      <x:c r="U45" s="1" t="n">
        <x:v>0</x:v>
      </x:c>
    </x:row>
    <x:row r="46" ht="23" customHeight="1">
      <x:c r="A46" s="9" t="n">
        <x:v>45</x:v>
      </x:c>
      <x:c r="B46" s="9" t="n">
        <x:v>152</x:v>
      </x:c>
      <x:c r="C46" s="9" t="n">
        <x:v>1083</x:v>
      </x:c>
      <x:c r="D46" s="9" t="n">
        <x:v>2</x:v>
      </x:c>
      <x:c r="E46" s="9" t="n">
        <x:v>119474</x:v>
      </x:c>
      <x:c r="F46" s="9" t="n">
        <x:v>34962.999999996275</x:v>
      </x:c>
      <x:c r="G46" s="9" t="n">
        <x:v>28659.999999996275</x:v>
      </x:c>
      <x:c r="H46" s="9" t="n">
        <x:v>53180</x:v>
      </x:c>
      <x:c r="I46" s="9" t="n">
        <x:v>2565</x:v>
      </x:c>
      <x:c r="J46" s="9" t="n">
        <x:v>106.00000000745058</x:v>
      </x:c>
      <x:c r="K46" s="9" t="n">
        <x:f>F46+G46+I46+J46</x:f>
        <x:v>66294</x:v>
      </x:c>
      <x:c r="L46" s="10" t="n">
        <x:f>K46/Sources!$B$4*1000</x:f>
        <x:v>18.520230923203925</x:v>
      </x:c>
      <x:c r="M46" s="10" t="n">
        <x:f>E46/Sources!$B$4*1000</x:f>
        <x:v>33.3768677303959</x:v>
      </x:c>
      <x:c r="N46" s="9" t="n">
        <x:f>Sources!$B$6-K46</x:f>
        <x:v>-6558</x:v>
      </x:c>
      <x:c r="O46" s="1" t="str">
        <x:v>keyboard_route</x:v>
      </x:c>
      <x:c r="P46" s="12" t="n">
        <x:v>-4</x:v>
      </x:c>
      <x:c r="Q46" s="12" t="n">
        <x:v>0</x:v>
      </x:c>
      <x:c r="R46" s="12" t="n">
        <x:v>0</x:v>
      </x:c>
      <x:c r="S46" s="12" t="n">
        <x:v>3</x:v>
      </x:c>
      <x:c r="T46" s="1" t="str">
        <x:v>No</x:v>
      </x:c>
      <x:c r="U46" s="1" t="n">
        <x:v>0</x:v>
      </x:c>
    </x:row>
    <x:row r="47" ht="23" customHeight="1">
      <x:c r="A47" s="9" t="n">
        <x:v>46</x:v>
      </x:c>
      <x:c r="B47" s="9" t="n">
        <x:v>148</x:v>
      </x:c>
      <x:c r="C47" s="9" t="n">
        <x:v>1083</x:v>
      </x:c>
      <x:c r="D47" s="9" t="n">
        <x:v>2</x:v>
      </x:c>
      <x:c r="E47" s="9" t="n">
        <x:v>119470</x:v>
      </x:c>
      <x:c r="F47" s="9" t="n">
        <x:v>29747</x:v>
      </x:c>
      <x:c r="G47" s="9" t="n">
        <x:v>58842.000000003725</x:v>
      </x:c>
      <x:c r="H47" s="9" t="n">
        <x:v>28210</x:v>
      </x:c>
      <x:c r="I47" s="9" t="n">
        <x:v>2564.9999999962747</x:v>
      </x:c>
      <x:c r="J47" s="9" t="n">
        <x:v>106</x:v>
      </x:c>
      <x:c r="K47" s="9" t="n">
        <x:f>F47+G47+I47+J47</x:f>
        <x:v>91260</x:v>
      </x:c>
      <x:c r="L47" s="10" t="n">
        <x:f>K47/Sources!$B$4*1000</x:f>
        <x:v>25.49486038029973</x:v>
      </x:c>
      <x:c r="M47" s="10" t="n">
        <x:f>E47/Sources!$B$4*1000</x:f>
        <x:v>33.37575026993654</x:v>
      </x:c>
      <x:c r="N47" s="9" t="n">
        <x:f>Sources!$B$6-K47</x:f>
        <x:v>-31524</x:v>
      </x:c>
      <x:c r="O47" s="1" t="str">
        <x:v>keyboard_route</x:v>
      </x:c>
      <x:c r="P47" s="12" t="n">
        <x:v>-4</x:v>
      </x:c>
      <x:c r="Q47" s="12" t="n">
        <x:v>0</x:v>
      </x:c>
      <x:c r="R47" s="12" t="n">
        <x:v>4</x:v>
      </x:c>
      <x:c r="S47" s="12" t="n">
        <x:v>3</x:v>
      </x:c>
      <x:c r="T47" s="1" t="str">
        <x:v>Yes</x:v>
      </x:c>
      <x:c r="U47" s="1" t="n">
        <x:v>0</x:v>
      </x:c>
    </x:row>
    <x:row r="48" ht="23" customHeight="1">
      <x:c r="A48" s="9" t="n">
        <x:v>47</x:v>
      </x:c>
      <x:c r="B48" s="9" t="n">
        <x:v>144</x:v>
      </x:c>
      <x:c r="C48" s="9" t="n">
        <x:v>1083</x:v>
      </x:c>
      <x:c r="D48" s="9" t="n">
        <x:v>2</x:v>
      </x:c>
      <x:c r="E48" s="9" t="n">
        <x:v>119472.99999999627</x:v>
      </x:c>
      <x:c r="F48" s="9" t="n">
        <x:v>33136</x:v>
      </x:c>
      <x:c r="G48" s="9" t="n">
        <x:v>71411</x:v>
      </x:c>
      <x:c r="H48" s="9" t="n">
        <x:v>12255</x:v>
      </x:c>
      <x:c r="I48" s="9" t="n">
        <x:v>2565</x:v>
      </x:c>
      <x:c r="J48" s="9" t="n">
        <x:v>105.99999999627471</x:v>
      </x:c>
      <x:c r="K48" s="9" t="n">
        <x:f>F48+G48+I48+J48</x:f>
        <x:v>107217.99999999627</x:v>
      </x:c>
      <x:c r="L48" s="10" t="n">
        <x:f>K48/Sources!$B$4*1000</x:f>
        <x:v>29.952968882915645</x:v>
      </x:c>
      <x:c r="M48" s="10" t="n">
        <x:f>E48/Sources!$B$4*1000</x:f>
        <x:v>33.37658836528002</x:v>
      </x:c>
      <x:c r="N48" s="9" t="n">
        <x:f>Sources!$B$6-K48</x:f>
        <x:v>-47481.999999996275</x:v>
      </x:c>
      <x:c r="O48" s="1" t="str">
        <x:v>keyboard_route</x:v>
      </x:c>
      <x:c r="P48" s="12" t="n">
        <x:v>-4</x:v>
      </x:c>
      <x:c r="Q48" s="12" t="n">
        <x:v>0</x:v>
      </x:c>
      <x:c r="R48" s="12" t="n">
        <x:v>0</x:v>
      </x:c>
      <x:c r="S48" s="12" t="n">
        <x:v>3</x:v>
      </x:c>
      <x:c r="T48" s="1" t="str">
        <x:v>No</x:v>
      </x:c>
      <x:c r="U48" s="1" t="n">
        <x:v>0</x:v>
      </x:c>
    </x:row>
    <x:row r="49" ht="23" customHeight="1">
      <x:c r="A49" s="9" t="n">
        <x:v>48</x:v>
      </x:c>
      <x:c r="B49" s="9" t="n">
        <x:v>140</x:v>
      </x:c>
      <x:c r="C49" s="9" t="n">
        <x:v>1083</x:v>
      </x:c>
      <x:c r="D49" s="9" t="n">
        <x:v>2</x:v>
      </x:c>
      <x:c r="E49" s="9" t="n">
        <x:v>123845</x:v>
      </x:c>
      <x:c r="F49" s="9" t="n">
        <x:v>34471.000000003725</x:v>
      </x:c>
      <x:c r="G49" s="9" t="n">
        <x:v>57119.999999996275</x:v>
      </x:c>
      <x:c r="H49" s="9" t="n">
        <x:v>25210.000000003725</x:v>
      </x:c>
      <x:c r="I49" s="9" t="n">
        <x:v>6938</x:v>
      </x:c>
      <x:c r="J49" s="9" t="n">
        <x:v>105.99999999627471</x:v>
      </x:c>
      <x:c r="K49" s="9" t="n">
        <x:f>F49+G49+I49+J49</x:f>
        <x:v>98634.99999999627</x:v>
      </x:c>
      <x:c r="L49" s="10" t="n">
        <x:f>K49/Sources!$B$4*1000</x:f>
        <x:v>27.555178102243797</x:v>
      </x:c>
      <x:c r="M49" s="10" t="n">
        <x:f>E49/Sources!$B$4*1000</x:f>
        <x:v>34.59797264736161</x:v>
      </x:c>
      <x:c r="N49" s="9" t="n">
        <x:f>Sources!$B$6-K49</x:f>
        <x:v>-38898.999999996275</x:v>
      </x:c>
      <x:c r="O49" s="1" t="str">
        <x:v>keyboard_route</x:v>
      </x:c>
      <x:c r="P49" s="12" t="n">
        <x:v>-4</x:v>
      </x:c>
      <x:c r="Q49" s="12" t="n">
        <x:v>0</x:v>
      </x:c>
      <x:c r="R49" s="12" t="n">
        <x:v>4</x:v>
      </x:c>
      <x:c r="S49" s="12" t="n">
        <x:v>3</x:v>
      </x:c>
      <x:c r="T49" s="1" t="str">
        <x:v>Yes</x:v>
      </x:c>
      <x:c r="U49" s="1" t="n">
        <x:v>0</x:v>
      </x:c>
    </x:row>
    <x:row r="50" ht="23" customHeight="1">
      <x:c r="A50" s="9" t="n">
        <x:v>49</x:v>
      </x:c>
      <x:c r="B50" s="9" t="n">
        <x:v>136</x:v>
      </x:c>
      <x:c r="C50" s="9" t="n">
        <x:v>1083</x:v>
      </x:c>
      <x:c r="D50" s="9" t="n">
        <x:v>2</x:v>
      </x:c>
      <x:c r="E50" s="9" t="n">
        <x:v>115098.00000000373</x:v>
      </x:c>
      <x:c r="F50" s="9" t="n">
        <x:v>33067.000000003725</x:v>
      </x:c>
      <x:c r="G50" s="9" t="n">
        <x:v>67610</x:v>
      </x:c>
      <x:c r="H50" s="9" t="n">
        <x:v>11750</x:v>
      </x:c>
      <x:c r="I50" s="9" t="n">
        <x:v>2565</x:v>
      </x:c>
      <x:c r="J50" s="9" t="n">
        <x:v>106</x:v>
      </x:c>
      <x:c r="K50" s="9" t="n">
        <x:f>F50+G50+I50+J50</x:f>
        <x:v>103348.00000000373</x:v>
      </x:c>
      <x:c r="L50" s="10" t="n">
        <x:f>K50/Sources!$B$4*1000</x:f>
        <x:v>28.871825888486867</x:v>
      </x:c>
      <x:c r="M50" s="10" t="n">
        <x:f>E50/Sources!$B$4*1000</x:f>
        <x:v>32.154365987857034</x:v>
      </x:c>
      <x:c r="N50" s="9" t="n">
        <x:f>Sources!$B$6-K50</x:f>
        <x:v>-43612.000000003725</x:v>
      </x:c>
      <x:c r="O50" s="1" t="str">
        <x:v>keyboard_route</x:v>
      </x:c>
      <x:c r="P50" s="12" t="n">
        <x:v>-4</x:v>
      </x:c>
      <x:c r="Q50" s="12" t="n">
        <x:v>0</x:v>
      </x:c>
      <x:c r="R50" s="12" t="n">
        <x:v>0</x:v>
      </x:c>
      <x:c r="S50" s="12" t="n">
        <x:v>3</x:v>
      </x:c>
      <x:c r="T50" s="1" t="str">
        <x:v>No</x:v>
      </x:c>
      <x:c r="U50" s="1" t="n">
        <x:v>0</x:v>
      </x:c>
    </x:row>
    <x:row r="51" ht="23" customHeight="1">
      <x:c r="A51" s="9" t="n">
        <x:v>50</x:v>
      </x:c>
      <x:c r="B51" s="9" t="n">
        <x:v>132</x:v>
      </x:c>
      <x:c r="C51" s="9" t="n">
        <x:v>1083</x:v>
      </x:c>
      <x:c r="D51" s="9" t="n">
        <x:v>2</x:v>
      </x:c>
      <x:c r="E51" s="9" t="n">
        <x:v>119475</x:v>
      </x:c>
      <x:c r="F51" s="9" t="n">
        <x:v>29735.999999996275</x:v>
      </x:c>
      <x:c r="G51" s="9" t="n">
        <x:v>55398.000000003725</x:v>
      </x:c>
      <x:c r="H51" s="9" t="n">
        <x:v>31670</x:v>
      </x:c>
      <x:c r="I51" s="9" t="n">
        <x:v>2565</x:v>
      </x:c>
      <x:c r="J51" s="9" t="n">
        <x:v>106</x:v>
      </x:c>
      <x:c r="K51" s="9" t="n">
        <x:f>F51+G51+I51+J51</x:f>
        <x:v>87805</x:v>
      </x:c>
      <x:c r="L51" s="10" t="n">
        <x:f>K51/Sources!$B$4*1000</x:f>
        <x:v>24.529653908527482</x:v>
      </x:c>
      <x:c r="M51" s="10" t="n">
        <x:f>E51/Sources!$B$4*1000</x:f>
        <x:v>33.37714709551074</x:v>
      </x:c>
      <x:c r="N51" s="9" t="n">
        <x:f>Sources!$B$6-K51</x:f>
        <x:v>-28069</x:v>
      </x:c>
      <x:c r="O51" s="1" t="str">
        <x:v>keyboard_route</x:v>
      </x:c>
      <x:c r="P51" s="12" t="n">
        <x:v>-4</x:v>
      </x:c>
      <x:c r="Q51" s="12" t="n">
        <x:v>0</x:v>
      </x:c>
      <x:c r="R51" s="12" t="n">
        <x:v>4</x:v>
      </x:c>
      <x:c r="S51" s="12" t="n">
        <x:v>3</x:v>
      </x:c>
      <x:c r="T51" s="1" t="str">
        <x:v>Yes</x:v>
      </x:c>
      <x:c r="U51" s="1" t="n">
        <x:v>0</x:v>
      </x:c>
    </x:row>
    <x:row r="52" ht="23" customHeight="1">
      <x:c r="A52" s="9" t="n">
        <x:v>51</x:v>
      </x:c>
      <x:c r="B52" s="9" t="n">
        <x:v>128</x:v>
      </x:c>
      <x:c r="C52" s="9" t="n">
        <x:v>1083</x:v>
      </x:c>
      <x:c r="D52" s="9" t="n">
        <x:v>2</x:v>
      </x:c>
      <x:c r="E52" s="9" t="n">
        <x:v>119469</x:v>
      </x:c>
      <x:c r="F52" s="9" t="n">
        <x:v>34715.999999996275</x:v>
      </x:c>
      <x:c r="G52" s="9" t="n">
        <x:v>64872</x:v>
      </x:c>
      <x:c r="H52" s="9" t="n">
        <x:v>17210.000000003725</x:v>
      </x:c>
      <x:c r="I52" s="9" t="n">
        <x:v>2565</x:v>
      </x:c>
      <x:c r="J52" s="9" t="n">
        <x:v>106</x:v>
      </x:c>
      <x:c r="K52" s="9" t="n">
        <x:f>F52+G52+I52+J52</x:f>
        <x:v>102258.99999999627</x:v>
      </x:c>
      <x:c r="L52" s="10" t="n">
        <x:f>K52/Sources!$B$4*1000</x:f>
        <x:v>28.56759727842401</x:v>
      </x:c>
      <x:c r="M52" s="10" t="n">
        <x:f>E52/Sources!$B$4*1000</x:f>
        <x:v>33.375470904821704</x:v>
      </x:c>
      <x:c r="N52" s="9" t="n">
        <x:f>Sources!$B$6-K52</x:f>
        <x:v>-42522.999999996275</x:v>
      </x:c>
      <x:c r="O52" s="1" t="str">
        <x:v>keyboard_route</x:v>
      </x:c>
      <x:c r="P52" s="12" t="n">
        <x:v>-4</x:v>
      </x:c>
      <x:c r="Q52" s="12" t="n">
        <x:v>0</x:v>
      </x:c>
      <x:c r="R52" s="12" t="n">
        <x:v>0</x:v>
      </x:c>
      <x:c r="S52" s="12" t="n">
        <x:v>3</x:v>
      </x:c>
      <x:c r="T52" s="1" t="str">
        <x:v>No</x:v>
      </x:c>
      <x:c r="U52" s="1" t="n">
        <x:v>0</x:v>
      </x:c>
    </x:row>
    <x:row r="53" ht="23" customHeight="1">
      <x:c r="A53" s="9" t="n">
        <x:v>52</x:v>
      </x:c>
      <x:c r="B53" s="9" t="n">
        <x:v>124</x:v>
      </x:c>
      <x:c r="C53" s="9" t="n">
        <x:v>1083</x:v>
      </x:c>
      <x:c r="D53" s="9" t="n">
        <x:v>2</x:v>
      </x:c>
      <x:c r="E53" s="9" t="n">
        <x:v>119475</x:v>
      </x:c>
      <x:c r="F53" s="9" t="n">
        <x:v>31230.999999996275</x:v>
      </x:c>
      <x:c r="G53" s="9" t="n">
        <x:v>54973</x:v>
      </x:c>
      <x:c r="H53" s="9" t="n">
        <x:v>30600</x:v>
      </x:c>
      <x:c r="I53" s="9" t="n">
        <x:v>2565</x:v>
      </x:c>
      <x:c r="J53" s="9" t="n">
        <x:v>106.00000000372529</x:v>
      </x:c>
      <x:c r="K53" s="9" t="n">
        <x:f>F53+G53+I53+J53</x:f>
        <x:v>88875</x:v>
      </x:c>
      <x:c r="L53" s="10" t="n">
        <x:f>K53/Sources!$B$4*1000</x:f>
        <x:v>24.828574581406297</x:v>
      </x:c>
      <x:c r="M53" s="10" t="n">
        <x:f>E53/Sources!$B$4*1000</x:f>
        <x:v>33.37714709551074</x:v>
      </x:c>
      <x:c r="N53" s="9" t="n">
        <x:f>Sources!$B$6-K53</x:f>
        <x:v>-29139</x:v>
      </x:c>
      <x:c r="O53" s="1" t="str">
        <x:v>keyboard_route</x:v>
      </x:c>
      <x:c r="P53" s="12" t="n">
        <x:v>-4</x:v>
      </x:c>
      <x:c r="Q53" s="12" t="n">
        <x:v>0</x:v>
      </x:c>
      <x:c r="R53" s="12" t="n">
        <x:v>4</x:v>
      </x:c>
      <x:c r="S53" s="12" t="n">
        <x:v>3</x:v>
      </x:c>
      <x:c r="T53" s="1" t="str">
        <x:v>Yes</x:v>
      </x:c>
      <x:c r="U53" s="1" t="n">
        <x:v>0</x:v>
      </x:c>
    </x:row>
    <x:row r="54" ht="23" customHeight="1">
      <x:c r="A54" s="9" t="n">
        <x:v>53</x:v>
      </x:c>
      <x:c r="B54" s="9" t="n">
        <x:v>120</x:v>
      </x:c>
      <x:c r="C54" s="9" t="n">
        <x:v>1083</x:v>
      </x:c>
      <x:c r="D54" s="9" t="n">
        <x:v>2</x:v>
      </x:c>
      <x:c r="E54" s="9" t="n">
        <x:v>119471</x:v>
      </x:c>
      <x:c r="F54" s="9" t="n">
        <x:v>35925</x:v>
      </x:c>
      <x:c r="G54" s="9" t="n">
        <x:v>61304.999999996275</x:v>
      </x:c>
      <x:c r="H54" s="9" t="n">
        <x:v>19570</x:v>
      </x:c>
      <x:c r="I54" s="9" t="n">
        <x:v>2565</x:v>
      </x:c>
      <x:c r="J54" s="9" t="n">
        <x:v>106.00000000372529</x:v>
      </x:c>
      <x:c r="K54" s="9" t="n">
        <x:f>F54+G54+I54+J54</x:f>
        <x:v>99901</x:v>
      </x:c>
      <x:c r="L54" s="10" t="n">
        <x:f>K54/Sources!$B$4*1000</x:f>
        <x:v>27.9088543376323</x:v>
      </x:c>
      <x:c r="M54" s="10" t="n">
        <x:f>E54/Sources!$B$4*1000</x:f>
        <x:v>33.37602963505138</x:v>
      </x:c>
      <x:c r="N54" s="9" t="n">
        <x:f>Sources!$B$6-K54</x:f>
        <x:v>-40165</x:v>
      </x:c>
      <x:c r="O54" s="1" t="str">
        <x:v>keyboard_route</x:v>
      </x:c>
      <x:c r="P54" s="12" t="n">
        <x:v>-4</x:v>
      </x:c>
      <x:c r="Q54" s="12" t="n">
        <x:v>0</x:v>
      </x:c>
      <x:c r="R54" s="12" t="n">
        <x:v>0</x:v>
      </x:c>
      <x:c r="S54" s="12" t="n">
        <x:v>3</x:v>
      </x:c>
      <x:c r="T54" s="1" t="str">
        <x:v>No</x:v>
      </x:c>
      <x:c r="U54" s="1" t="n">
        <x:v>0</x:v>
      </x:c>
    </x:row>
    <x:row r="55" ht="23" customHeight="1">
      <x:c r="A55" s="9" t="n">
        <x:v>54</x:v>
      </x:c>
      <x:c r="B55" s="9" t="n">
        <x:v>116</x:v>
      </x:c>
      <x:c r="C55" s="9" t="n">
        <x:v>1083</x:v>
      </x:c>
      <x:c r="D55" s="9" t="n">
        <x:v>2</x:v>
      </x:c>
      <x:c r="E55" s="9" t="n">
        <x:v>119472.99999999627</x:v>
      </x:c>
      <x:c r="F55" s="9" t="n">
        <x:v>30592</x:v>
      </x:c>
      <x:c r="G55" s="9" t="n">
        <x:v>53485</x:v>
      </x:c>
      <x:c r="H55" s="9" t="n">
        <x:v>32725</x:v>
      </x:c>
      <x:c r="I55" s="9" t="n">
        <x:v>2565</x:v>
      </x:c>
      <x:c r="J55" s="9" t="n">
        <x:v>105.99999999627471</x:v>
      </x:c>
      <x:c r="K55" s="9" t="n">
        <x:f>F55+G55+I55+J55</x:f>
        <x:v>86747.99999999627</x:v>
      </x:c>
      <x:c r="L55" s="10" t="n">
        <x:f>K55/Sources!$B$4*1000</x:f>
        <x:v>24.234364982140544</x:v>
      </x:c>
      <x:c r="M55" s="10" t="n">
        <x:f>E55/Sources!$B$4*1000</x:f>
        <x:v>33.37658836528002</x:v>
      </x:c>
      <x:c r="N55" s="9" t="n">
        <x:f>Sources!$B$6-K55</x:f>
        <x:v>-27011.999999996275</x:v>
      </x:c>
      <x:c r="O55" s="1" t="str">
        <x:v>keyboard_route</x:v>
      </x:c>
      <x:c r="P55" s="12" t="n">
        <x:v>-4</x:v>
      </x:c>
      <x:c r="Q55" s="12" t="n">
        <x:v>0</x:v>
      </x:c>
      <x:c r="R55" s="12" t="n">
        <x:v>4</x:v>
      </x:c>
      <x:c r="S55" s="12" t="n">
        <x:v>3</x:v>
      </x:c>
      <x:c r="T55" s="1" t="str">
        <x:v>Yes</x:v>
      </x:c>
      <x:c r="U55" s="1" t="n">
        <x:v>0</x:v>
      </x:c>
    </x:row>
    <x:row r="56" ht="23" customHeight="1">
      <x:c r="A56" s="9" t="n">
        <x:v>55</x:v>
      </x:c>
      <x:c r="B56" s="9" t="n">
        <x:v>112</x:v>
      </x:c>
      <x:c r="C56" s="9" t="n">
        <x:v>1083</x:v>
      </x:c>
      <x:c r="D56" s="9" t="n">
        <x:v>2</x:v>
      </x:c>
      <x:c r="E56" s="9" t="n">
        <x:v>119471</x:v>
      </x:c>
      <x:c r="F56" s="9" t="n">
        <x:v>34462.000000003725</x:v>
      </x:c>
      <x:c r="G56" s="9" t="n">
        <x:v>57737.999999996275</x:v>
      </x:c>
      <x:c r="H56" s="9" t="n">
        <x:v>24600</x:v>
      </x:c>
      <x:c r="I56" s="9" t="n">
        <x:v>2565</x:v>
      </x:c>
      <x:c r="J56" s="9" t="n">
        <x:v>106</x:v>
      </x:c>
      <x:c r="K56" s="9" t="n">
        <x:f>F56+G56+I56+J56</x:f>
        <x:v>94871</x:v>
      </x:c>
      <x:c r="L56" s="10" t="n">
        <x:f>K56/Sources!$B$4*1000</x:f>
        <x:v>26.503647809987022</x:v>
      </x:c>
      <x:c r="M56" s="10" t="n">
        <x:f>E56/Sources!$B$4*1000</x:f>
        <x:v>33.37602963505138</x:v>
      </x:c>
      <x:c r="N56" s="9" t="n">
        <x:f>Sources!$B$6-K56</x:f>
        <x:v>-35135</x:v>
      </x:c>
      <x:c r="O56" s="1" t="str">
        <x:v>keyboard_route</x:v>
      </x:c>
      <x:c r="P56" s="12" t="n">
        <x:v>-4</x:v>
      </x:c>
      <x:c r="Q56" s="12" t="n">
        <x:v>0</x:v>
      </x:c>
      <x:c r="R56" s="12" t="n">
        <x:v>0</x:v>
      </x:c>
      <x:c r="S56" s="12" t="n">
        <x:v>3</x:v>
      </x:c>
      <x:c r="T56" s="1" t="str">
        <x:v>No</x:v>
      </x:c>
      <x:c r="U56" s="1" t="n">
        <x:v>0</x:v>
      </x:c>
    </x:row>
    <x:row r="57" ht="23" customHeight="1">
      <x:c r="A57" s="9" t="n">
        <x:v>56</x:v>
      </x:c>
      <x:c r="B57" s="9" t="n">
        <x:v>108</x:v>
      </x:c>
      <x:c r="C57" s="9" t="n">
        <x:v>1083</x:v>
      </x:c>
      <x:c r="D57" s="9" t="n">
        <x:v>2</x:v>
      </x:c>
      <x:c r="E57" s="9" t="n">
        <x:v>119472.00000000373</x:v>
      </x:c>
      <x:c r="F57" s="9" t="n">
        <x:v>30534.000000003725</x:v>
      </x:c>
      <x:c r="G57" s="9" t="n">
        <x:v>51997</x:v>
      </x:c>
      <x:c r="H57" s="9" t="n">
        <x:v>34270</x:v>
      </x:c>
      <x:c r="I57" s="9" t="n">
        <x:v>2565</x:v>
      </x:c>
      <x:c r="J57" s="9" t="n">
        <x:v>106</x:v>
      </x:c>
      <x:c r="K57" s="9" t="n">
        <x:f>F57+G57+I57+J57</x:f>
        <x:v>85202.00000000373</x:v>
      </x:c>
      <x:c r="L57" s="10" t="n">
        <x:f>K57/Sources!$B$4*1000</x:f>
        <x:v>23.802466514599963</x:v>
      </x:c>
      <x:c r="M57" s="10" t="n">
        <x:f>E57/Sources!$B$4*1000</x:f>
        <x:v>33.37630900016726</x:v>
      </x:c>
      <x:c r="N57" s="9" t="n">
        <x:f>Sources!$B$6-K57</x:f>
        <x:v>-25466.000000003725</x:v>
      </x:c>
      <x:c r="O57" s="1" t="str">
        <x:v>keyboard_route</x:v>
      </x:c>
      <x:c r="P57" s="12" t="n">
        <x:v>-4</x:v>
      </x:c>
      <x:c r="Q57" s="12" t="n">
        <x:v>0</x:v>
      </x:c>
      <x:c r="R57" s="12" t="n">
        <x:v>4</x:v>
      </x:c>
      <x:c r="S57" s="12" t="n">
        <x:v>3</x:v>
      </x:c>
      <x:c r="T57" s="1" t="str">
        <x:v>Yes</x:v>
      </x:c>
      <x:c r="U57" s="1" t="n">
        <x:v>0</x:v>
      </x:c>
    </x:row>
    <x:row r="58" ht="23" customHeight="1">
      <x:c r="A58" s="9" t="n">
        <x:v>57</x:v>
      </x:c>
      <x:c r="B58" s="9" t="n">
        <x:v>104</x:v>
      </x:c>
      <x:c r="C58" s="9" t="n">
        <x:v>1083</x:v>
      </x:c>
      <x:c r="D58" s="9" t="n">
        <x:v>2</x:v>
      </x:c>
      <x:c r="E58" s="9" t="n">
        <x:v>119469</x:v>
      </x:c>
      <x:c r="F58" s="9" t="n">
        <x:v>34787</x:v>
      </x:c>
      <x:c r="G58" s="9" t="n">
        <x:v>54171</x:v>
      </x:c>
      <x:c r="H58" s="9" t="n">
        <x:v>27839.999999996275</x:v>
      </x:c>
      <x:c r="I58" s="9" t="n">
        <x:v>2565</x:v>
      </x:c>
      <x:c r="J58" s="9" t="n">
        <x:v>106.00000000372529</x:v>
      </x:c>
      <x:c r="K58" s="9" t="n">
        <x:f>F58+G58+I58+J58</x:f>
        <x:v>91629.00000000373</x:v>
      </x:c>
      <x:c r="L58" s="10" t="n">
        <x:f>K58/Sources!$B$4*1000</x:f>
        <x:v>25.597946107676737</x:v>
      </x:c>
      <x:c r="M58" s="10" t="n">
        <x:f>E58/Sources!$B$4*1000</x:f>
        <x:v>33.375470904821704</x:v>
      </x:c>
      <x:c r="N58" s="9" t="n">
        <x:f>Sources!$B$6-K58</x:f>
        <x:v>-31893.000000003725</x:v>
      </x:c>
      <x:c r="O58" s="1" t="str">
        <x:v>keyboard_route</x:v>
      </x:c>
      <x:c r="P58" s="12" t="n">
        <x:v>-4</x:v>
      </x:c>
      <x:c r="Q58" s="12" t="n">
        <x:v>0</x:v>
      </x:c>
      <x:c r="R58" s="12" t="n">
        <x:v>0</x:v>
      </x:c>
      <x:c r="S58" s="12" t="n">
        <x:v>3</x:v>
      </x:c>
      <x:c r="T58" s="1" t="str">
        <x:v>No</x:v>
      </x:c>
      <x:c r="U58" s="1" t="n">
        <x:v>0</x:v>
      </x:c>
    </x:row>
    <x:row r="59" ht="23" customHeight="1">
      <x:c r="A59" s="9" t="n">
        <x:v>58</x:v>
      </x:c>
      <x:c r="B59" s="9" t="n">
        <x:v>100</x:v>
      </x:c>
      <x:c r="C59" s="9" t="n">
        <x:v>1083</x:v>
      </x:c>
      <x:c r="D59" s="9" t="n">
        <x:v>2</x:v>
      </x:c>
      <x:c r="E59" s="9" t="n">
        <x:v>119475</x:v>
      </x:c>
      <x:c r="F59" s="9" t="n">
        <x:v>31480</x:v>
      </x:c>
      <x:c r="G59" s="9" t="n">
        <x:v>50509</x:v>
      </x:c>
      <x:c r="H59" s="9" t="n">
        <x:v>34815</x:v>
      </x:c>
      <x:c r="I59" s="9" t="n">
        <x:v>2564.9999999962747</x:v>
      </x:c>
      <x:c r="J59" s="9" t="n">
        <x:v>106.00000000372529</x:v>
      </x:c>
      <x:c r="K59" s="9" t="n">
        <x:f>F59+G59+I59+J59</x:f>
        <x:v>84660</x:v>
      </x:c>
      <x:c r="L59" s="10" t="n">
        <x:f>K59/Sources!$B$4*1000</x:f>
        <x:v>23.651050622355637</x:v>
      </x:c>
      <x:c r="M59" s="10" t="n">
        <x:f>E59/Sources!$B$4*1000</x:f>
        <x:v>33.37714709551074</x:v>
      </x:c>
      <x:c r="N59" s="9" t="n">
        <x:f>Sources!$B$6-K59</x:f>
        <x:v>-24924</x:v>
      </x:c>
      <x:c r="O59" s="1" t="str">
        <x:v>keyboard_route</x:v>
      </x:c>
      <x:c r="P59" s="12" t="n">
        <x:v>-4</x:v>
      </x:c>
      <x:c r="Q59" s="12" t="n">
        <x:v>0</x:v>
      </x:c>
      <x:c r="R59" s="12" t="n">
        <x:v>4</x:v>
      </x:c>
      <x:c r="S59" s="12" t="n">
        <x:v>3</x:v>
      </x:c>
      <x:c r="T59" s="1" t="str">
        <x:v>Yes</x:v>
      </x:c>
      <x:c r="U59" s="1" t="n">
        <x:v>0</x:v>
      </x:c>
    </x:row>
    <x:row r="60" ht="23" customHeight="1">
      <x:c r="A60" s="9" t="n">
        <x:v>59</x:v>
      </x:c>
      <x:c r="B60" s="9" t="n">
        <x:v>96</x:v>
      </x:c>
      <x:c r="C60" s="9" t="n">
        <x:v>1083</x:v>
      </x:c>
      <x:c r="D60" s="9" t="n">
        <x:v>2</x:v>
      </x:c>
      <x:c r="E60" s="9" t="n">
        <x:v>119471.99999999627</x:v>
      </x:c>
      <x:c r="F60" s="9" t="n">
        <x:v>36822</x:v>
      </x:c>
      <x:c r="G60" s="9" t="n">
        <x:v>50603.999999996275</x:v>
      </x:c>
      <x:c r="H60" s="9" t="n">
        <x:v>29375</x:v>
      </x:c>
      <x:c r="I60" s="9" t="n">
        <x:v>2565.0000000037253</x:v>
      </x:c>
      <x:c r="J60" s="9" t="n">
        <x:v>105.99999999627471</x:v>
      </x:c>
      <x:c r="K60" s="9" t="n">
        <x:f>F60+G60+I60+J60</x:f>
        <x:v>90096.99999999627</x:v>
      </x:c>
      <x:c r="L60" s="10" t="n">
        <x:f>K60/Sources!$B$4*1000</x:f>
        <x:v>25.169958751739753</x:v>
      </x:c>
      <x:c r="M60" s="10" t="n">
        <x:f>E60/Sources!$B$4*1000</x:f>
        <x:v>33.37630900016518</x:v>
      </x:c>
      <x:c r="N60" s="9" t="n">
        <x:f>Sources!$B$6-K60</x:f>
        <x:v>-30360.999999996275</x:v>
      </x:c>
      <x:c r="O60" s="1" t="str">
        <x:v>keyboard_route</x:v>
      </x:c>
      <x:c r="P60" s="12" t="n">
        <x:v>-4</x:v>
      </x:c>
      <x:c r="Q60" s="12" t="n">
        <x:v>0</x:v>
      </x:c>
      <x:c r="R60" s="12" t="n">
        <x:v>0</x:v>
      </x:c>
      <x:c r="S60" s="12" t="n">
        <x:v>3</x:v>
      </x:c>
      <x:c r="T60" s="1" t="str">
        <x:v>No</x:v>
      </x:c>
      <x:c r="U60" s="1" t="n">
        <x:v>0</x:v>
      </x:c>
    </x:row>
    <x:row r="61" ht="23" customHeight="1">
      <x:c r="A61" s="9" t="n">
        <x:v>60</x:v>
      </x:c>
      <x:c r="B61" s="9" t="n">
        <x:v>92</x:v>
      </x:c>
      <x:c r="C61" s="9" t="n">
        <x:v>1083</x:v>
      </x:c>
      <x:c r="D61" s="9" t="n">
        <x:v>2</x:v>
      </x:c>
      <x:c r="E61" s="9" t="n">
        <x:v>119472</x:v>
      </x:c>
      <x:c r="F61" s="9" t="n">
        <x:v>30900.000000003725</x:v>
      </x:c>
      <x:c r="G61" s="9" t="n">
        <x:v>49020.999999996275</x:v>
      </x:c>
      <x:c r="H61" s="9" t="n">
        <x:v>36880.000000003725</x:v>
      </x:c>
      <x:c r="I61" s="9" t="n">
        <x:v>2565</x:v>
      </x:c>
      <x:c r="J61" s="9" t="n">
        <x:v>105.99999999627471</x:v>
      </x:c>
      <x:c r="K61" s="9" t="n">
        <x:f>F61+G61+I61+J61</x:f>
        <x:v>82591.99999999627</x:v>
      </x:c>
      <x:c r="L61" s="10" t="n">
        <x:f>K61/Sources!$B$4*1000</x:f>
        <x:v>23.073323564865444</x:v>
      </x:c>
      <x:c r="M61" s="10" t="n">
        <x:f>E61/Sources!$B$4*1000</x:f>
        <x:v>33.37630900016622</x:v>
      </x:c>
      <x:c r="N61" s="9" t="n">
        <x:f>Sources!$B$6-K61</x:f>
        <x:v>-22855.999999996275</x:v>
      </x:c>
      <x:c r="O61" s="1" t="str">
        <x:v>keyboard_route</x:v>
      </x:c>
      <x:c r="P61" s="12" t="n">
        <x:v>-4</x:v>
      </x:c>
      <x:c r="Q61" s="12" t="n">
        <x:v>0</x:v>
      </x:c>
      <x:c r="R61" s="12" t="n">
        <x:v>4</x:v>
      </x:c>
      <x:c r="S61" s="12" t="n">
        <x:v>3</x:v>
      </x:c>
      <x:c r="T61" s="1" t="str">
        <x:v>Yes</x:v>
      </x:c>
      <x:c r="U61" s="1" t="n">
        <x:v>0</x:v>
      </x:c>
    </x:row>
    <x:row r="62" ht="23" customHeight="1">
      <x:c r="A62" s="9" t="n">
        <x:v>61</x:v>
      </x:c>
      <x:c r="B62" s="9" t="n">
        <x:v>88</x:v>
      </x:c>
      <x:c r="C62" s="9" t="n">
        <x:v>1083</x:v>
      </x:c>
      <x:c r="D62" s="9" t="n">
        <x:v>2</x:v>
      </x:c>
      <x:c r="E62" s="9" t="n">
        <x:v>119470.00000000373</x:v>
      </x:c>
      <x:c r="F62" s="9" t="n">
        <x:v>34337</x:v>
      </x:c>
      <x:c r="G62" s="9" t="n">
        <x:v>47037</x:v>
      </x:c>
      <x:c r="H62" s="9" t="n">
        <x:v>35424.999999996275</x:v>
      </x:c>
      <x:c r="I62" s="9" t="n">
        <x:v>2565.0000000037253</x:v>
      </x:c>
      <x:c r="J62" s="9" t="n">
        <x:v>106.00000000372529</x:v>
      </x:c>
      <x:c r="K62" s="9" t="n">
        <x:f>F62+G62+I62+J62</x:f>
        <x:v>84045.00000000745</x:v>
      </x:c>
      <x:c r="L62" s="10" t="n">
        <x:f>K62/Sources!$B$4*1000</x:f>
        <x:v>23.479241076731107</x:v>
      </x:c>
      <x:c r="M62" s="10" t="n">
        <x:f>E62/Sources!$B$4*1000</x:f>
        <x:v>33.37575026993758</x:v>
      </x:c>
      <x:c r="N62" s="9" t="n">
        <x:f>Sources!$B$6-K62</x:f>
        <x:v>-24309.00000000745</x:v>
      </x:c>
      <x:c r="O62" s="1" t="str">
        <x:v>keyboard_route</x:v>
      </x:c>
      <x:c r="P62" s="12" t="n">
        <x:v>-4</x:v>
      </x:c>
      <x:c r="Q62" s="12" t="n">
        <x:v>0</x:v>
      </x:c>
      <x:c r="R62" s="12" t="n">
        <x:v>0</x:v>
      </x:c>
      <x:c r="S62" s="12" t="n">
        <x:v>3</x:v>
      </x:c>
      <x:c r="T62" s="1" t="str">
        <x:v>No</x:v>
      </x:c>
      <x:c r="U62" s="1" t="n">
        <x:v>0</x:v>
      </x:c>
    </x:row>
    <x:row r="63" ht="23" customHeight="1">
      <x:c r="A63" s="9" t="n">
        <x:v>62</x:v>
      </x:c>
      <x:c r="B63" s="9" t="n">
        <x:v>84</x:v>
      </x:c>
      <x:c r="C63" s="9" t="n">
        <x:v>1083</x:v>
      </x:c>
      <x:c r="D63" s="9" t="n">
        <x:v>2</x:v>
      </x:c>
      <x:c r="E63" s="9" t="n">
        <x:v>119474</x:v>
      </x:c>
      <x:c r="F63" s="9" t="n">
        <x:v>32520.000000003725</x:v>
      </x:c>
      <x:c r="G63" s="9" t="n">
        <x:v>47532.999999996275</x:v>
      </x:c>
      <x:c r="H63" s="9" t="n">
        <x:v>36750.000000003725</x:v>
      </x:c>
      <x:c r="I63" s="9" t="n">
        <x:v>2565</x:v>
      </x:c>
      <x:c r="J63" s="9" t="n">
        <x:v>105.99999999627471</x:v>
      </x:c>
      <x:c r="K63" s="9" t="n">
        <x:f>F63+G63+I63+J63</x:f>
        <x:v>82723.99999999627</x:v>
      </x:c>
      <x:c r="L63" s="10" t="n">
        <x:f>K63/Sources!$B$4*1000</x:f>
        <x:v>23.110199760024326</x:v>
      </x:c>
      <x:c r="M63" s="10" t="n">
        <x:f>E63/Sources!$B$4*1000</x:f>
        <x:v>33.3768677303959</x:v>
      </x:c>
      <x:c r="N63" s="9" t="n">
        <x:f>Sources!$B$6-K63</x:f>
        <x:v>-22987.999999996275</x:v>
      </x:c>
      <x:c r="O63" s="1" t="str">
        <x:v>keyboard_route</x:v>
      </x:c>
      <x:c r="P63" s="12" t="n">
        <x:v>-4</x:v>
      </x:c>
      <x:c r="Q63" s="12" t="n">
        <x:v>0</x:v>
      </x:c>
      <x:c r="R63" s="12" t="n">
        <x:v>4</x:v>
      </x:c>
      <x:c r="S63" s="12" t="n">
        <x:v>3</x:v>
      </x:c>
      <x:c r="T63" s="1" t="str">
        <x:v>Yes</x:v>
      </x:c>
      <x:c r="U63" s="1" t="n">
        <x:v>0</x:v>
      </x:c>
    </x:row>
    <x:row r="64" ht="23" customHeight="1">
      <x:c r="A64" s="9" t="n">
        <x:v>63</x:v>
      </x:c>
      <x:c r="B64" s="9" t="n">
        <x:v>80</x:v>
      </x:c>
      <x:c r="C64" s="9" t="n">
        <x:v>1083</x:v>
      </x:c>
      <x:c r="D64" s="9" t="n">
        <x:v>2</x:v>
      </x:c>
      <x:c r="E64" s="9" t="n">
        <x:v>119471</x:v>
      </x:c>
      <x:c r="F64" s="9" t="n">
        <x:v>35702.999999996275</x:v>
      </x:c>
      <x:c r="G64" s="9" t="n">
        <x:v>43556.999999996275</x:v>
      </x:c>
      <x:c r="H64" s="9" t="n">
        <x:v>37540.000000003725</x:v>
      </x:c>
      <x:c r="I64" s="9" t="n">
        <x:v>2565</x:v>
      </x:c>
      <x:c r="J64" s="9" t="n">
        <x:v>106.00000000372529</x:v>
      </x:c>
      <x:c r="K64" s="9" t="n">
        <x:f>F64+G64+I64+J64</x:f>
        <x:v>81930.99999999627</x:v>
      </x:c>
      <x:c r="L64" s="10" t="n">
        <x:f>K64/Sources!$B$4*1000</x:f>
        <x:v>22.888663223956193</x:v>
      </x:c>
      <x:c r="M64" s="10" t="n">
        <x:f>E64/Sources!$B$4*1000</x:f>
        <x:v>33.37602963505138</x:v>
      </x:c>
      <x:c r="N64" s="9" t="n">
        <x:f>Sources!$B$6-K64</x:f>
        <x:v>-22194.999999996275</x:v>
      </x:c>
      <x:c r="O64" s="1" t="str">
        <x:v>keyboard_route</x:v>
      </x:c>
      <x:c r="P64" s="12" t="n">
        <x:v>-4</x:v>
      </x:c>
      <x:c r="Q64" s="12" t="n">
        <x:v>0</x:v>
      </x:c>
      <x:c r="R64" s="12" t="n">
        <x:v>0</x:v>
      </x:c>
      <x:c r="S64" s="12" t="n">
        <x:v>3</x:v>
      </x:c>
      <x:c r="T64" s="1" t="str">
        <x:v>No</x:v>
      </x:c>
      <x:c r="U64" s="1" t="n">
        <x:v>0</x:v>
      </x:c>
    </x:row>
    <x:row r="65" ht="23" customHeight="1">
      <x:c r="A65" s="9" t="n">
        <x:v>64</x:v>
      </x:c>
      <x:c r="B65" s="9" t="n">
        <x:v>76</x:v>
      </x:c>
      <x:c r="C65" s="9" t="n">
        <x:v>1083</x:v>
      </x:c>
      <x:c r="D65" s="9" t="n">
        <x:v>2</x:v>
      </x:c>
      <x:c r="E65" s="9" t="n">
        <x:v>119471</x:v>
      </x:c>
      <x:c r="F65" s="9" t="n">
        <x:v>30911</x:v>
      </x:c>
      <x:c r="G65" s="9" t="n">
        <x:v>46834</x:v>
      </x:c>
      <x:c r="H65" s="9" t="n">
        <x:v>39055</x:v>
      </x:c>
      <x:c r="I65" s="9" t="n">
        <x:v>2565</x:v>
      </x:c>
      <x:c r="J65" s="9" t="n">
        <x:v>106</x:v>
      </x:c>
      <x:c r="K65" s="9" t="n">
        <x:f>F65+G65+I65+J65</x:f>
        <x:v>80416</x:v>
      </x:c>
      <x:c r="L65" s="10" t="n">
        <x:f>K65/Sources!$B$4*1000</x:f>
        <x:v>22.465425074974615</x:v>
      </x:c>
      <x:c r="M65" s="10" t="n">
        <x:f>E65/Sources!$B$4*1000</x:f>
        <x:v>33.37602963505138</x:v>
      </x:c>
      <x:c r="N65" s="9" t="n">
        <x:f>Sources!$B$6-K65</x:f>
        <x:v>-20680</x:v>
      </x:c>
      <x:c r="O65" s="1" t="str">
        <x:v>keyboard_route</x:v>
      </x:c>
      <x:c r="P65" s="12" t="n">
        <x:v>-4</x:v>
      </x:c>
      <x:c r="Q65" s="12" t="n">
        <x:v>0</x:v>
      </x:c>
      <x:c r="R65" s="12" t="n">
        <x:v>4</x:v>
      </x:c>
      <x:c r="S65" s="12" t="n">
        <x:v>3</x:v>
      </x:c>
      <x:c r="T65" s="1" t="str">
        <x:v>Yes</x:v>
      </x:c>
      <x:c r="U65" s="1" t="n">
        <x:v>0</x:v>
      </x:c>
    </x:row>
    <x:row r="66" ht="23" customHeight="1">
      <x:c r="A66" s="9" t="n">
        <x:v>65</x:v>
      </x:c>
      <x:c r="B66" s="9" t="n">
        <x:v>72</x:v>
      </x:c>
      <x:c r="C66" s="9" t="n">
        <x:v>1083</x:v>
      </x:c>
      <x:c r="D66" s="9" t="n">
        <x:v>2</x:v>
      </x:c>
      <x:c r="E66" s="9" t="n">
        <x:v>119474</x:v>
      </x:c>
      <x:c r="F66" s="9" t="n">
        <x:v>36385</x:v>
      </x:c>
      <x:c r="G66" s="9" t="n">
        <x:v>29723</x:v>
      </x:c>
      <x:c r="H66" s="9" t="n">
        <x:v>50695</x:v>
      </x:c>
      <x:c r="I66" s="9" t="n">
        <x:v>2565</x:v>
      </x:c>
      <x:c r="J66" s="9" t="n">
        <x:v>106</x:v>
      </x:c>
      <x:c r="K66" s="9" t="n">
        <x:f>F66+G66+I66+J66</x:f>
        <x:v>68779</x:v>
      </x:c>
      <x:c r="L66" s="10" t="n">
        <x:f>K66/Sources!$B$4*1000</x:f>
        <x:v>19.214453233581363</x:v>
      </x:c>
      <x:c r="M66" s="10" t="n">
        <x:f>E66/Sources!$B$4*1000</x:f>
        <x:v>33.3768677303959</x:v>
      </x:c>
      <x:c r="N66" s="9" t="n">
        <x:f>Sources!$B$6-K66</x:f>
        <x:v>-9043</x:v>
      </x:c>
      <x:c r="O66" s="1" t="str">
        <x:v>keyboard_route</x:v>
      </x:c>
      <x:c r="P66" s="12" t="n">
        <x:v>-4</x:v>
      </x:c>
      <x:c r="Q66" s="12" t="n">
        <x:v>0</x:v>
      </x:c>
      <x:c r="R66" s="12" t="n">
        <x:v>0</x:v>
      </x:c>
      <x:c r="S66" s="12" t="n">
        <x:v>3</x:v>
      </x:c>
      <x:c r="T66" s="1" t="str">
        <x:v>No</x:v>
      </x:c>
      <x:c r="U66" s="1" t="n">
        <x:v>0</x:v>
      </x:c>
    </x:row>
    <x:row r="67" ht="23" customHeight="1">
      <x:c r="A67" s="9" t="n">
        <x:v>66</x:v>
      </x:c>
      <x:c r="B67" s="9" t="n">
        <x:v>68</x:v>
      </x:c>
      <x:c r="C67" s="9" t="n">
        <x:v>1083</x:v>
      </x:c>
      <x:c r="D67" s="9" t="n">
        <x:v>2</x:v>
      </x:c>
      <x:c r="E67" s="9" t="n">
        <x:v>119473</x:v>
      </x:c>
      <x:c r="F67" s="9" t="n">
        <x:v>32567.999999996275</x:v>
      </x:c>
      <x:c r="G67" s="9" t="n">
        <x:v>46834</x:v>
      </x:c>
      <x:c r="H67" s="9" t="n">
        <x:v>37400.000000003725</x:v>
      </x:c>
      <x:c r="I67" s="9" t="n">
        <x:v>2565</x:v>
      </x:c>
      <x:c r="J67" s="9" t="n">
        <x:v>106</x:v>
      </x:c>
      <x:c r="K67" s="9" t="n">
        <x:f>F67+G67+I67+J67</x:f>
        <x:v>82072.99999999627</x:v>
      </x:c>
      <x:c r="L67" s="10" t="n">
        <x:f>K67/Sources!$B$4*1000</x:f>
        <x:v>22.928333070263477</x:v>
      </x:c>
      <x:c r="M67" s="10" t="n">
        <x:f>E67/Sources!$B$4*1000</x:f>
        <x:v>33.37658836528106</x:v>
      </x:c>
      <x:c r="N67" s="9" t="n">
        <x:f>Sources!$B$6-K67</x:f>
        <x:v>-22336.999999996275</x:v>
      </x:c>
      <x:c r="O67" s="1" t="str">
        <x:v>keyboard_route</x:v>
      </x:c>
      <x:c r="P67" s="12" t="n">
        <x:v>-4</x:v>
      </x:c>
      <x:c r="Q67" s="12" t="n">
        <x:v>0</x:v>
      </x:c>
      <x:c r="R67" s="12" t="n">
        <x:v>4</x:v>
      </x:c>
      <x:c r="S67" s="12" t="n">
        <x:v>3</x:v>
      </x:c>
      <x:c r="T67" s="1" t="str">
        <x:v>Yes</x:v>
      </x:c>
      <x:c r="U67" s="1" t="n">
        <x:v>0</x:v>
      </x:c>
    </x:row>
    <x:row r="68" ht="23" customHeight="1">
      <x:c r="A68" s="9" t="n">
        <x:v>67</x:v>
      </x:c>
      <x:c r="B68" s="9" t="n">
        <x:v>64</x:v>
      </x:c>
      <x:c r="C68" s="9" t="n">
        <x:v>1083</x:v>
      </x:c>
      <x:c r="D68" s="9" t="n">
        <x:v>2</x:v>
      </x:c>
      <x:c r="E68" s="9" t="n">
        <x:v>119469</x:v>
      </x:c>
      <x:c r="F68" s="9" t="n">
        <x:v>33225</x:v>
      </x:c>
      <x:c r="G68" s="9" t="n">
        <x:v>29722.999999996275</x:v>
      </x:c>
      <x:c r="H68" s="9" t="n">
        <x:v>53850.000000003725</x:v>
      </x:c>
      <x:c r="I68" s="9" t="n">
        <x:v>2565</x:v>
      </x:c>
      <x:c r="J68" s="9" t="n">
        <x:v>106</x:v>
      </x:c>
      <x:c r="K68" s="9" t="n">
        <x:f>F68+G68+I68+J68</x:f>
        <x:v>65618.99999999627</x:v>
      </x:c>
      <x:c r="L68" s="10" t="n">
        <x:f>K68/Sources!$B$4*1000</x:f>
        <x:v>18.331659470685874</x:v>
      </x:c>
      <x:c r="M68" s="10" t="n">
        <x:f>E68/Sources!$B$4*1000</x:f>
        <x:v>33.375470904821704</x:v>
      </x:c>
      <x:c r="N68" s="9" t="n">
        <x:f>Sources!$B$6-K68</x:f>
        <x:v>-5882.999999996275</x:v>
      </x:c>
      <x:c r="O68" s="1" t="str">
        <x:v>keyboard_route</x:v>
      </x:c>
      <x:c r="P68" s="12" t="n">
        <x:v>-4</x:v>
      </x:c>
      <x:c r="Q68" s="12" t="n">
        <x:v>0</x:v>
      </x:c>
      <x:c r="R68" s="12" t="n">
        <x:v>0</x:v>
      </x:c>
      <x:c r="S68" s="12" t="n">
        <x:v>3</x:v>
      </x:c>
      <x:c r="T68" s="1" t="str">
        <x:v>No</x:v>
      </x:c>
      <x:c r="U68" s="1" t="n">
        <x:v>0</x:v>
      </x:c>
    </x:row>
    <x:row r="69" ht="23" customHeight="1">
      <x:c r="A69" s="9" t="n">
        <x:v>68</x:v>
      </x:c>
      <x:c r="B69" s="9" t="n">
        <x:v>60</x:v>
      </x:c>
      <x:c r="C69" s="9" t="n">
        <x:v>1083</x:v>
      </x:c>
      <x:c r="D69" s="9" t="n">
        <x:v>2</x:v>
      </x:c>
      <x:c r="E69" s="9" t="n">
        <x:v>119473.99999999627</x:v>
      </x:c>
      <x:c r="F69" s="9" t="n">
        <x:v>31026</x:v>
      </x:c>
      <x:c r="G69" s="9" t="n">
        <x:v>49407</x:v>
      </x:c>
      <x:c r="H69" s="9" t="n">
        <x:v>36369.999999996275</x:v>
      </x:c>
      <x:c r="I69" s="9" t="n">
        <x:v>2565</x:v>
      </x:c>
      <x:c r="J69" s="9" t="n">
        <x:v>106</x:v>
      </x:c>
      <x:c r="K69" s="9" t="n">
        <x:f>F69+G69+I69+J69</x:f>
        <x:v>83104</x:v>
      </x:c>
      <x:c r="L69" s="10" t="n">
        <x:f>K69/Sources!$B$4*1000</x:f>
        <x:v>23.216358503664573</x:v>
      </x:c>
      <x:c r="M69" s="10" t="n">
        <x:f>E69/Sources!$B$4*1000</x:f>
        <x:v>33.37686773039486</x:v>
      </x:c>
      <x:c r="N69" s="9" t="n">
        <x:f>Sources!$B$6-K69</x:f>
        <x:v>-23368</x:v>
      </x:c>
      <x:c r="O69" s="1" t="str">
        <x:v>keyboard_route</x:v>
      </x:c>
      <x:c r="P69" s="12" t="n">
        <x:v>-4</x:v>
      </x:c>
      <x:c r="Q69" s="12" t="n">
        <x:v>0</x:v>
      </x:c>
      <x:c r="R69" s="12" t="n">
        <x:v>4</x:v>
      </x:c>
      <x:c r="S69" s="12" t="n">
        <x:v>3</x:v>
      </x:c>
      <x:c r="T69" s="1" t="str">
        <x:v>Yes</x:v>
      </x:c>
      <x:c r="U69" s="1" t="n">
        <x:v>0</x:v>
      </x:c>
    </x:row>
    <x:row r="70" ht="23" customHeight="1">
      <x:c r="A70" s="9" t="n">
        <x:v>69</x:v>
      </x:c>
      <x:c r="B70" s="9" t="n">
        <x:v>56</x:v>
      </x:c>
      <x:c r="C70" s="9" t="n">
        <x:v>1083</x:v>
      </x:c>
      <x:c r="D70" s="9" t="n">
        <x:v>2</x:v>
      </x:c>
      <x:c r="E70" s="9" t="n">
        <x:v>119470</x:v>
      </x:c>
      <x:c r="F70" s="9" t="n">
        <x:v>33763</x:v>
      </x:c>
      <x:c r="G70" s="9" t="n">
        <x:v>32296.000000003725</x:v>
      </x:c>
      <x:c r="H70" s="9" t="n">
        <x:v>50739.999999996275</x:v>
      </x:c>
      <x:c r="I70" s="9" t="n">
        <x:v>2565</x:v>
      </x:c>
      <x:c r="J70" s="9" t="n">
        <x:v>106</x:v>
      </x:c>
      <x:c r="K70" s="9" t="n">
        <x:f>F70+G70+I70+J70</x:f>
        <x:v>68730.00000000373</x:v>
      </x:c>
      <x:c r="L70" s="10" t="n">
        <x:f>K70/Sources!$B$4*1000</x:f>
        <x:v>19.200764342955242</x:v>
      </x:c>
      <x:c r="M70" s="10" t="n">
        <x:f>E70/Sources!$B$4*1000</x:f>
        <x:v>33.37575026993654</x:v>
      </x:c>
      <x:c r="N70" s="9" t="n">
        <x:f>Sources!$B$6-K70</x:f>
        <x:v>-8994.000000003725</x:v>
      </x:c>
      <x:c r="O70" s="1" t="str">
        <x:v>keyboard_route</x:v>
      </x:c>
      <x:c r="P70" s="12" t="n">
        <x:v>-4</x:v>
      </x:c>
      <x:c r="Q70" s="12" t="n">
        <x:v>0</x:v>
      </x:c>
      <x:c r="R70" s="12" t="n">
        <x:v>0</x:v>
      </x:c>
      <x:c r="S70" s="12" t="n">
        <x:v>3</x:v>
      </x:c>
      <x:c r="T70" s="1" t="str">
        <x:v>No</x:v>
      </x:c>
      <x:c r="U70" s="1" t="n">
        <x:v>0</x:v>
      </x:c>
    </x:row>
    <x:row r="71" ht="23" customHeight="1">
      <x:c r="A71" s="9" t="n">
        <x:v>70</x:v>
      </x:c>
      <x:c r="B71" s="9" t="n">
        <x:v>52</x:v>
      </x:c>
      <x:c r="C71" s="9" t="n">
        <x:v>1083</x:v>
      </x:c>
      <x:c r="D71" s="9" t="n">
        <x:v>2</x:v>
      </x:c>
      <x:c r="E71" s="9" t="n">
        <x:v>119474.00000000373</x:v>
      </x:c>
      <x:c r="F71" s="9" t="n">
        <x:v>30456</x:v>
      </x:c>
      <x:c r="G71" s="9" t="n">
        <x:v>49407</x:v>
      </x:c>
      <x:c r="H71" s="9" t="n">
        <x:v>36940.000000003725</x:v>
      </x:c>
      <x:c r="I71" s="9" t="n">
        <x:v>2565</x:v>
      </x:c>
      <x:c r="J71" s="9" t="n">
        <x:v>106</x:v>
      </x:c>
      <x:c r="K71" s="9" t="n">
        <x:f>F71+G71+I71+J71</x:f>
        <x:v>82534</x:v>
      </x:c>
      <x:c r="L71" s="10" t="n">
        <x:f>K71/Sources!$B$4*1000</x:f>
        <x:v>23.057120388205764</x:v>
      </x:c>
      <x:c r="M71" s="10" t="n">
        <x:f>E71/Sources!$B$4*1000</x:f>
        <x:v>33.37686773039694</x:v>
      </x:c>
      <x:c r="N71" s="9" t="n">
        <x:f>Sources!$B$6-K71</x:f>
        <x:v>-22798</x:v>
      </x:c>
      <x:c r="O71" s="1" t="str">
        <x:v>keyboard_route</x:v>
      </x:c>
      <x:c r="P71" s="12" t="n">
        <x:v>-4</x:v>
      </x:c>
      <x:c r="Q71" s="12" t="n">
        <x:v>0</x:v>
      </x:c>
      <x:c r="R71" s="12" t="n">
        <x:v>4</x:v>
      </x:c>
      <x:c r="S71" s="12" t="n">
        <x:v>3</x:v>
      </x:c>
      <x:c r="T71" s="1" t="str">
        <x:v>Yes</x:v>
      </x:c>
      <x:c r="U71" s="1" t="n">
        <x:v>0</x:v>
      </x:c>
    </x:row>
    <x:row r="72" ht="23" customHeight="1">
      <x:c r="A72" s="9" t="n">
        <x:v>71</x:v>
      </x:c>
      <x:c r="B72" s="9" t="n">
        <x:v>48</x:v>
      </x:c>
      <x:c r="C72" s="9" t="n">
        <x:v>1083</x:v>
      </x:c>
      <x:c r="D72" s="9" t="n">
        <x:v>2</x:v>
      </x:c>
      <x:c r="E72" s="9" t="n">
        <x:v>119469.99999999627</x:v>
      </x:c>
      <x:c r="F72" s="9" t="n">
        <x:v>38518</x:v>
      </x:c>
      <x:c r="G72" s="9" t="n">
        <x:v>32296</x:v>
      </x:c>
      <x:c r="H72" s="9" t="n">
        <x:v>45984.999999996275</x:v>
      </x:c>
      <x:c r="I72" s="9" t="n">
        <x:v>2565</x:v>
      </x:c>
      <x:c r="J72" s="9" t="n">
        <x:v>106</x:v>
      </x:c>
      <x:c r="K72" s="9" t="n">
        <x:f>F72+G72+I72+J72</x:f>
        <x:v>73485</x:v>
      </x:c>
      <x:c r="L72" s="10" t="n">
        <x:f>K72/Sources!$B$4*1000</x:f>
        <x:v>20.529145464018473</x:v>
      </x:c>
      <x:c r="M72" s="10" t="n">
        <x:f>E72/Sources!$B$4*1000</x:f>
        <x:v>33.3757502699355</x:v>
      </x:c>
      <x:c r="N72" s="9" t="n">
        <x:f>Sources!$B$6-K72</x:f>
        <x:v>-13749</x:v>
      </x:c>
      <x:c r="O72" s="1" t="str">
        <x:v>keyboard_route</x:v>
      </x:c>
      <x:c r="P72" s="12" t="n">
        <x:v>-4</x:v>
      </x:c>
      <x:c r="Q72" s="12" t="n">
        <x:v>0</x:v>
      </x:c>
      <x:c r="R72" s="12" t="n">
        <x:v>0</x:v>
      </x:c>
      <x:c r="S72" s="12" t="n">
        <x:v>3</x:v>
      </x:c>
      <x:c r="T72" s="1" t="str">
        <x:v>No</x:v>
      </x:c>
      <x:c r="U72" s="1" t="n">
        <x:v>0</x:v>
      </x:c>
    </x:row>
    <x:row r="73" ht="23" customHeight="1">
      <x:c r="A73" s="9" t="n">
        <x:v>72</x:v>
      </x:c>
      <x:c r="B73" s="9" t="n">
        <x:v>44</x:v>
      </x:c>
      <x:c r="C73" s="9" t="n">
        <x:v>1083</x:v>
      </x:c>
      <x:c r="D73" s="9" t="n">
        <x:v>2</x:v>
      </x:c>
      <x:c r="E73" s="9" t="n">
        <x:v>119472.00000000373</x:v>
      </x:c>
      <x:c r="F73" s="9" t="n">
        <x:v>32102.000000003725</x:v>
      </x:c>
      <x:c r="G73" s="9" t="n">
        <x:v>48544</x:v>
      </x:c>
      <x:c r="H73" s="9" t="n">
        <x:v>36155</x:v>
      </x:c>
      <x:c r="I73" s="9" t="n">
        <x:v>2565</x:v>
      </x:c>
      <x:c r="J73" s="9" t="n">
        <x:v>106</x:v>
      </x:c>
      <x:c r="K73" s="9" t="n">
        <x:f>F73+G73+I73+J73</x:f>
        <x:v>83317.00000000373</x:v>
      </x:c>
      <x:c r="L73" s="10" t="n">
        <x:f>K73/Sources!$B$4*1000</x:f>
        <x:v>23.275863273126536</x:v>
      </x:c>
      <x:c r="M73" s="10" t="n">
        <x:f>E73/Sources!$B$4*1000</x:f>
        <x:v>33.37630900016726</x:v>
      </x:c>
      <x:c r="N73" s="9" t="n">
        <x:f>Sources!$B$6-K73</x:f>
        <x:v>-23581.000000003725</x:v>
      </x:c>
      <x:c r="O73" s="1" t="str">
        <x:v>keyboard_route</x:v>
      </x:c>
      <x:c r="P73" s="12" t="n">
        <x:v>-4</x:v>
      </x:c>
      <x:c r="Q73" s="12" t="n">
        <x:v>0</x:v>
      </x:c>
      <x:c r="R73" s="12" t="n">
        <x:v>4</x:v>
      </x:c>
      <x:c r="S73" s="12" t="n">
        <x:v>3</x:v>
      </x:c>
      <x:c r="T73" s="1" t="str">
        <x:v>Yes</x:v>
      </x:c>
      <x:c r="U73" s="1" t="n">
        <x:v>0</x:v>
      </x:c>
    </x:row>
    <x:row r="74" ht="23" customHeight="1">
      <x:c r="A74" s="9" t="n">
        <x:v>73</x:v>
      </x:c>
      <x:c r="B74" s="9" t="n">
        <x:v>40</x:v>
      </x:c>
      <x:c r="C74" s="9" t="n">
        <x:v>1083</x:v>
      </x:c>
      <x:c r="D74" s="9" t="n">
        <x:v>2</x:v>
      </x:c>
      <x:c r="E74" s="9" t="n">
        <x:v>119472.99999999627</x:v>
      </x:c>
      <x:c r="F74" s="9" t="n">
        <x:v>32615.999999996275</x:v>
      </x:c>
      <x:c r="G74" s="9" t="n">
        <x:v>32296</x:v>
      </x:c>
      <x:c r="H74" s="9" t="n">
        <x:v>51889.999999996275</x:v>
      </x:c>
      <x:c r="I74" s="9" t="n">
        <x:v>2565</x:v>
      </x:c>
      <x:c r="J74" s="9" t="n">
        <x:v>106.00000000372529</x:v>
      </x:c>
      <x:c r="K74" s="9" t="n">
        <x:f>F74+G74+I74+J74</x:f>
        <x:v>67583</x:v>
      </x:c>
      <x:c r="L74" s="10" t="n">
        <x:f>K74/Sources!$B$4*1000</x:f>
        <x:v>18.880332556232705</x:v>
      </x:c>
      <x:c r="M74" s="10" t="n">
        <x:f>E74/Sources!$B$4*1000</x:f>
        <x:v>33.37658836528002</x:v>
      </x:c>
      <x:c r="N74" s="9" t="n">
        <x:f>Sources!$B$6-K74</x:f>
        <x:v>-7847</x:v>
      </x:c>
      <x:c r="O74" s="1" t="str">
        <x:v>keyboard_route</x:v>
      </x:c>
      <x:c r="P74" s="12" t="n">
        <x:v>-4</x:v>
      </x:c>
      <x:c r="Q74" s="12" t="n">
        <x:v>0</x:v>
      </x:c>
      <x:c r="R74" s="12" t="n">
        <x:v>0</x:v>
      </x:c>
      <x:c r="S74" s="12" t="n">
        <x:v>3</x:v>
      </x:c>
      <x:c r="T74" s="1" t="str">
        <x:v>No</x:v>
      </x:c>
      <x:c r="U74" s="1" t="n">
        <x:v>0</x:v>
      </x:c>
    </x:row>
    <x:row r="75" ht="23" customHeight="1">
      <x:c r="A75" s="9" t="n">
        <x:v>74</x:v>
      </x:c>
      <x:c r="B75" s="9" t="n">
        <x:v>36</x:v>
      </x:c>
      <x:c r="C75" s="9" t="n">
        <x:v>1083</x:v>
      </x:c>
      <x:c r="D75" s="9" t="n">
        <x:v>2</x:v>
      </x:c>
      <x:c r="E75" s="9" t="n">
        <x:v>119473.00000000373</x:v>
      </x:c>
      <x:c r="F75" s="9" t="n">
        <x:v>30553.000000003725</x:v>
      </x:c>
      <x:c r="G75" s="9" t="n">
        <x:v>48544</x:v>
      </x:c>
      <x:c r="H75" s="9" t="n">
        <x:v>37705</x:v>
      </x:c>
      <x:c r="I75" s="9" t="n">
        <x:v>2564.9999999925494</x:v>
      </x:c>
      <x:c r="J75" s="9" t="n">
        <x:v>106.00000000745058</x:v>
      </x:c>
      <x:c r="K75" s="9" t="n">
        <x:f>F75+G75+I75+J75</x:f>
        <x:v>81768.00000000373</x:v>
      </x:c>
      <x:c r="L75" s="10" t="n">
        <x:f>K75/Sources!$B$4*1000</x:f>
        <x:v>22.843126710239353</x:v>
      </x:c>
      <x:c r="M75" s="10" t="n">
        <x:f>E75/Sources!$B$4*1000</x:f>
        <x:v>33.3765883652821</x:v>
      </x:c>
      <x:c r="N75" s="9" t="n">
        <x:f>Sources!$B$6-K75</x:f>
        <x:v>-22032.000000003725</x:v>
      </x:c>
      <x:c r="O75" s="1" t="str">
        <x:v>keyboard_route</x:v>
      </x:c>
      <x:c r="P75" s="12" t="n">
        <x:v>-4</x:v>
      </x:c>
      <x:c r="Q75" s="12" t="n">
        <x:v>0</x:v>
      </x:c>
      <x:c r="R75" s="12" t="n">
        <x:v>4</x:v>
      </x:c>
      <x:c r="S75" s="12" t="n">
        <x:v>3</x:v>
      </x:c>
      <x:c r="T75" s="1" t="str">
        <x:v>Yes</x:v>
      </x:c>
      <x:c r="U75" s="1" t="n">
        <x:v>0</x:v>
      </x:c>
    </x:row>
    <x:row r="76" ht="23" customHeight="1">
      <x:c r="A76" s="9" t="n">
        <x:v>75</x:v>
      </x:c>
      <x:c r="B76" s="9" t="n">
        <x:v>32</x:v>
      </x:c>
      <x:c r="C76" s="9" t="n">
        <x:v>1083</x:v>
      </x:c>
      <x:c r="D76" s="9" t="n">
        <x:v>2</x:v>
      </x:c>
      <x:c r="E76" s="9" t="n">
        <x:v>119471.99999999627</x:v>
      </x:c>
      <x:c r="F76" s="9" t="n">
        <x:v>34340</x:v>
      </x:c>
      <x:c r="G76" s="9" t="n">
        <x:v>32295.999999996275</x:v>
      </x:c>
      <x:c r="H76" s="9" t="n">
        <x:v>50165</x:v>
      </x:c>
      <x:c r="I76" s="9" t="n">
        <x:v>2565</x:v>
      </x:c>
      <x:c r="J76" s="9" t="n">
        <x:v>106</x:v>
      </x:c>
      <x:c r="K76" s="9" t="n">
        <x:f>F76+G76+I76+J76</x:f>
        <x:v>69306.99999999627</x:v>
      </x:c>
      <x:c r="L76" s="10" t="n">
        <x:f>K76/Sources!$B$4*1000</x:f>
        <x:v>19.361958014215848</x:v>
      </x:c>
      <x:c r="M76" s="10" t="n">
        <x:f>E76/Sources!$B$4*1000</x:f>
        <x:v>33.37630900016518</x:v>
      </x:c>
      <x:c r="N76" s="9" t="n">
        <x:f>Sources!$B$6-K76</x:f>
        <x:v>-9570.999999996275</x:v>
      </x:c>
      <x:c r="O76" s="1" t="str">
        <x:v>keyboard_route</x:v>
      </x:c>
      <x:c r="P76" s="12" t="n">
        <x:v>-4</x:v>
      </x:c>
      <x:c r="Q76" s="12" t="n">
        <x:v>0</x:v>
      </x:c>
      <x:c r="R76" s="12" t="n">
        <x:v>0</x:v>
      </x:c>
      <x:c r="S76" s="12" t="n">
        <x:v>3</x:v>
      </x:c>
      <x:c r="T76" s="1" t="str">
        <x:v>No</x:v>
      </x:c>
      <x:c r="U76" s="1" t="n">
        <x:v>0</x:v>
      </x:c>
    </x:row>
    <x:row r="77" ht="23" customHeight="1">
      <x:c r="A77" s="9" t="n">
        <x:v>76</x:v>
      </x:c>
      <x:c r="B77" s="9" t="n">
        <x:v>28</x:v>
      </x:c>
      <x:c r="C77" s="9" t="n">
        <x:v>1083</x:v>
      </x:c>
      <x:c r="D77" s="9" t="n">
        <x:v>2</x:v>
      </x:c>
      <x:c r="E77" s="9" t="n">
        <x:v>119472</x:v>
      </x:c>
      <x:c r="F77" s="9" t="n">
        <x:v>30407.000000003725</x:v>
      </x:c>
      <x:c r="G77" s="9" t="n">
        <x:v>48544</x:v>
      </x:c>
      <x:c r="H77" s="9" t="n">
        <x:v>37849.999999996275</x:v>
      </x:c>
      <x:c r="I77" s="9" t="n">
        <x:v>2565</x:v>
      </x:c>
      <x:c r="J77" s="9" t="n">
        <x:v>106</x:v>
      </x:c>
      <x:c r="K77" s="9" t="n">
        <x:f>F77+G77+I77+J77</x:f>
        <x:v>81622.00000000373</x:v>
      </x:c>
      <x:c r="L77" s="10" t="n">
        <x:f>K77/Sources!$B$4*1000</x:f>
        <x:v>22.80233940347271</x:v>
      </x:c>
      <x:c r="M77" s="10" t="n">
        <x:f>E77/Sources!$B$4*1000</x:f>
        <x:v>33.37630900016622</x:v>
      </x:c>
      <x:c r="N77" s="9" t="n">
        <x:f>Sources!$B$6-K77</x:f>
        <x:v>-21886.000000003725</x:v>
      </x:c>
      <x:c r="O77" s="1" t="str">
        <x:v>keyboard_route</x:v>
      </x:c>
      <x:c r="P77" s="12" t="n">
        <x:v>-4</x:v>
      </x:c>
      <x:c r="Q77" s="12" t="n">
        <x:v>0</x:v>
      </x:c>
      <x:c r="R77" s="12" t="n">
        <x:v>4</x:v>
      </x:c>
      <x:c r="S77" s="12" t="n">
        <x:v>3</x:v>
      </x:c>
      <x:c r="T77" s="1" t="str">
        <x:v>Yes</x:v>
      </x:c>
      <x:c r="U77" s="1" t="n">
        <x:v>0</x:v>
      </x:c>
    </x:row>
    <x:row r="78" ht="23" customHeight="1">
      <x:c r="A78" s="9" t="n">
        <x:v>77</x:v>
      </x:c>
      <x:c r="B78" s="9" t="n">
        <x:v>24</x:v>
      </x:c>
      <x:c r="C78" s="9" t="n">
        <x:v>1083</x:v>
      </x:c>
      <x:c r="D78" s="9" t="n">
        <x:v>2</x:v>
      </x:c>
      <x:c r="E78" s="9" t="n">
        <x:v>119469</x:v>
      </x:c>
      <x:c r="F78" s="9" t="n">
        <x:v>35677.000000003725</x:v>
      </x:c>
      <x:c r="G78" s="9" t="n">
        <x:v>32295.999999996275</x:v>
      </x:c>
      <x:c r="H78" s="9" t="n">
        <x:v>48825.000000003725</x:v>
      </x:c>
      <x:c r="I78" s="9" t="n">
        <x:v>2565</x:v>
      </x:c>
      <x:c r="J78" s="9" t="n">
        <x:v>105.99999999627471</x:v>
      </x:c>
      <x:c r="K78" s="9" t="n">
        <x:f>F78+G78+I78+J78</x:f>
        <x:v>70643.99999999627</x:v>
      </x:c>
      <x:c r="L78" s="10" t="n">
        <x:f>K78/Sources!$B$4*1000</x:f>
        <x:v>19.73546917275695</x:v>
      </x:c>
      <x:c r="M78" s="10" t="n">
        <x:f>E78/Sources!$B$4*1000</x:f>
        <x:v>33.375470904821704</x:v>
      </x:c>
      <x:c r="N78" s="9" t="n">
        <x:f>Sources!$B$6-K78</x:f>
        <x:v>-10907.999999996275</x:v>
      </x:c>
      <x:c r="O78" s="1" t="str">
        <x:v>keyboard_route</x:v>
      </x:c>
      <x:c r="P78" s="12" t="n">
        <x:v>-4</x:v>
      </x:c>
      <x:c r="Q78" s="12" t="n">
        <x:v>0</x:v>
      </x:c>
      <x:c r="R78" s="12" t="n">
        <x:v>0</x:v>
      </x:c>
      <x:c r="S78" s="12" t="n">
        <x:v>3</x:v>
      </x:c>
      <x:c r="T78" s="1" t="str">
        <x:v>No</x:v>
      </x:c>
      <x:c r="U78" s="1" t="n">
        <x:v>0</x:v>
      </x:c>
    </x:row>
    <x:row r="79" ht="23" customHeight="1">
      <x:c r="A79" s="9" t="n">
        <x:v>78</x:v>
      </x:c>
      <x:c r="B79" s="9" t="n">
        <x:v>20</x:v>
      </x:c>
      <x:c r="C79" s="9" t="n">
        <x:v>1083</x:v>
      </x:c>
      <x:c r="D79" s="9" t="n">
        <x:v>2</x:v>
      </x:c>
      <x:c r="E79" s="9" t="n">
        <x:v>119472.00000000373</x:v>
      </x:c>
      <x:c r="F79" s="9" t="n">
        <x:v>33092</x:v>
      </x:c>
      <x:c r="G79" s="9" t="n">
        <x:v>48544</x:v>
      </x:c>
      <x:c r="H79" s="9" t="n">
        <x:v>35165</x:v>
      </x:c>
      <x:c r="I79" s="9" t="n">
        <x:v>2565</x:v>
      </x:c>
      <x:c r="J79" s="9" t="n">
        <x:v>106.00000000372529</x:v>
      </x:c>
      <x:c r="K79" s="9" t="n">
        <x:f>F79+G79+I79+J79</x:f>
        <x:v>84307.00000000373</x:v>
      </x:c>
      <x:c r="L79" s="10" t="n">
        <x:f>K79/Sources!$B$4*1000</x:f>
        <x:v>23.55243473681815</x:v>
      </x:c>
      <x:c r="M79" s="10" t="n">
        <x:f>E79/Sources!$B$4*1000</x:f>
        <x:v>33.37630900016726</x:v>
      </x:c>
      <x:c r="N79" s="9" t="n">
        <x:f>Sources!$B$6-K79</x:f>
        <x:v>-24571.000000003725</x:v>
      </x:c>
      <x:c r="O79" s="1" t="str">
        <x:v>keyboard_route</x:v>
      </x:c>
      <x:c r="P79" s="12" t="n">
        <x:v>-4</x:v>
      </x:c>
      <x:c r="Q79" s="12" t="n">
        <x:v>0</x:v>
      </x:c>
      <x:c r="R79" s="12" t="n">
        <x:v>4</x:v>
      </x:c>
      <x:c r="S79" s="12" t="n">
        <x:v>3</x:v>
      </x:c>
      <x:c r="T79" s="1" t="str">
        <x:v>Yes</x:v>
      </x:c>
      <x:c r="U79" s="1" t="n">
        <x:v>0</x:v>
      </x:c>
    </x:row>
    <x:row r="80" ht="23" customHeight="1">
      <x:c r="A80" s="9" t="n">
        <x:v>79</x:v>
      </x:c>
      <x:c r="B80" s="9" t="n">
        <x:v>16</x:v>
      </x:c>
      <x:c r="C80" s="9" t="n">
        <x:v>1083</x:v>
      </x:c>
      <x:c r="D80" s="9" t="n">
        <x:v>2</x:v>
      </x:c>
      <x:c r="E80" s="9" t="n">
        <x:v>119472</x:v>
      </x:c>
      <x:c r="F80" s="9" t="n">
        <x:v>32955.000000003725</x:v>
      </x:c>
      <x:c r="G80" s="9" t="n">
        <x:v>32296</x:v>
      </x:c>
      <x:c r="H80" s="9" t="n">
        <x:v>51550.000000003725</x:v>
      </x:c>
      <x:c r="I80" s="9" t="n">
        <x:v>2565</x:v>
      </x:c>
      <x:c r="J80" s="9" t="n">
        <x:v>105.99999999254942</x:v>
      </x:c>
      <x:c r="K80" s="9" t="n">
        <x:f>F80+G80+I80+J80</x:f>
        <x:v>67921.99999999627</x:v>
      </x:c>
      <x:c r="L80" s="10" t="n">
        <x:f>K80/Sources!$B$4*1000</x:f>
        <x:v>18.97503733016243</x:v>
      </x:c>
      <x:c r="M80" s="10" t="n">
        <x:f>E80/Sources!$B$4*1000</x:f>
        <x:v>33.37630900016622</x:v>
      </x:c>
      <x:c r="N80" s="9" t="n">
        <x:f>Sources!$B$6-K80</x:f>
        <x:v>-8185.999999996275</x:v>
      </x:c>
      <x:c r="O80" s="1" t="str">
        <x:v>keyboard_route</x:v>
      </x:c>
      <x:c r="P80" s="12" t="n">
        <x:v>-4</x:v>
      </x:c>
      <x:c r="Q80" s="12" t="n">
        <x:v>0</x:v>
      </x:c>
      <x:c r="R80" s="12" t="n">
        <x:v>0</x:v>
      </x:c>
      <x:c r="S80" s="12" t="n">
        <x:v>3</x:v>
      </x:c>
      <x:c r="T80" s="1" t="str">
        <x:v>No</x:v>
      </x:c>
      <x:c r="U80" s="1" t="n">
        <x:v>0</x:v>
      </x:c>
    </x:row>
    <x:row r="81" ht="23" customHeight="1">
      <x:c r="A81" s="9" t="n">
        <x:v>80</x:v>
      </x:c>
      <x:c r="B81" s="9" t="n">
        <x:v>12</x:v>
      </x:c>
      <x:c r="C81" s="9" t="n">
        <x:v>1083</x:v>
      </x:c>
      <x:c r="D81" s="9" t="n">
        <x:v>2</x:v>
      </x:c>
      <x:c r="E81" s="9" t="n">
        <x:v>119474</x:v>
      </x:c>
      <x:c r="F81" s="9" t="n">
        <x:v>32064</x:v>
      </x:c>
      <x:c r="G81" s="9" t="n">
        <x:v>48544</x:v>
      </x:c>
      <x:c r="H81" s="9" t="n">
        <x:v>36195.000000003725</x:v>
      </x:c>
      <x:c r="I81" s="9" t="n">
        <x:v>2565</x:v>
      </x:c>
      <x:c r="J81" s="9" t="n">
        <x:v>105.99999999627471</x:v>
      </x:c>
      <x:c r="K81" s="9" t="n">
        <x:f>F81+G81+I81+J81</x:f>
        <x:v>83278.99999999627</x:v>
      </x:c>
      <x:c r="L81" s="10" t="n">
        <x:f>K81/Sources!$B$4*1000</x:f>
        <x:v>23.265247398760533</x:v>
      </x:c>
      <x:c r="M81" s="10" t="n">
        <x:f>E81/Sources!$B$4*1000</x:f>
        <x:v>33.3768677303959</x:v>
      </x:c>
      <x:c r="N81" s="9" t="n">
        <x:f>Sources!$B$6-K81</x:f>
        <x:v>-23542.999999996275</x:v>
      </x:c>
      <x:c r="O81" s="1" t="str">
        <x:v>keyboard_route</x:v>
      </x:c>
      <x:c r="P81" s="12" t="n">
        <x:v>-4</x:v>
      </x:c>
      <x:c r="Q81" s="12" t="n">
        <x:v>0</x:v>
      </x:c>
      <x:c r="R81" s="12" t="n">
        <x:v>4</x:v>
      </x:c>
      <x:c r="S81" s="12" t="n">
        <x:v>3</x:v>
      </x:c>
      <x:c r="T81" s="1" t="str">
        <x:v>Yes</x:v>
      </x:c>
      <x:c r="U81" s="1" t="n">
        <x:v>0</x:v>
      </x:c>
    </x:row>
    <x:row r="82" ht="23" customHeight="1">
      <x:c r="A82" s="9" t="n">
        <x:v>81</x:v>
      </x:c>
      <x:c r="B82" s="9" t="n">
        <x:v>8</x:v>
      </x:c>
      <x:c r="C82" s="9" t="n">
        <x:v>1083</x:v>
      </x:c>
      <x:c r="D82" s="9" t="n">
        <x:v>2</x:v>
      </x:c>
      <x:c r="E82" s="9" t="n">
        <x:v>119473.99999999627</x:v>
      </x:c>
      <x:c r="F82" s="9" t="n">
        <x:v>32996.999999996275</x:v>
      </x:c>
      <x:c r="G82" s="9" t="n">
        <x:v>32296.000000003725</x:v>
      </x:c>
      <x:c r="H82" s="9" t="n">
        <x:v>51509.999999996275</x:v>
      </x:c>
      <x:c r="I82" s="9" t="n">
        <x:v>2565.0000000037253</x:v>
      </x:c>
      <x:c r="J82" s="9" t="n">
        <x:v>105.99999999627471</x:v>
      </x:c>
      <x:c r="K82" s="9" t="n">
        <x:f>F82+G82+I82+J82</x:f>
        <x:v>67964</x:v>
      </x:c>
      <x:c r="L82" s="10" t="n">
        <x:f>K82/Sources!$B$4*1000</x:f>
        <x:v>18.98677066498675</x:v>
      </x:c>
      <x:c r="M82" s="10" t="n">
        <x:f>E82/Sources!$B$4*1000</x:f>
        <x:v>33.37686773039486</x:v>
      </x:c>
      <x:c r="N82" s="9" t="n">
        <x:f>Sources!$B$6-K82</x:f>
        <x:v>-8228</x:v>
      </x:c>
      <x:c r="O82" s="1" t="str">
        <x:v>keyboard_route</x:v>
      </x:c>
      <x:c r="P82" s="12" t="n">
        <x:v>-4</x:v>
      </x:c>
      <x:c r="Q82" s="12" t="n">
        <x:v>0</x:v>
      </x:c>
      <x:c r="R82" s="12" t="n">
        <x:v>0</x:v>
      </x:c>
      <x:c r="S82" s="12" t="n">
        <x:v>3</x:v>
      </x:c>
      <x:c r="T82" s="1" t="str">
        <x:v>No</x:v>
      </x:c>
      <x:c r="U82" s="1" t="n">
        <x:v>0</x:v>
      </x:c>
    </x:row>
    <x:row r="83" ht="23" customHeight="1">
      <x:c r="A83" s="9" t="n">
        <x:v>82</x:v>
      </x:c>
      <x:c r="B83" s="9" t="n">
        <x:v>4</x:v>
      </x:c>
      <x:c r="C83" s="9" t="n">
        <x:v>1083</x:v>
      </x:c>
      <x:c r="D83" s="9" t="n">
        <x:v>2</x:v>
      </x:c>
      <x:c r="E83" s="9" t="n">
        <x:v>119469.00000000373</x:v>
      </x:c>
      <x:c r="F83" s="9" t="n">
        <x:v>30345</x:v>
      </x:c>
      <x:c r="G83" s="9" t="n">
        <x:v>45968</x:v>
      </x:c>
      <x:c r="H83" s="9" t="n">
        <x:v>40485.000000003725</x:v>
      </x:c>
      <x:c r="I83" s="9" t="n">
        <x:v>2565</x:v>
      </x:c>
      <x:c r="J83" s="9" t="n">
        <x:v>106</x:v>
      </x:c>
      <x:c r="K83" s="9" t="n">
        <x:f>F83+G83+I83+J83</x:f>
        <x:v>78984</x:v>
      </x:c>
      <x:c r="L83" s="10" t="n">
        <x:f>K83/Sources!$B$4*1000</x:f>
        <x:v>22.065374230523712</x:v>
      </x:c>
      <x:c r="M83" s="10" t="n">
        <x:f>E83/Sources!$B$4*1000</x:f>
        <x:v>33.37547090482274</x:v>
      </x:c>
      <x:c r="N83" s="9" t="n">
        <x:f>Sources!$B$6-K83</x:f>
        <x:v>-19248</x:v>
      </x:c>
      <x:c r="O83" s="1" t="str">
        <x:v>keyboard_route</x:v>
      </x:c>
      <x:c r="P83" s="12" t="n">
        <x:v>-4</x:v>
      </x:c>
      <x:c r="Q83" s="12" t="n">
        <x:v>0</x:v>
      </x:c>
      <x:c r="R83" s="12" t="n">
        <x:v>4</x:v>
      </x:c>
      <x:c r="S83" s="12" t="n">
        <x:v>3</x:v>
      </x:c>
      <x:c r="T83" s="1" t="str">
        <x:v>Yes</x:v>
      </x:c>
      <x:c r="U83" s="1" t="n">
        <x:v>0</x:v>
      </x:c>
    </x:row>
    <x:row r="84" ht="23" customHeight="1">
      <x:c r="A84" s="9" t="n">
        <x:v>83</x:v>
      </x:c>
      <x:c r="B84" s="9" t="n">
        <x:v>0</x:v>
      </x:c>
      <x:c r="C84" s="9" t="n">
        <x:v>1083</x:v>
      </x:c>
      <x:c r="D84" s="9" t="n">
        <x:v>2</x:v>
      </x:c>
      <x:c r="E84" s="9" t="n">
        <x:v>119470.99999999627</x:v>
      </x:c>
      <x:c r="F84" s="9" t="n">
        <x:v>32814.999999996275</x:v>
      </x:c>
      <x:c r="G84" s="9" t="n">
        <x:v>29720.000000003725</x:v>
      </x:c>
      <x:c r="H84" s="9" t="n">
        <x:v>54264.999999996275</x:v>
      </x:c>
      <x:c r="I84" s="9" t="n">
        <x:v>2565</x:v>
      </x:c>
      <x:c r="J84" s="9" t="n">
        <x:v>106</x:v>
      </x:c>
      <x:c r="K84" s="9" t="n">
        <x:f>F84+G84+I84+J84</x:f>
        <x:v>65206</x:v>
      </x:c>
      <x:c r="L84" s="10" t="n">
        <x:f>K84/Sources!$B$4*1000</x:f>
        <x:v>18.216281678257992</x:v>
      </x:c>
      <x:c r="M84" s="10" t="n">
        <x:f>E84/Sources!$B$4*1000</x:f>
        <x:v>33.37602963505034</x:v>
      </x:c>
      <x:c r="N84" s="9" t="n">
        <x:f>Sources!$B$6-K84</x:f>
        <x:v>-5470</x:v>
      </x:c>
      <x:c r="O84" s="1" t="str">
        <x:v>keyboard_route</x:v>
      </x:c>
      <x:c r="P84" s="12" t="n">
        <x:v>-4</x:v>
      </x:c>
      <x:c r="Q84" s="12" t="n">
        <x:v>0</x:v>
      </x:c>
      <x:c r="R84" s="12" t="n">
        <x:v>0</x:v>
      </x:c>
      <x:c r="S84" s="12" t="n">
        <x:v>3</x:v>
      </x:c>
      <x:c r="T84" s="1" t="str">
        <x:v>No</x:v>
      </x:c>
      <x:c r="U84" s="1" t="n">
        <x:v>0</x:v>
      </x:c>
    </x:row>
    <x:row r="85" ht="23" customHeight="1">
      <x:c r="A85" s="9" t="n">
        <x:v>84</x:v>
      </x:c>
      <x:c r="B85" s="9" t="n">
        <x:v>0</x:v>
      </x:c>
      <x:c r="C85" s="9" t="n">
        <x:v>1083</x:v>
      </x:c>
      <x:c r="D85" s="9" t="n">
        <x:v>2</x:v>
      </x:c>
      <x:c r="E85" s="9" t="n">
        <x:v>119474</x:v>
      </x:c>
      <x:c r="F85" s="9" t="n">
        <x:v>36222</x:v>
      </x:c>
      <x:c r="G85" s="9" t="n">
        <x:v>25841.000000003725</x:v>
      </x:c>
      <x:c r="H85" s="9" t="n">
        <x:v>54740</x:v>
      </x:c>
      <x:c r="I85" s="9" t="n">
        <x:v>2565</x:v>
      </x:c>
      <x:c r="J85" s="9" t="n">
        <x:v>105.99999999627471</x:v>
      </x:c>
      <x:c r="K85" s="9" t="n">
        <x:f>F85+G85+I85+J85</x:f>
        <x:v>64734</x:v>
      </x:c>
      <x:c r="L85" s="10" t="n">
        <x:f>K85/Sources!$B$4*1000</x:f>
        <x:v>18.084421344053503</x:v>
      </x:c>
      <x:c r="M85" s="10" t="n">
        <x:f>E85/Sources!$B$4*1000</x:f>
        <x:v>33.3768677303959</x:v>
      </x:c>
      <x:c r="N85" s="9" t="n">
        <x:f>Sources!$B$6-K85</x:f>
        <x:v>-4998</x:v>
      </x:c>
      <x:c r="O85" s="1" t="str">
        <x:v>keyboard_route</x:v>
      </x:c>
      <x:c r="P85" s="12" t="n">
        <x:v>0</x:v>
      </x:c>
      <x:c r="Q85" s="12" t="n">
        <x:v>0</x:v>
      </x:c>
      <x:c r="R85" s="12" t="n">
        <x:v>0</x:v>
      </x:c>
      <x:c r="S85" s="12" t="n">
        <x:v>3</x:v>
      </x:c>
      <x:c r="T85" s="1" t="str">
        <x:v>No</x:v>
      </x:c>
      <x:c r="U85" s="1" t="n">
        <x:v>0</x:v>
      </x:c>
    </x:row>
    <x:row r="86" ht="23" customHeight="1">
      <x:c r="A86" s="9" t="n">
        <x:v>85</x:v>
      </x:c>
      <x:c r="B86" s="9" t="n">
        <x:v>0</x:v>
      </x:c>
      <x:c r="C86" s="9" t="n">
        <x:v>1083</x:v>
      </x:c>
      <x:c r="D86" s="9" t="n">
        <x:v>2</x:v>
      </x:c>
      <x:c r="E86" s="9" t="n">
        <x:v>119474.00000000373</x:v>
      </x:c>
      <x:c r="F86" s="9" t="n">
        <x:v>34825</x:v>
      </x:c>
      <x:c r="G86" s="9" t="n">
        <x:v>25657.999999996275</x:v>
      </x:c>
      <x:c r="H86" s="9" t="n">
        <x:v>56320.000000003725</x:v>
      </x:c>
      <x:c r="I86" s="9" t="n">
        <x:v>2565</x:v>
      </x:c>
      <x:c r="J86" s="9" t="n">
        <x:v>106.00000000372529</x:v>
      </x:c>
      <x:c r="K86" s="9" t="n">
        <x:f>F86+G86+I86+J86</x:f>
        <x:v>63154</x:v>
      </x:c>
      <x:c r="L86" s="10" t="n">
        <x:f>K86/Sources!$B$4*1000</x:f>
        <x:v>17.64302446260628</x:v>
      </x:c>
      <x:c r="M86" s="10" t="n">
        <x:f>E86/Sources!$B$4*1000</x:f>
        <x:v>33.37686773039694</x:v>
      </x:c>
      <x:c r="N86" s="9" t="n">
        <x:f>Sources!$B$6-K86</x:f>
        <x:v>-3418</x:v>
      </x:c>
      <x:c r="O86" s="1" t="str">
        <x:v>keyboard_route</x:v>
      </x:c>
      <x:c r="P86" s="12" t="n">
        <x:v>0</x:v>
      </x:c>
      <x:c r="Q86" s="12" t="n">
        <x:v>0</x:v>
      </x:c>
      <x:c r="R86" s="12" t="n">
        <x:v>0</x:v>
      </x:c>
      <x:c r="S86" s="12" t="n">
        <x:v>3</x:v>
      </x:c>
      <x:c r="T86" s="1" t="str">
        <x:v>No</x:v>
      </x:c>
      <x:c r="U86" s="1" t="n">
        <x:v>0</x:v>
      </x:c>
    </x:row>
    <x:row r="87" ht="23" customHeight="1">
      <x:c r="A87" s="9" t="n">
        <x:v>86</x:v>
      </x:c>
      <x:c r="B87" s="9" t="n">
        <x:v>0</x:v>
      </x:c>
      <x:c r="C87" s="9" t="n">
        <x:v>1083</x:v>
      </x:c>
      <x:c r="D87" s="9" t="n">
        <x:v>2</x:v>
      </x:c>
      <x:c r="E87" s="9" t="n">
        <x:v>119472</x:v>
      </x:c>
      <x:c r="F87" s="9" t="n">
        <x:v>33204</x:v>
      </x:c>
      <x:c r="G87" s="9" t="n">
        <x:v>24972</x:v>
      </x:c>
      <x:c r="H87" s="9" t="n">
        <x:v>58625</x:v>
      </x:c>
      <x:c r="I87" s="9" t="n">
        <x:v>2565</x:v>
      </x:c>
      <x:c r="J87" s="9" t="n">
        <x:v>106</x:v>
      </x:c>
      <x:c r="K87" s="9" t="n">
        <x:f>F87+G87+I87+J87</x:f>
        <x:v>60847</x:v>
      </x:c>
      <x:c r="L87" s="10" t="n">
        <x:f>K87/Sources!$B$4*1000</x:f>
        <x:v>16.998529142670368</x:v>
      </x:c>
      <x:c r="M87" s="10" t="n">
        <x:f>E87/Sources!$B$4*1000</x:f>
        <x:v>33.37630900016622</x:v>
      </x:c>
      <x:c r="N87" s="9" t="n">
        <x:f>Sources!$B$6-K87</x:f>
        <x:v>-1111</x:v>
      </x:c>
      <x:c r="O87" s="1" t="str">
        <x:v>keyboard_route</x:v>
      </x:c>
      <x:c r="P87" s="12" t="n">
        <x:v>0</x:v>
      </x:c>
      <x:c r="Q87" s="12" t="n">
        <x:v>0</x:v>
      </x:c>
      <x:c r="R87" s="12" t="n">
        <x:v>0</x:v>
      </x:c>
      <x:c r="S87" s="12" t="n">
        <x:v>3</x:v>
      </x:c>
      <x:c r="T87" s="1" t="str">
        <x:v>No</x:v>
      </x:c>
      <x:c r="U87" s="1" t="n">
        <x:v>0</x:v>
      </x:c>
    </x:row>
    <x:row r="88" ht="23" customHeight="1">
      <x:c r="A88" s="9" t="n">
        <x:v>87</x:v>
      </x:c>
      <x:c r="B88" s="9" t="n">
        <x:v>0</x:v>
      </x:c>
      <x:c r="C88" s="9" t="n">
        <x:v>1083</x:v>
      </x:c>
      <x:c r="D88" s="9" t="n">
        <x:v>2</x:v>
      </x:c>
      <x:c r="E88" s="9" t="n">
        <x:v>119468</x:v>
      </x:c>
      <x:c r="F88" s="9" t="n">
        <x:v>34818</x:v>
      </x:c>
      <x:c r="G88" s="9" t="n">
        <x:v>24788.999999996275</x:v>
      </x:c>
      <x:c r="H88" s="9" t="n">
        <x:v>57190.000000003725</x:v>
      </x:c>
      <x:c r="I88" s="9" t="n">
        <x:v>2565</x:v>
      </x:c>
      <x:c r="J88" s="9" t="n">
        <x:v>106</x:v>
      </x:c>
      <x:c r="K88" s="9" t="n">
        <x:f>F88+G88+I88+J88</x:f>
        <x:v>62277.999999996275</x:v>
      </x:c>
      <x:c r="L88" s="10" t="n">
        <x:f>K88/Sources!$B$4*1000</x:f>
        <x:v>17.398300622005387</x:v>
      </x:c>
      <x:c r="M88" s="10" t="n">
        <x:f>E88/Sources!$B$4*1000</x:f>
        <x:v>33.37519153970686</x:v>
      </x:c>
      <x:c r="N88" s="9" t="n">
        <x:f>Sources!$B$6-K88</x:f>
        <x:v>-2541.9999999962747</x:v>
      </x:c>
      <x:c r="O88" s="1" t="str">
        <x:v>keyboard_route</x:v>
      </x:c>
      <x:c r="P88" s="12" t="n">
        <x:v>0</x:v>
      </x:c>
      <x:c r="Q88" s="12" t="n">
        <x:v>0</x:v>
      </x:c>
      <x:c r="R88" s="12" t="n">
        <x:v>0</x:v>
      </x:c>
      <x:c r="S88" s="12" t="n">
        <x:v>3</x:v>
      </x:c>
      <x:c r="T88" s="1" t="str">
        <x:v>No</x:v>
      </x:c>
      <x:c r="U88" s="1" t="n">
        <x:v>0</x:v>
      </x:c>
    </x:row>
    <x:row r="89" ht="23" customHeight="1">
      <x:c r="A89" s="9" t="n">
        <x:v>88</x:v>
      </x:c>
      <x:c r="B89" s="9" t="n">
        <x:v>0</x:v>
      </x:c>
      <x:c r="C89" s="9" t="n">
        <x:v>1083</x:v>
      </x:c>
      <x:c r="D89" s="9" t="n">
        <x:v>2</x:v>
      </x:c>
      <x:c r="E89" s="9" t="n">
        <x:v>119472</x:v>
      </x:c>
      <x:c r="F89" s="9" t="n">
        <x:v>33714</x:v>
      </x:c>
      <x:c r="G89" s="9" t="n">
        <x:v>24971.999999996275</x:v>
      </x:c>
      <x:c r="H89" s="9" t="n">
        <x:v>58115.000000003725</x:v>
      </x:c>
      <x:c r="I89" s="9" t="n">
        <x:v>2565</x:v>
      </x:c>
      <x:c r="J89" s="9" t="n">
        <x:v>106</x:v>
      </x:c>
      <x:c r="K89" s="9" t="n">
        <x:f>F89+G89+I89+J89</x:f>
        <x:v>61356.999999996275</x:v>
      </x:c>
      <x:c r="L89" s="10" t="n">
        <x:f>K89/Sources!$B$4*1000</x:f>
        <x:v>17.141005351237734</x:v>
      </x:c>
      <x:c r="M89" s="10" t="n">
        <x:f>E89/Sources!$B$4*1000</x:f>
        <x:v>33.37630900016622</x:v>
      </x:c>
      <x:c r="N89" s="9" t="n">
        <x:f>Sources!$B$6-K89</x:f>
        <x:v>-1620.9999999962747</x:v>
      </x:c>
      <x:c r="O89" s="1" t="str">
        <x:v>keyboard_route</x:v>
      </x:c>
      <x:c r="P89" s="12" t="n">
        <x:v>0</x:v>
      </x:c>
      <x:c r="Q89" s="12" t="n">
        <x:v>0</x:v>
      </x:c>
      <x:c r="R89" s="12" t="n">
        <x:v>0</x:v>
      </x:c>
      <x:c r="S89" s="12" t="n">
        <x:v>3</x:v>
      </x:c>
      <x:c r="T89" s="1" t="str">
        <x:v>No</x:v>
      </x:c>
      <x:c r="U89" s="1" t="n">
        <x:v>0</x:v>
      </x:c>
    </x:row>
    <x:row r="90" ht="23" customHeight="1">
      <x:c r="A90" s="9" t="n">
        <x:v>89</x:v>
      </x:c>
      <x:c r="B90" s="9" t="n">
        <x:v>0</x:v>
      </x:c>
      <x:c r="C90" s="9" t="n">
        <x:v>1079</x:v>
      </x:c>
      <x:c r="D90" s="9" t="n">
        <x:v>2</x:v>
      </x:c>
      <x:c r="E90" s="9" t="n">
        <x:v>121026</x:v>
      </x:c>
      <x:c r="F90" s="9" t="n">
        <x:v>37378</x:v>
      </x:c>
      <x:c r="G90" s="9" t="n">
        <x:v>62315</x:v>
      </x:c>
      <x:c r="H90" s="9" t="n">
        <x:v>17110</x:v>
      </x:c>
      <x:c r="I90" s="9" t="n">
        <x:v>4117.000000003725</x:v>
      </x:c>
      <x:c r="J90" s="9" t="n">
        <x:v>105.99999999627471</x:v>
      </x:c>
      <x:c r="K90" s="9" t="n">
        <x:f>F90+G90+I90+J90</x:f>
        <x:v>103916</x:v>
      </x:c>
      <x:c r="L90" s="10" t="n">
        <x:f>K90/Sources!$B$4*1000</x:f>
        <x:v>29.030505273714954</x:v>
      </x:c>
      <x:c r="M90" s="10" t="n">
        <x:f>E90/Sources!$B$4*1000</x:f>
        <x:v>33.81044238862761</x:v>
      </x:c>
      <x:c r="N90" s="9" t="n">
        <x:f>Sources!$B$6-K90</x:f>
        <x:v>-44180</x:v>
      </x:c>
      <x:c r="O90" s="1" t="str">
        <x:v>keyboard_route</x:v>
      </x:c>
      <x:c r="P90" s="12" t="n">
        <x:v>0</x:v>
      </x:c>
      <x:c r="Q90" s="12" t="n">
        <x:v>-4</x:v>
      </x:c>
      <x:c r="R90" s="12" t="n">
        <x:v>0</x:v>
      </x:c>
      <x:c r="S90" s="12" t="n">
        <x:v>7</x:v>
      </x:c>
      <x:c r="T90" s="1" t="str">
        <x:v>Yes</x:v>
      </x:c>
      <x:c r="U90" s="1" t="n">
        <x:v>0</x:v>
      </x:c>
    </x:row>
    <x:row r="91" ht="23" customHeight="1">
      <x:c r="A91" s="9" t="n">
        <x:v>90</x:v>
      </x:c>
      <x:c r="B91" s="9" t="n">
        <x:v>0</x:v>
      </x:c>
      <x:c r="C91" s="9" t="n">
        <x:v>1075</x:v>
      </x:c>
      <x:c r="D91" s="9" t="n">
        <x:v>2</x:v>
      </x:c>
      <x:c r="E91" s="9" t="n">
        <x:v>119472</x:v>
      </x:c>
      <x:c r="F91" s="9" t="n">
        <x:v>39175.999999996275</x:v>
      </x:c>
      <x:c r="G91" s="9" t="n">
        <x:v>26018</x:v>
      </x:c>
      <x:c r="H91" s="9" t="n">
        <x:v>50054.999999996275</x:v>
      </x:c>
      <x:c r="I91" s="9" t="n">
        <x:v>4117.000000003725</x:v>
      </x:c>
      <x:c r="J91" s="9" t="n">
        <x:v>106.00000000372529</x:v>
      </x:c>
      <x:c r="K91" s="9" t="n">
        <x:f>F91+G91+I91+J91</x:f>
        <x:v>69417.00000000373</x:v>
      </x:c>
      <x:c r="L91" s="10" t="n">
        <x:f>K91/Sources!$B$4*1000</x:f>
        <x:v>19.392688176850335</x:v>
      </x:c>
      <x:c r="M91" s="10" t="n">
        <x:f>E91/Sources!$B$4*1000</x:f>
        <x:v>33.37630900016622</x:v>
      </x:c>
      <x:c r="N91" s="9" t="n">
        <x:f>Sources!$B$6-K91</x:f>
        <x:v>-9681.000000003725</x:v>
      </x:c>
      <x:c r="O91" s="1" t="str">
        <x:v>keyboard_route</x:v>
      </x:c>
      <x:c r="P91" s="12" t="n">
        <x:v>0</x:v>
      </x:c>
      <x:c r="Q91" s="12" t="n">
        <x:v>-4</x:v>
      </x:c>
      <x:c r="R91" s="12" t="n">
        <x:v>0</x:v>
      </x:c>
      <x:c r="S91" s="12" t="n">
        <x:v>3</x:v>
      </x:c>
      <x:c r="T91" s="1" t="str">
        <x:v>No</x:v>
      </x:c>
      <x:c r="U91" s="1" t="n">
        <x:v>0</x:v>
      </x:c>
    </x:row>
    <x:row r="92" ht="23" customHeight="1">
      <x:c r="A92" s="9" t="n">
        <x:v>91</x:v>
      </x:c>
      <x:c r="B92" s="9" t="n">
        <x:v>0</x:v>
      </x:c>
      <x:c r="C92" s="9" t="n">
        <x:v>1071</x:v>
      </x:c>
      <x:c r="D92" s="9" t="n">
        <x:v>2</x:v>
      </x:c>
      <x:c r="E92" s="9" t="n">
        <x:v>119470</x:v>
      </x:c>
      <x:c r="F92" s="9" t="n">
        <x:v>35020</x:v>
      </x:c>
      <x:c r="G92" s="9" t="n">
        <x:v>37727</x:v>
      </x:c>
      <x:c r="H92" s="9" t="n">
        <x:v>42500</x:v>
      </x:c>
      <x:c r="I92" s="9" t="n">
        <x:v>4117.000000003725</x:v>
      </x:c>
      <x:c r="J92" s="9" t="n">
        <x:v>105.99999999627471</x:v>
      </x:c>
      <x:c r="K92" s="9" t="n">
        <x:f>F92+G92+I92+J92</x:f>
        <x:v>76970</x:v>
      </x:c>
      <x:c r="L92" s="10" t="n">
        <x:f>K92/Sources!$B$4*1000</x:f>
        <x:v>21.502732889235922</x:v>
      </x:c>
      <x:c r="M92" s="10" t="n">
        <x:f>E92/Sources!$B$4*1000</x:f>
        <x:v>33.37575026993654</x:v>
      </x:c>
      <x:c r="N92" s="9" t="n">
        <x:f>Sources!$B$6-K92</x:f>
        <x:v>-17234</x:v>
      </x:c>
      <x:c r="O92" s="1" t="str">
        <x:v>keyboard_route</x:v>
      </x:c>
      <x:c r="P92" s="12" t="n">
        <x:v>0</x:v>
      </x:c>
      <x:c r="Q92" s="12" t="n">
        <x:v>-4</x:v>
      </x:c>
      <x:c r="R92" s="12" t="n">
        <x:v>0</x:v>
      </x:c>
      <x:c r="S92" s="12" t="n">
        <x:v>7</x:v>
      </x:c>
      <x:c r="T92" s="1" t="str">
        <x:v>Yes</x:v>
      </x:c>
      <x:c r="U92" s="1" t="n">
        <x:v>0</x:v>
      </x:c>
    </x:row>
    <x:row r="93" ht="23" customHeight="1">
      <x:c r="A93" s="9" t="n">
        <x:v>92</x:v>
      </x:c>
      <x:c r="B93" s="9" t="n">
        <x:v>0</x:v>
      </x:c>
      <x:c r="C93" s="9" t="n">
        <x:v>1067</x:v>
      </x:c>
      <x:c r="D93" s="9" t="n">
        <x:v>2</x:v>
      </x:c>
      <x:c r="E93" s="9" t="n">
        <x:v>119473</x:v>
      </x:c>
      <x:c r="F93" s="9" t="n">
        <x:v>37552</x:v>
      </x:c>
      <x:c r="G93" s="9" t="n">
        <x:v>26018</x:v>
      </x:c>
      <x:c r="H93" s="9" t="n">
        <x:v>51680</x:v>
      </x:c>
      <x:c r="I93" s="9" t="n">
        <x:v>4117</x:v>
      </x:c>
      <x:c r="J93" s="9" t="n">
        <x:v>106</x:v>
      </x:c>
      <x:c r="K93" s="9" t="n">
        <x:f>F93+G93+I93+J93</x:f>
        <x:v>67793</x:v>
      </x:c>
      <x:c r="L93" s="10" t="n">
        <x:f>K93/Sources!$B$4*1000</x:f>
        <x:v>18.938999230349108</x:v>
      </x:c>
      <x:c r="M93" s="10" t="n">
        <x:f>E93/Sources!$B$4*1000</x:f>
        <x:v>33.37658836528106</x:v>
      </x:c>
      <x:c r="N93" s="9" t="n">
        <x:f>Sources!$B$6-K93</x:f>
        <x:v>-8057</x:v>
      </x:c>
      <x:c r="O93" s="1" t="str">
        <x:v>keyboard_route</x:v>
      </x:c>
      <x:c r="P93" s="12" t="n">
        <x:v>0</x:v>
      </x:c>
      <x:c r="Q93" s="12" t="n">
        <x:v>-4</x:v>
      </x:c>
      <x:c r="R93" s="12" t="n">
        <x:v>0</x:v>
      </x:c>
      <x:c r="S93" s="12" t="n">
        <x:v>3</x:v>
      </x:c>
      <x:c r="T93" s="1" t="str">
        <x:v>No</x:v>
      </x:c>
      <x:c r="U93" s="1" t="n">
        <x:v>0</x:v>
      </x:c>
    </x:row>
    <x:row r="94" ht="23" customHeight="1">
      <x:c r="A94" s="9" t="n">
        <x:v>93</x:v>
      </x:c>
      <x:c r="B94" s="9" t="n">
        <x:v>0</x:v>
      </x:c>
      <x:c r="C94" s="9" t="n">
        <x:v>1063</x:v>
      </x:c>
      <x:c r="D94" s="9" t="n">
        <x:v>2</x:v>
      </x:c>
      <x:c r="E94" s="9" t="n">
        <x:v>119474</x:v>
      </x:c>
      <x:c r="F94" s="9" t="n">
        <x:v>38104</x:v>
      </x:c>
      <x:c r="G94" s="9" t="n">
        <x:v>37727</x:v>
      </x:c>
      <x:c r="H94" s="9" t="n">
        <x:v>39419.999999996275</x:v>
      </x:c>
      <x:c r="I94" s="9" t="n">
        <x:v>4117.000000003725</x:v>
      </x:c>
      <x:c r="J94" s="9" t="n">
        <x:v>106</x:v>
      </x:c>
      <x:c r="K94" s="9" t="n">
        <x:f>F94+G94+I94+J94</x:f>
        <x:v>80054.00000000373</x:v>
      </x:c>
      <x:c r="L94" s="10" t="n">
        <x:f>K94/Sources!$B$4*1000</x:f>
        <x:v>22.364294903403568</x:v>
      </x:c>
      <x:c r="M94" s="10" t="n">
        <x:f>E94/Sources!$B$4*1000</x:f>
        <x:v>33.3768677303959</x:v>
      </x:c>
      <x:c r="N94" s="9" t="n">
        <x:f>Sources!$B$6-K94</x:f>
        <x:v>-20318.000000003725</x:v>
      </x:c>
      <x:c r="O94" s="1" t="str">
        <x:v>keyboard_route</x:v>
      </x:c>
      <x:c r="P94" s="12" t="n">
        <x:v>0</x:v>
      </x:c>
      <x:c r="Q94" s="12" t="n">
        <x:v>-4</x:v>
      </x:c>
      <x:c r="R94" s="12" t="n">
        <x:v>0</x:v>
      </x:c>
      <x:c r="S94" s="12" t="n">
        <x:v>7</x:v>
      </x:c>
      <x:c r="T94" s="1" t="str">
        <x:v>Yes</x:v>
      </x:c>
      <x:c r="U94" s="1" t="n">
        <x:v>0</x:v>
      </x:c>
    </x:row>
    <x:row r="95" ht="23" customHeight="1">
      <x:c r="A95" s="9" t="n">
        <x:v>94</x:v>
      </x:c>
      <x:c r="B95" s="9" t="n">
        <x:v>0</x:v>
      </x:c>
      <x:c r="C95" s="9" t="n">
        <x:v>1059</x:v>
      </x:c>
      <x:c r="D95" s="9" t="n">
        <x:v>2</x:v>
      </x:c>
      <x:c r="E95" s="9" t="n">
        <x:v>119468.99999999627</x:v>
      </x:c>
      <x:c r="F95" s="9" t="n">
        <x:v>35173</x:v>
      </x:c>
      <x:c r="G95" s="9" t="n">
        <x:v>26018</x:v>
      </x:c>
      <x:c r="H95" s="9" t="n">
        <x:v>54054.999999996275</x:v>
      </x:c>
      <x:c r="I95" s="9" t="n">
        <x:v>4117</x:v>
      </x:c>
      <x:c r="J95" s="9" t="n">
        <x:v>106</x:v>
      </x:c>
      <x:c r="K95" s="9" t="n">
        <x:f>F95+G95+I95+J95</x:f>
        <x:v>65414</x:v>
      </x:c>
      <x:c r="L95" s="10" t="n">
        <x:f>K95/Sources!$B$4*1000</x:f>
        <x:v>18.274389622144714</x:v>
      </x:c>
      <x:c r="M95" s="10" t="n">
        <x:f>E95/Sources!$B$4*1000</x:f>
        <x:v>33.37547090482066</x:v>
      </x:c>
      <x:c r="N95" s="9" t="n">
        <x:f>Sources!$B$6-K95</x:f>
        <x:v>-5678</x:v>
      </x:c>
      <x:c r="O95" s="1" t="str">
        <x:v>keyboard_route</x:v>
      </x:c>
      <x:c r="P95" s="12" t="n">
        <x:v>0</x:v>
      </x:c>
      <x:c r="Q95" s="12" t="n">
        <x:v>-4</x:v>
      </x:c>
      <x:c r="R95" s="12" t="n">
        <x:v>0</x:v>
      </x:c>
      <x:c r="S95" s="12" t="n">
        <x:v>3</x:v>
      </x:c>
      <x:c r="T95" s="1" t="str">
        <x:v>No</x:v>
      </x:c>
      <x:c r="U95" s="1" t="n">
        <x:v>0</x:v>
      </x:c>
    </x:row>
    <x:row r="96" ht="23" customHeight="1">
      <x:c r="A96" s="9" t="n">
        <x:v>95</x:v>
      </x:c>
      <x:c r="B96" s="9" t="n">
        <x:v>0</x:v>
      </x:c>
      <x:c r="C96" s="9" t="n">
        <x:v>1055</x:v>
      </x:c>
      <x:c r="D96" s="9" t="n">
        <x:v>2</x:v>
      </x:c>
      <x:c r="E96" s="9" t="n">
        <x:v>119472</x:v>
      </x:c>
      <x:c r="F96" s="9" t="n">
        <x:v>31788.000000003725</x:v>
      </x:c>
      <x:c r="G96" s="9" t="n">
        <x:v>37701</x:v>
      </x:c>
      <x:c r="H96" s="9" t="n">
        <x:v>45760</x:v>
      </x:c>
      <x:c r="I96" s="9" t="n">
        <x:v>4116.999999996275</x:v>
      </x:c>
      <x:c r="J96" s="9" t="n">
        <x:v>106</x:v>
      </x:c>
      <x:c r="K96" s="9" t="n">
        <x:f>F96+G96+I96+J96</x:f>
        <x:v>73712</x:v>
      </x:c>
      <x:c r="L96" s="10" t="n">
        <x:f>K96/Sources!$B$4*1000</x:f>
        <x:v>20.592561345087155</x:v>
      </x:c>
      <x:c r="M96" s="10" t="n">
        <x:f>E96/Sources!$B$4*1000</x:f>
        <x:v>33.37630900016622</x:v>
      </x:c>
      <x:c r="N96" s="9" t="n">
        <x:f>Sources!$B$6-K96</x:f>
        <x:v>-13976</x:v>
      </x:c>
      <x:c r="O96" s="1" t="str">
        <x:v>keyboard_route</x:v>
      </x:c>
      <x:c r="P96" s="12" t="n">
        <x:v>0</x:v>
      </x:c>
      <x:c r="Q96" s="12" t="n">
        <x:v>-4</x:v>
      </x:c>
      <x:c r="R96" s="12" t="n">
        <x:v>0</x:v>
      </x:c>
      <x:c r="S96" s="12" t="n">
        <x:v>7</x:v>
      </x:c>
      <x:c r="T96" s="1" t="str">
        <x:v>Yes</x:v>
      </x:c>
      <x:c r="U96" s="1" t="n">
        <x:v>0</x:v>
      </x:c>
    </x:row>
    <x:row r="97" ht="23" customHeight="1">
      <x:c r="A97" s="9" t="n">
        <x:v>96</x:v>
      </x:c>
      <x:c r="B97" s="9" t="n">
        <x:v>0</x:v>
      </x:c>
      <x:c r="C97" s="9" t="n">
        <x:v>1051</x:v>
      </x:c>
      <x:c r="D97" s="9" t="n">
        <x:v>2</x:v>
      </x:c>
      <x:c r="E97" s="9" t="n">
        <x:v>119474.00000000373</x:v>
      </x:c>
      <x:c r="F97" s="9" t="n">
        <x:v>35003.000000003725</x:v>
      </x:c>
      <x:c r="G97" s="9" t="n">
        <x:v>26018</x:v>
      </x:c>
      <x:c r="H97" s="9" t="n">
        <x:v>54230</x:v>
      </x:c>
      <x:c r="I97" s="9" t="n">
        <x:v>4117</x:v>
      </x:c>
      <x:c r="J97" s="9" t="n">
        <x:v>106</x:v>
      </x:c>
      <x:c r="K97" s="9" t="n">
        <x:f>F97+G97+I97+J97</x:f>
        <x:v>65244.000000003725</x:v>
      </x:c>
      <x:c r="L97" s="10" t="n">
        <x:f>K97/Sources!$B$4*1000</x:f>
        <x:v>18.226897552622955</x:v>
      </x:c>
      <x:c r="M97" s="10" t="n">
        <x:f>E97/Sources!$B$4*1000</x:f>
        <x:v>33.37686773039694</x:v>
      </x:c>
      <x:c r="N97" s="9" t="n">
        <x:f>Sources!$B$6-K97</x:f>
        <x:v>-5508.000000003725</x:v>
      </x:c>
      <x:c r="O97" s="1" t="str">
        <x:v>keyboard_route</x:v>
      </x:c>
      <x:c r="P97" s="12" t="n">
        <x:v>0</x:v>
      </x:c>
      <x:c r="Q97" s="12" t="n">
        <x:v>-4</x:v>
      </x:c>
      <x:c r="R97" s="12" t="n">
        <x:v>0</x:v>
      </x:c>
      <x:c r="S97" s="12" t="n">
        <x:v>3</x:v>
      </x:c>
      <x:c r="T97" s="1" t="str">
        <x:v>No</x:v>
      </x:c>
      <x:c r="U97" s="1" t="n">
        <x:v>0</x:v>
      </x:c>
    </x:row>
    <x:row r="98" ht="23" customHeight="1">
      <x:c r="A98" s="9" t="n">
        <x:v>97</x:v>
      </x:c>
      <x:c r="B98" s="9" t="n">
        <x:v>0</x:v>
      </x:c>
      <x:c r="C98" s="9" t="n">
        <x:v>1047</x:v>
      </x:c>
      <x:c r="D98" s="9" t="n">
        <x:v>2</x:v>
      </x:c>
      <x:c r="E98" s="9" t="n">
        <x:v>119471</x:v>
      </x:c>
      <x:c r="F98" s="9" t="n">
        <x:v>33631.999999996275</x:v>
      </x:c>
      <x:c r="G98" s="9" t="n">
        <x:v>37701</x:v>
      </x:c>
      <x:c r="H98" s="9" t="n">
        <x:v>43915</x:v>
      </x:c>
      <x:c r="I98" s="9" t="n">
        <x:v>4117</x:v>
      </x:c>
      <x:c r="J98" s="9" t="n">
        <x:v>106.00000000372529</x:v>
      </x:c>
      <x:c r="K98" s="9" t="n">
        <x:f>F98+G98+I98+J98</x:f>
        <x:v>75556</x:v>
      </x:c>
      <x:c r="L98" s="10" t="n">
        <x:f>K98/Sources!$B$4*1000</x:f>
        <x:v>21.107710616852142</x:v>
      </x:c>
      <x:c r="M98" s="10" t="n">
        <x:f>E98/Sources!$B$4*1000</x:f>
        <x:v>33.37602963505138</x:v>
      </x:c>
      <x:c r="N98" s="9" t="n">
        <x:f>Sources!$B$6-K98</x:f>
        <x:v>-15820</x:v>
      </x:c>
      <x:c r="O98" s="1" t="str">
        <x:v>keyboard_route</x:v>
      </x:c>
      <x:c r="P98" s="12" t="n">
        <x:v>0</x:v>
      </x:c>
      <x:c r="Q98" s="12" t="n">
        <x:v>-4</x:v>
      </x:c>
      <x:c r="R98" s="12" t="n">
        <x:v>0</x:v>
      </x:c>
      <x:c r="S98" s="12" t="n">
        <x:v>7</x:v>
      </x:c>
      <x:c r="T98" s="1" t="str">
        <x:v>Yes</x:v>
      </x:c>
      <x:c r="U98" s="1" t="n">
        <x:v>0</x:v>
      </x:c>
    </x:row>
    <x:row r="99" ht="23" customHeight="1">
      <x:c r="A99" s="9" t="n">
        <x:v>98</x:v>
      </x:c>
      <x:c r="B99" s="9" t="n">
        <x:v>0</x:v>
      </x:c>
      <x:c r="C99" s="9" t="n">
        <x:v>1043</x:v>
      </x:c>
      <x:c r="D99" s="9" t="n">
        <x:v>2</x:v>
      </x:c>
      <x:c r="E99" s="9" t="n">
        <x:v>119471.99999999627</x:v>
      </x:c>
      <x:c r="F99" s="9" t="n">
        <x:v>37451.000000003725</x:v>
      </x:c>
      <x:c r="G99" s="9" t="n">
        <x:v>26018</x:v>
      </x:c>
      <x:c r="H99" s="9" t="n">
        <x:v>51780</x:v>
      </x:c>
      <x:c r="I99" s="9" t="n">
        <x:v>4117</x:v>
      </x:c>
      <x:c r="J99" s="9" t="n">
        <x:v>105.99999999254942</x:v>
      </x:c>
      <x:c r="K99" s="9" t="n">
        <x:f>F99+G99+I99+J99</x:f>
        <x:v>67691.99999999627</x:v>
      </x:c>
      <x:c r="L99" s="10" t="n">
        <x:f>K99/Sources!$B$4*1000</x:f>
        <x:v>18.910783353749224</x:v>
      </x:c>
      <x:c r="M99" s="10" t="n">
        <x:f>E99/Sources!$B$4*1000</x:f>
        <x:v>33.37630900016518</x:v>
      </x:c>
      <x:c r="N99" s="9" t="n">
        <x:f>Sources!$B$6-K99</x:f>
        <x:v>-7955.999999996275</x:v>
      </x:c>
      <x:c r="O99" s="1" t="str">
        <x:v>keyboard_route</x:v>
      </x:c>
      <x:c r="P99" s="12" t="n">
        <x:v>0</x:v>
      </x:c>
      <x:c r="Q99" s="12" t="n">
        <x:v>-4</x:v>
      </x:c>
      <x:c r="R99" s="12" t="n">
        <x:v>0</x:v>
      </x:c>
      <x:c r="S99" s="12" t="n">
        <x:v>3</x:v>
      </x:c>
      <x:c r="T99" s="1" t="str">
        <x:v>No</x:v>
      </x:c>
      <x:c r="U99" s="1" t="n">
        <x:v>0</x:v>
      </x:c>
    </x:row>
    <x:row r="100" ht="23" customHeight="1">
      <x:c r="A100" s="9" t="n">
        <x:v>99</x:v>
      </x:c>
      <x:c r="B100" s="9" t="n">
        <x:v>0</x:v>
      </x:c>
      <x:c r="C100" s="9" t="n">
        <x:v>1039</x:v>
      </x:c>
      <x:c r="D100" s="9" t="n">
        <x:v>2</x:v>
      </x:c>
      <x:c r="E100" s="9" t="n">
        <x:v>119473.00000000373</x:v>
      </x:c>
      <x:c r="F100" s="9" t="n">
        <x:v>32154</x:v>
      </x:c>
      <x:c r="G100" s="9" t="n">
        <x:v>37701.000000003725</x:v>
      </x:c>
      <x:c r="H100" s="9" t="n">
        <x:v>45394.999999996275</x:v>
      </x:c>
      <x:c r="I100" s="9" t="n">
        <x:v>4117.000000003725</x:v>
      </x:c>
      <x:c r="J100" s="9" t="n">
        <x:v>106</x:v>
      </x:c>
      <x:c r="K100" s="9" t="n">
        <x:f>F100+G100+I100+J100</x:f>
        <x:v>74078.00000000745</x:v>
      </x:c>
      <x:c r="L100" s="10" t="n">
        <x:f>K100/Sources!$B$4*1000</x:f>
        <x:v>20.694808977120683</x:v>
      </x:c>
      <x:c r="M100" s="10" t="n">
        <x:f>E100/Sources!$B$4*1000</x:f>
        <x:v>33.3765883652821</x:v>
      </x:c>
      <x:c r="N100" s="9" t="n">
        <x:f>Sources!$B$6-K100</x:f>
        <x:v>-14342.00000000745</x:v>
      </x:c>
      <x:c r="O100" s="1" t="str">
        <x:v>keyboard_route</x:v>
      </x:c>
      <x:c r="P100" s="12" t="n">
        <x:v>0</x:v>
      </x:c>
      <x:c r="Q100" s="12" t="n">
        <x:v>-4</x:v>
      </x:c>
      <x:c r="R100" s="12" t="n">
        <x:v>0</x:v>
      </x:c>
      <x:c r="S100" s="12" t="n">
        <x:v>7</x:v>
      </x:c>
      <x:c r="T100" s="1" t="str">
        <x:v>Yes</x:v>
      </x:c>
      <x:c r="U100" s="1" t="n">
        <x:v>0</x:v>
      </x:c>
    </x:row>
    <x:row r="101" ht="23" customHeight="1">
      <x:c r="A101" s="9" t="n">
        <x:v>100</x:v>
      </x:c>
      <x:c r="B101" s="9" t="n">
        <x:v>0</x:v>
      </x:c>
      <x:c r="C101" s="9" t="n">
        <x:v>1035</x:v>
      </x:c>
      <x:c r="D101" s="9" t="n">
        <x:v>2</x:v>
      </x:c>
      <x:c r="E101" s="9" t="n">
        <x:v>119473.99999999627</x:v>
      </x:c>
      <x:c r="F101" s="9" t="n">
        <x:v>35583</x:v>
      </x:c>
      <x:c r="G101" s="9" t="n">
        <x:v>26018</x:v>
      </x:c>
      <x:c r="H101" s="9" t="n">
        <x:v>53650.000000003725</x:v>
      </x:c>
      <x:c r="I101" s="9" t="n">
        <x:v>4116.999999996275</x:v>
      </x:c>
      <x:c r="J101" s="9" t="n">
        <x:v>105.99999999627471</x:v>
      </x:c>
      <x:c r="K101" s="9" t="n">
        <x:f>F101+G101+I101+J101</x:f>
        <x:v>65823.99999999255</x:v>
      </x:c>
      <x:c r="L101" s="10" t="n">
        <x:f>K101/Sources!$B$4*1000</x:f>
        <x:v>18.38892931922704</x:v>
      </x:c>
      <x:c r="M101" s="10" t="n">
        <x:f>E101/Sources!$B$4*1000</x:f>
        <x:v>33.37686773039486</x:v>
      </x:c>
      <x:c r="N101" s="9" t="n">
        <x:f>Sources!$B$6-K101</x:f>
        <x:v>-6087.999999992549</x:v>
      </x:c>
      <x:c r="O101" s="1" t="str">
        <x:v>keyboard_route</x:v>
      </x:c>
      <x:c r="P101" s="12" t="n">
        <x:v>0</x:v>
      </x:c>
      <x:c r="Q101" s="12" t="n">
        <x:v>-4</x:v>
      </x:c>
      <x:c r="R101" s="12" t="n">
        <x:v>0</x:v>
      </x:c>
      <x:c r="S101" s="12" t="n">
        <x:v>3</x:v>
      </x:c>
      <x:c r="T101" s="1" t="str">
        <x:v>No</x:v>
      </x:c>
      <x:c r="U101" s="1" t="n">
        <x:v>0</x:v>
      </x:c>
    </x:row>
    <x:row r="102" ht="23" customHeight="1">
      <x:c r="A102" s="9" t="n">
        <x:v>101</x:v>
      </x:c>
      <x:c r="B102" s="9" t="n">
        <x:v>0</x:v>
      </x:c>
      <x:c r="C102" s="9" t="n">
        <x:v>1031</x:v>
      </x:c>
      <x:c r="D102" s="9" t="n">
        <x:v>2</x:v>
      </x:c>
      <x:c r="E102" s="9" t="n">
        <x:v>119470</x:v>
      </x:c>
      <x:c r="F102" s="9" t="n">
        <x:v>31506</x:v>
      </x:c>
      <x:c r="G102" s="9" t="n">
        <x:v>37701</x:v>
      </x:c>
      <x:c r="H102" s="9" t="n">
        <x:v>46040</x:v>
      </x:c>
      <x:c r="I102" s="9" t="n">
        <x:v>4117</x:v>
      </x:c>
      <x:c r="J102" s="9" t="n">
        <x:v>106</x:v>
      </x:c>
      <x:c r="K102" s="9" t="n">
        <x:f>F102+G102+I102+J102</x:f>
        <x:v>73430</x:v>
      </x:c>
      <x:c r="L102" s="10" t="n">
        <x:f>K102/Sources!$B$4*1000</x:f>
        <x:v>20.513780382702272</x:v>
      </x:c>
      <x:c r="M102" s="10" t="n">
        <x:f>E102/Sources!$B$4*1000</x:f>
        <x:v>33.37575026993654</x:v>
      </x:c>
      <x:c r="N102" s="9" t="n">
        <x:f>Sources!$B$6-K102</x:f>
        <x:v>-13694</x:v>
      </x:c>
      <x:c r="O102" s="1" t="str">
        <x:v>keyboard_route</x:v>
      </x:c>
      <x:c r="P102" s="12" t="n">
        <x:v>0</x:v>
      </x:c>
      <x:c r="Q102" s="12" t="n">
        <x:v>-4</x:v>
      </x:c>
      <x:c r="R102" s="12" t="n">
        <x:v>0</x:v>
      </x:c>
      <x:c r="S102" s="12" t="n">
        <x:v>7</x:v>
      </x:c>
      <x:c r="T102" s="1" t="str">
        <x:v>Yes</x:v>
      </x:c>
      <x:c r="U102" s="1" t="n">
        <x:v>0</x:v>
      </x:c>
    </x:row>
    <x:row r="103" ht="23" customHeight="1">
      <x:c r="A103" s="9" t="n">
        <x:v>102</x:v>
      </x:c>
      <x:c r="B103" s="9" t="n">
        <x:v>0</x:v>
      </x:c>
      <x:c r="C103" s="9" t="n">
        <x:v>1027</x:v>
      </x:c>
      <x:c r="D103" s="9" t="n">
        <x:v>2</x:v>
      </x:c>
      <x:c r="E103" s="9" t="n">
        <x:v>119470.00000000373</x:v>
      </x:c>
      <x:c r="F103" s="9" t="n">
        <x:v>36279</x:v>
      </x:c>
      <x:c r="G103" s="9" t="n">
        <x:v>26018</x:v>
      </x:c>
      <x:c r="H103" s="9" t="n">
        <x:v>52950</x:v>
      </x:c>
      <x:c r="I103" s="9" t="n">
        <x:v>4117</x:v>
      </x:c>
      <x:c r="J103" s="9" t="n">
        <x:v>106.00000000372529</x:v>
      </x:c>
      <x:c r="K103" s="9" t="n">
        <x:f>F103+G103+I103+J103</x:f>
        <x:v>66520.00000000373</x:v>
      </x:c>
      <x:c r="L103" s="10" t="n">
        <x:f>K103/Sources!$B$4*1000</x:f>
        <x:v>18.58336743915881</x:v>
      </x:c>
      <x:c r="M103" s="10" t="n">
        <x:f>E103/Sources!$B$4*1000</x:f>
        <x:v>33.37575026993758</x:v>
      </x:c>
      <x:c r="N103" s="9" t="n">
        <x:f>Sources!$B$6-K103</x:f>
        <x:v>-6784.000000003725</x:v>
      </x:c>
      <x:c r="O103" s="1" t="str">
        <x:v>keyboard_route</x:v>
      </x:c>
      <x:c r="P103" s="12" t="n">
        <x:v>0</x:v>
      </x:c>
      <x:c r="Q103" s="12" t="n">
        <x:v>-4</x:v>
      </x:c>
      <x:c r="R103" s="12" t="n">
        <x:v>0</x:v>
      </x:c>
      <x:c r="S103" s="12" t="n">
        <x:v>3</x:v>
      </x:c>
      <x:c r="T103" s="1" t="str">
        <x:v>No</x:v>
      </x:c>
      <x:c r="U103" s="1" t="n">
        <x:v>0</x:v>
      </x:c>
    </x:row>
    <x:row r="104" ht="23" customHeight="1">
      <x:c r="A104" s="9" t="n">
        <x:v>103</x:v>
      </x:c>
      <x:c r="B104" s="9" t="n">
        <x:v>0</x:v>
      </x:c>
      <x:c r="C104" s="9" t="n">
        <x:v>1023</x:v>
      </x:c>
      <x:c r="D104" s="9" t="n">
        <x:v>2</x:v>
      </x:c>
      <x:c r="E104" s="9" t="n">
        <x:v>119475</x:v>
      </x:c>
      <x:c r="F104" s="9" t="n">
        <x:v>34575</x:v>
      </x:c>
      <x:c r="G104" s="9" t="n">
        <x:v>37727</x:v>
      </x:c>
      <x:c r="H104" s="9" t="n">
        <x:v>42949.999999996275</x:v>
      </x:c>
      <x:c r="I104" s="9" t="n">
        <x:v>4117</x:v>
      </x:c>
      <x:c r="J104" s="9" t="n">
        <x:v>106.00000000372529</x:v>
      </x:c>
      <x:c r="K104" s="9" t="n">
        <x:f>F104+G104+I104+J104</x:f>
        <x:v>76525.00000000373</x:v>
      </x:c>
      <x:c r="L104" s="10" t="n">
        <x:f>K104/Sources!$B$4*1000</x:f>
        <x:v>21.37841541313316</x:v>
      </x:c>
      <x:c r="M104" s="10" t="n">
        <x:f>E104/Sources!$B$4*1000</x:f>
        <x:v>33.37714709551074</x:v>
      </x:c>
      <x:c r="N104" s="9" t="n">
        <x:f>Sources!$B$6-K104</x:f>
        <x:v>-16789.000000003725</x:v>
      </x:c>
      <x:c r="O104" s="1" t="str">
        <x:v>keyboard_route</x:v>
      </x:c>
      <x:c r="P104" s="12" t="n">
        <x:v>0</x:v>
      </x:c>
      <x:c r="Q104" s="12" t="n">
        <x:v>-4</x:v>
      </x:c>
      <x:c r="R104" s="12" t="n">
        <x:v>0</x:v>
      </x:c>
      <x:c r="S104" s="12" t="n">
        <x:v>7</x:v>
      </x:c>
      <x:c r="T104" s="1" t="str">
        <x:v>Yes</x:v>
      </x:c>
      <x:c r="U104" s="1" t="n">
        <x:v>0</x:v>
      </x:c>
    </x:row>
    <x:row r="105" ht="23" customHeight="1">
      <x:c r="A105" s="9" t="n">
        <x:v>104</x:v>
      </x:c>
      <x:c r="B105" s="9" t="n">
        <x:v>0</x:v>
      </x:c>
      <x:c r="C105" s="9" t="n">
        <x:v>1019</x:v>
      </x:c>
      <x:c r="D105" s="9" t="n">
        <x:v>2</x:v>
      </x:c>
      <x:c r="E105" s="9" t="n">
        <x:v>119470</x:v>
      </x:c>
      <x:c r="F105" s="9" t="n">
        <x:v>36419</x:v>
      </x:c>
      <x:c r="G105" s="9" t="n">
        <x:v>26018</x:v>
      </x:c>
      <x:c r="H105" s="9" t="n">
        <x:v>52809.999999996275</x:v>
      </x:c>
      <x:c r="I105" s="9" t="n">
        <x:v>4117.000000003725</x:v>
      </x:c>
      <x:c r="J105" s="9" t="n">
        <x:v>106</x:v>
      </x:c>
      <x:c r="K105" s="9" t="n">
        <x:f>F105+G105+I105+J105</x:f>
        <x:v>66660.00000000373</x:v>
      </x:c>
      <x:c r="L105" s="10" t="n">
        <x:f>K105/Sources!$B$4*1000</x:f>
        <x:v>18.622478555236412</x:v>
      </x:c>
      <x:c r="M105" s="10" t="n">
        <x:f>E105/Sources!$B$4*1000</x:f>
        <x:v>33.37575026993654</x:v>
      </x:c>
      <x:c r="N105" s="9" t="n">
        <x:f>Sources!$B$6-K105</x:f>
        <x:v>-6924.000000003725</x:v>
      </x:c>
      <x:c r="O105" s="1" t="str">
        <x:v>keyboard_route</x:v>
      </x:c>
      <x:c r="P105" s="12" t="n">
        <x:v>0</x:v>
      </x:c>
      <x:c r="Q105" s="12" t="n">
        <x:v>-4</x:v>
      </x:c>
      <x:c r="R105" s="12" t="n">
        <x:v>0</x:v>
      </x:c>
      <x:c r="S105" s="12" t="n">
        <x:v>3</x:v>
      </x:c>
      <x:c r="T105" s="1" t="str">
        <x:v>No</x:v>
      </x:c>
      <x:c r="U105" s="1" t="n">
        <x:v>0</x:v>
      </x:c>
    </x:row>
    <x:row r="106" ht="23" customHeight="1">
      <x:c r="A106" s="9" t="n">
        <x:v>105</x:v>
      </x:c>
      <x:c r="B106" s="9" t="n">
        <x:v>0</x:v>
      </x:c>
      <x:c r="C106" s="9" t="n">
        <x:v>1015</x:v>
      </x:c>
      <x:c r="D106" s="9" t="n">
        <x:v>2</x:v>
      </x:c>
      <x:c r="E106" s="9" t="n">
        <x:v>119470.99999999627</x:v>
      </x:c>
      <x:c r="F106" s="9" t="n">
        <x:v>30270.999999996275</x:v>
      </x:c>
      <x:c r="G106" s="9" t="n">
        <x:v>37727</x:v>
      </x:c>
      <x:c r="H106" s="9" t="n">
        <x:v>47250.000000003725</x:v>
      </x:c>
      <x:c r="I106" s="9" t="n">
        <x:v>4116.999999996275</x:v>
      </x:c>
      <x:c r="J106" s="9" t="n">
        <x:v>106</x:v>
      </x:c>
      <x:c r="K106" s="9" t="n">
        <x:f>F106+G106+I106+J106</x:f>
        <x:v>72220.99999999255</x:v>
      </x:c>
      <x:c r="L106" s="10" t="n">
        <x:f>K106/Sources!$B$4*1000</x:f>
        <x:v>20.17602795885861</x:v>
      </x:c>
      <x:c r="M106" s="10" t="n">
        <x:f>E106/Sources!$B$4*1000</x:f>
        <x:v>33.37602963505034</x:v>
      </x:c>
      <x:c r="N106" s="9" t="n">
        <x:f>Sources!$B$6-K106</x:f>
        <x:v>-12484.99999999255</x:v>
      </x:c>
      <x:c r="O106" s="1" t="str">
        <x:v>keyboard_route</x:v>
      </x:c>
      <x:c r="P106" s="12" t="n">
        <x:v>0</x:v>
      </x:c>
      <x:c r="Q106" s="12" t="n">
        <x:v>-4</x:v>
      </x:c>
      <x:c r="R106" s="12" t="n">
        <x:v>0</x:v>
      </x:c>
      <x:c r="S106" s="12" t="n">
        <x:v>7</x:v>
      </x:c>
      <x:c r="T106" s="1" t="str">
        <x:v>Yes</x:v>
      </x:c>
      <x:c r="U106" s="1" t="n">
        <x:v>0</x:v>
      </x:c>
    </x:row>
    <x:row r="107" ht="23" customHeight="1">
      <x:c r="A107" s="9" t="n">
        <x:v>106</x:v>
      </x:c>
      <x:c r="B107" s="9" t="n">
        <x:v>0</x:v>
      </x:c>
      <x:c r="C107" s="9" t="n">
        <x:v>1011</x:v>
      </x:c>
      <x:c r="D107" s="9" t="n">
        <x:v>2</x:v>
      </x:c>
      <x:c r="E107" s="9" t="n">
        <x:v>119476.00000000373</x:v>
      </x:c>
      <x:c r="F107" s="9" t="n">
        <x:v>39235</x:v>
      </x:c>
      <x:c r="G107" s="9" t="n">
        <x:v>26018</x:v>
      </x:c>
      <x:c r="H107" s="9" t="n">
        <x:v>49999.999999996275</x:v>
      </x:c>
      <x:c r="I107" s="9" t="n">
        <x:v>4117.000000007451</x:v>
      </x:c>
      <x:c r="J107" s="9" t="n">
        <x:v>106</x:v>
      </x:c>
      <x:c r="K107" s="9" t="n">
        <x:f>F107+G107+I107+J107</x:f>
        <x:v>69476.00000000745</x:v>
      </x:c>
      <x:c r="L107" s="10" t="n">
        <x:f>K107/Sources!$B$4*1000</x:f>
        <x:v>19.409170718626935</x:v>
      </x:c>
      <x:c r="M107" s="10" t="n">
        <x:f>E107/Sources!$B$4*1000</x:f>
        <x:v>33.37742646062662</x:v>
      </x:c>
      <x:c r="N107" s="9" t="n">
        <x:f>Sources!$B$6-K107</x:f>
        <x:v>-9740.00000000745</x:v>
      </x:c>
      <x:c r="O107" s="1" t="str">
        <x:v>keyboard_route</x:v>
      </x:c>
      <x:c r="P107" s="12" t="n">
        <x:v>0</x:v>
      </x:c>
      <x:c r="Q107" s="12" t="n">
        <x:v>-4</x:v>
      </x:c>
      <x:c r="R107" s="12" t="n">
        <x:v>0</x:v>
      </x:c>
      <x:c r="S107" s="12" t="n">
        <x:v>3</x:v>
      </x:c>
      <x:c r="T107" s="1" t="str">
        <x:v>No</x:v>
      </x:c>
      <x:c r="U107" s="1" t="n">
        <x:v>0</x:v>
      </x:c>
    </x:row>
    <x:row r="108" ht="23" customHeight="1">
      <x:c r="A108" s="9" t="n">
        <x:v>107</x:v>
      </x:c>
      <x:c r="B108" s="9" t="n">
        <x:v>0</x:v>
      </x:c>
      <x:c r="C108" s="9" t="n">
        <x:v>1011</x:v>
      </x:c>
      <x:c r="D108" s="9" t="n">
        <x:v>2</x:v>
      </x:c>
      <x:c r="E108" s="9" t="n">
        <x:v>117918</x:v>
      </x:c>
      <x:c r="F108" s="9" t="n">
        <x:v>33216</x:v>
      </x:c>
      <x:c r="G108" s="9" t="n">
        <x:v>25031</x:v>
      </x:c>
      <x:c r="H108" s="9" t="n">
        <x:v>57000</x:v>
      </x:c>
      <x:c r="I108" s="9" t="n">
        <x:v>2564.9999999925494</x:v>
      </x:c>
      <x:c r="J108" s="9" t="n">
        <x:v>106.00000000745058</x:v>
      </x:c>
      <x:c r="K108" s="9" t="n">
        <x:f>F108+G108+I108+J108</x:f>
        <x:v>60918</x:v>
      </x:c>
      <x:c r="L108" s="10" t="n">
        <x:f>K108/Sources!$B$4*1000</x:f>
        <x:v>17.018364065824006</x:v>
      </x:c>
      <x:c r="M108" s="10" t="n">
        <x:f>E108/Sources!$B$4*1000</x:f>
        <x:v>32.94217561170483</x:v>
      </x:c>
      <x:c r="N108" s="9" t="n">
        <x:f>Sources!$B$6-K108</x:f>
        <x:v>-1182</x:v>
      </x:c>
      <x:c r="O108" s="1" t="str">
        <x:v>keyboard_route</x:v>
      </x:c>
      <x:c r="P108" s="12" t="n">
        <x:v>0</x:v>
      </x:c>
      <x:c r="Q108" s="12" t="n">
        <x:v>0</x:v>
      </x:c>
      <x:c r="R108" s="12" t="n">
        <x:v>0</x:v>
      </x:c>
      <x:c r="S108" s="12" t="n">
        <x:v>3</x:v>
      </x:c>
      <x:c r="T108" s="1" t="str">
        <x:v>No</x:v>
      </x:c>
      <x:c r="U108" s="1" t="n">
        <x:v>0</x:v>
      </x:c>
    </x:row>
    <x:row r="109" ht="23" customHeight="1">
      <x:c r="A109" s="9" t="n">
        <x:v>108</x:v>
      </x:c>
      <x:c r="B109" s="9" t="n">
        <x:v>0</x:v>
      </x:c>
      <x:c r="C109" s="9" t="n">
        <x:v>1011</x:v>
      </x:c>
      <x:c r="D109" s="9" t="n">
        <x:v>2</x:v>
      </x:c>
      <x:c r="E109" s="9" t="n">
        <x:v>119471</x:v>
      </x:c>
      <x:c r="F109" s="9" t="n">
        <x:v>33105</x:v>
      </x:c>
      <x:c r="G109" s="9" t="n">
        <x:v>24730</x:v>
      </x:c>
      <x:c r="H109" s="9" t="n">
        <x:v>58965</x:v>
      </x:c>
      <x:c r="I109" s="9" t="n">
        <x:v>2565</x:v>
      </x:c>
      <x:c r="J109" s="9" t="n">
        <x:v>106</x:v>
      </x:c>
      <x:c r="K109" s="9" t="n">
        <x:f>F109+G109+I109+J109</x:f>
        <x:v>60506</x:v>
      </x:c>
      <x:c r="L109" s="10" t="n">
        <x:f>K109/Sources!$B$4*1000</x:f>
        <x:v>16.90326563850992</x:v>
      </x:c>
      <x:c r="M109" s="10" t="n">
        <x:f>E109/Sources!$B$4*1000</x:f>
        <x:v>33.37602963505138</x:v>
      </x:c>
      <x:c r="N109" s="9" t="n">
        <x:f>Sources!$B$6-K109</x:f>
        <x:v>-770</x:v>
      </x:c>
      <x:c r="O109" s="1" t="str">
        <x:v>keyboard_route</x:v>
      </x:c>
      <x:c r="P109" s="12" t="n">
        <x:v>0</x:v>
      </x:c>
      <x:c r="Q109" s="12" t="n">
        <x:v>0</x:v>
      </x:c>
      <x:c r="R109" s="12" t="n">
        <x:v>0</x:v>
      </x:c>
      <x:c r="S109" s="12" t="n">
        <x:v>3</x:v>
      </x:c>
      <x:c r="T109" s="1" t="str">
        <x:v>No</x:v>
      </x:c>
      <x:c r="U109" s="1" t="n">
        <x:v>0</x:v>
      </x:c>
    </x:row>
    <x:row r="110" ht="23" customHeight="1">
      <x:c r="A110" s="9" t="n">
        <x:v>109</x:v>
      </x:c>
      <x:c r="B110" s="9" t="n">
        <x:v>0</x:v>
      </x:c>
      <x:c r="C110" s="9" t="n">
        <x:v>1011</x:v>
      </x:c>
      <x:c r="D110" s="9" t="n">
        <x:v>2</x:v>
      </x:c>
      <x:c r="E110" s="9" t="n">
        <x:v>119475</x:v>
      </x:c>
      <x:c r="F110" s="9" t="n">
        <x:v>37898</x:v>
      </x:c>
      <x:c r="G110" s="9" t="n">
        <x:v>25031</x:v>
      </x:c>
      <x:c r="H110" s="9" t="n">
        <x:v>53875</x:v>
      </x:c>
      <x:c r="I110" s="9" t="n">
        <x:v>2565</x:v>
      </x:c>
      <x:c r="J110" s="9" t="n">
        <x:v>106</x:v>
      </x:c>
      <x:c r="K110" s="9" t="n">
        <x:f>F110+G110+I110+J110</x:f>
        <x:v>65600</x:v>
      </x:c>
      <x:c r="L110" s="10" t="n">
        <x:f>K110/Sources!$B$4*1000</x:f>
        <x:v>18.32635153350496</x:v>
      </x:c>
      <x:c r="M110" s="10" t="n">
        <x:f>E110/Sources!$B$4*1000</x:f>
        <x:v>33.37714709551074</x:v>
      </x:c>
      <x:c r="N110" s="9" t="n">
        <x:f>Sources!$B$6-K110</x:f>
        <x:v>-5864</x:v>
      </x:c>
      <x:c r="O110" s="1" t="str">
        <x:v>keyboard_route</x:v>
      </x:c>
      <x:c r="P110" s="12" t="n">
        <x:v>0</x:v>
      </x:c>
      <x:c r="Q110" s="12" t="n">
        <x:v>0</x:v>
      </x:c>
      <x:c r="R110" s="12" t="n">
        <x:v>0</x:v>
      </x:c>
      <x:c r="S110" s="12" t="n">
        <x:v>3</x:v>
      </x:c>
      <x:c r="T110" s="1" t="str">
        <x:v>No</x:v>
      </x:c>
      <x:c r="U110" s="1" t="n">
        <x:v>0</x:v>
      </x:c>
    </x:row>
    <x:row r="111" ht="23" customHeight="1">
      <x:c r="A111" s="9" t="n">
        <x:v>110</x:v>
      </x:c>
      <x:c r="B111" s="9" t="n">
        <x:v>0</x:v>
      </x:c>
      <x:c r="C111" s="9" t="n">
        <x:v>1011</x:v>
      </x:c>
      <x:c r="D111" s="9" t="n">
        <x:v>2</x:v>
      </x:c>
      <x:c r="E111" s="9" t="n">
        <x:v>119469</x:v>
      </x:c>
      <x:c r="F111" s="9" t="n">
        <x:v>35788</x:v>
      </x:c>
      <x:c r="G111" s="9" t="n">
        <x:v>24730</x:v>
      </x:c>
      <x:c r="H111" s="9" t="n">
        <x:v>56280</x:v>
      </x:c>
      <x:c r="I111" s="9" t="n">
        <x:v>2565</x:v>
      </x:c>
      <x:c r="J111" s="9" t="n">
        <x:v>106</x:v>
      </x:c>
      <x:c r="K111" s="9" t="n">
        <x:f>F111+G111+I111+J111</x:f>
        <x:v>63189</x:v>
      </x:c>
      <x:c r="L111" s="10" t="n">
        <x:f>K111/Sources!$B$4*1000</x:f>
        <x:v>17.65280224162568</x:v>
      </x:c>
      <x:c r="M111" s="10" t="n">
        <x:f>E111/Sources!$B$4*1000</x:f>
        <x:v>33.375470904821704</x:v>
      </x:c>
      <x:c r="N111" s="9" t="n">
        <x:f>Sources!$B$6-K111</x:f>
        <x:v>-3453</x:v>
      </x:c>
      <x:c r="O111" s="1" t="str">
        <x:v>keyboard_route</x:v>
      </x:c>
      <x:c r="P111" s="12" t="n">
        <x:v>0</x:v>
      </x:c>
      <x:c r="Q111" s="12" t="n">
        <x:v>0</x:v>
      </x:c>
      <x:c r="R111" s="12" t="n">
        <x:v>0</x:v>
      </x:c>
      <x:c r="S111" s="12" t="n">
        <x:v>3</x:v>
      </x:c>
      <x:c r="T111" s="1" t="str">
        <x:v>No</x:v>
      </x:c>
      <x:c r="U111" s="1" t="n">
        <x:v>0</x:v>
      </x:c>
    </x:row>
    <x:row r="112" ht="23" customHeight="1">
      <x:c r="A112" s="9" t="n">
        <x:v>111</x:v>
      </x:c>
      <x:c r="B112" s="9" t="n">
        <x:v>0</x:v>
      </x:c>
      <x:c r="C112" s="9" t="n">
        <x:v>1011</x:v>
      </x:c>
      <x:c r="D112" s="9" t="n">
        <x:v>2</x:v>
      </x:c>
      <x:c r="E112" s="9" t="n">
        <x:v>119470.99999999255</x:v>
      </x:c>
      <x:c r="F112" s="9" t="n">
        <x:v>37879</x:v>
      </x:c>
      <x:c r="G112" s="9" t="n">
        <x:v>25031</x:v>
      </x:c>
      <x:c r="H112" s="9" t="n">
        <x:v>53890</x:v>
      </x:c>
      <x:c r="I112" s="9" t="n">
        <x:v>2565</x:v>
      </x:c>
      <x:c r="J112" s="9" t="n">
        <x:v>105.99999999254942</x:v>
      </x:c>
      <x:c r="K112" s="9" t="n">
        <x:f>F112+G112+I112+J112</x:f>
        <x:v>65580.99999999255</x:v>
      </x:c>
      <x:c r="L112" s="10" t="n">
        <x:f>K112/Sources!$B$4*1000</x:f>
        <x:v>18.321043596320916</x:v>
      </x:c>
      <x:c r="M112" s="10" t="n">
        <x:f>E112/Sources!$B$4*1000</x:f>
        <x:v>33.3760296350493</x:v>
      </x:c>
      <x:c r="N112" s="9" t="n">
        <x:f>Sources!$B$6-K112</x:f>
        <x:v>-5844.999999992549</x:v>
      </x:c>
      <x:c r="O112" s="1" t="str">
        <x:v>keyboard_route</x:v>
      </x:c>
      <x:c r="P112" s="12" t="n">
        <x:v>0</x:v>
      </x:c>
      <x:c r="Q112" s="12" t="n">
        <x:v>0</x:v>
      </x:c>
      <x:c r="R112" s="12" t="n">
        <x:v>0</x:v>
      </x:c>
      <x:c r="S112" s="12" t="n">
        <x:v>3</x:v>
      </x:c>
      <x:c r="T112" s="1" t="str">
        <x:v>No</x:v>
      </x:c>
      <x:c r="U112" s="1" t="n">
        <x:v>0</x:v>
      </x:c>
    </x:row>
    <x:row r="113" ht="23" customHeight="1">
      <x:c r="A113" s="9" t="n">
        <x:v>112</x:v>
      </x:c>
      <x:c r="B113" s="9" t="n">
        <x:v>0</x:v>
      </x:c>
      <x:c r="C113" s="9" t="n">
        <x:v>1011</x:v>
      </x:c>
      <x:c r="D113" s="9" t="n">
        <x:v>2</x:v>
      </x:c>
      <x:c r="E113" s="9" t="n">
        <x:v>59738.00000000745</x:v>
      </x:c>
      <x:c r="F113" s="9" t="n">
        <x:v>31851</x:v>
      </x:c>
      <x:c r="G113" s="9" t="n">
        <x:v>24561</x:v>
      </x:c>
      <x:c r="H113" s="9" t="n">
        <x:v>655</x:v>
      </x:c>
      <x:c r="I113" s="9" t="n">
        <x:v>2564.9999999925494</x:v>
      </x:c>
      <x:c r="J113" s="9" t="n">
        <x:v>106.00000001490116</x:v>
      </x:c>
      <x:c r="K113" s="9" t="n">
        <x:f>F113+G113+I113+J113</x:f>
        <x:v>59083.00000000745</x:v>
      </x:c>
      <x:c r="L113" s="10" t="n">
        <x:f>K113/Sources!$B$4*1000</x:f>
        <x:v>16.505729080094664</x:v>
      </x:c>
      <x:c r="M113" s="10" t="n">
        <x:f>E113/Sources!$B$4*1000</x:f>
        <x:v>16.68871323031487</x:v>
      </x:c>
      <x:c r="N113" s="9" t="n">
        <x:f>Sources!$B$6-K113</x:f>
        <x:v>652.9999999925494</x:v>
      </x:c>
      <x:c r="O113" s="1" t="str">
        <x:v>keyboard_route</x:v>
      </x:c>
      <x:c r="P113" s="12" t="n">
        <x:v>0</x:v>
      </x:c>
      <x:c r="Q113" s="12" t="n">
        <x:v>0</x:v>
      </x:c>
      <x:c r="R113" s="12" t="n">
        <x:v>0</x:v>
      </x:c>
      <x:c r="S113" s="12" t="n">
        <x:v>3</x:v>
      </x:c>
      <x:c r="T113" s="1" t="str">
        <x:v>No</x:v>
      </x:c>
      <x:c r="U113" s="1" t="n">
        <x:v>0</x:v>
      </x:c>
    </x:row>
    <x:row r="114" ht="23" customHeight="1">
      <x:c r="A114" s="9" t="n">
        <x:v>113</x:v>
      </x:c>
      <x:c r="B114" s="9" t="n">
        <x:v>0</x:v>
      </x:c>
      <x:c r="C114" s="9" t="n">
        <x:v>1011</x:v>
      </x:c>
      <x:c r="D114" s="9" t="n">
        <x:v>1</x:v>
      </x:c>
      <x:c r="E114" s="9" t="n">
        <x:v>59738</x:v>
      </x:c>
      <x:c r="F114" s="9" t="n">
        <x:v>29145</x:v>
      </x:c>
      <x:c r="G114" s="9" t="n">
        <x:v>24861.99999999255</x:v>
      </x:c>
      <x:c r="H114" s="9" t="n">
        <x:v>3060.0000000074506</x:v>
      </x:c>
      <x:c r="I114" s="9" t="n">
        <x:v>2565</x:v>
      </x:c>
      <x:c r="J114" s="9" t="n">
        <x:v>106</x:v>
      </x:c>
      <x:c r="K114" s="9" t="n">
        <x:f>F114+G114+I114+J114</x:f>
        <x:v>56677.99999999255</x:v>
      </x:c>
      <x:c r="L114" s="10" t="n">
        <x:f>K114/Sources!$B$4*1000</x:f>
        <x:v>15.833855978900264</x:v>
      </x:c>
      <x:c r="M114" s="10" t="n">
        <x:f>E114/Sources!$B$4*1000</x:f>
        <x:v>16.68871323031279</x:v>
      </x:c>
      <x:c r="N114" s="9" t="n">
        <x:f>Sources!$B$6-K114</x:f>
        <x:v>3058.0000000074506</x:v>
      </x:c>
      <x:c r="O114" s="1" t="str">
        <x:v>keyboard_route</x:v>
      </x:c>
      <x:c r="P114" s="12" t="n">
        <x:v>0</x:v>
      </x:c>
      <x:c r="Q114" s="12" t="n">
        <x:v>0</x:v>
      </x:c>
      <x:c r="R114" s="12" t="n">
        <x:v>0</x:v>
      </x:c>
      <x:c r="S114" s="12" t="n">
        <x:v>3</x:v>
      </x:c>
      <x:c r="T114" s="1" t="str">
        <x:v>No</x:v>
      </x:c>
      <x:c r="U114" s="1" t="n">
        <x:v>0</x:v>
      </x:c>
    </x:row>
    <x:row r="115" ht="23" customHeight="1">
      <x:c r="A115" s="9" t="n">
        <x:v>114</x:v>
      </x:c>
      <x:c r="B115" s="9" t="n">
        <x:v>0</x:v>
      </x:c>
      <x:c r="C115" s="9" t="n">
        <x:v>1011</x:v>
      </x:c>
      <x:c r="D115" s="9" t="n">
        <x:v>1</x:v>
      </x:c>
      <x:c r="E115" s="9" t="n">
        <x:v>59732</x:v>
      </x:c>
      <x:c r="F115" s="9" t="n">
        <x:v>14489.99999999255</x:v>
      </x:c>
      <x:c r="G115" s="9" t="n">
        <x:v>24561.00000000745</x:v>
      </x:c>
      <x:c r="H115" s="9" t="n">
        <x:v>18010</x:v>
      </x:c>
      <x:c r="I115" s="9" t="n">
        <x:v>2565</x:v>
      </x:c>
      <x:c r="J115" s="9" t="n">
        <x:v>106</x:v>
      </x:c>
      <x:c r="K115" s="9" t="n">
        <x:f>F115+G115+I115+J115</x:f>
        <x:v>41722</x:v>
      </x:c>
      <x:c r="L115" s="10" t="n">
        <x:f>K115/Sources!$B$4*1000</x:f>
        <x:v>11.655671321355088</x:v>
      </x:c>
      <x:c r="M115" s="10" t="n">
        <x:f>E115/Sources!$B$4*1000</x:f>
        <x:v>16.68703703962375</x:v>
      </x:c>
      <x:c r="N115" s="9" t="n">
        <x:f>Sources!$B$6-K115</x:f>
        <x:v>18014</x:v>
      </x:c>
      <x:c r="O115" s="1" t="str">
        <x:v>keyboard_route</x:v>
      </x:c>
      <x:c r="P115" s="12" t="n">
        <x:v>0</x:v>
      </x:c>
      <x:c r="Q115" s="12" t="n">
        <x:v>0</x:v>
      </x:c>
      <x:c r="R115" s="12" t="n">
        <x:v>0</x:v>
      </x:c>
      <x:c r="S115" s="12" t="n">
        <x:v>3</x:v>
      </x:c>
      <x:c r="T115" s="1" t="str">
        <x:v>No</x:v>
      </x:c>
      <x:c r="U115" s="1" t="n">
        <x:v>0</x:v>
      </x:c>
    </x:row>
    <x:row r="116" ht="23" customHeight="1">
      <x:c r="A116" s="9" t="n">
        <x:v>115</x:v>
      </x:c>
      <x:c r="B116" s="9" t="n">
        <x:v>0</x:v>
      </x:c>
      <x:c r="C116" s="9" t="n">
        <x:v>1011</x:v>
      </x:c>
      <x:c r="D116" s="9" t="n">
        <x:v>1</x:v>
      </x:c>
      <x:c r="E116" s="9" t="n">
        <x:v>59739</x:v>
      </x:c>
      <x:c r="F116" s="9" t="n">
        <x:v>24921</x:v>
      </x:c>
      <x:c r="G116" s="9" t="n">
        <x:v>24862</x:v>
      </x:c>
      <x:c r="H116" s="9" t="n">
        <x:v>7285</x:v>
      </x:c>
      <x:c r="I116" s="9" t="n">
        <x:v>2565</x:v>
      </x:c>
      <x:c r="J116" s="9" t="n">
        <x:v>106</x:v>
      </x:c>
      <x:c r="K116" s="9" t="n">
        <x:f>F116+G116+I116+J116</x:f>
        <x:v>52454</x:v>
      </x:c>
      <x:c r="L116" s="10" t="n">
        <x:f>K116/Sources!$B$4*1000</x:f>
        <x:v>14.653817733818126</x:v>
      </x:c>
      <x:c r="M116" s="10" t="n">
        <x:f>E116/Sources!$B$4*1000</x:f>
        <x:v>16.68899259542763</x:v>
      </x:c>
      <x:c r="N116" s="9" t="n">
        <x:f>Sources!$B$6-K116</x:f>
        <x:v>7282</x:v>
      </x:c>
      <x:c r="O116" s="1" t="str">
        <x:v>keyboard_route</x:v>
      </x:c>
      <x:c r="P116" s="12" t="n">
        <x:v>0</x:v>
      </x:c>
      <x:c r="Q116" s="12" t="n">
        <x:v>0</x:v>
      </x:c>
      <x:c r="R116" s="12" t="n">
        <x:v>0</x:v>
      </x:c>
      <x:c r="S116" s="12" t="n">
        <x:v>3</x:v>
      </x:c>
      <x:c r="T116" s="1" t="str">
        <x:v>No</x:v>
      </x:c>
      <x:c r="U116" s="1" t="n">
        <x:v>0</x:v>
      </x:c>
    </x:row>
    <x:row r="117" ht="23" customHeight="1">
      <x:c r="A117" s="9" t="n">
        <x:v>116</x:v>
      </x:c>
      <x:c r="B117" s="9" t="n">
        <x:v>0</x:v>
      </x:c>
      <x:c r="C117" s="9" t="n">
        <x:v>1011</x:v>
      </x:c>
      <x:c r="D117" s="9" t="n">
        <x:v>1</x:v>
      </x:c>
      <x:c r="E117" s="9" t="n">
        <x:v>59736</x:v>
      </x:c>
      <x:c r="F117" s="9" t="n">
        <x:v>15534</x:v>
      </x:c>
      <x:c r="G117" s="9" t="n">
        <x:v>24561</x:v>
      </x:c>
      <x:c r="H117" s="9" t="n">
        <x:v>16970</x:v>
      </x:c>
      <x:c r="I117" s="9" t="n">
        <x:v>2565</x:v>
      </x:c>
      <x:c r="J117" s="9" t="n">
        <x:v>106</x:v>
      </x:c>
      <x:c r="K117" s="9" t="n">
        <x:f>F117+G117+I117+J117</x:f>
        <x:v>42766</x:v>
      </x:c>
      <x:c r="L117" s="10" t="n">
        <x:f>K117/Sources!$B$4*1000</x:f>
        <x:v>11.947328501248064</x:v>
      </x:c>
      <x:c r="M117" s="10" t="n">
        <x:f>E117/Sources!$B$4*1000</x:f>
        <x:v>16.68815450008311</x:v>
      </x:c>
      <x:c r="N117" s="9" t="n">
        <x:f>Sources!$B$6-K117</x:f>
        <x:v>16970</x:v>
      </x:c>
      <x:c r="O117" s="1" t="str">
        <x:v>keyboard_route</x:v>
      </x:c>
      <x:c r="P117" s="12" t="n">
        <x:v>0</x:v>
      </x:c>
      <x:c r="Q117" s="12" t="n">
        <x:v>0</x:v>
      </x:c>
      <x:c r="R117" s="12" t="n">
        <x:v>0</x:v>
      </x:c>
      <x:c r="S117" s="12" t="n">
        <x:v>3</x:v>
      </x:c>
      <x:c r="T117" s="1" t="str">
        <x:v>No</x:v>
      </x:c>
      <x:c r="U117" s="1" t="n">
        <x:v>0</x:v>
      </x:c>
    </x:row>
    <x:row r="118" ht="23" customHeight="1">
      <x:c r="A118" s="9" t="n">
        <x:v>117</x:v>
      </x:c>
      <x:c r="B118" s="9" t="n">
        <x:v>0</x:v>
      </x:c>
      <x:c r="C118" s="9" t="n">
        <x:v>1011</x:v>
      </x:c>
      <x:c r="D118" s="9" t="n">
        <x:v>1</x:v>
      </x:c>
      <x:c r="E118" s="9" t="n">
        <x:v>59735</x:v>
      </x:c>
      <x:c r="F118" s="9" t="n">
        <x:v>28312</x:v>
      </x:c>
      <x:c r="G118" s="9" t="n">
        <x:v>24861.99999999255</x:v>
      </x:c>
      <x:c r="H118" s="9" t="n">
        <x:v>3890.0000000074506</x:v>
      </x:c>
      <x:c r="I118" s="9" t="n">
        <x:v>2565</x:v>
      </x:c>
      <x:c r="J118" s="9" t="n">
        <x:v>106</x:v>
      </x:c>
      <x:c r="K118" s="9" t="n">
        <x:f>F118+G118+I118+J118</x:f>
        <x:v>55844.99999999255</x:v>
      </x:c>
      <x:c r="L118" s="10" t="n">
        <x:f>K118/Sources!$B$4*1000</x:f>
        <x:v>15.601144838238532</x:v>
      </x:c>
      <x:c r="M118" s="10" t="n">
        <x:f>E118/Sources!$B$4*1000</x:f>
        <x:v>16.68787513496827</x:v>
      </x:c>
      <x:c r="N118" s="9" t="n">
        <x:f>Sources!$B$6-K118</x:f>
        <x:v>3891.0000000074506</x:v>
      </x:c>
      <x:c r="O118" s="1" t="str">
        <x:v>keyboard_route</x:v>
      </x:c>
      <x:c r="P118" s="12" t="n">
        <x:v>0</x:v>
      </x:c>
      <x:c r="Q118" s="12" t="n">
        <x:v>0</x:v>
      </x:c>
      <x:c r="R118" s="12" t="n">
        <x:v>0</x:v>
      </x:c>
      <x:c r="S118" s="12" t="n">
        <x:v>3</x:v>
      </x:c>
      <x:c r="T118" s="1" t="str">
        <x:v>No</x:v>
      </x:c>
      <x:c r="U118" s="1" t="n">
        <x:v>0</x:v>
      </x:c>
    </x:row>
    <x:row r="119" ht="23" customHeight="1">
      <x:c r="A119" s="9" t="n">
        <x:v>118</x:v>
      </x:c>
      <x:c r="B119" s="9" t="n">
        <x:v>0</x:v>
      </x:c>
      <x:c r="C119" s="9" t="n">
        <x:v>1011</x:v>
      </x:c>
      <x:c r="D119" s="9" t="n">
        <x:v>1</x:v>
      </x:c>
      <x:c r="E119" s="9" t="n">
        <x:v>59736</x:v>
      </x:c>
      <x:c r="F119" s="9" t="n">
        <x:v>14424</x:v>
      </x:c>
      <x:c r="G119" s="9" t="n">
        <x:v>24561</x:v>
      </x:c>
      <x:c r="H119" s="9" t="n">
        <x:v>18080</x:v>
      </x:c>
      <x:c r="I119" s="9" t="n">
        <x:v>2565</x:v>
      </x:c>
      <x:c r="J119" s="9" t="n">
        <x:v>106</x:v>
      </x:c>
      <x:c r="K119" s="9" t="n">
        <x:f>F119+G119+I119+J119</x:f>
        <x:v>41656</x:v>
      </x:c>
      <x:c r="L119" s="10" t="n">
        <x:f>K119/Sources!$B$4*1000</x:f>
        <x:v>11.637233223775647</x:v>
      </x:c>
      <x:c r="M119" s="10" t="n">
        <x:f>E119/Sources!$B$4*1000</x:f>
        <x:v>16.68815450008311</x:v>
      </x:c>
      <x:c r="N119" s="9" t="n">
        <x:f>Sources!$B$6-K119</x:f>
        <x:v>18080</x:v>
      </x:c>
      <x:c r="O119" s="1" t="str">
        <x:v>keyboard_route</x:v>
      </x:c>
      <x:c r="P119" s="12" t="n">
        <x:v>0</x:v>
      </x:c>
      <x:c r="Q119" s="12" t="n">
        <x:v>0</x:v>
      </x:c>
      <x:c r="R119" s="12" t="n">
        <x:v>0</x:v>
      </x:c>
      <x:c r="S119" s="12" t="n">
        <x:v>3</x:v>
      </x:c>
      <x:c r="T119" s="1" t="str">
        <x:v>No</x:v>
      </x:c>
      <x:c r="U119" s="1" t="n">
        <x:v>0</x:v>
      </x:c>
    </x:row>
    <x:row r="120" ht="23" customHeight="1">
      <x:c r="A120" s="9" t="n">
        <x:v>119</x:v>
      </x:c>
      <x:c r="B120" s="9" t="n">
        <x:v>0</x:v>
      </x:c>
      <x:c r="C120" s="9" t="n">
        <x:v>1011</x:v>
      </x:c>
      <x:c r="D120" s="9" t="n">
        <x:v>1</x:v>
      </x:c>
      <x:c r="E120" s="9" t="n">
        <x:v>59736</x:v>
      </x:c>
      <x:c r="F120" s="9" t="n">
        <x:v>29703</x:v>
      </x:c>
      <x:c r="G120" s="9" t="n">
        <x:v>24862</x:v>
      </x:c>
      <x:c r="H120" s="9" t="n">
        <x:v>2500</x:v>
      </x:c>
      <x:c r="I120" s="9" t="n">
        <x:v>2565</x:v>
      </x:c>
      <x:c r="J120" s="9" t="n">
        <x:v>106</x:v>
      </x:c>
      <x:c r="K120" s="9" t="n">
        <x:f>F120+G120+I120+J120</x:f>
        <x:v>57236</x:v>
      </x:c>
      <x:c r="L120" s="10" t="n">
        <x:f>K120/Sources!$B$4*1000</x:f>
        <x:v>15.989741712983074</x:v>
      </x:c>
      <x:c r="M120" s="10" t="n">
        <x:f>E120/Sources!$B$4*1000</x:f>
        <x:v>16.68815450008311</x:v>
      </x:c>
      <x:c r="N120" s="9" t="n">
        <x:f>Sources!$B$6-K120</x:f>
        <x:v>2500</x:v>
      </x:c>
      <x:c r="O120" s="1" t="str">
        <x:v>keyboard_route</x:v>
      </x:c>
      <x:c r="P120" s="12" t="n">
        <x:v>0</x:v>
      </x:c>
      <x:c r="Q120" s="12" t="n">
        <x:v>0</x:v>
      </x:c>
      <x:c r="R120" s="12" t="n">
        <x:v>0</x:v>
      </x:c>
      <x:c r="S120" s="12" t="n">
        <x:v>3</x:v>
      </x:c>
      <x:c r="T120" s="1" t="str">
        <x:v>No</x:v>
      </x:c>
      <x:c r="U120" s="1" t="n">
        <x:v>0</x:v>
      </x:c>
    </x:row>
    <x:row r="121" ht="23" customHeight="1">
      <x:c r="A121" s="9" t="n">
        <x:v>120</x:v>
      </x:c>
      <x:c r="B121" s="9" t="n">
        <x:v>0</x:v>
      </x:c>
      <x:c r="C121" s="9" t="n">
        <x:v>1011</x:v>
      </x:c>
      <x:c r="D121" s="9" t="n">
        <x:v>1</x:v>
      </x:c>
      <x:c r="E121" s="9" t="n">
        <x:v>59735</x:v>
      </x:c>
      <x:c r="F121" s="9" t="n">
        <x:v>15428</x:v>
      </x:c>
      <x:c r="G121" s="9" t="n">
        <x:v>24560.99999999255</x:v>
      </x:c>
      <x:c r="H121" s="9" t="n">
        <x:v>17075.00000000745</x:v>
      </x:c>
      <x:c r="I121" s="9" t="n">
        <x:v>2565</x:v>
      </x:c>
      <x:c r="J121" s="9" t="n">
        <x:v>106</x:v>
      </x:c>
      <x:c r="K121" s="9" t="n">
        <x:f>F121+G121+I121+J121</x:f>
        <x:v>42659.99999999255</x:v>
      </x:c>
      <x:c r="L121" s="10" t="n">
        <x:f>K121/Sources!$B$4*1000</x:f>
        <x:v>11.91771579907294</x:v>
      </x:c>
      <x:c r="M121" s="10" t="n">
        <x:f>E121/Sources!$B$4*1000</x:f>
        <x:v>16.68787513496827</x:v>
      </x:c>
      <x:c r="N121" s="9" t="n">
        <x:f>Sources!$B$6-K121</x:f>
        <x:v>17076.00000000745</x:v>
      </x:c>
      <x:c r="O121" s="1" t="str">
        <x:v>keyboard_route</x:v>
      </x:c>
      <x:c r="P121" s="12" t="n">
        <x:v>0</x:v>
      </x:c>
      <x:c r="Q121" s="12" t="n">
        <x:v>0</x:v>
      </x:c>
      <x:c r="R121" s="12" t="n">
        <x:v>0</x:v>
      </x:c>
      <x:c r="S121" s="12" t="n">
        <x:v>3</x:v>
      </x:c>
      <x:c r="T121" s="1" t="str">
        <x:v>No</x:v>
      </x:c>
      <x:c r="U121" s="1" t="n">
        <x:v>0</x:v>
      </x:c>
    </x:row>
    <x:row r="122" ht="23" customHeight="1">
      <x:c r="A122" s="9" t="n">
        <x:v>121</x:v>
      </x:c>
      <x:c r="B122" s="9" t="n">
        <x:v>0</x:v>
      </x:c>
      <x:c r="C122" s="9" t="n">
        <x:v>1011</x:v>
      </x:c>
      <x:c r="D122" s="9" t="n">
        <x:v>1</x:v>
      </x:c>
      <x:c r="E122" s="9" t="n">
        <x:v>59735</x:v>
      </x:c>
      <x:c r="F122" s="9" t="n">
        <x:v>29352</x:v>
      </x:c>
      <x:c r="G122" s="9" t="n">
        <x:v>24862</x:v>
      </x:c>
      <x:c r="H122" s="9" t="n">
        <x:v>2850</x:v>
      </x:c>
      <x:c r="I122" s="9" t="n">
        <x:v>2565</x:v>
      </x:c>
      <x:c r="J122" s="9" t="n">
        <x:v>106</x:v>
      </x:c>
      <x:c r="K122" s="9" t="n">
        <x:f>F122+G122+I122+J122</x:f>
        <x:v>56885</x:v>
      </x:c>
      <x:c r="L122" s="10" t="n">
        <x:f>K122/Sources!$B$4*1000</x:f>
        <x:v>15.89168455767423</x:v>
      </x:c>
      <x:c r="M122" s="10" t="n">
        <x:f>E122/Sources!$B$4*1000</x:f>
        <x:v>16.68787513496827</x:v>
      </x:c>
      <x:c r="N122" s="9" t="n">
        <x:f>Sources!$B$6-K122</x:f>
        <x:v>2851</x:v>
      </x:c>
      <x:c r="O122" s="1" t="str">
        <x:v>keyboard_route</x:v>
      </x:c>
      <x:c r="P122" s="12" t="n">
        <x:v>0</x:v>
      </x:c>
      <x:c r="Q122" s="12" t="n">
        <x:v>0</x:v>
      </x:c>
      <x:c r="R122" s="12" t="n">
        <x:v>0</x:v>
      </x:c>
      <x:c r="S122" s="12" t="n">
        <x:v>3</x:v>
      </x:c>
      <x:c r="T122" s="1" t="str">
        <x:v>No</x:v>
      </x:c>
      <x:c r="U122" s="1" t="n">
        <x:v>0</x:v>
      </x:c>
    </x:row>
    <x:row r="123" ht="23" customHeight="1">
      <x:c r="A123" s="9" t="n">
        <x:v>122</x:v>
      </x:c>
      <x:c r="B123" s="9" t="n">
        <x:v>0</x:v>
      </x:c>
      <x:c r="C123" s="9" t="n">
        <x:v>1011</x:v>
      </x:c>
      <x:c r="D123" s="9" t="n">
        <x:v>1</x:v>
      </x:c>
      <x:c r="E123" s="9" t="n">
        <x:v>59738</x:v>
      </x:c>
      <x:c r="F123" s="9" t="n">
        <x:v>15641</x:v>
      </x:c>
      <x:c r="G123" s="9" t="n">
        <x:v>24561</x:v>
      </x:c>
      <x:c r="H123" s="9" t="n">
        <x:v>16865</x:v>
      </x:c>
      <x:c r="I123" s="9" t="n">
        <x:v>2565</x:v>
      </x:c>
      <x:c r="J123" s="9" t="n">
        <x:v>106</x:v>
      </x:c>
      <x:c r="K123" s="9" t="n">
        <x:f>F123+G123+I123+J123</x:f>
        <x:v>42873</x:v>
      </x:c>
      <x:c r="L123" s="10" t="n">
        <x:f>K123/Sources!$B$4*1000</x:f>
        <x:v>11.977220568535946</x:v>
      </x:c>
      <x:c r="M123" s="10" t="n">
        <x:f>E123/Sources!$B$4*1000</x:f>
        <x:v>16.68871323031279</x:v>
      </x:c>
      <x:c r="N123" s="9" t="n">
        <x:f>Sources!$B$6-K123</x:f>
        <x:v>16863</x:v>
      </x:c>
      <x:c r="O123" s="1" t="str">
        <x:v>keyboard_route</x:v>
      </x:c>
      <x:c r="P123" s="12" t="n">
        <x:v>0</x:v>
      </x:c>
      <x:c r="Q123" s="12" t="n">
        <x:v>0</x:v>
      </x:c>
      <x:c r="R123" s="12" t="n">
        <x:v>0</x:v>
      </x:c>
      <x:c r="S123" s="12" t="n">
        <x:v>3</x:v>
      </x:c>
      <x:c r="T123" s="1" t="str">
        <x:v>No</x:v>
      </x:c>
      <x:c r="U123" s="1" t="n">
        <x:v>0</x:v>
      </x:c>
    </x:row>
    <x:row r="124" ht="23" customHeight="1">
      <x:c r="A124" s="9" t="n">
        <x:v>123</x:v>
      </x:c>
      <x:c r="B124" s="9" t="n">
        <x:v>0</x:v>
      </x:c>
      <x:c r="C124" s="9" t="n">
        <x:v>1011</x:v>
      </x:c>
      <x:c r="D124" s="9" t="n">
        <x:v>1</x:v>
      </x:c>
      <x:c r="E124" s="9" t="n">
        <x:v>59736</x:v>
      </x:c>
      <x:c r="F124" s="9" t="n">
        <x:v>26823</x:v>
      </x:c>
      <x:c r="G124" s="9" t="n">
        <x:v>24862</x:v>
      </x:c>
      <x:c r="H124" s="9" t="n">
        <x:v>5379.999999992549</x:v>
      </x:c>
      <x:c r="I124" s="9" t="n">
        <x:v>2565.0000000074506</x:v>
      </x:c>
      <x:c r="J124" s="9" t="n">
        <x:v>106</x:v>
      </x:c>
      <x:c r="K124" s="9" t="n">
        <x:f>F124+G124+I124+J124</x:f>
        <x:v>54356.00000000745</x:v>
      </x:c>
      <x:c r="L124" s="10" t="n">
        <x:f>K124/Sources!$B$4*1000</x:f>
        <x:v>15.185170182245914</x:v>
      </x:c>
      <x:c r="M124" s="10" t="n">
        <x:f>E124/Sources!$B$4*1000</x:f>
        <x:v>16.68815450008311</x:v>
      </x:c>
      <x:c r="N124" s="9" t="n">
        <x:f>Sources!$B$6-K124</x:f>
        <x:v>5379.999999992549</x:v>
      </x:c>
      <x:c r="O124" s="1" t="str">
        <x:v>keyboard_route</x:v>
      </x:c>
      <x:c r="P124" s="12" t="n">
        <x:v>0</x:v>
      </x:c>
      <x:c r="Q124" s="12" t="n">
        <x:v>0</x:v>
      </x:c>
      <x:c r="R124" s="12" t="n">
        <x:v>0</x:v>
      </x:c>
      <x:c r="S124" s="12" t="n">
        <x:v>3</x:v>
      </x:c>
      <x:c r="T124" s="1" t="str">
        <x:v>No</x:v>
      </x:c>
      <x:c r="U124" s="1" t="n">
        <x:v>0</x:v>
      </x:c>
    </x:row>
    <x:row r="125" ht="23" customHeight="1">
      <x:c r="A125" s="9" t="n">
        <x:v>124</x:v>
      </x:c>
      <x:c r="B125" s="9" t="n">
        <x:v>0</x:v>
      </x:c>
      <x:c r="C125" s="9" t="n">
        <x:v>1011</x:v>
      </x:c>
      <x:c r="D125" s="9" t="n">
        <x:v>1</x:v>
      </x:c>
      <x:c r="E125" s="9" t="n">
        <x:v>59735</x:v>
      </x:c>
      <x:c r="F125" s="9" t="n">
        <x:v>18238.00000000745</x:v>
      </x:c>
      <x:c r="G125" s="9" t="n">
        <x:v>24561</x:v>
      </x:c>
      <x:c r="H125" s="9" t="n">
        <x:v>14265</x:v>
      </x:c>
      <x:c r="I125" s="9" t="n">
        <x:v>2565</x:v>
      </x:c>
      <x:c r="J125" s="9" t="n">
        <x:v>105.99999999254942</x:v>
      </x:c>
      <x:c r="K125" s="9" t="n">
        <x:f>F125+G125+I125+J125</x:f>
        <x:v>45470</x:v>
      </x:c>
      <x:c r="L125" s="10" t="n">
        <x:f>K125/Sources!$B$4*1000</x:f>
        <x:v>12.702731771775463</x:v>
      </x:c>
      <x:c r="M125" s="10" t="n">
        <x:f>E125/Sources!$B$4*1000</x:f>
        <x:v>16.68787513496827</x:v>
      </x:c>
      <x:c r="N125" s="9" t="n">
        <x:f>Sources!$B$6-K125</x:f>
        <x:v>14266</x:v>
      </x:c>
      <x:c r="O125" s="1" t="str">
        <x:v>keyboard_route</x:v>
      </x:c>
      <x:c r="P125" s="12" t="n">
        <x:v>0</x:v>
      </x:c>
      <x:c r="Q125" s="12" t="n">
        <x:v>0</x:v>
      </x:c>
      <x:c r="R125" s="12" t="n">
        <x:v>0</x:v>
      </x:c>
      <x:c r="S125" s="12" t="n">
        <x:v>3</x:v>
      </x:c>
      <x:c r="T125" s="1" t="str">
        <x:v>No</x:v>
      </x:c>
      <x:c r="U125" s="1" t="n">
        <x:v>0</x:v>
      </x:c>
    </x:row>
    <x:row r="126" ht="23" customHeight="1">
      <x:c r="A126" s="9" t="n">
        <x:v>125</x:v>
      </x:c>
      <x:c r="B126" s="9" t="n">
        <x:v>0</x:v>
      </x:c>
      <x:c r="C126" s="9" t="n">
        <x:v>1007</x:v>
      </x:c>
      <x:c r="D126" s="9" t="n">
        <x:v>1</x:v>
      </x:c>
      <x:c r="E126" s="9" t="n">
        <x:v>121023</x:v>
      </x:c>
      <x:c r="F126" s="9" t="n">
        <x:v>32498</x:v>
      </x:c>
      <x:c r="G126" s="9" t="n">
        <x:v>37727</x:v>
      </x:c>
      <x:c r="H126" s="9" t="n">
        <x:v>46575</x:v>
      </x:c>
      <x:c r="I126" s="9" t="n">
        <x:v>4117</x:v>
      </x:c>
      <x:c r="J126" s="9" t="n">
        <x:v>106</x:v>
      </x:c>
      <x:c r="K126" s="9" t="n">
        <x:f>F126+G126+I126+J126</x:f>
        <x:v>74448</x:v>
      </x:c>
      <x:c r="L126" s="10" t="n">
        <x:f>K126/Sources!$B$4*1000</x:f>
        <x:v>20.798174069609406</x:v>
      </x:c>
      <x:c r="M126" s="10" t="n">
        <x:f>E126/Sources!$B$4*1000</x:f>
        <x:v>33.80960429328309</x:v>
      </x:c>
      <x:c r="N126" s="9" t="n">
        <x:f>Sources!$B$6-K126</x:f>
        <x:v>-14712</x:v>
      </x:c>
      <x:c r="O126" s="1" t="str">
        <x:v>keyboard_route</x:v>
      </x:c>
      <x:c r="P126" s="12" t="n">
        <x:v>0</x:v>
      </x:c>
      <x:c r="Q126" s="12" t="n">
        <x:v>-4</x:v>
      </x:c>
      <x:c r="R126" s="12" t="n">
        <x:v>0</x:v>
      </x:c>
      <x:c r="S126" s="12" t="n">
        <x:v>7</x:v>
      </x:c>
      <x:c r="T126" s="1" t="str">
        <x:v>Yes</x:v>
      </x:c>
      <x:c r="U126" s="1" t="n">
        <x:v>0</x:v>
      </x:c>
    </x:row>
    <x:row r="127" ht="23" customHeight="1">
      <x:c r="A127" s="9" t="n">
        <x:v>126</x:v>
      </x:c>
      <x:c r="B127" s="9" t="n">
        <x:v>0</x:v>
      </x:c>
      <x:c r="C127" s="9" t="n">
        <x:v>1003</x:v>
      </x:c>
      <x:c r="D127" s="9" t="n">
        <x:v>2</x:v>
      </x:c>
      <x:c r="E127" s="9" t="n">
        <x:v>119474</x:v>
      </x:c>
      <x:c r="F127" s="9" t="n">
        <x:v>35083</x:v>
      </x:c>
      <x:c r="G127" s="9" t="n">
        <x:v>26018</x:v>
      </x:c>
      <x:c r="H127" s="9" t="n">
        <x:v>54150.00000000745</x:v>
      </x:c>
      <x:c r="I127" s="9" t="n">
        <x:v>4117</x:v>
      </x:c>
      <x:c r="J127" s="9" t="n">
        <x:v>105.99999999254942</x:v>
      </x:c>
      <x:c r="K127" s="9" t="n">
        <x:f>F127+G127+I127+J127</x:f>
        <x:v>65323.99999999255</x:v>
      </x:c>
      <x:c r="L127" s="10" t="n">
        <x:f>K127/Sources!$B$4*1000</x:f>
        <x:v>18.24924676180703</x:v>
      </x:c>
      <x:c r="M127" s="10" t="n">
        <x:f>E127/Sources!$B$4*1000</x:f>
        <x:v>33.3768677303959</x:v>
      </x:c>
      <x:c r="N127" s="9" t="n">
        <x:f>Sources!$B$6-K127</x:f>
        <x:v>-5587.999999992549</x:v>
      </x:c>
      <x:c r="O127" s="1" t="str">
        <x:v>keyboard_route</x:v>
      </x:c>
      <x:c r="P127" s="12" t="n">
        <x:v>0</x:v>
      </x:c>
      <x:c r="Q127" s="12" t="n">
        <x:v>-4</x:v>
      </x:c>
      <x:c r="R127" s="12" t="n">
        <x:v>0</x:v>
      </x:c>
      <x:c r="S127" s="12" t="n">
        <x:v>3</x:v>
      </x:c>
      <x:c r="T127" s="1" t="str">
        <x:v>No</x:v>
      </x:c>
      <x:c r="U127" s="1" t="n">
        <x:v>0</x:v>
      </x:c>
    </x:row>
    <x:row r="128" ht="23" customHeight="1">
      <x:c r="A128" s="9" t="n">
        <x:v>127</x:v>
      </x:c>
      <x:c r="B128" s="9" t="n">
        <x:v>0</x:v>
      </x:c>
      <x:c r="C128" s="9" t="n">
        <x:v>999</x:v>
      </x:c>
      <x:c r="D128" s="9" t="n">
        <x:v>2</x:v>
      </x:c>
      <x:c r="E128" s="9" t="n">
        <x:v>119470.99999999255</x:v>
      </x:c>
      <x:c r="F128" s="9" t="n">
        <x:v>35716</x:v>
      </x:c>
      <x:c r="G128" s="9" t="n">
        <x:v>37727</x:v>
      </x:c>
      <x:c r="H128" s="9" t="n">
        <x:v>41805</x:v>
      </x:c>
      <x:c r="I128" s="9" t="n">
        <x:v>4117</x:v>
      </x:c>
      <x:c r="J128" s="9" t="n">
        <x:v>105.99999999254942</x:v>
      </x:c>
      <x:c r="K128" s="9" t="n">
        <x:f>F128+G128+I128+J128</x:f>
        <x:v>77665.99999999255</x:v>
      </x:c>
      <x:c r="L128" s="10" t="n">
        <x:f>K128/Sources!$B$4*1000</x:f>
        <x:v>21.697171009162492</x:v>
      </x:c>
      <x:c r="M128" s="10" t="n">
        <x:f>E128/Sources!$B$4*1000</x:f>
        <x:v>33.3760296350493</x:v>
      </x:c>
      <x:c r="N128" s="9" t="n">
        <x:f>Sources!$B$6-K128</x:f>
        <x:v>-17929.99999999255</x:v>
      </x:c>
      <x:c r="O128" s="1" t="str">
        <x:v>keyboard_route</x:v>
      </x:c>
      <x:c r="P128" s="12" t="n">
        <x:v>0</x:v>
      </x:c>
      <x:c r="Q128" s="12" t="n">
        <x:v>-4</x:v>
      </x:c>
      <x:c r="R128" s="12" t="n">
        <x:v>0</x:v>
      </x:c>
      <x:c r="S128" s="12" t="n">
        <x:v>7</x:v>
      </x:c>
      <x:c r="T128" s="1" t="str">
        <x:v>Yes</x:v>
      </x:c>
      <x:c r="U128" s="1" t="n">
        <x:v>0</x:v>
      </x:c>
    </x:row>
    <x:row r="129" ht="23" customHeight="1">
      <x:c r="A129" s="9" t="n">
        <x:v>128</x:v>
      </x:c>
      <x:c r="B129" s="9" t="n">
        <x:v>0</x:v>
      </x:c>
      <x:c r="C129" s="9" t="n">
        <x:v>995</x:v>
      </x:c>
      <x:c r="D129" s="9" t="n">
        <x:v>2</x:v>
      </x:c>
      <x:c r="E129" s="9" t="n">
        <x:v>119471.00000000745</x:v>
      </x:c>
      <x:c r="F129" s="9" t="n">
        <x:v>37450.00000000745</x:v>
      </x:c>
      <x:c r="G129" s="9" t="n">
        <x:v>26018</x:v>
      </x:c>
      <x:c r="H129" s="9" t="n">
        <x:v>51780</x:v>
      </x:c>
      <x:c r="I129" s="9" t="n">
        <x:v>4117</x:v>
      </x:c>
      <x:c r="J129" s="9" t="n">
        <x:v>106</x:v>
      </x:c>
      <x:c r="K129" s="9" t="n">
        <x:f>F129+G129+I129+J129</x:f>
        <x:v>67691.00000000745</x:v>
      </x:c>
      <x:c r="L129" s="10" t="n">
        <x:f>K129/Sources!$B$4*1000</x:f>
        <x:v>18.910503988637508</x:v>
      </x:c>
      <x:c r="M129" s="10" t="n">
        <x:f>E129/Sources!$B$4*1000</x:f>
        <x:v>33.37602963505346</x:v>
      </x:c>
      <x:c r="N129" s="9" t="n">
        <x:f>Sources!$B$6-K129</x:f>
        <x:v>-7955.000000007451</x:v>
      </x:c>
      <x:c r="O129" s="1" t="str">
        <x:v>keyboard_route</x:v>
      </x:c>
      <x:c r="P129" s="12" t="n">
        <x:v>0</x:v>
      </x:c>
      <x:c r="Q129" s="12" t="n">
        <x:v>-4</x:v>
      </x:c>
      <x:c r="R129" s="12" t="n">
        <x:v>0</x:v>
      </x:c>
      <x:c r="S129" s="12" t="n">
        <x:v>3</x:v>
      </x:c>
      <x:c r="T129" s="1" t="str">
        <x:v>No</x:v>
      </x:c>
      <x:c r="U129" s="1" t="n">
        <x:v>0</x:v>
      </x:c>
    </x:row>
    <x:row r="130" ht="23" customHeight="1">
      <x:c r="A130" s="9" t="n">
        <x:v>129</x:v>
      </x:c>
      <x:c r="B130" s="9" t="n">
        <x:v>0</x:v>
      </x:c>
      <x:c r="C130" s="9" t="n">
        <x:v>991</x:v>
      </x:c>
      <x:c r="D130" s="9" t="n">
        <x:v>2</x:v>
      </x:c>
      <x:c r="E130" s="9" t="n">
        <x:v>119473</x:v>
      </x:c>
      <x:c r="F130" s="9" t="n">
        <x:v>36989</x:v>
      </x:c>
      <x:c r="G130" s="9" t="n">
        <x:v>37701</x:v>
      </x:c>
      <x:c r="H130" s="9" t="n">
        <x:v>40560.00000000745</x:v>
      </x:c>
      <x:c r="I130" s="9" t="n">
        <x:v>4117</x:v>
      </x:c>
      <x:c r="J130" s="9" t="n">
        <x:v>105.99999999254942</x:v>
      </x:c>
      <x:c r="K130" s="9" t="n">
        <x:f>F130+G130+I130+J130</x:f>
        <x:v>78912.99999999255</x:v>
      </x:c>
      <x:c r="L130" s="10" t="n">
        <x:f>K130/Sources!$B$4*1000</x:f>
        <x:v>22.04553930736799</x:v>
      </x:c>
      <x:c r="M130" s="10" t="n">
        <x:f>E130/Sources!$B$4*1000</x:f>
        <x:v>33.37658836528106</x:v>
      </x:c>
      <x:c r="N130" s="9" t="n">
        <x:f>Sources!$B$6-K130</x:f>
        <x:v>-19176.99999999255</x:v>
      </x:c>
      <x:c r="O130" s="1" t="str">
        <x:v>keyboard_route</x:v>
      </x:c>
      <x:c r="P130" s="12" t="n">
        <x:v>0</x:v>
      </x:c>
      <x:c r="Q130" s="12" t="n">
        <x:v>-4</x:v>
      </x:c>
      <x:c r="R130" s="12" t="n">
        <x:v>0</x:v>
      </x:c>
      <x:c r="S130" s="12" t="n">
        <x:v>7</x:v>
      </x:c>
      <x:c r="T130" s="1" t="str">
        <x:v>Yes</x:v>
      </x:c>
      <x:c r="U130" s="1" t="n">
        <x:v>0</x:v>
      </x:c>
    </x:row>
    <x:row r="131" ht="23" customHeight="1">
      <x:c r="A131" s="9" t="n">
        <x:v>130</x:v>
      </x:c>
      <x:c r="B131" s="9" t="n">
        <x:v>0</x:v>
      </x:c>
      <x:c r="C131" s="9" t="n">
        <x:v>987</x:v>
      </x:c>
      <x:c r="D131" s="9" t="n">
        <x:v>2</x:v>
      </x:c>
      <x:c r="E131" s="9" t="n">
        <x:v>119474</x:v>
      </x:c>
      <x:c r="F131" s="9" t="n">
        <x:v>37188</x:v>
      </x:c>
      <x:c r="G131" s="9" t="n">
        <x:v>26018</x:v>
      </x:c>
      <x:c r="H131" s="9" t="n">
        <x:v>52045.00000000745</x:v>
      </x:c>
      <x:c r="I131" s="9" t="n">
        <x:v>4117</x:v>
      </x:c>
      <x:c r="J131" s="9" t="n">
        <x:v>105.99999999254942</x:v>
      </x:c>
      <x:c r="K131" s="9" t="n">
        <x:f>F131+G131+I131+J131</x:f>
        <x:v>67428.99999999255</x:v>
      </x:c>
      <x:c r="L131" s="10" t="n">
        <x:f>K131/Sources!$B$4*1000</x:f>
        <x:v>18.837310328545264</x:v>
      </x:c>
      <x:c r="M131" s="10" t="n">
        <x:f>E131/Sources!$B$4*1000</x:f>
        <x:v>33.3768677303959</x:v>
      </x:c>
      <x:c r="N131" s="9" t="n">
        <x:f>Sources!$B$6-K131</x:f>
        <x:v>-7692.999999992549</x:v>
      </x:c>
      <x:c r="O131" s="1" t="str">
        <x:v>keyboard_route</x:v>
      </x:c>
      <x:c r="P131" s="12" t="n">
        <x:v>0</x:v>
      </x:c>
      <x:c r="Q131" s="12" t="n">
        <x:v>-4</x:v>
      </x:c>
      <x:c r="R131" s="12" t="n">
        <x:v>0</x:v>
      </x:c>
      <x:c r="S131" s="12" t="n">
        <x:v>3</x:v>
      </x:c>
      <x:c r="T131" s="1" t="str">
        <x:v>No</x:v>
      </x:c>
      <x:c r="U131" s="1" t="n">
        <x:v>0</x:v>
      </x:c>
    </x:row>
    <x:row r="132" ht="23" customHeight="1">
      <x:c r="A132" s="9" t="n">
        <x:v>131</x:v>
      </x:c>
      <x:c r="B132" s="9" t="n">
        <x:v>0</x:v>
      </x:c>
      <x:c r="C132" s="9" t="n">
        <x:v>983</x:v>
      </x:c>
      <x:c r="D132" s="9" t="n">
        <x:v>2</x:v>
      </x:c>
      <x:c r="E132" s="9" t="n">
        <x:v>119473</x:v>
      </x:c>
      <x:c r="F132" s="9" t="n">
        <x:v>36088.99999999255</x:v>
      </x:c>
      <x:c r="G132" s="9" t="n">
        <x:v>37701</x:v>
      </x:c>
      <x:c r="H132" s="9" t="n">
        <x:v>41460</x:v>
      </x:c>
      <x:c r="I132" s="9" t="n">
        <x:v>4117</x:v>
      </x:c>
      <x:c r="J132" s="9" t="n">
        <x:v>106.00000000745058</x:v>
      </x:c>
      <x:c r="K132" s="9" t="n">
        <x:f>F132+G132+I132+J132</x:f>
        <x:v>78013</x:v>
      </x:c>
      <x:c r="L132" s="10" t="n">
        <x:f>K132/Sources!$B$4*1000</x:f>
        <x:v>21.794110704014056</x:v>
      </x:c>
      <x:c r="M132" s="10" t="n">
        <x:f>E132/Sources!$B$4*1000</x:f>
        <x:v>33.37658836528106</x:v>
      </x:c>
      <x:c r="N132" s="9" t="n">
        <x:f>Sources!$B$6-K132</x:f>
        <x:v>-18277</x:v>
      </x:c>
      <x:c r="O132" s="1" t="str">
        <x:v>keyboard_route</x:v>
      </x:c>
      <x:c r="P132" s="12" t="n">
        <x:v>0</x:v>
      </x:c>
      <x:c r="Q132" s="12" t="n">
        <x:v>-4</x:v>
      </x:c>
      <x:c r="R132" s="12" t="n">
        <x:v>0</x:v>
      </x:c>
      <x:c r="S132" s="12" t="n">
        <x:v>7</x:v>
      </x:c>
      <x:c r="T132" s="1" t="str">
        <x:v>Yes</x:v>
      </x:c>
      <x:c r="U132" s="1" t="n">
        <x:v>0</x:v>
      </x:c>
    </x:row>
    <x:row r="133" ht="23" customHeight="1">
      <x:c r="A133" s="9" t="n">
        <x:v>132</x:v>
      </x:c>
      <x:c r="B133" s="9" t="n">
        <x:v>0</x:v>
      </x:c>
      <x:c r="C133" s="9" t="n">
        <x:v>979</x:v>
      </x:c>
      <x:c r="D133" s="9" t="n">
        <x:v>2</x:v>
      </x:c>
      <x:c r="E133" s="9" t="n">
        <x:v>119469</x:v>
      </x:c>
      <x:c r="F133" s="9" t="n">
        <x:v>35058</x:v>
      </x:c>
      <x:c r="G133" s="9" t="n">
        <x:v>26018</x:v>
      </x:c>
      <x:c r="H133" s="9" t="n">
        <x:v>54170</x:v>
      </x:c>
      <x:c r="I133" s="9" t="n">
        <x:v>4117</x:v>
      </x:c>
      <x:c r="J133" s="9" t="n">
        <x:v>106</x:v>
      </x:c>
      <x:c r="K133" s="9" t="n">
        <x:f>F133+G133+I133+J133</x:f>
        <x:v>65299</x:v>
      </x:c>
      <x:c r="L133" s="10" t="n">
        <x:f>K133/Sources!$B$4*1000</x:f>
        <x:v>18.24226263393811</x:v>
      </x:c>
      <x:c r="M133" s="10" t="n">
        <x:f>E133/Sources!$B$4*1000</x:f>
        <x:v>33.375470904821704</x:v>
      </x:c>
      <x:c r="N133" s="9" t="n">
        <x:f>Sources!$B$6-K133</x:f>
        <x:v>-5563</x:v>
      </x:c>
      <x:c r="O133" s="1" t="str">
        <x:v>keyboard_route</x:v>
      </x:c>
      <x:c r="P133" s="12" t="n">
        <x:v>0</x:v>
      </x:c>
      <x:c r="Q133" s="12" t="n">
        <x:v>-4</x:v>
      </x:c>
      <x:c r="R133" s="12" t="n">
        <x:v>0</x:v>
      </x:c>
      <x:c r="S133" s="12" t="n">
        <x:v>3</x:v>
      </x:c>
      <x:c r="T133" s="1" t="str">
        <x:v>No</x:v>
      </x:c>
      <x:c r="U133" s="1" t="n">
        <x:v>0</x:v>
      </x:c>
    </x:row>
    <x:row r="134" ht="23" customHeight="1">
      <x:c r="A134" s="9" t="n">
        <x:v>133</x:v>
      </x:c>
      <x:c r="B134" s="9" t="n">
        <x:v>0</x:v>
      </x:c>
      <x:c r="C134" s="9" t="n">
        <x:v>975</x:v>
      </x:c>
      <x:c r="D134" s="9" t="n">
        <x:v>2</x:v>
      </x:c>
      <x:c r="E134" s="9" t="n">
        <x:v>119470.99999999255</x:v>
      </x:c>
      <x:c r="F134" s="9" t="n">
        <x:v>32067</x:v>
      </x:c>
      <x:c r="G134" s="9" t="n">
        <x:v>37701</x:v>
      </x:c>
      <x:c r="H134" s="9" t="n">
        <x:v>45480</x:v>
      </x:c>
      <x:c r="I134" s="9" t="n">
        <x:v>4117</x:v>
      </x:c>
      <x:c r="J134" s="9" t="n">
        <x:v>105.99999999254942</x:v>
      </x:c>
      <x:c r="K134" s="9" t="n">
        <x:f>F134+G134+I134+J134</x:f>
        <x:v>73990.99999999255</x:v>
      </x:c>
      <x:c r="L134" s="10" t="n">
        <x:f>K134/Sources!$B$4*1000</x:f>
        <x:v>20.670504212125437</x:v>
      </x:c>
      <x:c r="M134" s="10" t="n">
        <x:f>E134/Sources!$B$4*1000</x:f>
        <x:v>33.3760296350493</x:v>
      </x:c>
      <x:c r="N134" s="9" t="n">
        <x:f>Sources!$B$6-K134</x:f>
        <x:v>-14254.99999999255</x:v>
      </x:c>
      <x:c r="O134" s="1" t="str">
        <x:v>keyboard_route</x:v>
      </x:c>
      <x:c r="P134" s="12" t="n">
        <x:v>0</x:v>
      </x:c>
      <x:c r="Q134" s="12" t="n">
        <x:v>-4</x:v>
      </x:c>
      <x:c r="R134" s="12" t="n">
        <x:v>0</x:v>
      </x:c>
      <x:c r="S134" s="12" t="n">
        <x:v>7</x:v>
      </x:c>
      <x:c r="T134" s="1" t="str">
        <x:v>Yes</x:v>
      </x:c>
      <x:c r="U134" s="1" t="n">
        <x:v>0</x:v>
      </x:c>
    </x:row>
    <x:row r="135" ht="23" customHeight="1">
      <x:c r="A135" s="9" t="n">
        <x:v>134</x:v>
      </x:c>
      <x:c r="B135" s="9" t="n">
        <x:v>0</x:v>
      </x:c>
      <x:c r="C135" s="9" t="n">
        <x:v>971</x:v>
      </x:c>
      <x:c r="D135" s="9" t="n">
        <x:v>2</x:v>
      </x:c>
      <x:c r="E135" s="9" t="n">
        <x:v>119476.00000000745</x:v>
      </x:c>
      <x:c r="F135" s="9" t="n">
        <x:v>33735</x:v>
      </x:c>
      <x:c r="G135" s="9" t="n">
        <x:v>26018</x:v>
      </x:c>
      <x:c r="H135" s="9" t="n">
        <x:v>55500</x:v>
      </x:c>
      <x:c r="I135" s="9" t="n">
        <x:v>4117</x:v>
      </x:c>
      <x:c r="J135" s="9" t="n">
        <x:v>106.00000000745058</x:v>
      </x:c>
      <x:c r="K135" s="9" t="n">
        <x:f>F135+G135+I135+J135</x:f>
        <x:v>63976.00000000745</x:v>
      </x:c>
      <x:c r="L135" s="10" t="n">
        <x:f>K135/Sources!$B$4*1000</x:f>
        <x:v>17.872662587006854</x:v>
      </x:c>
      <x:c r="M135" s="10" t="n">
        <x:f>E135/Sources!$B$4*1000</x:f>
        <x:v>33.37742646062766</x:v>
      </x:c>
      <x:c r="N135" s="9" t="n">
        <x:f>Sources!$B$6-K135</x:f>
        <x:v>-4240.000000007451</x:v>
      </x:c>
      <x:c r="O135" s="1" t="str">
        <x:v>keyboard_route</x:v>
      </x:c>
      <x:c r="P135" s="12" t="n">
        <x:v>0</x:v>
      </x:c>
      <x:c r="Q135" s="12" t="n">
        <x:v>-4</x:v>
      </x:c>
      <x:c r="R135" s="12" t="n">
        <x:v>0</x:v>
      </x:c>
      <x:c r="S135" s="12" t="n">
        <x:v>3</x:v>
      </x:c>
      <x:c r="T135" s="1" t="str">
        <x:v>No</x:v>
      </x:c>
      <x:c r="U135" s="1" t="n">
        <x:v>0</x:v>
      </x:c>
    </x:row>
    <x:row r="136" ht="23" customHeight="1">
      <x:c r="A136" s="9" t="n">
        <x:v>135</x:v>
      </x:c>
      <x:c r="B136" s="9" t="n">
        <x:v>0</x:v>
      </x:c>
      <x:c r="C136" s="9" t="n">
        <x:v>967</x:v>
      </x:c>
      <x:c r="D136" s="9" t="n">
        <x:v>2</x:v>
      </x:c>
      <x:c r="E136" s="9" t="n">
        <x:v>119469</x:v>
      </x:c>
      <x:c r="F136" s="9" t="n">
        <x:v>34960</x:v>
      </x:c>
      <x:c r="G136" s="9" t="n">
        <x:v>37701</x:v>
      </x:c>
      <x:c r="H136" s="9" t="n">
        <x:v>42585</x:v>
      </x:c>
      <x:c r="I136" s="9" t="n">
        <x:v>4116.999999992549</x:v>
      </x:c>
      <x:c r="J136" s="9" t="n">
        <x:v>106.00000000745058</x:v>
      </x:c>
      <x:c r="K136" s="9" t="n">
        <x:f>F136+G136+I136+J136</x:f>
        <x:v>76884</x:v>
      </x:c>
      <x:c r="L136" s="10" t="n">
        <x:f>K136/Sources!$B$4*1000</x:f>
        <x:v>21.47870748935968</x:v>
      </x:c>
      <x:c r="M136" s="10" t="n">
        <x:f>E136/Sources!$B$4*1000</x:f>
        <x:v>33.375470904821704</x:v>
      </x:c>
      <x:c r="N136" s="9" t="n">
        <x:f>Sources!$B$6-K136</x:f>
        <x:v>-17148</x:v>
      </x:c>
      <x:c r="O136" s="1" t="str">
        <x:v>keyboard_route</x:v>
      </x:c>
      <x:c r="P136" s="12" t="n">
        <x:v>0</x:v>
      </x:c>
      <x:c r="Q136" s="12" t="n">
        <x:v>-4</x:v>
      </x:c>
      <x:c r="R136" s="12" t="n">
        <x:v>0</x:v>
      </x:c>
      <x:c r="S136" s="12" t="n">
        <x:v>7</x:v>
      </x:c>
      <x:c r="T136" s="1" t="str">
        <x:v>Yes</x:v>
      </x:c>
      <x:c r="U136" s="1" t="n">
        <x:v>0</x:v>
      </x:c>
    </x:row>
    <x:row r="137" ht="23" customHeight="1">
      <x:c r="A137" s="9" t="n">
        <x:v>136</x:v>
      </x:c>
      <x:c r="B137" s="9" t="n">
        <x:v>0</x:v>
      </x:c>
      <x:c r="C137" s="9" t="n">
        <x:v>963</x:v>
      </x:c>
      <x:c r="D137" s="9" t="n">
        <x:v>2</x:v>
      </x:c>
      <x:c r="E137" s="9" t="n">
        <x:v>119475</x:v>
      </x:c>
      <x:c r="F137" s="9" t="n">
        <x:v>37384</x:v>
      </x:c>
      <x:c r="G137" s="9" t="n">
        <x:v>26018</x:v>
      </x:c>
      <x:c r="H137" s="9" t="n">
        <x:v>51850</x:v>
      </x:c>
      <x:c r="I137" s="9" t="n">
        <x:v>4116.999999992549</x:v>
      </x:c>
      <x:c r="J137" s="9" t="n">
        <x:v>106.00000000745058</x:v>
      </x:c>
      <x:c r="K137" s="9" t="n">
        <x:f>F137+G137+I137+J137</x:f>
        <x:v>67625</x:v>
      </x:c>
      <x:c r="L137" s="10" t="n">
        <x:f>K137/Sources!$B$4*1000</x:f>
        <x:v>18.892065891055985</x:v>
      </x:c>
      <x:c r="M137" s="10" t="n">
        <x:f>E137/Sources!$B$4*1000</x:f>
        <x:v>33.37714709551074</x:v>
      </x:c>
      <x:c r="N137" s="9" t="n">
        <x:f>Sources!$B$6-K137</x:f>
        <x:v>-7889</x:v>
      </x:c>
      <x:c r="O137" s="1" t="str">
        <x:v>keyboard_route</x:v>
      </x:c>
      <x:c r="P137" s="12" t="n">
        <x:v>0</x:v>
      </x:c>
      <x:c r="Q137" s="12" t="n">
        <x:v>-4</x:v>
      </x:c>
      <x:c r="R137" s="12" t="n">
        <x:v>0</x:v>
      </x:c>
      <x:c r="S137" s="12" t="n">
        <x:v>3</x:v>
      </x:c>
      <x:c r="T137" s="1" t="str">
        <x:v>No</x:v>
      </x:c>
      <x:c r="U137" s="1" t="n">
        <x:v>0</x:v>
      </x:c>
    </x:row>
    <x:row r="138" ht="23" customHeight="1">
      <x:c r="A138" s="9" t="n">
        <x:v>137</x:v>
      </x:c>
      <x:c r="B138" s="9" t="n">
        <x:v>0</x:v>
      </x:c>
      <x:c r="C138" s="9" t="n">
        <x:v>959</x:v>
      </x:c>
      <x:c r="D138" s="9" t="n">
        <x:v>2</x:v>
      </x:c>
      <x:c r="E138" s="9" t="n">
        <x:v>119472</x:v>
      </x:c>
      <x:c r="F138" s="9" t="n">
        <x:v>33642</x:v>
      </x:c>
      <x:c r="G138" s="9" t="n">
        <x:v>37727</x:v>
      </x:c>
      <x:c r="H138" s="9" t="n">
        <x:v>43880</x:v>
      </x:c>
      <x:c r="I138" s="9" t="n">
        <x:v>4116.999999992549</x:v>
      </x:c>
      <x:c r="J138" s="9" t="n">
        <x:v>106.00000000745058</x:v>
      </x:c>
      <x:c r="K138" s="9" t="n">
        <x:f>F138+G138+I138+J138</x:f>
        <x:v>75592</x:v>
      </x:c>
      <x:c r="L138" s="10" t="n">
        <x:f>K138/Sources!$B$4*1000</x:f>
        <x:v>21.117767760986382</x:v>
      </x:c>
      <x:c r="M138" s="10" t="n">
        <x:f>E138/Sources!$B$4*1000</x:f>
        <x:v>33.37630900016622</x:v>
      </x:c>
      <x:c r="N138" s="9" t="n">
        <x:f>Sources!$B$6-K138</x:f>
        <x:v>-15856</x:v>
      </x:c>
      <x:c r="O138" s="1" t="str">
        <x:v>keyboard_route</x:v>
      </x:c>
      <x:c r="P138" s="12" t="n">
        <x:v>0</x:v>
      </x:c>
      <x:c r="Q138" s="12" t="n">
        <x:v>-4</x:v>
      </x:c>
      <x:c r="R138" s="12" t="n">
        <x:v>0</x:v>
      </x:c>
      <x:c r="S138" s="12" t="n">
        <x:v>7</x:v>
      </x:c>
      <x:c r="T138" s="1" t="str">
        <x:v>Yes</x:v>
      </x:c>
      <x:c r="U138" s="1" t="n">
        <x:v>0</x:v>
      </x:c>
    </x:row>
    <x:row r="139" ht="23" customHeight="1">
      <x:c r="A139" s="9" t="n">
        <x:v>138</x:v>
      </x:c>
      <x:c r="B139" s="9" t="n">
        <x:v>0</x:v>
      </x:c>
      <x:c r="C139" s="9" t="n">
        <x:v>955</x:v>
      </x:c>
      <x:c r="D139" s="9" t="n">
        <x:v>2</x:v>
      </x:c>
      <x:c r="E139" s="9" t="n">
        <x:v>119468</x:v>
      </x:c>
      <x:c r="F139" s="9" t="n">
        <x:v>35977.00000000745</x:v>
      </x:c>
      <x:c r="G139" s="9" t="n">
        <x:v>26017.99999999255</x:v>
      </x:c>
      <x:c r="H139" s="9" t="n">
        <x:v>53250.00000000745</x:v>
      </x:c>
      <x:c r="I139" s="9" t="n">
        <x:v>4117</x:v>
      </x:c>
      <x:c r="J139" s="9" t="n">
        <x:v>105.99999999254942</x:v>
      </x:c>
      <x:c r="K139" s="9" t="n">
        <x:f>F139+G139+I139+J139</x:f>
        <x:v>66217.99999999255</x:v>
      </x:c>
      <x:c r="L139" s="10" t="n">
        <x:f>K139/Sources!$B$4*1000</x:f>
        <x:v>18.498999174474005</x:v>
      </x:c>
      <x:c r="M139" s="10" t="n">
        <x:f>E139/Sources!$B$4*1000</x:f>
        <x:v>33.37519153970686</x:v>
      </x:c>
      <x:c r="N139" s="9" t="n">
        <x:f>Sources!$B$6-K139</x:f>
        <x:v>-6481.999999992549</x:v>
      </x:c>
      <x:c r="O139" s="1" t="str">
        <x:v>keyboard_route</x:v>
      </x:c>
      <x:c r="P139" s="12" t="n">
        <x:v>0</x:v>
      </x:c>
      <x:c r="Q139" s="12" t="n">
        <x:v>-4</x:v>
      </x:c>
      <x:c r="R139" s="12" t="n">
        <x:v>0</x:v>
      </x:c>
      <x:c r="S139" s="12" t="n">
        <x:v>3</x:v>
      </x:c>
      <x:c r="T139" s="1" t="str">
        <x:v>No</x:v>
      </x:c>
      <x:c r="U139" s="1" t="n">
        <x:v>0</x:v>
      </x:c>
    </x:row>
    <x:row r="140" ht="23" customHeight="1">
      <x:c r="A140" s="9" t="n">
        <x:v>139</x:v>
      </x:c>
      <x:c r="B140" s="9" t="n">
        <x:v>0</x:v>
      </x:c>
      <x:c r="C140" s="9" t="n">
        <x:v>951</x:v>
      </x:c>
      <x:c r="D140" s="9" t="n">
        <x:v>2</x:v>
      </x:c>
      <x:c r="E140" s="9" t="n">
        <x:v>119474</x:v>
      </x:c>
      <x:c r="F140" s="9" t="n">
        <x:v>31964</x:v>
      </x:c>
      <x:c r="G140" s="9" t="n">
        <x:v>37727</x:v>
      </x:c>
      <x:c r="H140" s="9" t="n">
        <x:v>45560</x:v>
      </x:c>
      <x:c r="I140" s="9" t="n">
        <x:v>4116.999999992549</x:v>
      </x:c>
      <x:c r="J140" s="9" t="n">
        <x:v>106.00000000745058</x:v>
      </x:c>
      <x:c r="K140" s="9" t="n">
        <x:f>F140+G140+I140+J140</x:f>
        <x:v>73914</x:v>
      </x:c>
      <x:c r="L140" s="10" t="n">
        <x:f>K140/Sources!$B$4*1000</x:f>
        <x:v>20.64899309828484</x:v>
      </x:c>
      <x:c r="M140" s="10" t="n">
        <x:f>E140/Sources!$B$4*1000</x:f>
        <x:v>33.3768677303959</x:v>
      </x:c>
      <x:c r="N140" s="9" t="n">
        <x:f>Sources!$B$6-K140</x:f>
        <x:v>-14178</x:v>
      </x:c>
      <x:c r="O140" s="1" t="str">
        <x:v>keyboard_route</x:v>
      </x:c>
      <x:c r="P140" s="12" t="n">
        <x:v>0</x:v>
      </x:c>
      <x:c r="Q140" s="12" t="n">
        <x:v>-4</x:v>
      </x:c>
      <x:c r="R140" s="12" t="n">
        <x:v>0</x:v>
      </x:c>
      <x:c r="S140" s="12" t="n">
        <x:v>7</x:v>
      </x:c>
      <x:c r="T140" s="1" t="str">
        <x:v>Yes</x:v>
      </x:c>
      <x:c r="U140" s="1" t="n">
        <x:v>0</x:v>
      </x:c>
    </x:row>
    <x:row r="141" ht="23" customHeight="1">
      <x:c r="A141" s="9" t="n">
        <x:v>140</x:v>
      </x:c>
      <x:c r="B141" s="9" t="n">
        <x:v>0</x:v>
      </x:c>
      <x:c r="C141" s="9" t="n">
        <x:v>947</x:v>
      </x:c>
      <x:c r="D141" s="9" t="n">
        <x:v>2</x:v>
      </x:c>
      <x:c r="E141" s="9" t="n">
        <x:v>119471.99999999255</x:v>
      </x:c>
      <x:c r="F141" s="9" t="n">
        <x:v>35276.00000000745</x:v>
      </x:c>
      <x:c r="G141" s="9" t="n">
        <x:v>26017.99999999255</x:v>
      </x:c>
      <x:c r="H141" s="9" t="n">
        <x:v>53955.00000000745</x:v>
      </x:c>
      <x:c r="I141" s="9" t="n">
        <x:v>4117</x:v>
      </x:c>
      <x:c r="J141" s="9" t="n">
        <x:v>105.99999998509884</x:v>
      </x:c>
      <x:c r="K141" s="9" t="n">
        <x:f>F141+G141+I141+J141</x:f>
        <x:v>65516.9999999851</x:v>
      </x:c>
      <x:c r="L141" s="10" t="n">
        <x:f>K141/Sources!$B$4*1000</x:f>
        <x:v>18.303164228969074</x:v>
      </x:c>
      <x:c r="M141" s="10" t="n">
        <x:f>E141/Sources!$B$4*1000</x:f>
        <x:v>33.37630900016414</x:v>
      </x:c>
      <x:c r="N141" s="9" t="n">
        <x:f>Sources!$B$6-K141</x:f>
        <x:v>-5780.999999985099</x:v>
      </x:c>
      <x:c r="O141" s="1" t="str">
        <x:v>keyboard_route</x:v>
      </x:c>
      <x:c r="P141" s="12" t="n">
        <x:v>0</x:v>
      </x:c>
      <x:c r="Q141" s="12" t="n">
        <x:v>-4</x:v>
      </x:c>
      <x:c r="R141" s="12" t="n">
        <x:v>0</x:v>
      </x:c>
      <x:c r="S141" s="12" t="n">
        <x:v>3</x:v>
      </x:c>
      <x:c r="T141" s="1" t="str">
        <x:v>No</x:v>
      </x:c>
      <x:c r="U141" s="1" t="n">
        <x:v>0</x:v>
      </x:c>
    </x:row>
    <x:row r="142" ht="23" customHeight="1">
      <x:c r="A142" s="9" t="n">
        <x:v>141</x:v>
      </x:c>
      <x:c r="B142" s="9" t="n">
        <x:v>0</x:v>
      </x:c>
      <x:c r="C142" s="9" t="n">
        <x:v>943</x:v>
      </x:c>
      <x:c r="D142" s="9" t="n">
        <x:v>2</x:v>
      </x:c>
      <x:c r="E142" s="9" t="n">
        <x:v>119470.00000000745</x:v>
      </x:c>
      <x:c r="F142" s="9" t="n">
        <x:v>35336.00000000745</x:v>
      </x:c>
      <x:c r="G142" s="9" t="n">
        <x:v>38596</x:v>
      </x:c>
      <x:c r="H142" s="9" t="n">
        <x:v>41315</x:v>
      </x:c>
      <x:c r="I142" s="9" t="n">
        <x:v>4116.999999992549</x:v>
      </x:c>
      <x:c r="J142" s="9" t="n">
        <x:v>106.00000000745058</x:v>
      </x:c>
      <x:c r="K142" s="9" t="n">
        <x:f>F142+G142+I142+J142</x:f>
        <x:v>78155.00000000745</x:v>
      </x:c>
      <x:c r="L142" s="10" t="n">
        <x:f>K142/Sources!$B$4*1000</x:f>
        <x:v>21.83378055032342</x:v>
      </x:c>
      <x:c r="M142" s="10" t="n">
        <x:f>E142/Sources!$B$4*1000</x:f>
        <x:v>33.37575026993862</x:v>
      </x:c>
      <x:c r="N142" s="9" t="n">
        <x:f>Sources!$B$6-K142</x:f>
        <x:v>-18419.00000000745</x:v>
      </x:c>
      <x:c r="O142" s="1" t="str">
        <x:v>keyboard_route</x:v>
      </x:c>
      <x:c r="P142" s="12" t="n">
        <x:v>0</x:v>
      </x:c>
      <x:c r="Q142" s="12" t="n">
        <x:v>-4</x:v>
      </x:c>
      <x:c r="R142" s="12" t="n">
        <x:v>0</x:v>
      </x:c>
      <x:c r="S142" s="12" t="n">
        <x:v>7</x:v>
      </x:c>
      <x:c r="T142" s="1" t="str">
        <x:v>Yes</x:v>
      </x:c>
      <x:c r="U142" s="1" t="n">
        <x:v>0</x:v>
      </x:c>
    </x:row>
    <x:row r="143" ht="23" customHeight="1">
      <x:c r="A143" s="9" t="n">
        <x:v>142</x:v>
      </x:c>
      <x:c r="B143" s="9" t="n">
        <x:v>0</x:v>
      </x:c>
      <x:c r="C143" s="9" t="n">
        <x:v>939</x:v>
      </x:c>
      <x:c r="D143" s="9" t="n">
        <x:v>2</x:v>
      </x:c>
      <x:c r="E143" s="9" t="n">
        <x:v>119474</x:v>
      </x:c>
      <x:c r="F143" s="9" t="n">
        <x:v>36814</x:v>
      </x:c>
      <x:c r="G143" s="9" t="n">
        <x:v>26887.00000000745</x:v>
      </x:c>
      <x:c r="H143" s="9" t="n">
        <x:v>51550</x:v>
      </x:c>
      <x:c r="I143" s="9" t="n">
        <x:v>4117</x:v>
      </x:c>
      <x:c r="J143" s="9" t="n">
        <x:v>105.99999999254942</x:v>
      </x:c>
      <x:c r="K143" s="9" t="n">
        <x:f>F143+G143+I143+J143</x:f>
        <x:v>67924</x:v>
      </x:c>
      <x:c r="L143" s="10" t="n">
        <x:f>K143/Sources!$B$4*1000</x:f>
        <x:v>18.97559606039315</x:v>
      </x:c>
      <x:c r="M143" s="10" t="n">
        <x:f>E143/Sources!$B$4*1000</x:f>
        <x:v>33.3768677303959</x:v>
      </x:c>
      <x:c r="N143" s="9" t="n">
        <x:f>Sources!$B$6-K143</x:f>
        <x:v>-8188</x:v>
      </x:c>
      <x:c r="O143" s="1" t="str">
        <x:v>keyboard_route</x:v>
      </x:c>
      <x:c r="P143" s="12" t="n">
        <x:v>0</x:v>
      </x:c>
      <x:c r="Q143" s="12" t="n">
        <x:v>-4</x:v>
      </x:c>
      <x:c r="R143" s="12" t="n">
        <x:v>0</x:v>
      </x:c>
      <x:c r="S143" s="12" t="n">
        <x:v>3</x:v>
      </x:c>
      <x:c r="T143" s="1" t="str">
        <x:v>No</x:v>
      </x:c>
      <x:c r="U143" s="1" t="n">
        <x:v>0</x:v>
      </x:c>
    </x:row>
    <x:row r="144" ht="23" customHeight="1">
      <x:c r="A144" s="9" t="n">
        <x:v>143</x:v>
      </x:c>
      <x:c r="B144" s="9" t="n">
        <x:v>0</x:v>
      </x:c>
      <x:c r="C144" s="9" t="n">
        <x:v>935</x:v>
      </x:c>
      <x:c r="D144" s="9" t="n">
        <x:v>2</x:v>
      </x:c>
      <x:c r="E144" s="9" t="n">
        <x:v>119474</x:v>
      </x:c>
      <x:c r="F144" s="9" t="n">
        <x:v>32420</x:v>
      </x:c>
      <x:c r="G144" s="9" t="n">
        <x:v>38596</x:v>
      </x:c>
      <x:c r="H144" s="9" t="n">
        <x:v>44235</x:v>
      </x:c>
      <x:c r="I144" s="9" t="n">
        <x:v>4117</x:v>
      </x:c>
      <x:c r="J144" s="9" t="n">
        <x:v>106</x:v>
      </x:c>
      <x:c r="K144" s="9" t="n">
        <x:f>F144+G144+I144+J144</x:f>
        <x:v>75239</x:v>
      </x:c>
      <x:c r="L144" s="10" t="n">
        <x:f>K144/Sources!$B$4*1000</x:f>
        <x:v>21.019151875447857</x:v>
      </x:c>
      <x:c r="M144" s="10" t="n">
        <x:f>E144/Sources!$B$4*1000</x:f>
        <x:v>33.3768677303959</x:v>
      </x:c>
      <x:c r="N144" s="9" t="n">
        <x:f>Sources!$B$6-K144</x:f>
        <x:v>-15503</x:v>
      </x:c>
      <x:c r="O144" s="1" t="str">
        <x:v>keyboard_route</x:v>
      </x:c>
      <x:c r="P144" s="12" t="n">
        <x:v>0</x:v>
      </x:c>
      <x:c r="Q144" s="12" t="n">
        <x:v>-4</x:v>
      </x:c>
      <x:c r="R144" s="12" t="n">
        <x:v>0</x:v>
      </x:c>
      <x:c r="S144" s="12" t="n">
        <x:v>7</x:v>
      </x:c>
      <x:c r="T144" s="1" t="str">
        <x:v>Yes</x:v>
      </x:c>
      <x:c r="U144" s="1" t="n">
        <x:v>0</x:v>
      </x:c>
    </x:row>
    <x:row r="145" ht="23" customHeight="1">
      <x:c r="A145" s="9" t="n">
        <x:v>144</x:v>
      </x:c>
      <x:c r="B145" s="9" t="n">
        <x:v>0</x:v>
      </x:c>
      <x:c r="C145" s="9" t="n">
        <x:v>931</x:v>
      </x:c>
      <x:c r="D145" s="9" t="n">
        <x:v>2</x:v>
      </x:c>
      <x:c r="E145" s="9" t="n">
        <x:v>119470.99999999255</x:v>
      </x:c>
      <x:c r="F145" s="9" t="n">
        <x:v>36750</x:v>
      </x:c>
      <x:c r="G145" s="9" t="n">
        <x:v>26018</x:v>
      </x:c>
      <x:c r="H145" s="9" t="n">
        <x:v>52480</x:v>
      </x:c>
      <x:c r="I145" s="9" t="n">
        <x:v>4117</x:v>
      </x:c>
      <x:c r="J145" s="9" t="n">
        <x:v>105.99999999254942</x:v>
      </x:c>
      <x:c r="K145" s="9" t="n">
        <x:f>F145+G145+I145+J145</x:f>
        <x:v>66990.99999999255</x:v>
      </x:c>
      <x:c r="L145" s="10" t="n">
        <x:f>K145/Sources!$B$4*1000</x:f>
        <x:v>18.714948408245334</x:v>
      </x:c>
      <x:c r="M145" s="10" t="n">
        <x:f>E145/Sources!$B$4*1000</x:f>
        <x:v>33.3760296350493</x:v>
      </x:c>
      <x:c r="N145" s="9" t="n">
        <x:f>Sources!$B$6-K145</x:f>
        <x:v>-7254.999999992549</x:v>
      </x:c>
      <x:c r="O145" s="1" t="str">
        <x:v>keyboard_route</x:v>
      </x:c>
      <x:c r="P145" s="12" t="n">
        <x:v>0</x:v>
      </x:c>
      <x:c r="Q145" s="12" t="n">
        <x:v>-4</x:v>
      </x:c>
      <x:c r="R145" s="12" t="n">
        <x:v>0</x:v>
      </x:c>
      <x:c r="S145" s="12" t="n">
        <x:v>3</x:v>
      </x:c>
      <x:c r="T145" s="1" t="str">
        <x:v>No</x:v>
      </x:c>
      <x:c r="U145" s="1" t="n">
        <x:v>0</x:v>
      </x:c>
    </x:row>
    <x:row r="146" ht="23" customHeight="1">
      <x:c r="A146" s="9" t="n">
        <x:v>145</x:v>
      </x:c>
      <x:c r="B146" s="9" t="n">
        <x:v>0</x:v>
      </x:c>
      <x:c r="C146" s="9" t="n">
        <x:v>927</x:v>
      </x:c>
      <x:c r="D146" s="9" t="n">
        <x:v>2</x:v>
      </x:c>
      <x:c r="E146" s="9" t="n">
        <x:v>122292.00000000745</x:v>
      </x:c>
      <x:c r="F146" s="9" t="n">
        <x:v>37512</x:v>
      </x:c>
      <x:c r="G146" s="9" t="n">
        <x:v>37701</x:v>
      </x:c>
      <x:c r="H146" s="9" t="n">
        <x:v>40035</x:v>
      </x:c>
      <x:c r="I146" s="9" t="n">
        <x:v>6938</x:v>
      </x:c>
      <x:c r="J146" s="9" t="n">
        <x:v>106.00000000745058</x:v>
      </x:c>
      <x:c r="K146" s="9" t="n">
        <x:f>F146+G146+I146+J146</x:f>
        <x:v>82257.00000000745</x:v>
      </x:c>
      <x:c r="L146" s="10" t="n">
        <x:f>K146/Sources!$B$4*1000</x:f>
        <x:v>22.97973625139716</x:v>
      </x:c>
      <x:c r="M146" s="10" t="n">
        <x:f>E146/Sources!$B$4*1000</x:f>
        <x:v>34.16411862401714</x:v>
      </x:c>
      <x:c r="N146" s="9" t="n">
        <x:f>Sources!$B$6-K146</x:f>
        <x:v>-22521.00000000745</x:v>
      </x:c>
      <x:c r="O146" s="1" t="str">
        <x:v>keyboard_route</x:v>
      </x:c>
      <x:c r="P146" s="12" t="n">
        <x:v>0</x:v>
      </x:c>
      <x:c r="Q146" s="12" t="n">
        <x:v>-4</x:v>
      </x:c>
      <x:c r="R146" s="12" t="n">
        <x:v>0</x:v>
      </x:c>
      <x:c r="S146" s="12" t="n">
        <x:v>7</x:v>
      </x:c>
      <x:c r="T146" s="1" t="str">
        <x:v>Yes</x:v>
      </x:c>
      <x:c r="U146" s="1" t="n">
        <x:v>0</x:v>
      </x:c>
    </x:row>
    <x:row r="147" ht="23" customHeight="1">
      <x:c r="A147" s="9" t="n">
        <x:v>146</x:v>
      </x:c>
      <x:c r="B147" s="9" t="n">
        <x:v>0</x:v>
      </x:c>
      <x:c r="C147" s="9" t="n">
        <x:v>923</x:v>
      </x:c>
      <x:c r="D147" s="9" t="n">
        <x:v>2</x:v>
      </x:c>
      <x:c r="E147" s="9" t="n">
        <x:v>116649</x:v>
      </x:c>
      <x:c r="F147" s="9" t="n">
        <x:v>33898</x:v>
      </x:c>
      <x:c r="G147" s="9" t="n">
        <x:v>26018</x:v>
      </x:c>
      <x:c r="H147" s="9" t="n">
        <x:v>52510</x:v>
      </x:c>
      <x:c r="I147" s="9" t="n">
        <x:v>4117</x:v>
      </x:c>
      <x:c r="J147" s="9" t="n">
        <x:v>106</x:v>
      </x:c>
      <x:c r="K147" s="9" t="n">
        <x:f>F147+G147+I147+J147</x:f>
        <x:v>64139</x:v>
      </x:c>
      <x:c r="L147" s="10" t="n">
        <x:f>K147/Sources!$B$4*1000</x:f>
        <x:v>17.918199100723697</x:v>
      </x:c>
      <x:c r="M147" s="10" t="n">
        <x:f>E147/Sources!$B$4*1000</x:f>
        <x:v>32.58766128097286</x:v>
      </x:c>
      <x:c r="N147" s="9" t="n">
        <x:f>Sources!$B$6-K147</x:f>
        <x:v>-4403</x:v>
      </x:c>
      <x:c r="O147" s="1" t="str">
        <x:v>keyboard_route</x:v>
      </x:c>
      <x:c r="P147" s="12" t="n">
        <x:v>0</x:v>
      </x:c>
      <x:c r="Q147" s="12" t="n">
        <x:v>-4</x:v>
      </x:c>
      <x:c r="R147" s="12" t="n">
        <x:v>0</x:v>
      </x:c>
      <x:c r="S147" s="12" t="n">
        <x:v>3</x:v>
      </x:c>
      <x:c r="T147" s="1" t="str">
        <x:v>No</x:v>
      </x:c>
      <x:c r="U147" s="1" t="n">
        <x:v>0</x:v>
      </x:c>
    </x:row>
    <x:row r="148" ht="23" customHeight="1">
      <x:c r="A148" s="9" t="n">
        <x:v>147</x:v>
      </x:c>
      <x:c r="B148" s="9" t="n">
        <x:v>0</x:v>
      </x:c>
      <x:c r="C148" s="9" t="n">
        <x:v>919</x:v>
      </x:c>
      <x:c r="D148" s="9" t="n">
        <x:v>2</x:v>
      </x:c>
      <x:c r="E148" s="9" t="n">
        <x:v>119474</x:v>
      </x:c>
      <x:c r="F148" s="9" t="n">
        <x:v>32555</x:v>
      </x:c>
      <x:c r="G148" s="9" t="n">
        <x:v>37701</x:v>
      </x:c>
      <x:c r="H148" s="9" t="n">
        <x:v>44994.99999999255</x:v>
      </x:c>
      <x:c r="I148" s="9" t="n">
        <x:v>4116.999999992549</x:v>
      </x:c>
      <x:c r="J148" s="9" t="n">
        <x:v>106.00000001490116</x:v>
      </x:c>
      <x:c r="K148" s="9" t="n">
        <x:f>F148+G148+I148+J148</x:f>
        <x:v>74479.00000000745</x:v>
      </x:c>
      <x:c r="L148" s="10" t="n">
        <x:f>K148/Sources!$B$4*1000</x:f>
        <x:v>20.806834388171527</x:v>
      </x:c>
      <x:c r="M148" s="10" t="n">
        <x:f>E148/Sources!$B$4*1000</x:f>
        <x:v>33.3768677303959</x:v>
      </x:c>
      <x:c r="N148" s="9" t="n">
        <x:f>Sources!$B$6-K148</x:f>
        <x:v>-14743.00000000745</x:v>
      </x:c>
      <x:c r="O148" s="1" t="str">
        <x:v>keyboard_route</x:v>
      </x:c>
      <x:c r="P148" s="12" t="n">
        <x:v>0</x:v>
      </x:c>
      <x:c r="Q148" s="12" t="n">
        <x:v>-4</x:v>
      </x:c>
      <x:c r="R148" s="12" t="n">
        <x:v>0</x:v>
      </x:c>
      <x:c r="S148" s="12" t="n">
        <x:v>7</x:v>
      </x:c>
      <x:c r="T148" s="1" t="str">
        <x:v>Yes</x:v>
      </x:c>
      <x:c r="U148" s="1" t="n">
        <x:v>0</x:v>
      </x:c>
    </x:row>
    <x:row r="149" ht="23" customHeight="1">
      <x:c r="A149" s="9" t="n">
        <x:v>148</x:v>
      </x:c>
      <x:c r="B149" s="9" t="n">
        <x:v>0</x:v>
      </x:c>
      <x:c r="C149" s="9" t="n">
        <x:v>915</x:v>
      </x:c>
      <x:c r="D149" s="9" t="n">
        <x:v>2</x:v>
      </x:c>
      <x:c r="E149" s="9" t="n">
        <x:v>119474</x:v>
      </x:c>
      <x:c r="F149" s="9" t="n">
        <x:v>38408</x:v>
      </x:c>
      <x:c r="G149" s="9" t="n">
        <x:v>26018</x:v>
      </x:c>
      <x:c r="H149" s="9" t="n">
        <x:v>50825</x:v>
      </x:c>
      <x:c r="I149" s="9" t="n">
        <x:v>4117</x:v>
      </x:c>
      <x:c r="J149" s="9" t="n">
        <x:v>106</x:v>
      </x:c>
      <x:c r="K149" s="9" t="n">
        <x:f>F149+G149+I149+J149</x:f>
        <x:v>68649</x:v>
      </x:c>
      <x:c r="L149" s="10" t="n">
        <x:f>K149/Sources!$B$4*1000</x:f>
        <x:v>19.17813576865216</x:v>
      </x:c>
      <x:c r="M149" s="10" t="n">
        <x:f>E149/Sources!$B$4*1000</x:f>
        <x:v>33.3768677303959</x:v>
      </x:c>
      <x:c r="N149" s="9" t="n">
        <x:f>Sources!$B$6-K149</x:f>
        <x:v>-8913</x:v>
      </x:c>
      <x:c r="O149" s="1" t="str">
        <x:v>keyboard_route</x:v>
      </x:c>
      <x:c r="P149" s="12" t="n">
        <x:v>0</x:v>
      </x:c>
      <x:c r="Q149" s="12" t="n">
        <x:v>-4</x:v>
      </x:c>
      <x:c r="R149" s="12" t="n">
        <x:v>0</x:v>
      </x:c>
      <x:c r="S149" s="12" t="n">
        <x:v>3</x:v>
      </x:c>
      <x:c r="T149" s="1" t="str">
        <x:v>No</x:v>
      </x:c>
      <x:c r="U149" s="1" t="n">
        <x:v>0</x:v>
      </x:c>
    </x:row>
    <x:row r="150" ht="23" customHeight="1">
      <x:c r="A150" s="9" t="n">
        <x:v>149</x:v>
      </x:c>
      <x:c r="B150" s="9" t="n">
        <x:v>0</x:v>
      </x:c>
      <x:c r="C150" s="9" t="n">
        <x:v>911</x:v>
      </x:c>
      <x:c r="D150" s="9" t="n">
        <x:v>2</x:v>
      </x:c>
      <x:c r="E150" s="9" t="n">
        <x:v>119469</x:v>
      </x:c>
      <x:c r="F150" s="9" t="n">
        <x:v>35610</x:v>
      </x:c>
      <x:c r="G150" s="9" t="n">
        <x:v>37700.99999999255</x:v>
      </x:c>
      <x:c r="H150" s="9" t="n">
        <x:v>41935.00000000745</x:v>
      </x:c>
      <x:c r="I150" s="9" t="n">
        <x:v>4117</x:v>
      </x:c>
      <x:c r="J150" s="9" t="n">
        <x:v>106</x:v>
      </x:c>
      <x:c r="K150" s="9" t="n">
        <x:f>F150+G150+I150+J150</x:f>
        <x:v>77533.99999999255</x:v>
      </x:c>
      <x:c r="L150" s="10" t="n">
        <x:f>K150/Sources!$B$4*1000</x:f>
        <x:v>21.660294814003606</x:v>
      </x:c>
      <x:c r="M150" s="10" t="n">
        <x:f>E150/Sources!$B$4*1000</x:f>
        <x:v>33.375470904821704</x:v>
      </x:c>
      <x:c r="N150" s="9" t="n">
        <x:f>Sources!$B$6-K150</x:f>
        <x:v>-17797.99999999255</x:v>
      </x:c>
      <x:c r="O150" s="1" t="str">
        <x:v>keyboard_route</x:v>
      </x:c>
      <x:c r="P150" s="12" t="n">
        <x:v>0</x:v>
      </x:c>
      <x:c r="Q150" s="12" t="n">
        <x:v>-4</x:v>
      </x:c>
      <x:c r="R150" s="12" t="n">
        <x:v>0</x:v>
      </x:c>
      <x:c r="S150" s="12" t="n">
        <x:v>7</x:v>
      </x:c>
      <x:c r="T150" s="1" t="str">
        <x:v>Yes</x:v>
      </x:c>
      <x:c r="U150" s="1" t="n">
        <x:v>0</x:v>
      </x:c>
    </x:row>
    <x:row r="151" ht="23" customHeight="1">
      <x:c r="A151" s="9" t="n">
        <x:v>150</x:v>
      </x:c>
      <x:c r="B151" s="9" t="n">
        <x:v>0</x:v>
      </x:c>
      <x:c r="C151" s="9" t="n">
        <x:v>907</x:v>
      </x:c>
      <x:c r="D151" s="9" t="n">
        <x:v>2</x:v>
      </x:c>
      <x:c r="E151" s="9" t="n">
        <x:v>119475</x:v>
      </x:c>
      <x:c r="F151" s="9" t="n">
        <x:v>36744</x:v>
      </x:c>
      <x:c r="G151" s="9" t="n">
        <x:v>26018</x:v>
      </x:c>
      <x:c r="H151" s="9" t="n">
        <x:v>52490</x:v>
      </x:c>
      <x:c r="I151" s="9" t="n">
        <x:v>4117</x:v>
      </x:c>
      <x:c r="J151" s="9" t="n">
        <x:v>106</x:v>
      </x:c>
      <x:c r="K151" s="9" t="n">
        <x:f>F151+G151+I151+J151</x:f>
        <x:v>66985</x:v>
      </x:c>
      <x:c r="L151" s="10" t="n">
        <x:f>K151/Sources!$B$4*1000</x:f>
        <x:v>18.713272217558377</x:v>
      </x:c>
      <x:c r="M151" s="10" t="n">
        <x:f>E151/Sources!$B$4*1000</x:f>
        <x:v>33.37714709551074</x:v>
      </x:c>
      <x:c r="N151" s="9" t="n">
        <x:f>Sources!$B$6-K151</x:f>
        <x:v>-7249</x:v>
      </x:c>
      <x:c r="O151" s="1" t="str">
        <x:v>keyboard_route</x:v>
      </x:c>
      <x:c r="P151" s="12" t="n">
        <x:v>0</x:v>
      </x:c>
      <x:c r="Q151" s="12" t="n">
        <x:v>-4</x:v>
      </x:c>
      <x:c r="R151" s="12" t="n">
        <x:v>0</x:v>
      </x:c>
      <x:c r="S151" s="12" t="n">
        <x:v>3</x:v>
      </x:c>
      <x:c r="T151" s="1" t="str">
        <x:v>No</x:v>
      </x:c>
      <x:c r="U151" s="1" t="n">
        <x:v>0</x:v>
      </x:c>
    </x:row>
    <x:row r="152" ht="23" customHeight="1">
      <x:c r="A152" s="9" t="n">
        <x:v>151</x:v>
      </x:c>
      <x:c r="B152" s="9" t="n">
        <x:v>0</x:v>
      </x:c>
      <x:c r="C152" s="9" t="n">
        <x:v>903</x:v>
      </x:c>
      <x:c r="D152" s="9" t="n">
        <x:v>2</x:v>
      </x:c>
      <x:c r="E152" s="9" t="n">
        <x:v>119472</x:v>
      </x:c>
      <x:c r="F152" s="9" t="n">
        <x:v>33728</x:v>
      </x:c>
      <x:c r="G152" s="9" t="n">
        <x:v>37701</x:v>
      </x:c>
      <x:c r="H152" s="9" t="n">
        <x:v>43820.00000000745</x:v>
      </x:c>
      <x:c r="I152" s="9" t="n">
        <x:v>4117</x:v>
      </x:c>
      <x:c r="J152" s="9" t="n">
        <x:v>105.99999999254942</x:v>
      </x:c>
      <x:c r="K152" s="9" t="n">
        <x:f>F152+G152+I152+J152</x:f>
        <x:v>75651.99999999255</x:v>
      </x:c>
      <x:c r="L152" s="10" t="n">
        <x:f>K152/Sources!$B$4*1000</x:f>
        <x:v>21.134529667874702</x:v>
      </x:c>
      <x:c r="M152" s="10" t="n">
        <x:f>E152/Sources!$B$4*1000</x:f>
        <x:v>33.37630900016622</x:v>
      </x:c>
      <x:c r="N152" s="9" t="n">
        <x:f>Sources!$B$6-K152</x:f>
        <x:v>-15915.99999999255</x:v>
      </x:c>
      <x:c r="O152" s="1" t="str">
        <x:v>keyboard_route</x:v>
      </x:c>
      <x:c r="P152" s="12" t="n">
        <x:v>0</x:v>
      </x:c>
      <x:c r="Q152" s="12" t="n">
        <x:v>-4</x:v>
      </x:c>
      <x:c r="R152" s="12" t="n">
        <x:v>0</x:v>
      </x:c>
      <x:c r="S152" s="12" t="n">
        <x:v>7</x:v>
      </x:c>
      <x:c r="T152" s="1" t="str">
        <x:v>Yes</x:v>
      </x:c>
      <x:c r="U152" s="1" t="n">
        <x:v>0</x:v>
      </x:c>
    </x:row>
    <x:row r="153" ht="23" customHeight="1">
      <x:c r="A153" s="9" t="n">
        <x:v>152</x:v>
      </x:c>
      <x:c r="B153" s="9" t="n">
        <x:v>0</x:v>
      </x:c>
      <x:c r="C153" s="9" t="n">
        <x:v>899</x:v>
      </x:c>
      <x:c r="D153" s="9" t="n">
        <x:v>2</x:v>
      </x:c>
      <x:c r="E153" s="9" t="n">
        <x:v>119468</x:v>
      </x:c>
      <x:c r="F153" s="9" t="n">
        <x:v>33937</x:v>
      </x:c>
      <x:c r="G153" s="9" t="n">
        <x:v>26018</x:v>
      </x:c>
      <x:c r="H153" s="9" t="n">
        <x:v>55290</x:v>
      </x:c>
      <x:c r="I153" s="9" t="n">
        <x:v>4117</x:v>
      </x:c>
      <x:c r="J153" s="9" t="n">
        <x:v>106</x:v>
      </x:c>
      <x:c r="K153" s="9" t="n">
        <x:f>F153+G153+I153+J153</x:f>
        <x:v>64178</x:v>
      </x:c>
      <x:c r="L153" s="10" t="n">
        <x:f>K153/Sources!$B$4*1000</x:f>
        <x:v>17.929094340202457</x:v>
      </x:c>
      <x:c r="M153" s="10" t="n">
        <x:f>E153/Sources!$B$4*1000</x:f>
        <x:v>33.37519153970686</x:v>
      </x:c>
      <x:c r="N153" s="9" t="n">
        <x:f>Sources!$B$6-K153</x:f>
        <x:v>-4442</x:v>
      </x:c>
      <x:c r="O153" s="1" t="str">
        <x:v>keyboard_route</x:v>
      </x:c>
      <x:c r="P153" s="12" t="n">
        <x:v>0</x:v>
      </x:c>
      <x:c r="Q153" s="12" t="n">
        <x:v>-4</x:v>
      </x:c>
      <x:c r="R153" s="12" t="n">
        <x:v>0</x:v>
      </x:c>
      <x:c r="S153" s="12" t="n">
        <x:v>3</x:v>
      </x:c>
      <x:c r="T153" s="1" t="str">
        <x:v>No</x:v>
      </x:c>
      <x:c r="U153" s="1" t="n">
        <x:v>0</x:v>
      </x:c>
    </x:row>
    <x:row r="154" ht="23" customHeight="1">
      <x:c r="A154" s="9" t="n">
        <x:v>153</x:v>
      </x:c>
      <x:c r="B154" s="9" t="n">
        <x:v>0</x:v>
      </x:c>
      <x:c r="C154" s="9" t="n">
        <x:v>895</x:v>
      </x:c>
      <x:c r="D154" s="9" t="n">
        <x:v>2</x:v>
      </x:c>
      <x:c r="E154" s="9" t="n">
        <x:v>119476</x:v>
      </x:c>
      <x:c r="F154" s="9" t="n">
        <x:v>33146</x:v>
      </x:c>
      <x:c r="G154" s="9" t="n">
        <x:v>37727</x:v>
      </x:c>
      <x:c r="H154" s="9" t="n">
        <x:v>44379.99999999255</x:v>
      </x:c>
      <x:c r="I154" s="9" t="n">
        <x:v>4117.000000007451</x:v>
      </x:c>
      <x:c r="J154" s="9" t="n">
        <x:v>106</x:v>
      </x:c>
      <x:c r="K154" s="9" t="n">
        <x:f>F154+G154+I154+J154</x:f>
        <x:v>75096.00000000745</x:v>
      </x:c>
      <x:c r="L154" s="10" t="n">
        <x:f>K154/Sources!$B$4*1000</x:f>
        <x:v>20.979202664027817</x:v>
      </x:c>
      <x:c r="M154" s="10" t="n">
        <x:f>E154/Sources!$B$4*1000</x:f>
        <x:v>33.37742646062558</x:v>
      </x:c>
      <x:c r="N154" s="9" t="n">
        <x:f>Sources!$B$6-K154</x:f>
        <x:v>-15360.00000000745</x:v>
      </x:c>
      <x:c r="O154" s="1" t="str">
        <x:v>keyboard_route</x:v>
      </x:c>
      <x:c r="P154" s="12" t="n">
        <x:v>0</x:v>
      </x:c>
      <x:c r="Q154" s="12" t="n">
        <x:v>-4</x:v>
      </x:c>
      <x:c r="R154" s="12" t="n">
        <x:v>0</x:v>
      </x:c>
      <x:c r="S154" s="12" t="n">
        <x:v>7</x:v>
      </x:c>
      <x:c r="T154" s="1" t="str">
        <x:v>Yes</x:v>
      </x:c>
      <x:c r="U154" s="1" t="n">
        <x:v>0</x:v>
      </x:c>
    </x:row>
    <x:row r="155" ht="23" customHeight="1">
      <x:c r="A155" s="9" t="n">
        <x:v>154</x:v>
      </x:c>
      <x:c r="B155" s="9" t="n">
        <x:v>0</x:v>
      </x:c>
      <x:c r="C155" s="9" t="n">
        <x:v>891</x:v>
      </x:c>
      <x:c r="D155" s="9" t="n">
        <x:v>2</x:v>
      </x:c>
      <x:c r="E155" s="9" t="n">
        <x:v>119468.99999999255</x:v>
      </x:c>
      <x:c r="F155" s="9" t="n">
        <x:v>39897</x:v>
      </x:c>
      <x:c r="G155" s="9" t="n">
        <x:v>26024</x:v>
      </x:c>
      <x:c r="H155" s="9" t="n">
        <x:v>49325</x:v>
      </x:c>
      <x:c r="I155" s="9" t="n">
        <x:v>4117</x:v>
      </x:c>
      <x:c r="J155" s="9" t="n">
        <x:v>105.99999999254942</x:v>
      </x:c>
      <x:c r="K155" s="9" t="n">
        <x:f>F155+G155+I155+J155</x:f>
        <x:v>70143.99999999255</x:v>
      </x:c>
      <x:c r="L155" s="10" t="n">
        <x:f>K155/Sources!$B$4*1000</x:f>
        <x:v>19.5957866153359</x:v>
      </x:c>
      <x:c r="M155" s="10" t="n">
        <x:f>E155/Sources!$B$4*1000</x:f>
        <x:v>33.37547090481962</x:v>
      </x:c>
      <x:c r="N155" s="9" t="n">
        <x:f>Sources!$B$6-K155</x:f>
        <x:v>-10407.99999999255</x:v>
      </x:c>
      <x:c r="O155" s="1" t="str">
        <x:v>keyboard_route</x:v>
      </x:c>
      <x:c r="P155" s="12" t="n">
        <x:v>0</x:v>
      </x:c>
      <x:c r="Q155" s="12" t="n">
        <x:v>-4</x:v>
      </x:c>
      <x:c r="R155" s="12" t="n">
        <x:v>0</x:v>
      </x:c>
      <x:c r="S155" s="12" t="n">
        <x:v>3</x:v>
      </x:c>
      <x:c r="T155" s="1" t="str">
        <x:v>No</x:v>
      </x:c>
      <x:c r="U155" s="1" t="n">
        <x:v>0</x:v>
      </x:c>
    </x:row>
    <x:row r="156" ht="23" customHeight="1">
      <x:c r="A156" s="9" t="n">
        <x:v>155</x:v>
      </x:c>
      <x:c r="B156" s="9" t="n">
        <x:v>0</x:v>
      </x:c>
      <x:c r="C156" s="9" t="n">
        <x:v>887</x:v>
      </x:c>
      <x:c r="D156" s="9" t="n">
        <x:v>2</x:v>
      </x:c>
      <x:c r="E156" s="9" t="n">
        <x:v>119472</x:v>
      </x:c>
      <x:c r="F156" s="9" t="n">
        <x:v>34501.00000000745</x:v>
      </x:c>
      <x:c r="G156" s="9" t="n">
        <x:v>37733</x:v>
      </x:c>
      <x:c r="H156" s="9" t="n">
        <x:v>43015</x:v>
      </x:c>
      <x:c r="I156" s="9" t="n">
        <x:v>4117</x:v>
      </x:c>
      <x:c r="J156" s="9" t="n">
        <x:v>105.99999999254942</x:v>
      </x:c>
      <x:c r="K156" s="9" t="n">
        <x:f>F156+G156+I156+J156</x:f>
        <x:v>76457</x:v>
      </x:c>
      <x:c r="L156" s="10" t="n">
        <x:f>K156/Sources!$B$4*1000</x:f>
        <x:v>21.359418585322995</x:v>
      </x:c>
      <x:c r="M156" s="10" t="n">
        <x:f>E156/Sources!$B$4*1000</x:f>
        <x:v>33.37630900016622</x:v>
      </x:c>
      <x:c r="N156" s="9" t="n">
        <x:f>Sources!$B$6-K156</x:f>
        <x:v>-16721</x:v>
      </x:c>
      <x:c r="O156" s="1" t="str">
        <x:v>keyboard_route</x:v>
      </x:c>
      <x:c r="P156" s="12" t="n">
        <x:v>0</x:v>
      </x:c>
      <x:c r="Q156" s="12" t="n">
        <x:v>-4</x:v>
      </x:c>
      <x:c r="R156" s="12" t="n">
        <x:v>0</x:v>
      </x:c>
      <x:c r="S156" s="12" t="n">
        <x:v>7</x:v>
      </x:c>
      <x:c r="T156" s="1" t="str">
        <x:v>Yes</x:v>
      </x:c>
      <x:c r="U156" s="1" t="n">
        <x:v>0</x:v>
      </x:c>
    </x:row>
    <x:row r="157" ht="23" customHeight="1">
      <x:c r="A157" s="9" t="n">
        <x:v>156</x:v>
      </x:c>
      <x:c r="B157" s="9" t="n">
        <x:v>0</x:v>
      </x:c>
      <x:c r="C157" s="9" t="n">
        <x:v>883</x:v>
      </x:c>
      <x:c r="D157" s="9" t="n">
        <x:v>2</x:v>
      </x:c>
      <x:c r="E157" s="9" t="n">
        <x:v>119474.00000000745</x:v>
      </x:c>
      <x:c r="F157" s="9" t="n">
        <x:v>35637</x:v>
      </x:c>
      <x:c r="G157" s="9" t="n">
        <x:v>26024</x:v>
      </x:c>
      <x:c r="H157" s="9" t="n">
        <x:v>53590</x:v>
      </x:c>
      <x:c r="I157" s="9" t="n">
        <x:v>4117</x:v>
      </x:c>
      <x:c r="J157" s="9" t="n">
        <x:v>106.00000000745058</x:v>
      </x:c>
      <x:c r="K157" s="9" t="n">
        <x:f>F157+G157+I157+J157</x:f>
        <x:v>65884.00000000745</x:v>
      </x:c>
      <x:c r="L157" s="10" t="n">
        <x:f>K157/Sources!$B$4*1000</x:f>
        <x:v>18.405691226121604</x:v>
      </x:c>
      <x:c r="M157" s="10" t="n">
        <x:f>E157/Sources!$B$4*1000</x:f>
        <x:v>33.37686773039798</x:v>
      </x:c>
      <x:c r="N157" s="9" t="n">
        <x:f>Sources!$B$6-K157</x:f>
        <x:v>-6148.000000007451</x:v>
      </x:c>
      <x:c r="O157" s="1" t="str">
        <x:v>keyboard_route</x:v>
      </x:c>
      <x:c r="P157" s="12" t="n">
        <x:v>0</x:v>
      </x:c>
      <x:c r="Q157" s="12" t="n">
        <x:v>-4</x:v>
      </x:c>
      <x:c r="R157" s="12" t="n">
        <x:v>0</x:v>
      </x:c>
      <x:c r="S157" s="12" t="n">
        <x:v>3</x:v>
      </x:c>
      <x:c r="T157" s="1" t="str">
        <x:v>No</x:v>
      </x:c>
      <x:c r="U157" s="1" t="n">
        <x:v>0</x:v>
      </x:c>
    </x:row>
    <x:row r="158" ht="23" customHeight="1">
      <x:c r="A158" s="9" t="n">
        <x:v>157</x:v>
      </x:c>
      <x:c r="B158" s="9" t="n">
        <x:v>0</x:v>
      </x:c>
      <x:c r="C158" s="9" t="n">
        <x:v>879</x:v>
      </x:c>
      <x:c r="D158" s="9" t="n">
        <x:v>2</x:v>
      </x:c>
      <x:c r="E158" s="9" t="n">
        <x:v>119470</x:v>
      </x:c>
      <x:c r="F158" s="9" t="n">
        <x:v>34169.99999999255</x:v>
      </x:c>
      <x:c r="G158" s="9" t="n">
        <x:v>37727</x:v>
      </x:c>
      <x:c r="H158" s="9" t="n">
        <x:v>43350</x:v>
      </x:c>
      <x:c r="I158" s="9" t="n">
        <x:v>4117</x:v>
      </x:c>
      <x:c r="J158" s="9" t="n">
        <x:v>106.00000000745058</x:v>
      </x:c>
      <x:c r="K158" s="9" t="n">
        <x:f>F158+G158+I158+J158</x:f>
        <x:v>76120</x:v>
      </x:c>
      <x:c r="L158" s="10" t="n">
        <x:f>K158/Sources!$B$4*1000</x:f>
        <x:v>21.265272541621908</x:v>
      </x:c>
      <x:c r="M158" s="10" t="n">
        <x:f>E158/Sources!$B$4*1000</x:f>
        <x:v>33.37575026993654</x:v>
      </x:c>
      <x:c r="N158" s="9" t="n">
        <x:f>Sources!$B$6-K158</x:f>
        <x:v>-16384</x:v>
      </x:c>
      <x:c r="O158" s="1" t="str">
        <x:v>keyboard_route</x:v>
      </x:c>
      <x:c r="P158" s="12" t="n">
        <x:v>0</x:v>
      </x:c>
      <x:c r="Q158" s="12" t="n">
        <x:v>-4</x:v>
      </x:c>
      <x:c r="R158" s="12" t="n">
        <x:v>0</x:v>
      </x:c>
      <x:c r="S158" s="12" t="n">
        <x:v>7</x:v>
      </x:c>
      <x:c r="T158" s="1" t="str">
        <x:v>Yes</x:v>
      </x:c>
      <x:c r="U158" s="1" t="n">
        <x:v>0</x:v>
      </x:c>
    </x:row>
    <x:row r="159" ht="23" customHeight="1">
      <x:c r="A159" s="9" t="n">
        <x:v>158</x:v>
      </x:c>
      <x:c r="B159" s="9" t="n">
        <x:v>0</x:v>
      </x:c>
      <x:c r="C159" s="9" t="n">
        <x:v>875</x:v>
      </x:c>
      <x:c r="D159" s="9" t="n">
        <x:v>2</x:v>
      </x:c>
      <x:c r="E159" s="9" t="n">
        <x:v>119472.99999999255</x:v>
      </x:c>
      <x:c r="F159" s="9" t="n">
        <x:v>35812</x:v>
      </x:c>
      <x:c r="G159" s="9" t="n">
        <x:v>26018.00000000745</x:v>
      </x:c>
      <x:c r="H159" s="9" t="n">
        <x:v>53420</x:v>
      </x:c>
      <x:c r="I159" s="9" t="n">
        <x:v>4117</x:v>
      </x:c>
      <x:c r="J159" s="9" t="n">
        <x:v>105.99999998509884</x:v>
      </x:c>
      <x:c r="K159" s="9" t="n">
        <x:f>F159+G159+I159+J159</x:f>
        <x:v>66052.99999999255</x:v>
      </x:c>
      <x:c r="L159" s="10" t="n">
        <x:f>K159/Sources!$B$4*1000</x:f>
        <x:v>18.4529039305254</x:v>
      </x:c>
      <x:c r="M159" s="10" t="n">
        <x:f>E159/Sources!$B$4*1000</x:f>
        <x:v>33.37658836527898</x:v>
      </x:c>
      <x:c r="N159" s="9" t="n">
        <x:f>Sources!$B$6-K159</x:f>
        <x:v>-6316.999999992549</x:v>
      </x:c>
      <x:c r="O159" s="1" t="str">
        <x:v>keyboard_route</x:v>
      </x:c>
      <x:c r="P159" s="12" t="n">
        <x:v>0</x:v>
      </x:c>
      <x:c r="Q159" s="12" t="n">
        <x:v>-4</x:v>
      </x:c>
      <x:c r="R159" s="12" t="n">
        <x:v>0</x:v>
      </x:c>
      <x:c r="S159" s="12" t="n">
        <x:v>3</x:v>
      </x:c>
      <x:c r="T159" s="1" t="str">
        <x:v>No</x:v>
      </x:c>
      <x:c r="U159" s="1" t="n">
        <x:v>0</x:v>
      </x:c>
    </x:row>
    <x:row r="160" ht="23" customHeight="1">
      <x:c r="A160" s="9" t="n">
        <x:v>159</x:v>
      </x:c>
      <x:c r="B160" s="9" t="n">
        <x:v>0</x:v>
      </x:c>
      <x:c r="C160" s="9" t="n">
        <x:v>871</x:v>
      </x:c>
      <x:c r="D160" s="9" t="n">
        <x:v>2</x:v>
      </x:c>
      <x:c r="E160" s="9" t="n">
        <x:v>119470.00000000745</x:v>
      </x:c>
      <x:c r="F160" s="9" t="n">
        <x:v>32485.00000000745</x:v>
      </x:c>
      <x:c r="G160" s="9" t="n">
        <x:v>37727</x:v>
      </x:c>
      <x:c r="H160" s="9" t="n">
        <x:v>45035</x:v>
      </x:c>
      <x:c r="I160" s="9" t="n">
        <x:v>4116.999999992549</x:v>
      </x:c>
      <x:c r="J160" s="9" t="n">
        <x:v>106.00000000745058</x:v>
      </x:c>
      <x:c r="K160" s="9" t="n">
        <x:f>F160+G160+I160+J160</x:f>
        <x:v>74435.00000000745</x:v>
      </x:c>
      <x:c r="L160" s="10" t="n">
        <x:f>K160/Sources!$B$4*1000</x:f>
        <x:v>20.794542323118566</x:v>
      </x:c>
      <x:c r="M160" s="10" t="n">
        <x:f>E160/Sources!$B$4*1000</x:f>
        <x:v>33.37575026993862</x:v>
      </x:c>
      <x:c r="N160" s="9" t="n">
        <x:f>Sources!$B$6-K160</x:f>
        <x:v>-14699.00000000745</x:v>
      </x:c>
      <x:c r="O160" s="1" t="str">
        <x:v>keyboard_route</x:v>
      </x:c>
      <x:c r="P160" s="12" t="n">
        <x:v>0</x:v>
      </x:c>
      <x:c r="Q160" s="12" t="n">
        <x:v>-4</x:v>
      </x:c>
      <x:c r="R160" s="12" t="n">
        <x:v>0</x:v>
      </x:c>
      <x:c r="S160" s="12" t="n">
        <x:v>7</x:v>
      </x:c>
      <x:c r="T160" s="1" t="str">
        <x:v>Yes</x:v>
      </x:c>
      <x:c r="U160" s="1" t="n">
        <x:v>0</x:v>
      </x:c>
    </x:row>
    <x:row r="161" ht="23" customHeight="1">
      <x:c r="A161" s="9" t="n">
        <x:v>160</x:v>
      </x:c>
      <x:c r="B161" s="9" t="n">
        <x:v>0</x:v>
      </x:c>
      <x:c r="C161" s="9" t="n">
        <x:v>867</x:v>
      </x:c>
      <x:c r="D161" s="9" t="n">
        <x:v>2</x:v>
      </x:c>
      <x:c r="E161" s="9" t="n">
        <x:v>119471.99999999255</x:v>
      </x:c>
      <x:c r="F161" s="9" t="n">
        <x:v>35621</x:v>
      </x:c>
      <x:c r="G161" s="9" t="n">
        <x:v>26018</x:v>
      </x:c>
      <x:c r="H161" s="9" t="n">
        <x:v>53610</x:v>
      </x:c>
      <x:c r="I161" s="9" t="n">
        <x:v>4117</x:v>
      </x:c>
      <x:c r="J161" s="9" t="n">
        <x:v>105.99999999254942</x:v>
      </x:c>
      <x:c r="K161" s="9" t="n">
        <x:f>F161+G161+I161+J161</x:f>
        <x:v>65861.99999999255</x:v>
      </x:c>
      <x:c r="L161" s="10" t="n">
        <x:f>K161/Sources!$B$4*1000</x:f>
        <x:v>18.39954519359096</x:v>
      </x:c>
      <x:c r="M161" s="10" t="n">
        <x:f>E161/Sources!$B$4*1000</x:f>
        <x:v>33.37630900016414</x:v>
      </x:c>
      <x:c r="N161" s="9" t="n">
        <x:f>Sources!$B$6-K161</x:f>
        <x:v>-6125.999999992549</x:v>
      </x:c>
      <x:c r="O161" s="1" t="str">
        <x:v>keyboard_route</x:v>
      </x:c>
      <x:c r="P161" s="12" t="n">
        <x:v>0</x:v>
      </x:c>
      <x:c r="Q161" s="12" t="n">
        <x:v>-4</x:v>
      </x:c>
      <x:c r="R161" s="12" t="n">
        <x:v>0</x:v>
      </x:c>
      <x:c r="S161" s="12" t="n">
        <x:v>3</x:v>
      </x:c>
      <x:c r="T161" s="1" t="str">
        <x:v>No</x:v>
      </x:c>
      <x:c r="U161" s="1" t="n">
        <x:v>0</x:v>
      </x:c>
    </x:row>
    <x:row r="162" ht="23" customHeight="1">
      <x:c r="A162" s="9" t="n">
        <x:v>161</x:v>
      </x:c>
      <x:c r="B162" s="9" t="n">
        <x:v>0</x:v>
      </x:c>
      <x:c r="C162" s="9" t="n">
        <x:v>863</x:v>
      </x:c>
      <x:c r="D162" s="9" t="n">
        <x:v>2</x:v>
      </x:c>
      <x:c r="E162" s="9" t="n">
        <x:v>119476.00000000745</x:v>
      </x:c>
      <x:c r="F162" s="9" t="n">
        <x:v>35781.00000000745</x:v>
      </x:c>
      <x:c r="G162" s="9" t="n">
        <x:v>37906.99999999255</x:v>
      </x:c>
      <x:c r="H162" s="9" t="n">
        <x:v>41565.00000000745</x:v>
      </x:c>
      <x:c r="I162" s="9" t="n">
        <x:v>4117</x:v>
      </x:c>
      <x:c r="J162" s="9" t="n">
        <x:v>106</x:v>
      </x:c>
      <x:c r="K162" s="9" t="n">
        <x:f>F162+G162+I162+J162</x:f>
        <x:v>77911</x:v>
      </x:c>
      <x:c r="L162" s="10" t="n">
        <x:f>K162/Sources!$B$4*1000</x:f>
        <x:v>21.765615462300378</x:v>
      </x:c>
      <x:c r="M162" s="10" t="n">
        <x:f>E162/Sources!$B$4*1000</x:f>
        <x:v>33.37742646062766</x:v>
      </x:c>
      <x:c r="N162" s="9" t="n">
        <x:f>Sources!$B$6-K162</x:f>
        <x:v>-18175</x:v>
      </x:c>
      <x:c r="O162" s="1" t="str">
        <x:v>keyboard_route</x:v>
      </x:c>
      <x:c r="P162" s="12" t="n">
        <x:v>0</x:v>
      </x:c>
      <x:c r="Q162" s="12" t="n">
        <x:v>-4</x:v>
      </x:c>
      <x:c r="R162" s="12" t="n">
        <x:v>0</x:v>
      </x:c>
      <x:c r="S162" s="12" t="n">
        <x:v>7</x:v>
      </x:c>
      <x:c r="T162" s="1" t="str">
        <x:v>Yes</x:v>
      </x:c>
      <x:c r="U162" s="1" t="n">
        <x:v>0</x:v>
      </x:c>
    </x:row>
    <x:row r="163" ht="23" customHeight="1">
      <x:c r="A163" s="9" t="n">
        <x:v>162</x:v>
      </x:c>
      <x:c r="B163" s="9" t="n">
        <x:v>0</x:v>
      </x:c>
      <x:c r="C163" s="9" t="n">
        <x:v>859</x:v>
      </x:c>
      <x:c r="D163" s="9" t="n">
        <x:v>2</x:v>
      </x:c>
      <x:c r="E163" s="9" t="n">
        <x:v>119469</x:v>
      </x:c>
      <x:c r="F163" s="9" t="n">
        <x:v>35637</x:v>
      </x:c>
      <x:c r="G163" s="9" t="n">
        <x:v>26024</x:v>
      </x:c>
      <x:c r="H163" s="9" t="n">
        <x:v>53584.99999999255</x:v>
      </x:c>
      <x:c r="I163" s="9" t="n">
        <x:v>4116.999999992549</x:v>
      </x:c>
      <x:c r="J163" s="9" t="n">
        <x:v>106.00000001490116</x:v>
      </x:c>
      <x:c r="K163" s="9" t="n">
        <x:f>F163+G163+I163+J163</x:f>
        <x:v>65884.00000000745</x:v>
      </x:c>
      <x:c r="L163" s="10" t="n">
        <x:f>K163/Sources!$B$4*1000</x:f>
        <x:v>18.405691226121604</x:v>
      </x:c>
      <x:c r="M163" s="10" t="n">
        <x:f>E163/Sources!$B$4*1000</x:f>
        <x:v>33.375470904821704</x:v>
      </x:c>
      <x:c r="N163" s="9" t="n">
        <x:f>Sources!$B$6-K163</x:f>
        <x:v>-6148.000000007451</x:v>
      </x:c>
      <x:c r="O163" s="1" t="str">
        <x:v>keyboard_route</x:v>
      </x:c>
      <x:c r="P163" s="12" t="n">
        <x:v>0</x:v>
      </x:c>
      <x:c r="Q163" s="12" t="n">
        <x:v>-4</x:v>
      </x:c>
      <x:c r="R163" s="12" t="n">
        <x:v>0</x:v>
      </x:c>
      <x:c r="S163" s="12" t="n">
        <x:v>3</x:v>
      </x:c>
      <x:c r="T163" s="1" t="str">
        <x:v>No</x:v>
      </x:c>
      <x:c r="U163" s="1" t="n">
        <x:v>0</x:v>
      </x:c>
    </x:row>
    <x:row r="164" ht="23" customHeight="1">
      <x:c r="A164" s="9" t="n">
        <x:v>163</x:v>
      </x:c>
      <x:c r="B164" s="9" t="n">
        <x:v>0</x:v>
      </x:c>
      <x:c r="C164" s="9" t="n">
        <x:v>855</x:v>
      </x:c>
      <x:c r="D164" s="9" t="n">
        <x:v>2</x:v>
      </x:c>
      <x:c r="E164" s="9" t="n">
        <x:v>119475</x:v>
      </x:c>
      <x:c r="F164" s="9" t="n">
        <x:v>35531</x:v>
      </x:c>
      <x:c r="G164" s="9" t="n">
        <x:v>37901</x:v>
      </x:c>
      <x:c r="H164" s="9" t="n">
        <x:v>41819.99999999255</x:v>
      </x:c>
      <x:c r="I164" s="9" t="n">
        <x:v>4117.000000007451</x:v>
      </x:c>
      <x:c r="J164" s="9" t="n">
        <x:v>106</x:v>
      </x:c>
      <x:c r="K164" s="9" t="n">
        <x:f>F164+G164+I164+J164</x:f>
        <x:v>77655.00000000745</x:v>
      </x:c>
      <x:c r="L164" s="10" t="n">
        <x:f>K164/Sources!$B$4*1000</x:f>
        <x:v>21.694097992903416</x:v>
      </x:c>
      <x:c r="M164" s="10" t="n">
        <x:f>E164/Sources!$B$4*1000</x:f>
        <x:v>33.37714709551074</x:v>
      </x:c>
      <x:c r="N164" s="9" t="n">
        <x:f>Sources!$B$6-K164</x:f>
        <x:v>-17919.00000000745</x:v>
      </x:c>
      <x:c r="O164" s="1" t="str">
        <x:v>keyboard_route</x:v>
      </x:c>
      <x:c r="P164" s="12" t="n">
        <x:v>0</x:v>
      </x:c>
      <x:c r="Q164" s="12" t="n">
        <x:v>-4</x:v>
      </x:c>
      <x:c r="R164" s="12" t="n">
        <x:v>0</x:v>
      </x:c>
      <x:c r="S164" s="12" t="n">
        <x:v>7</x:v>
      </x:c>
      <x:c r="T164" s="1" t="str">
        <x:v>Yes</x:v>
      </x:c>
      <x:c r="U164" s="1" t="n">
        <x:v>0</x:v>
      </x:c>
    </x:row>
    <x:row r="165" ht="23" customHeight="1">
      <x:c r="A165" s="9" t="n">
        <x:v>164</x:v>
      </x:c>
      <x:c r="B165" s="9" t="n">
        <x:v>0</x:v>
      </x:c>
      <x:c r="C165" s="9" t="n">
        <x:v>851</x:v>
      </x:c>
      <x:c r="D165" s="9" t="n">
        <x:v>2</x:v>
      </x:c>
      <x:c r="E165" s="9" t="n">
        <x:v>119470</x:v>
      </x:c>
      <x:c r="F165" s="9" t="n">
        <x:v>35129</x:v>
      </x:c>
      <x:c r="G165" s="9" t="n">
        <x:v>26018</x:v>
      </x:c>
      <x:c r="H165" s="9" t="n">
        <x:v>54100</x:v>
      </x:c>
      <x:c r="I165" s="9" t="n">
        <x:v>4117.000000007451</x:v>
      </x:c>
      <x:c r="J165" s="9" t="n">
        <x:v>105.99999999254942</x:v>
      </x:c>
      <x:c r="K165" s="9" t="n">
        <x:f>F165+G165+I165+J165</x:f>
        <x:v>65370</x:v>
      </x:c>
      <x:c r="L165" s="10" t="n">
        <x:f>K165/Sources!$B$4*1000</x:f>
        <x:v>18.262097557091753</x:v>
      </x:c>
      <x:c r="M165" s="10" t="n">
        <x:f>E165/Sources!$B$4*1000</x:f>
        <x:v>33.37575026993654</x:v>
      </x:c>
      <x:c r="N165" s="9" t="n">
        <x:f>Sources!$B$6-K165</x:f>
        <x:v>-5634</x:v>
      </x:c>
      <x:c r="O165" s="1" t="str">
        <x:v>keyboard_route</x:v>
      </x:c>
      <x:c r="P165" s="12" t="n">
        <x:v>0</x:v>
      </x:c>
      <x:c r="Q165" s="12" t="n">
        <x:v>-4</x:v>
      </x:c>
      <x:c r="R165" s="12" t="n">
        <x:v>0</x:v>
      </x:c>
      <x:c r="S165" s="12" t="n">
        <x:v>3</x:v>
      </x:c>
      <x:c r="T165" s="1" t="str">
        <x:v>No</x:v>
      </x:c>
      <x:c r="U165" s="1" t="n">
        <x:v>0</x:v>
      </x:c>
    </x:row>
    <x:row r="166" ht="23" customHeight="1">
      <x:c r="A166" s="9" t="n">
        <x:v>165</x:v>
      </x:c>
      <x:c r="B166" s="9" t="n">
        <x:v>0</x:v>
      </x:c>
      <x:c r="C166" s="9" t="n">
        <x:v>847</x:v>
      </x:c>
      <x:c r="D166" s="9" t="n">
        <x:v>2</x:v>
      </x:c>
      <x:c r="E166" s="9" t="n">
        <x:v>119471</x:v>
      </x:c>
      <x:c r="F166" s="9" t="n">
        <x:v>32662</x:v>
      </x:c>
      <x:c r="G166" s="9" t="n">
        <x:v>37901</x:v>
      </x:c>
      <x:c r="H166" s="9" t="n">
        <x:v>44685</x:v>
      </x:c>
      <x:c r="I166" s="9" t="n">
        <x:v>4117</x:v>
      </x:c>
      <x:c r="J166" s="9" t="n">
        <x:v>106</x:v>
      </x:c>
      <x:c r="K166" s="9" t="n">
        <x:f>F166+G166+I166+J166</x:f>
        <x:v>74786</x:v>
      </x:c>
      <x:c r="L166" s="10" t="n">
        <x:f>K166/Sources!$B$4*1000</x:f>
        <x:v>20.892599478425332</x:v>
      </x:c>
      <x:c r="M166" s="10" t="n">
        <x:f>E166/Sources!$B$4*1000</x:f>
        <x:v>33.37602963505138</x:v>
      </x:c>
      <x:c r="N166" s="9" t="n">
        <x:f>Sources!$B$6-K166</x:f>
        <x:v>-15050</x:v>
      </x:c>
      <x:c r="O166" s="1" t="str">
        <x:v>keyboard_route</x:v>
      </x:c>
      <x:c r="P166" s="12" t="n">
        <x:v>0</x:v>
      </x:c>
      <x:c r="Q166" s="12" t="n">
        <x:v>-4</x:v>
      </x:c>
      <x:c r="R166" s="12" t="n">
        <x:v>0</x:v>
      </x:c>
      <x:c r="S166" s="12" t="n">
        <x:v>7</x:v>
      </x:c>
      <x:c r="T166" s="1" t="str">
        <x:v>Yes</x:v>
      </x:c>
      <x:c r="U166" s="1" t="n">
        <x:v>0</x:v>
      </x:c>
    </x:row>
    <x:row r="167" ht="23" customHeight="1">
      <x:c r="A167" s="9" t="n">
        <x:v>166</x:v>
      </x:c>
      <x:c r="B167" s="9" t="n">
        <x:v>0</x:v>
      </x:c>
      <x:c r="C167" s="9" t="n">
        <x:v>843</x:v>
      </x:c>
      <x:c r="D167" s="9" t="n">
        <x:v>2</x:v>
      </x:c>
      <x:c r="E167" s="9" t="n">
        <x:v>119471</x:v>
      </x:c>
      <x:c r="F167" s="9" t="n">
        <x:v>35621</x:v>
      </x:c>
      <x:c r="G167" s="9" t="n">
        <x:v>26012</x:v>
      </x:c>
      <x:c r="H167" s="9" t="n">
        <x:v>53615</x:v>
      </x:c>
      <x:c r="I167" s="9" t="n">
        <x:v>4117.000000007451</x:v>
      </x:c>
      <x:c r="J167" s="9" t="n">
        <x:v>105.99999999254942</x:v>
      </x:c>
      <x:c r="K167" s="9" t="n">
        <x:f>F167+G167+I167+J167</x:f>
        <x:v>65856</x:v>
      </x:c>
      <x:c r="L167" s="10" t="n">
        <x:f>K167/Sources!$B$4*1000</x:f>
        <x:v>18.397869002904002</x:v>
      </x:c>
      <x:c r="M167" s="10" t="n">
        <x:f>E167/Sources!$B$4*1000</x:f>
        <x:v>33.37602963505138</x:v>
      </x:c>
      <x:c r="N167" s="9" t="n">
        <x:f>Sources!$B$6-K167</x:f>
        <x:v>-6120</x:v>
      </x:c>
      <x:c r="O167" s="1" t="str">
        <x:v>keyboard_route</x:v>
      </x:c>
      <x:c r="P167" s="12" t="n">
        <x:v>0</x:v>
      </x:c>
      <x:c r="Q167" s="12" t="n">
        <x:v>-4</x:v>
      </x:c>
      <x:c r="R167" s="12" t="n">
        <x:v>0</x:v>
      </x:c>
      <x:c r="S167" s="12" t="n">
        <x:v>3</x:v>
      </x:c>
      <x:c r="T167" s="1" t="str">
        <x:v>No</x:v>
      </x:c>
      <x:c r="U167" s="1" t="n">
        <x:v>0</x:v>
      </x:c>
    </x:row>
    <x:row r="168" ht="23" customHeight="1">
      <x:c r="A168" s="9" t="n">
        <x:v>167</x:v>
      </x:c>
      <x:c r="B168" s="9" t="n">
        <x:v>0</x:v>
      </x:c>
      <x:c r="C168" s="9" t="n">
        <x:v>839</x:v>
      </x:c>
      <x:c r="D168" s="9" t="n">
        <x:v>2</x:v>
      </x:c>
      <x:c r="E168" s="9" t="n">
        <x:v>119473.99999999255</x:v>
      </x:c>
      <x:c r="F168" s="9" t="n">
        <x:v>37164.99999999255</x:v>
      </x:c>
      <x:c r="G168" s="9" t="n">
        <x:v>37901.00000000745</x:v>
      </x:c>
      <x:c r="H168" s="9" t="n">
        <x:v>40185</x:v>
      </x:c>
      <x:c r="I168" s="9" t="n">
        <x:v>4117</x:v>
      </x:c>
      <x:c r="J168" s="9" t="n">
        <x:v>105.99999999254942</x:v>
      </x:c>
      <x:c r="K168" s="9" t="n">
        <x:f>F168+G168+I168+J168</x:f>
        <x:v>79288.99999999255</x:v>
      </x:c>
      <x:c r="L168" s="10" t="n">
        <x:f>K168/Sources!$B$4*1000</x:f>
        <x:v>22.150580590547836</x:v>
      </x:c>
      <x:c r="M168" s="10" t="n">
        <x:f>E168/Sources!$B$4*1000</x:f>
        <x:v>33.37686773039382</x:v>
      </x:c>
      <x:c r="N168" s="9" t="n">
        <x:f>Sources!$B$6-K168</x:f>
        <x:v>-19552.99999999255</x:v>
      </x:c>
      <x:c r="O168" s="1" t="str">
        <x:v>keyboard_route</x:v>
      </x:c>
      <x:c r="P168" s="12" t="n">
        <x:v>0</x:v>
      </x:c>
      <x:c r="Q168" s="12" t="n">
        <x:v>-4</x:v>
      </x:c>
      <x:c r="R168" s="12" t="n">
        <x:v>0</x:v>
      </x:c>
      <x:c r="S168" s="12" t="n">
        <x:v>7</x:v>
      </x:c>
      <x:c r="T168" s="1" t="str">
        <x:v>Yes</x:v>
      </x:c>
      <x:c r="U168" s="1" t="n">
        <x:v>0</x:v>
      </x:c>
    </x:row>
    <x:row r="169" ht="23" customHeight="1">
      <x:c r="A169" s="9" t="n">
        <x:v>168</x:v>
      </x:c>
      <x:c r="B169" s="9" t="n">
        <x:v>0</x:v>
      </x:c>
      <x:c r="C169" s="9" t="n">
        <x:v>835</x:v>
      </x:c>
      <x:c r="D169" s="9" t="n">
        <x:v>2</x:v>
      </x:c>
      <x:c r="E169" s="9" t="n">
        <x:v>119474.00000000745</x:v>
      </x:c>
      <x:c r="F169" s="9" t="n">
        <x:v>36325.00000000745</x:v>
      </x:c>
      <x:c r="G169" s="9" t="n">
        <x:v>26881</x:v>
      </x:c>
      <x:c r="H169" s="9" t="n">
        <x:v>52045</x:v>
      </x:c>
      <x:c r="I169" s="9" t="n">
        <x:v>4117</x:v>
      </x:c>
      <x:c r="J169" s="9" t="n">
        <x:v>106</x:v>
      </x:c>
      <x:c r="K169" s="9" t="n">
        <x:f>F169+G169+I169+J169</x:f>
        <x:v>67429.00000000745</x:v>
      </x:c>
      <x:c r="L169" s="10" t="n">
        <x:f>K169/Sources!$B$4*1000</x:f>
        <x:v>18.837310328549425</x:v>
      </x:c>
      <x:c r="M169" s="10" t="n">
        <x:f>E169/Sources!$B$4*1000</x:f>
        <x:v>33.37686773039798</x:v>
      </x:c>
      <x:c r="N169" s="9" t="n">
        <x:f>Sources!$B$6-K169</x:f>
        <x:v>-7693.000000007451</x:v>
      </x:c>
      <x:c r="O169" s="1" t="str">
        <x:v>keyboard_route</x:v>
      </x:c>
      <x:c r="P169" s="12" t="n">
        <x:v>0</x:v>
      </x:c>
      <x:c r="Q169" s="12" t="n">
        <x:v>-4</x:v>
      </x:c>
      <x:c r="R169" s="12" t="n">
        <x:v>0</x:v>
      </x:c>
      <x:c r="S169" s="12" t="n">
        <x:v>3</x:v>
      </x:c>
      <x:c r="T169" s="1" t="str">
        <x:v>No</x:v>
      </x:c>
      <x:c r="U169" s="1" t="n">
        <x:v>0</x:v>
      </x:c>
    </x:row>
    <x:row r="170" ht="23" customHeight="1">
      <x:c r="A170" s="9" t="n">
        <x:v>169</x:v>
      </x:c>
      <x:c r="B170" s="9" t="n">
        <x:v>0</x:v>
      </x:c>
      <x:c r="C170" s="9" t="n">
        <x:v>831</x:v>
      </x:c>
      <x:c r="D170" s="9" t="n">
        <x:v>2</x:v>
      </x:c>
      <x:c r="E170" s="9" t="n">
        <x:v>119472</x:v>
      </x:c>
      <x:c r="F170" s="9" t="n">
        <x:v>33502</x:v>
      </x:c>
      <x:c r="G170" s="9" t="n">
        <x:v>37926.99999999255</x:v>
      </x:c>
      <x:c r="H170" s="9" t="n">
        <x:v>43820.00000000745</x:v>
      </x:c>
      <x:c r="I170" s="9" t="n">
        <x:v>4117</x:v>
      </x:c>
      <x:c r="J170" s="9" t="n">
        <x:v>106</x:v>
      </x:c>
      <x:c r="K170" s="9" t="n">
        <x:f>F170+G170+I170+J170</x:f>
        <x:v>75651.99999999255</x:v>
      </x:c>
      <x:c r="L170" s="10" t="n">
        <x:f>K170/Sources!$B$4*1000</x:f>
        <x:v>21.134529667874702</x:v>
      </x:c>
      <x:c r="M170" s="10" t="n">
        <x:f>E170/Sources!$B$4*1000</x:f>
        <x:v>33.37630900016622</x:v>
      </x:c>
      <x:c r="N170" s="9" t="n">
        <x:f>Sources!$B$6-K170</x:f>
        <x:v>-15915.99999999255</x:v>
      </x:c>
      <x:c r="O170" s="1" t="str">
        <x:v>keyboard_route</x:v>
      </x:c>
      <x:c r="P170" s="12" t="n">
        <x:v>0</x:v>
      </x:c>
      <x:c r="Q170" s="12" t="n">
        <x:v>-4</x:v>
      </x:c>
      <x:c r="R170" s="12" t="n">
        <x:v>0</x:v>
      </x:c>
      <x:c r="S170" s="12" t="n">
        <x:v>7</x:v>
      </x:c>
      <x:c r="T170" s="1" t="str">
        <x:v>Yes</x:v>
      </x:c>
      <x:c r="U170" s="1" t="n">
        <x:v>0</x:v>
      </x:c>
    </x:row>
    <x:row r="171" ht="23" customHeight="1">
      <x:c r="A171" s="9" t="n">
        <x:v>170</x:v>
      </x:c>
      <x:c r="B171" s="9" t="n">
        <x:v>0</x:v>
      </x:c>
      <x:c r="C171" s="9" t="n">
        <x:v>827</x:v>
      </x:c>
      <x:c r="D171" s="9" t="n">
        <x:v>2</x:v>
      </x:c>
      <x:c r="E171" s="9" t="n">
        <x:v>119469</x:v>
      </x:c>
      <x:c r="F171" s="9" t="n">
        <x:v>36014</x:v>
      </x:c>
      <x:c r="G171" s="9" t="n">
        <x:v>26012.00000000745</x:v>
      </x:c>
      <x:c r="H171" s="9" t="n">
        <x:v>53219.99999999255</x:v>
      </x:c>
      <x:c r="I171" s="9" t="n">
        <x:v>4117.000000007451</x:v>
      </x:c>
      <x:c r="J171" s="9" t="n">
        <x:v>105.99999999254942</x:v>
      </x:c>
      <x:c r="K171" s="9" t="n">
        <x:f>F171+G171+I171+J171</x:f>
        <x:v>66249.00000000745</x:v>
      </x:c>
      <x:c r="L171" s="10" t="n">
        <x:f>K171/Sources!$B$4*1000</x:f>
        <x:v>18.507659493038208</x:v>
      </x:c>
      <x:c r="M171" s="10" t="n">
        <x:f>E171/Sources!$B$4*1000</x:f>
        <x:v>33.375470904821704</x:v>
      </x:c>
      <x:c r="N171" s="9" t="n">
        <x:f>Sources!$B$6-K171</x:f>
        <x:v>-6513.000000007451</x:v>
      </x:c>
      <x:c r="O171" s="1" t="str">
        <x:v>keyboard_route</x:v>
      </x:c>
      <x:c r="P171" s="12" t="n">
        <x:v>0</x:v>
      </x:c>
      <x:c r="Q171" s="12" t="n">
        <x:v>-4</x:v>
      </x:c>
      <x:c r="R171" s="12" t="n">
        <x:v>0</x:v>
      </x:c>
      <x:c r="S171" s="12" t="n">
        <x:v>3</x:v>
      </x:c>
      <x:c r="T171" s="1" t="str">
        <x:v>No</x:v>
      </x:c>
      <x:c r="U171" s="1" t="n">
        <x:v>0</x:v>
      </x:c>
    </x:row>
    <x:row r="172" ht="23" customHeight="1">
      <x:c r="A172" s="9" t="n">
        <x:v>171</x:v>
      </x:c>
      <x:c r="B172" s="9" t="n">
        <x:v>0</x:v>
      </x:c>
      <x:c r="C172" s="9" t="n">
        <x:v>823</x:v>
      </x:c>
      <x:c r="D172" s="9" t="n">
        <x:v>2</x:v>
      </x:c>
      <x:c r="E172" s="9" t="n">
        <x:v>119472</x:v>
      </x:c>
      <x:c r="F172" s="9" t="n">
        <x:v>34617.99999999255</x:v>
      </x:c>
      <x:c r="G172" s="9" t="n">
        <x:v>37920.99999999255</x:v>
      </x:c>
      <x:c r="H172" s="9" t="n">
        <x:v>42709.99999999255</x:v>
      </x:c>
      <x:c r="I172" s="9" t="n">
        <x:v>4116.999999992549</x:v>
      </x:c>
      <x:c r="J172" s="9" t="n">
        <x:v>106.00000002980232</x:v>
      </x:c>
      <x:c r="K172" s="9" t="n">
        <x:f>F172+G172+I172+J172</x:f>
        <x:v>76762.00000000745</x:v>
      </x:c>
      <x:c r="L172" s="10" t="n">
        <x:f>K172/Sources!$B$4*1000</x:f>
        <x:v>21.444624945351283</x:v>
      </x:c>
      <x:c r="M172" s="10" t="n">
        <x:f>E172/Sources!$B$4*1000</x:f>
        <x:v>33.37630900016622</x:v>
      </x:c>
      <x:c r="N172" s="9" t="n">
        <x:f>Sources!$B$6-K172</x:f>
        <x:v>-17026.00000000745</x:v>
      </x:c>
      <x:c r="O172" s="1" t="str">
        <x:v>keyboard_route</x:v>
      </x:c>
      <x:c r="P172" s="12" t="n">
        <x:v>0</x:v>
      </x:c>
      <x:c r="Q172" s="12" t="n">
        <x:v>-4</x:v>
      </x:c>
      <x:c r="R172" s="12" t="n">
        <x:v>0</x:v>
      </x:c>
      <x:c r="S172" s="12" t="n">
        <x:v>7</x:v>
      </x:c>
      <x:c r="T172" s="1" t="str">
        <x:v>Yes</x:v>
      </x:c>
      <x:c r="U172" s="1" t="n">
        <x:v>0</x:v>
      </x:c>
    </x:row>
    <x:row r="173" ht="23" customHeight="1">
      <x:c r="A173" s="9" t="n">
        <x:v>172</x:v>
      </x:c>
      <x:c r="B173" s="9" t="n">
        <x:v>0</x:v>
      </x:c>
      <x:c r="C173" s="9" t="n">
        <x:v>819</x:v>
      </x:c>
      <x:c r="D173" s="9" t="n">
        <x:v>2</x:v>
      </x:c>
      <x:c r="E173" s="9" t="n">
        <x:v>119474</x:v>
      </x:c>
      <x:c r="F173" s="9" t="n">
        <x:v>36973</x:v>
      </x:c>
      <x:c r="G173" s="9" t="n">
        <x:v>26018</x:v>
      </x:c>
      <x:c r="H173" s="9" t="n">
        <x:v>52260</x:v>
      </x:c>
      <x:c r="I173" s="9" t="n">
        <x:v>4117</x:v>
      </x:c>
      <x:c r="J173" s="9" t="n">
        <x:v>106</x:v>
      </x:c>
      <x:c r="K173" s="9" t="n">
        <x:f>F173+G173+I173+J173</x:f>
        <x:v>67214</x:v>
      </x:c>
      <x:c r="L173" s="10" t="n">
        <x:f>K173/Sources!$B$4*1000</x:f>
        <x:v>18.77724682885674</x:v>
      </x:c>
      <x:c r="M173" s="10" t="n">
        <x:f>E173/Sources!$B$4*1000</x:f>
        <x:v>33.3768677303959</x:v>
      </x:c>
      <x:c r="N173" s="9" t="n">
        <x:f>Sources!$B$6-K173</x:f>
        <x:v>-7478</x:v>
      </x:c>
      <x:c r="O173" s="1" t="str">
        <x:v>keyboard_route</x:v>
      </x:c>
      <x:c r="P173" s="12" t="n">
        <x:v>0</x:v>
      </x:c>
      <x:c r="Q173" s="12" t="n">
        <x:v>-4</x:v>
      </x:c>
      <x:c r="R173" s="12" t="n">
        <x:v>0</x:v>
      </x:c>
      <x:c r="S173" s="12" t="n">
        <x:v>3</x:v>
      </x:c>
      <x:c r="T173" s="1" t="str">
        <x:v>No</x:v>
      </x:c>
      <x:c r="U173" s="1" t="n">
        <x:v>0</x:v>
      </x:c>
    </x:row>
    <x:row r="174" ht="23" customHeight="1">
      <x:c r="A174" s="9" t="n">
        <x:v>173</x:v>
      </x:c>
      <x:c r="B174" s="9" t="n">
        <x:v>0</x:v>
      </x:c>
      <x:c r="C174" s="9" t="n">
        <x:v>815</x:v>
      </x:c>
      <x:c r="D174" s="9" t="n">
        <x:v>2</x:v>
      </x:c>
      <x:c r="E174" s="9" t="n">
        <x:v>119471</x:v>
      </x:c>
      <x:c r="F174" s="9" t="n">
        <x:v>35505.99999999255</x:v>
      </x:c>
      <x:c r="G174" s="9" t="n">
        <x:v>37927</x:v>
      </x:c>
      <x:c r="H174" s="9" t="n">
        <x:v>41815</x:v>
      </x:c>
      <x:c r="I174" s="9" t="n">
        <x:v>4117.000000007451</x:v>
      </x:c>
      <x:c r="J174" s="9" t="n">
        <x:v>106</x:v>
      </x:c>
      <x:c r="K174" s="9" t="n">
        <x:f>F174+G174+I174+J174</x:f>
        <x:v>77656</x:v>
      </x:c>
      <x:c r="L174" s="10" t="n">
        <x:f>K174/Sources!$B$4*1000</x:f>
        <x:v>21.694377358016173</x:v>
      </x:c>
      <x:c r="M174" s="10" t="n">
        <x:f>E174/Sources!$B$4*1000</x:f>
        <x:v>33.37602963505138</x:v>
      </x:c>
      <x:c r="N174" s="9" t="n">
        <x:f>Sources!$B$6-K174</x:f>
        <x:v>-17920</x:v>
      </x:c>
      <x:c r="O174" s="1" t="str">
        <x:v>keyboard_route</x:v>
      </x:c>
      <x:c r="P174" s="12" t="n">
        <x:v>0</x:v>
      </x:c>
      <x:c r="Q174" s="12" t="n">
        <x:v>-4</x:v>
      </x:c>
      <x:c r="R174" s="12" t="n">
        <x:v>0</x:v>
      </x:c>
      <x:c r="S174" s="12" t="n">
        <x:v>7</x:v>
      </x:c>
      <x:c r="T174" s="1" t="str">
        <x:v>Yes</x:v>
      </x:c>
      <x:c r="U174" s="1" t="n">
        <x:v>0</x:v>
      </x:c>
    </x:row>
    <x:row r="175" ht="23" customHeight="1">
      <x:c r="A175" s="9" t="n">
        <x:v>174</x:v>
      </x:c>
      <x:c r="B175" s="9" t="n">
        <x:v>0</x:v>
      </x:c>
      <x:c r="C175" s="9" t="n">
        <x:v>811</x:v>
      </x:c>
      <x:c r="D175" s="9" t="n">
        <x:v>2</x:v>
      </x:c>
      <x:c r="E175" s="9" t="n">
        <x:v>119473</x:v>
      </x:c>
      <x:c r="F175" s="9" t="n">
        <x:v>38187</x:v>
      </x:c>
      <x:c r="G175" s="9" t="n">
        <x:v>26017.99999999255</x:v>
      </x:c>
      <x:c r="H175" s="9" t="n">
        <x:v>51045.00000000745</x:v>
      </x:c>
      <x:c r="I175" s="9" t="n">
        <x:v>4117</x:v>
      </x:c>
      <x:c r="J175" s="9" t="n">
        <x:v>106</x:v>
      </x:c>
      <x:c r="K175" s="9" t="n">
        <x:f>F175+G175+I175+J175</x:f>
        <x:v>68427.99999999255</x:v>
      </x:c>
      <x:c r="L175" s="10" t="n">
        <x:f>K175/Sources!$B$4*1000</x:f>
        <x:v>19.116396078270437</x:v>
      </x:c>
      <x:c r="M175" s="10" t="n">
        <x:f>E175/Sources!$B$4*1000</x:f>
        <x:v>33.37658836528106</x:v>
      </x:c>
      <x:c r="N175" s="9" t="n">
        <x:f>Sources!$B$6-K175</x:f>
        <x:v>-8691.99999999255</x:v>
      </x:c>
      <x:c r="O175" s="1" t="str">
        <x:v>keyboard_route</x:v>
      </x:c>
      <x:c r="P175" s="12" t="n">
        <x:v>0</x:v>
      </x:c>
      <x:c r="Q175" s="12" t="n">
        <x:v>-4</x:v>
      </x:c>
      <x:c r="R175" s="12" t="n">
        <x:v>0</x:v>
      </x:c>
      <x:c r="S175" s="12" t="n">
        <x:v>3</x:v>
      </x:c>
      <x:c r="T175" s="1" t="str">
        <x:v>No</x:v>
      </x:c>
      <x:c r="U175" s="1" t="n">
        <x:v>0</x:v>
      </x:c>
    </x:row>
    <x:row r="176" ht="23" customHeight="1">
      <x:c r="A176" s="9" t="n">
        <x:v>175</x:v>
      </x:c>
      <x:c r="B176" s="9" t="n">
        <x:v>0</x:v>
      </x:c>
      <x:c r="C176" s="9" t="n">
        <x:v>807</x:v>
      </x:c>
      <x:c r="D176" s="9" t="n">
        <x:v>2</x:v>
      </x:c>
      <x:c r="E176" s="9" t="n">
        <x:v>119472</x:v>
      </x:c>
      <x:c r="F176" s="9" t="n">
        <x:v>33587</x:v>
      </x:c>
      <x:c r="G176" s="9" t="n">
        <x:v>37927</x:v>
      </x:c>
      <x:c r="H176" s="9" t="n">
        <x:v>43735</x:v>
      </x:c>
      <x:c r="I176" s="9" t="n">
        <x:v>4117</x:v>
      </x:c>
      <x:c r="J176" s="9" t="n">
        <x:v>106</x:v>
      </x:c>
      <x:c r="K176" s="9" t="n">
        <x:f>F176+G176+I176+J176</x:f>
        <x:v>75737</x:v>
      </x:c>
      <x:c r="L176" s="10" t="n">
        <x:f>K176/Sources!$B$4*1000</x:f>
        <x:v>21.158275702638186</x:v>
      </x:c>
      <x:c r="M176" s="10" t="n">
        <x:f>E176/Sources!$B$4*1000</x:f>
        <x:v>33.37630900016622</x:v>
      </x:c>
      <x:c r="N176" s="9" t="n">
        <x:f>Sources!$B$6-K176</x:f>
        <x:v>-16001</x:v>
      </x:c>
      <x:c r="O176" s="1" t="str">
        <x:v>keyboard_route</x:v>
      </x:c>
      <x:c r="P176" s="12" t="n">
        <x:v>0</x:v>
      </x:c>
      <x:c r="Q176" s="12" t="n">
        <x:v>-4</x:v>
      </x:c>
      <x:c r="R176" s="12" t="n">
        <x:v>0</x:v>
      </x:c>
      <x:c r="S176" s="12" t="n">
        <x:v>7</x:v>
      </x:c>
      <x:c r="T176" s="1" t="str">
        <x:v>Yes</x:v>
      </x:c>
      <x:c r="U176" s="1" t="n">
        <x:v>0</x:v>
      </x:c>
    </x:row>
    <x:row r="177" ht="23" customHeight="1">
      <x:c r="A177" s="9" t="n">
        <x:v>176</x:v>
      </x:c>
      <x:c r="B177" s="9" t="n">
        <x:v>0</x:v>
      </x:c>
      <x:c r="C177" s="9" t="n">
        <x:v>803</x:v>
      </x:c>
      <x:c r="D177" s="9" t="n">
        <x:v>2</x:v>
      </x:c>
      <x:c r="E177" s="9" t="n">
        <x:v>119470.99999999255</x:v>
      </x:c>
      <x:c r="F177" s="9" t="n">
        <x:v>37409.99999999255</x:v>
      </x:c>
      <x:c r="G177" s="9" t="n">
        <x:v>26018</x:v>
      </x:c>
      <x:c r="H177" s="9" t="n">
        <x:v>51820</x:v>
      </x:c>
      <x:c r="I177" s="9" t="n">
        <x:v>4117</x:v>
      </x:c>
      <x:c r="J177" s="9" t="n">
        <x:v>106</x:v>
      </x:c>
      <x:c r="K177" s="9" t="n">
        <x:f>F177+G177+I177+J177</x:f>
        <x:v>67650.99999999255</x:v>
      </x:c>
      <x:c r="L177" s="10" t="n">
        <x:f>K177/Sources!$B$4*1000</x:f>
        <x:v>18.899329384039746</x:v>
      </x:c>
      <x:c r="M177" s="10" t="n">
        <x:f>E177/Sources!$B$4*1000</x:f>
        <x:v>33.3760296350493</x:v>
      </x:c>
      <x:c r="N177" s="9" t="n">
        <x:f>Sources!$B$6-K177</x:f>
        <x:v>-7914.999999992549</x:v>
      </x:c>
      <x:c r="O177" s="1" t="str">
        <x:v>keyboard_route</x:v>
      </x:c>
      <x:c r="P177" s="12" t="n">
        <x:v>0</x:v>
      </x:c>
      <x:c r="Q177" s="12" t="n">
        <x:v>-4</x:v>
      </x:c>
      <x:c r="R177" s="12" t="n">
        <x:v>0</x:v>
      </x:c>
      <x:c r="S177" s="12" t="n">
        <x:v>3</x:v>
      </x:c>
      <x:c r="T177" s="1" t="str">
        <x:v>No</x:v>
      </x:c>
      <x:c r="U177" s="1" t="n">
        <x:v>0</x:v>
      </x:c>
    </x:row>
    <x:row r="178" ht="23" customHeight="1">
      <x:c r="A178" s="9" t="n">
        <x:v>177</x:v>
      </x:c>
      <x:c r="B178" s="9" t="n">
        <x:v>0</x:v>
      </x:c>
      <x:c r="C178" s="9" t="n">
        <x:v>799</x:v>
      </x:c>
      <x:c r="D178" s="9" t="n">
        <x:v>2</x:v>
      </x:c>
      <x:c r="E178" s="9" t="n">
        <x:v>119474.00000000745</x:v>
      </x:c>
      <x:c r="F178" s="9" t="n">
        <x:v>33330.00000000745</x:v>
      </x:c>
      <x:c r="G178" s="9" t="n">
        <x:v>37901</x:v>
      </x:c>
      <x:c r="H178" s="9" t="n">
        <x:v>44020</x:v>
      </x:c>
      <x:c r="I178" s="9" t="n">
        <x:v>4117</x:v>
      </x:c>
      <x:c r="J178" s="9" t="n">
        <x:v>106</x:v>
      </x:c>
      <x:c r="K178" s="9" t="n">
        <x:f>F178+G178+I178+J178</x:f>
        <x:v>75454.00000000745</x:v>
      </x:c>
      <x:c r="L178" s="10" t="n">
        <x:f>K178/Sources!$B$4*1000</x:f>
        <x:v>21.079215375140542</x:v>
      </x:c>
      <x:c r="M178" s="10" t="n">
        <x:f>E178/Sources!$B$4*1000</x:f>
        <x:v>33.37686773039798</x:v>
      </x:c>
      <x:c r="N178" s="9" t="n">
        <x:f>Sources!$B$6-K178</x:f>
        <x:v>-15718.00000000745</x:v>
      </x:c>
      <x:c r="O178" s="1" t="str">
        <x:v>keyboard_route</x:v>
      </x:c>
      <x:c r="P178" s="12" t="n">
        <x:v>0</x:v>
      </x:c>
      <x:c r="Q178" s="12" t="n">
        <x:v>-4</x:v>
      </x:c>
      <x:c r="R178" s="12" t="n">
        <x:v>0</x:v>
      </x:c>
      <x:c r="S178" s="12" t="n">
        <x:v>7</x:v>
      </x:c>
      <x:c r="T178" s="1" t="str">
        <x:v>Yes</x:v>
      </x:c>
      <x:c r="U178" s="1" t="n">
        <x:v>0</x:v>
      </x:c>
    </x:row>
    <x:row r="179" ht="23" customHeight="1">
      <x:c r="A179" s="9" t="n">
        <x:v>178</x:v>
      </x:c>
      <x:c r="B179" s="9" t="n">
        <x:v>0</x:v>
      </x:c>
      <x:c r="C179" s="9" t="n">
        <x:v>795</x:v>
      </x:c>
      <x:c r="D179" s="9" t="n">
        <x:v>2</x:v>
      </x:c>
      <x:c r="E179" s="9" t="n">
        <x:v>119469</x:v>
      </x:c>
      <x:c r="F179" s="9" t="n">
        <x:v>35563</x:v>
      </x:c>
      <x:c r="G179" s="9" t="n">
        <x:v>26018</x:v>
      </x:c>
      <x:c r="H179" s="9" t="n">
        <x:v>53665</x:v>
      </x:c>
      <x:c r="I179" s="9" t="n">
        <x:v>4117</x:v>
      </x:c>
      <x:c r="J179" s="9" t="n">
        <x:v>106</x:v>
      </x:c>
      <x:c r="K179" s="9" t="n">
        <x:f>F179+G179+I179+J179</x:f>
        <x:v>65804</x:v>
      </x:c>
      <x:c r="L179" s="10" t="n">
        <x:f>K179/Sources!$B$4*1000</x:f>
        <x:v>18.38334201693232</x:v>
      </x:c>
      <x:c r="M179" s="10" t="n">
        <x:f>E179/Sources!$B$4*1000</x:f>
        <x:v>33.375470904821704</x:v>
      </x:c>
      <x:c r="N179" s="9" t="n">
        <x:f>Sources!$B$6-K179</x:f>
        <x:v>-6068</x:v>
      </x:c>
      <x:c r="O179" s="1" t="str">
        <x:v>keyboard_route</x:v>
      </x:c>
      <x:c r="P179" s="12" t="n">
        <x:v>0</x:v>
      </x:c>
      <x:c r="Q179" s="12" t="n">
        <x:v>-4</x:v>
      </x:c>
      <x:c r="R179" s="12" t="n">
        <x:v>0</x:v>
      </x:c>
      <x:c r="S179" s="12" t="n">
        <x:v>3</x:v>
      </x:c>
      <x:c r="T179" s="1" t="str">
        <x:v>No</x:v>
      </x:c>
      <x:c r="U179" s="1" t="n">
        <x:v>0</x:v>
      </x:c>
    </x:row>
    <x:row r="180" ht="23" customHeight="1">
      <x:c r="A180" s="9" t="n">
        <x:v>179</x:v>
      </x:c>
      <x:c r="B180" s="9" t="n">
        <x:v>0</x:v>
      </x:c>
      <x:c r="C180" s="9" t="n">
        <x:v>791</x:v>
      </x:c>
      <x:c r="D180" s="9" t="n">
        <x:v>2</x:v>
      </x:c>
      <x:c r="E180" s="9" t="n">
        <x:v>119474</x:v>
      </x:c>
      <x:c r="F180" s="9" t="n">
        <x:v>33590</x:v>
      </x:c>
      <x:c r="G180" s="9" t="n">
        <x:v>37901</x:v>
      </x:c>
      <x:c r="H180" s="9" t="n">
        <x:v>43760</x:v>
      </x:c>
      <x:c r="I180" s="9" t="n">
        <x:v>4116.999999992549</x:v>
      </x:c>
      <x:c r="J180" s="9" t="n">
        <x:v>106.00000000745058</x:v>
      </x:c>
      <x:c r="K180" s="9" t="n">
        <x:f>F180+G180+I180+J180</x:f>
        <x:v>75714</x:v>
      </x:c>
      <x:c r="L180" s="10" t="n">
        <x:f>K180/Sources!$B$4*1000</x:f>
        <x:v>21.151850304996863</x:v>
      </x:c>
      <x:c r="M180" s="10" t="n">
        <x:f>E180/Sources!$B$4*1000</x:f>
        <x:v>33.3768677303959</x:v>
      </x:c>
      <x:c r="N180" s="9" t="n">
        <x:f>Sources!$B$6-K180</x:f>
        <x:v>-15978</x:v>
      </x:c>
      <x:c r="O180" s="1" t="str">
        <x:v>keyboard_route</x:v>
      </x:c>
      <x:c r="P180" s="12" t="n">
        <x:v>0</x:v>
      </x:c>
      <x:c r="Q180" s="12" t="n">
        <x:v>-4</x:v>
      </x:c>
      <x:c r="R180" s="12" t="n">
        <x:v>0</x:v>
      </x:c>
      <x:c r="S180" s="12" t="n">
        <x:v>7</x:v>
      </x:c>
      <x:c r="T180" s="1" t="str">
        <x:v>Yes</x:v>
      </x:c>
      <x:c r="U180" s="1" t="n">
        <x:v>0</x:v>
      </x:c>
    </x:row>
    <x:row r="181" ht="23" customHeight="1">
      <x:c r="A181" s="9" t="n">
        <x:v>180</x:v>
      </x:c>
      <x:c r="B181" s="9" t="n">
        <x:v>0</x:v>
      </x:c>
      <x:c r="C181" s="9" t="n">
        <x:v>787</x:v>
      </x:c>
      <x:c r="D181" s="9" t="n">
        <x:v>2</x:v>
      </x:c>
      <x:c r="E181" s="9" t="n">
        <x:v>119469</x:v>
      </x:c>
      <x:c r="F181" s="9" t="n">
        <x:v>38803.00000000745</x:v>
      </x:c>
      <x:c r="G181" s="9" t="n">
        <x:v>26017.99999999255</x:v>
      </x:c>
      <x:c r="H181" s="9" t="n">
        <x:v>50425.00000000745</x:v>
      </x:c>
      <x:c r="I181" s="9" t="n">
        <x:v>4117</x:v>
      </x:c>
      <x:c r="J181" s="9" t="n">
        <x:v>105.99999999254942</x:v>
      </x:c>
      <x:c r="K181" s="9" t="n">
        <x:f>F181+G181+I181+J181</x:f>
        <x:v>69043.99999999255</x:v>
      </x:c>
      <x:c r="L181" s="10" t="n">
        <x:f>K181/Sources!$B$4*1000</x:f>
        <x:v>19.288484989011884</x:v>
      </x:c>
      <x:c r="M181" s="10" t="n">
        <x:f>E181/Sources!$B$4*1000</x:f>
        <x:v>33.375470904821704</x:v>
      </x:c>
      <x:c r="N181" s="9" t="n">
        <x:f>Sources!$B$6-K181</x:f>
        <x:v>-9307.99999999255</x:v>
      </x:c>
      <x:c r="O181" s="1" t="str">
        <x:v>keyboard_route</x:v>
      </x:c>
      <x:c r="P181" s="12" t="n">
        <x:v>0</x:v>
      </x:c>
      <x:c r="Q181" s="12" t="n">
        <x:v>-4</x:v>
      </x:c>
      <x:c r="R181" s="12" t="n">
        <x:v>0</x:v>
      </x:c>
      <x:c r="S181" s="12" t="n">
        <x:v>3</x:v>
      </x:c>
      <x:c r="T181" s="1" t="str">
        <x:v>No</x:v>
      </x:c>
      <x:c r="U181" s="1" t="n">
        <x:v>0</x:v>
      </x:c>
    </x:row>
    <x:row r="182" ht="23" customHeight="1">
      <x:c r="A182" s="9" t="n">
        <x:v>181</x:v>
      </x:c>
      <x:c r="B182" s="9" t="n">
        <x:v>0</x:v>
      </x:c>
      <x:c r="C182" s="9" t="n">
        <x:v>783</x:v>
      </x:c>
      <x:c r="D182" s="9" t="n">
        <x:v>2</x:v>
      </x:c>
      <x:c r="E182" s="9" t="n">
        <x:v>119476</x:v>
      </x:c>
      <x:c r="F182" s="9" t="n">
        <x:v>36292</x:v>
      </x:c>
      <x:c r="G182" s="9" t="n">
        <x:v>37901</x:v>
      </x:c>
      <x:c r="H182" s="9" t="n">
        <x:v>41060</x:v>
      </x:c>
      <x:c r="I182" s="9" t="n">
        <x:v>4117.000000007451</x:v>
      </x:c>
      <x:c r="J182" s="9" t="n">
        <x:v>105.99999999254942</x:v>
      </x:c>
      <x:c r="K182" s="9" t="n">
        <x:f>F182+G182+I182+J182</x:f>
        <x:v>78416</x:v>
      </x:c>
      <x:c r="L182" s="10" t="n">
        <x:f>K182/Sources!$B$4*1000</x:f>
        <x:v>21.906694845294584</x:v>
      </x:c>
      <x:c r="M182" s="10" t="n">
        <x:f>E182/Sources!$B$4*1000</x:f>
        <x:v>33.37742646062558</x:v>
      </x:c>
      <x:c r="N182" s="9" t="n">
        <x:f>Sources!$B$6-K182</x:f>
        <x:v>-18680</x:v>
      </x:c>
      <x:c r="O182" s="1" t="str">
        <x:v>keyboard_route</x:v>
      </x:c>
      <x:c r="P182" s="12" t="n">
        <x:v>0</x:v>
      </x:c>
      <x:c r="Q182" s="12" t="n">
        <x:v>-4</x:v>
      </x:c>
      <x:c r="R182" s="12" t="n">
        <x:v>0</x:v>
      </x:c>
      <x:c r="S182" s="12" t="n">
        <x:v>7</x:v>
      </x:c>
      <x:c r="T182" s="1" t="str">
        <x:v>Yes</x:v>
      </x:c>
      <x:c r="U182" s="1" t="n">
        <x:v>0</x:v>
      </x:c>
    </x:row>
    <x:row r="183" ht="23" customHeight="1">
      <x:c r="A183" s="9" t="n">
        <x:v>182</x:v>
      </x:c>
      <x:c r="B183" s="9" t="n">
        <x:v>0</x:v>
      </x:c>
      <x:c r="C183" s="9" t="n">
        <x:v>779</x:v>
      </x:c>
      <x:c r="D183" s="9" t="n">
        <x:v>2</x:v>
      </x:c>
      <x:c r="E183" s="9" t="n">
        <x:v>119468.99999999255</x:v>
      </x:c>
      <x:c r="F183" s="9" t="n">
        <x:v>34333</x:v>
      </x:c>
      <x:c r="G183" s="9" t="n">
        <x:v>26018</x:v>
      </x:c>
      <x:c r="H183" s="9" t="n">
        <x:v>54895</x:v>
      </x:c>
      <x:c r="I183" s="9" t="n">
        <x:v>4117</x:v>
      </x:c>
      <x:c r="J183" s="9" t="n">
        <x:v>105.99999999254942</x:v>
      </x:c>
      <x:c r="K183" s="9" t="n">
        <x:f>F183+G183+I183+J183</x:f>
        <x:v>64573.99999999255</x:v>
      </x:c>
      <x:c r="L183" s="10" t="n">
        <x:f>K183/Sources!$B$4*1000</x:f>
        <x:v>18.03972292567702</x:v>
      </x:c>
      <x:c r="M183" s="10" t="n">
        <x:f>E183/Sources!$B$4*1000</x:f>
        <x:v>33.37547090481962</x:v>
      </x:c>
      <x:c r="N183" s="9" t="n">
        <x:f>Sources!$B$6-K183</x:f>
        <x:v>-4837.999999992549</x:v>
      </x:c>
      <x:c r="O183" s="1" t="str">
        <x:v>keyboard_route</x:v>
      </x:c>
      <x:c r="P183" s="12" t="n">
        <x:v>0</x:v>
      </x:c>
      <x:c r="Q183" s="12" t="n">
        <x:v>-4</x:v>
      </x:c>
      <x:c r="R183" s="12" t="n">
        <x:v>0</x:v>
      </x:c>
      <x:c r="S183" s="12" t="n">
        <x:v>3</x:v>
      </x:c>
      <x:c r="T183" s="1" t="str">
        <x:v>No</x:v>
      </x:c>
      <x:c r="U183" s="1" t="n">
        <x:v>0</x:v>
      </x:c>
    </x:row>
    <x:row r="184" ht="23" customHeight="1">
      <x:c r="A184" s="9" t="n">
        <x:v>183</x:v>
      </x:c>
      <x:c r="B184" s="9" t="n">
        <x:v>0</x:v>
      </x:c>
      <x:c r="C184" s="9" t="n">
        <x:v>775</x:v>
      </x:c>
      <x:c r="D184" s="9" t="n">
        <x:v>2</x:v>
      </x:c>
      <x:c r="E184" s="9" t="n">
        <x:v>119475</x:v>
      </x:c>
      <x:c r="F184" s="9" t="n">
        <x:v>34586.00000000745</x:v>
      </x:c>
      <x:c r="G184" s="9" t="n">
        <x:v>37901</x:v>
      </x:c>
      <x:c r="H184" s="9" t="n">
        <x:v>42765</x:v>
      </x:c>
      <x:c r="I184" s="9" t="n">
        <x:v>4116.999999992549</x:v>
      </x:c>
      <x:c r="J184" s="9" t="n">
        <x:v>106</x:v>
      </x:c>
      <x:c r="K184" s="9" t="n">
        <x:f>F184+G184+I184+J184</x:f>
        <x:v>76710</x:v>
      </x:c>
      <x:c r="L184" s="10" t="n">
        <x:f>K184/Sources!$B$4*1000</x:f>
        <x:v>21.430097959377516</x:v>
      </x:c>
      <x:c r="M184" s="10" t="n">
        <x:f>E184/Sources!$B$4*1000</x:f>
        <x:v>33.37714709551074</x:v>
      </x:c>
      <x:c r="N184" s="9" t="n">
        <x:f>Sources!$B$6-K184</x:f>
        <x:v>-16974</x:v>
      </x:c>
      <x:c r="O184" s="1" t="str">
        <x:v>keyboard_route</x:v>
      </x:c>
      <x:c r="P184" s="12" t="n">
        <x:v>0</x:v>
      </x:c>
      <x:c r="Q184" s="12" t="n">
        <x:v>-4</x:v>
      </x:c>
      <x:c r="R184" s="12" t="n">
        <x:v>0</x:v>
      </x:c>
      <x:c r="S184" s="12" t="n">
        <x:v>7</x:v>
      </x:c>
      <x:c r="T184" s="1" t="str">
        <x:v>Yes</x:v>
      </x:c>
      <x:c r="U184" s="1" t="n">
        <x:v>0</x:v>
      </x:c>
    </x:row>
    <x:row r="185" ht="23" customHeight="1">
      <x:c r="A185" s="9" t="n">
        <x:v>184</x:v>
      </x:c>
      <x:c r="B185" s="9" t="n">
        <x:v>0</x:v>
      </x:c>
      <x:c r="C185" s="9" t="n">
        <x:v>771</x:v>
      </x:c>
      <x:c r="D185" s="9" t="n">
        <x:v>2</x:v>
      </x:c>
      <x:c r="E185" s="9" t="n">
        <x:v>119471.00000000745</x:v>
      </x:c>
      <x:c r="F185" s="9" t="n">
        <x:v>35350.00000000745</x:v>
      </x:c>
      <x:c r="G185" s="9" t="n">
        <x:v>26018</x:v>
      </x:c>
      <x:c r="H185" s="9" t="n">
        <x:v>53880</x:v>
      </x:c>
      <x:c r="I185" s="9" t="n">
        <x:v>4117</x:v>
      </x:c>
      <x:c r="J185" s="9" t="n">
        <x:v>106</x:v>
      </x:c>
      <x:c r="K185" s="9" t="n">
        <x:f>F185+G185+I185+J185</x:f>
        <x:v>65591.00000000745</x:v>
      </x:c>
      <x:c r="L185" s="10" t="n">
        <x:f>K185/Sources!$B$4*1000</x:f>
        <x:v>18.323837247473477</x:v>
      </x:c>
      <x:c r="M185" s="10" t="n">
        <x:f>E185/Sources!$B$4*1000</x:f>
        <x:v>33.37602963505346</x:v>
      </x:c>
      <x:c r="N185" s="9" t="n">
        <x:f>Sources!$B$6-K185</x:f>
        <x:v>-5855.000000007451</x:v>
      </x:c>
      <x:c r="O185" s="1" t="str">
        <x:v>keyboard_route</x:v>
      </x:c>
      <x:c r="P185" s="12" t="n">
        <x:v>0</x:v>
      </x:c>
      <x:c r="Q185" s="12" t="n">
        <x:v>-4</x:v>
      </x:c>
      <x:c r="R185" s="12" t="n">
        <x:v>0</x:v>
      </x:c>
      <x:c r="S185" s="12" t="n">
        <x:v>3</x:v>
      </x:c>
      <x:c r="T185" s="1" t="str">
        <x:v>No</x:v>
      </x:c>
      <x:c r="U185" s="1" t="n">
        <x:v>0</x:v>
      </x:c>
    </x:row>
    <x:row r="186" ht="23" customHeight="1">
      <x:c r="A186" s="9" t="n">
        <x:v>185</x:v>
      </x:c>
      <x:c r="B186" s="9" t="n">
        <x:v>0</x:v>
      </x:c>
      <x:c r="C186" s="9" t="n">
        <x:v>767</x:v>
      </x:c>
      <x:c r="D186" s="9" t="n">
        <x:v>2</x:v>
      </x:c>
      <x:c r="E186" s="9" t="n">
        <x:v>119473</x:v>
      </x:c>
      <x:c r="F186" s="9" t="n">
        <x:v>34782.99999999255</x:v>
      </x:c>
      <x:c r="G186" s="9" t="n">
        <x:v>37927.00000000745</x:v>
      </x:c>
      <x:c r="H186" s="9" t="n">
        <x:v>42540</x:v>
      </x:c>
      <x:c r="I186" s="9" t="n">
        <x:v>4117</x:v>
      </x:c>
      <x:c r="J186" s="9" t="n">
        <x:v>106</x:v>
      </x:c>
      <x:c r="K186" s="9" t="n">
        <x:f>F186+G186+I186+J186</x:f>
        <x:v>76933</x:v>
      </x:c>
      <x:c r="L186" s="10" t="n">
        <x:f>K186/Sources!$B$4*1000</x:f>
        <x:v>21.49239637998684</x:v>
      </x:c>
      <x:c r="M186" s="10" t="n">
        <x:f>E186/Sources!$B$4*1000</x:f>
        <x:v>33.37658836528106</x:v>
      </x:c>
      <x:c r="N186" s="9" t="n">
        <x:f>Sources!$B$6-K186</x:f>
        <x:v>-17197</x:v>
      </x:c>
      <x:c r="O186" s="1" t="str">
        <x:v>keyboard_route</x:v>
      </x:c>
      <x:c r="P186" s="12" t="n">
        <x:v>0</x:v>
      </x:c>
      <x:c r="Q186" s="12" t="n">
        <x:v>-4</x:v>
      </x:c>
      <x:c r="R186" s="12" t="n">
        <x:v>0</x:v>
      </x:c>
      <x:c r="S186" s="12" t="n">
        <x:v>7</x:v>
      </x:c>
      <x:c r="T186" s="1" t="str">
        <x:v>Yes</x:v>
      </x:c>
      <x:c r="U186" s="1" t="n">
        <x:v>0</x:v>
      </x:c>
    </x:row>
    <x:row r="187" ht="23" customHeight="1">
      <x:c r="A187" s="9" t="n">
        <x:v>186</x:v>
      </x:c>
      <x:c r="B187" s="9" t="n">
        <x:v>0</x:v>
      </x:c>
      <x:c r="C187" s="9" t="n">
        <x:v>763</x:v>
      </x:c>
      <x:c r="D187" s="9" t="n">
        <x:v>2</x:v>
      </x:c>
      <x:c r="E187" s="9" t="n">
        <x:v>119472</x:v>
      </x:c>
      <x:c r="F187" s="9" t="n">
        <x:v>35366</x:v>
      </x:c>
      <x:c r="G187" s="9" t="n">
        <x:v>26018</x:v>
      </x:c>
      <x:c r="H187" s="9" t="n">
        <x:v>53865</x:v>
      </x:c>
      <x:c r="I187" s="9" t="n">
        <x:v>4117</x:v>
      </x:c>
      <x:c r="J187" s="9" t="n">
        <x:v>106</x:v>
      </x:c>
      <x:c r="K187" s="9" t="n">
        <x:f>F187+G187+I187+J187</x:f>
        <x:v>65607</x:v>
      </x:c>
      <x:c r="L187" s="10" t="n">
        <x:f>K187/Sources!$B$4*1000</x:f>
        <x:v>18.328307089308836</x:v>
      </x:c>
      <x:c r="M187" s="10" t="n">
        <x:f>E187/Sources!$B$4*1000</x:f>
        <x:v>33.37630900016622</x:v>
      </x:c>
      <x:c r="N187" s="9" t="n">
        <x:f>Sources!$B$6-K187</x:f>
        <x:v>-5871</x:v>
      </x:c>
      <x:c r="O187" s="1" t="str">
        <x:v>keyboard_route</x:v>
      </x:c>
      <x:c r="P187" s="12" t="n">
        <x:v>0</x:v>
      </x:c>
      <x:c r="Q187" s="12" t="n">
        <x:v>-4</x:v>
      </x:c>
      <x:c r="R187" s="12" t="n">
        <x:v>0</x:v>
      </x:c>
      <x:c r="S187" s="12" t="n">
        <x:v>3</x:v>
      </x:c>
      <x:c r="T187" s="1" t="str">
        <x:v>No</x:v>
      </x:c>
      <x:c r="U187" s="1" t="n">
        <x:v>0</x:v>
      </x:c>
    </x:row>
    <x:row r="188" ht="23" customHeight="1">
      <x:c r="A188" s="9" t="n">
        <x:v>187</x:v>
      </x:c>
      <x:c r="B188" s="9" t="n">
        <x:v>0</x:v>
      </x:c>
      <x:c r="C188" s="9" t="n">
        <x:v>759</x:v>
      </x:c>
      <x:c r="D188" s="9" t="n">
        <x:v>2</x:v>
      </x:c>
      <x:c r="E188" s="9" t="n">
        <x:v>119472</x:v>
      </x:c>
      <x:c r="F188" s="9" t="n">
        <x:v>36041</x:v>
      </x:c>
      <x:c r="G188" s="9" t="n">
        <x:v>37933</x:v>
      </x:c>
      <x:c r="H188" s="9" t="n">
        <x:v>41275</x:v>
      </x:c>
      <x:c r="I188" s="9" t="n">
        <x:v>4117</x:v>
      </x:c>
      <x:c r="J188" s="9" t="n">
        <x:v>106</x:v>
      </x:c>
      <x:c r="K188" s="9" t="n">
        <x:f>F188+G188+I188+J188</x:f>
        <x:v>78197</x:v>
      </x:c>
      <x:c r="L188" s="10" t="n">
        <x:f>K188/Sources!$B$4*1000</x:f>
        <x:v>21.845513885144623</x:v>
      </x:c>
      <x:c r="M188" s="10" t="n">
        <x:f>E188/Sources!$B$4*1000</x:f>
        <x:v>33.37630900016622</x:v>
      </x:c>
      <x:c r="N188" s="9" t="n">
        <x:f>Sources!$B$6-K188</x:f>
        <x:v>-18461</x:v>
      </x:c>
      <x:c r="O188" s="1" t="str">
        <x:v>keyboard_route</x:v>
      </x:c>
      <x:c r="P188" s="12" t="n">
        <x:v>0</x:v>
      </x:c>
      <x:c r="Q188" s="12" t="n">
        <x:v>-4</x:v>
      </x:c>
      <x:c r="R188" s="12" t="n">
        <x:v>0</x:v>
      </x:c>
      <x:c r="S188" s="12" t="n">
        <x:v>7</x:v>
      </x:c>
      <x:c r="T188" s="1" t="str">
        <x:v>Yes</x:v>
      </x:c>
      <x:c r="U188" s="1" t="n">
        <x:v>0</x:v>
      </x:c>
    </x:row>
    <x:row r="189" ht="23" customHeight="1">
      <x:c r="A189" s="9" t="n">
        <x:v>188</x:v>
      </x:c>
      <x:c r="B189" s="9" t="n">
        <x:v>0</x:v>
      </x:c>
      <x:c r="C189" s="9" t="n">
        <x:v>755</x:v>
      </x:c>
      <x:c r="D189" s="9" t="n">
        <x:v>2</x:v>
      </x:c>
      <x:c r="E189" s="9" t="n">
        <x:v>122291.99999999255</x:v>
      </x:c>
      <x:c r="F189" s="9" t="n">
        <x:v>47610</x:v>
      </x:c>
      <x:c r="G189" s="9" t="n">
        <x:v>41792.99999999255</x:v>
      </x:c>
      <x:c r="H189" s="9" t="n">
        <x:v>25845.00000000745</x:v>
      </x:c>
      <x:c r="I189" s="9" t="n">
        <x:v>6937.999999992549</x:v>
      </x:c>
      <x:c r="J189" s="9" t="n">
        <x:v>106</x:v>
      </x:c>
      <x:c r="K189" s="9" t="n">
        <x:f>F189+G189+I189+J189</x:f>
        <x:v>96446.9999999851</x:v>
      </x:c>
      <x:c r="L189" s="10" t="n">
        <x:f>K189/Sources!$B$4*1000</x:f>
        <x:v>26.943927230970726</x:v>
      </x:c>
      <x:c r="M189" s="10" t="n">
        <x:f>E189/Sources!$B$4*1000</x:f>
        <x:v>34.16411862401298</x:v>
      </x:c>
      <x:c r="N189" s="9" t="n">
        <x:f>Sources!$B$6-K189</x:f>
        <x:v>-36710.9999999851</x:v>
      </x:c>
      <x:c r="O189" s="1" t="str">
        <x:v>keyboard_route</x:v>
      </x:c>
      <x:c r="P189" s="12" t="n">
        <x:v>0</x:v>
      </x:c>
      <x:c r="Q189" s="12" t="n">
        <x:v>-4</x:v>
      </x:c>
      <x:c r="R189" s="12" t="n">
        <x:v>0</x:v>
      </x:c>
      <x:c r="S189" s="12" t="n">
        <x:v>3</x:v>
      </x:c>
      <x:c r="T189" s="1" t="str">
        <x:v>No</x:v>
      </x:c>
      <x:c r="U189" s="1" t="n">
        <x:v>0</x:v>
      </x:c>
    </x:row>
    <x:row r="190" ht="23" customHeight="1">
      <x:c r="A190" s="9" t="n">
        <x:v>189</x:v>
      </x:c>
      <x:c r="B190" s="9" t="n">
        <x:v>0</x:v>
      </x:c>
      <x:c r="C190" s="9" t="n">
        <x:v>751</x:v>
      </x:c>
      <x:c r="D190" s="9" t="n">
        <x:v>2</x:v>
      </x:c>
      <x:c r="E190" s="9" t="n">
        <x:v>116649.00000000745</x:v>
      </x:c>
      <x:c r="F190" s="9" t="n">
        <x:v>35501.00000000745</x:v>
      </x:c>
      <x:c r="G190" s="9" t="n">
        <x:v>48444.99999999255</x:v>
      </x:c>
      <x:c r="H190" s="9" t="n">
        <x:v>28480</x:v>
      </x:c>
      <x:c r="I190" s="9" t="n">
        <x:v>4117.000000007451</x:v>
      </x:c>
      <x:c r="J190" s="9" t="n">
        <x:v>106</x:v>
      </x:c>
      <x:c r="K190" s="9" t="n">
        <x:f>F190+G190+I190+J190</x:f>
        <x:v>88169.00000000745</x:v>
      </x:c>
      <x:c r="L190" s="10" t="n">
        <x:f>K190/Sources!$B$4*1000</x:f>
        <x:v>24.631342810331326</x:v>
      </x:c>
      <x:c r="M190" s="10" t="n">
        <x:f>E190/Sources!$B$4*1000</x:f>
        <x:v>32.58766128097494</x:v>
      </x:c>
      <x:c r="N190" s="9" t="n">
        <x:f>Sources!$B$6-K190</x:f>
        <x:v>-28433.00000000745</x:v>
      </x:c>
      <x:c r="O190" s="1" t="str">
        <x:v>keyboard_route</x:v>
      </x:c>
      <x:c r="P190" s="12" t="n">
        <x:v>0</x:v>
      </x:c>
      <x:c r="Q190" s="12" t="n">
        <x:v>-4</x:v>
      </x:c>
      <x:c r="R190" s="12" t="n">
        <x:v>0</x:v>
      </x:c>
      <x:c r="S190" s="12" t="n">
        <x:v>7</x:v>
      </x:c>
      <x:c r="T190" s="1" t="str">
        <x:v>Yes</x:v>
      </x:c>
      <x:c r="U190" s="1" t="n">
        <x:v>0</x:v>
      </x:c>
    </x:row>
    <x:row r="191" ht="23" customHeight="1">
      <x:c r="A191" s="9" t="n">
        <x:v>190</x:v>
      </x:c>
      <x:c r="B191" s="9" t="n">
        <x:v>0</x:v>
      </x:c>
      <x:c r="C191" s="9" t="n">
        <x:v>747</x:v>
      </x:c>
      <x:c r="D191" s="9" t="n">
        <x:v>2</x:v>
      </x:c>
      <x:c r="E191" s="9" t="n">
        <x:v>122292.99999999255</x:v>
      </x:c>
      <x:c r="F191" s="9" t="n">
        <x:v>41446</x:v>
      </x:c>
      <x:c r="G191" s="9" t="n">
        <x:v>25818</x:v>
      </x:c>
      <x:c r="H191" s="9" t="n">
        <x:v>47985</x:v>
      </x:c>
      <x:c r="I191" s="9" t="n">
        <x:v>6937.999999992549</x:v>
      </x:c>
      <x:c r="J191" s="9" t="n">
        <x:v>106</x:v>
      </x:c>
      <x:c r="K191" s="9" t="n">
        <x:f>F191+G191+I191+J191</x:f>
        <x:v>74307.99999999255</x:v>
      </x:c>
      <x:c r="L191" s="10" t="n">
        <x:f>K191/Sources!$B$4*1000</x:f>
        <x:v>20.75906295352972</x:v>
      </x:c>
      <x:c r="M191" s="10" t="n">
        <x:f>E191/Sources!$B$4*1000</x:f>
        <x:v>34.16439798912782</x:v>
      </x:c>
      <x:c r="N191" s="9" t="n">
        <x:f>Sources!$B$6-K191</x:f>
        <x:v>-14571.99999999255</x:v>
      </x:c>
      <x:c r="O191" s="1" t="str">
        <x:v>keyboard_route</x:v>
      </x:c>
      <x:c r="P191" s="12" t="n">
        <x:v>0</x:v>
      </x:c>
      <x:c r="Q191" s="12" t="n">
        <x:v>-4</x:v>
      </x:c>
      <x:c r="R191" s="12" t="n">
        <x:v>0</x:v>
      </x:c>
      <x:c r="S191" s="12" t="n">
        <x:v>3</x:v>
      </x:c>
      <x:c r="T191" s="1" t="str">
        <x:v>No</x:v>
      </x:c>
      <x:c r="U191" s="1" t="n">
        <x:v>0</x:v>
      </x:c>
    </x:row>
    <x:row r="192" ht="23" customHeight="1">
      <x:c r="A192" s="9" t="n">
        <x:v>191</x:v>
      </x:c>
      <x:c r="B192" s="9" t="n">
        <x:v>0</x:v>
      </x:c>
      <x:c r="C192" s="9" t="n">
        <x:v>747</x:v>
      </x:c>
      <x:c r="D192" s="9" t="n">
        <x:v>2</x:v>
      </x:c>
      <x:c r="E192" s="9" t="n">
        <x:v>115098.00000000745</x:v>
      </x:c>
      <x:c r="F192" s="9" t="n">
        <x:v>34756</x:v>
      </x:c>
      <x:c r="G192" s="9" t="n">
        <x:v>24831.00000000745</x:v>
      </x:c>
      <x:c r="H192" s="9" t="n">
        <x:v>52840</x:v>
      </x:c>
      <x:c r="I192" s="9" t="n">
        <x:v>2565</x:v>
      </x:c>
      <x:c r="J192" s="9" t="n">
        <x:v>106</x:v>
      </x:c>
      <x:c r="K192" s="9" t="n">
        <x:f>F192+G192+I192+J192</x:f>
        <x:v>62258.00000000745</x:v>
      </x:c>
      <x:c r="L192" s="10" t="n">
        <x:f>K192/Sources!$B$4*1000</x:f>
        <x:v>17.39271331971171</x:v>
      </x:c>
      <x:c r="M192" s="10" t="n">
        <x:f>E192/Sources!$B$4*1000</x:f>
        <x:v>32.15436598785808</x:v>
      </x:c>
      <x:c r="N192" s="9" t="n">
        <x:f>Sources!$B$6-K192</x:f>
        <x:v>-2522.0000000074506</x:v>
      </x:c>
      <x:c r="O192" s="1" t="str">
        <x:v>keyboard_route</x:v>
      </x:c>
      <x:c r="P192" s="12" t="n">
        <x:v>0</x:v>
      </x:c>
      <x:c r="Q192" s="12" t="n">
        <x:v>0</x:v>
      </x:c>
      <x:c r="R192" s="12" t="n">
        <x:v>0</x:v>
      </x:c>
      <x:c r="S192" s="12" t="n">
        <x:v>3</x:v>
      </x:c>
      <x:c r="T192" s="1" t="str">
        <x:v>No</x:v>
      </x:c>
      <x:c r="U192" s="1" t="n">
        <x:v>0</x:v>
      </x:c>
    </x:row>
    <x:row r="193" ht="23" customHeight="1">
      <x:c r="A193" s="9" t="n">
        <x:v>192</x:v>
      </x:c>
      <x:c r="B193" s="9" t="n">
        <x:v>0</x:v>
      </x:c>
      <x:c r="C193" s="9" t="n">
        <x:v>747</x:v>
      </x:c>
      <x:c r="D193" s="9" t="n">
        <x:v>2</x:v>
      </x:c>
      <x:c r="E193" s="9" t="n">
        <x:v>119476</x:v>
      </x:c>
      <x:c r="F193" s="9" t="n">
        <x:v>36985</x:v>
      </x:c>
      <x:c r="G193" s="9" t="n">
        <x:v>24530</x:v>
      </x:c>
      <x:c r="H193" s="9" t="n">
        <x:v>55290</x:v>
      </x:c>
      <x:c r="I193" s="9" t="n">
        <x:v>2565</x:v>
      </x:c>
      <x:c r="J193" s="9" t="n">
        <x:v>106</x:v>
      </x:c>
      <x:c r="K193" s="9" t="n">
        <x:f>F193+G193+I193+J193</x:f>
        <x:v>64186</x:v>
      </x:c>
      <x:c r="L193" s="10" t="n">
        <x:f>K193/Sources!$B$4*1000</x:f>
        <x:v>17.931329261121178</x:v>
      </x:c>
      <x:c r="M193" s="10" t="n">
        <x:f>E193/Sources!$B$4*1000</x:f>
        <x:v>33.37742646062558</x:v>
      </x:c>
      <x:c r="N193" s="9" t="n">
        <x:f>Sources!$B$6-K193</x:f>
        <x:v>-4450</x:v>
      </x:c>
      <x:c r="O193" s="1" t="str">
        <x:v>keyboard_route</x:v>
      </x:c>
      <x:c r="P193" s="12" t="n">
        <x:v>0</x:v>
      </x:c>
      <x:c r="Q193" s="12" t="n">
        <x:v>0</x:v>
      </x:c>
      <x:c r="R193" s="12" t="n">
        <x:v>0</x:v>
      </x:c>
      <x:c r="S193" s="12" t="n">
        <x:v>3</x:v>
      </x:c>
      <x:c r="T193" s="1" t="str">
        <x:v>No</x:v>
      </x:c>
      <x:c r="U193" s="1" t="n">
        <x:v>0</x:v>
      </x:c>
    </x:row>
    <x:row r="194" ht="23" customHeight="1">
      <x:c r="A194" s="9" t="n">
        <x:v>193</x:v>
      </x:c>
      <x:c r="B194" s="9" t="n">
        <x:v>0</x:v>
      </x:c>
      <x:c r="C194" s="9" t="n">
        <x:v>747</x:v>
      </x:c>
      <x:c r="D194" s="9" t="n">
        <x:v>2</x:v>
      </x:c>
      <x:c r="E194" s="9" t="n">
        <x:v>119469.99999999255</x:v>
      </x:c>
      <x:c r="F194" s="9" t="n">
        <x:v>37237</x:v>
      </x:c>
      <x:c r="G194" s="9" t="n">
        <x:v>24837</x:v>
      </x:c>
      <x:c r="H194" s="9" t="n">
        <x:v>54724.99999999255</x:v>
      </x:c>
      <x:c r="I194" s="9" t="n">
        <x:v>2565</x:v>
      </x:c>
      <x:c r="J194" s="9" t="n">
        <x:v>106</x:v>
      </x:c>
      <x:c r="K194" s="9" t="n">
        <x:f>F194+G194+I194+J194</x:f>
        <x:v>64745</x:v>
      </x:c>
      <x:c r="L194" s="10" t="n">
        <x:f>K194/Sources!$B$4*1000</x:f>
        <x:v>18.087494360316743</x:v>
      </x:c>
      <x:c r="M194" s="10" t="n">
        <x:f>E194/Sources!$B$4*1000</x:f>
        <x:v>33.37575026993446</x:v>
      </x:c>
      <x:c r="N194" s="9" t="n">
        <x:f>Sources!$B$6-K194</x:f>
        <x:v>-5009</x:v>
      </x:c>
      <x:c r="O194" s="1" t="str">
        <x:v>keyboard_route</x:v>
      </x:c>
      <x:c r="P194" s="12" t="n">
        <x:v>0</x:v>
      </x:c>
      <x:c r="Q194" s="12" t="n">
        <x:v>0</x:v>
      </x:c>
      <x:c r="R194" s="12" t="n">
        <x:v>0</x:v>
      </x:c>
      <x:c r="S194" s="12" t="n">
        <x:v>3</x:v>
      </x:c>
      <x:c r="T194" s="1" t="str">
        <x:v>No</x:v>
      </x:c>
      <x:c r="U194" s="1" t="n">
        <x:v>0</x:v>
      </x:c>
    </x:row>
    <x:row r="195" ht="23" customHeight="1">
      <x:c r="A195" s="9" t="n">
        <x:v>194</x:v>
      </x:c>
      <x:c r="B195" s="9" t="n">
        <x:v>0</x:v>
      </x:c>
      <x:c r="C195" s="9" t="n">
        <x:v>747</x:v>
      </x:c>
      <x:c r="D195" s="9" t="n">
        <x:v>2</x:v>
      </x:c>
      <x:c r="E195" s="9" t="n">
        <x:v>119470.00000000745</x:v>
      </x:c>
      <x:c r="F195" s="9" t="n">
        <x:v>38478.00000000745</x:v>
      </x:c>
      <x:c r="G195" s="9" t="n">
        <x:v>24535.99999999255</x:v>
      </x:c>
      <x:c r="H195" s="9" t="n">
        <x:v>53785</x:v>
      </x:c>
      <x:c r="I195" s="9" t="n">
        <x:v>2565</x:v>
      </x:c>
      <x:c r="J195" s="9" t="n">
        <x:v>106.00000000745058</x:v>
      </x:c>
      <x:c r="K195" s="9" t="n">
        <x:f>F195+G195+I195+J195</x:f>
        <x:v>65685.00000000745</x:v>
      </x:c>
      <x:c r="L195" s="10" t="n">
        <x:f>K195/Sources!$B$4*1000</x:f>
        <x:v>18.35009756826844</x:v>
      </x:c>
      <x:c r="M195" s="10" t="n">
        <x:f>E195/Sources!$B$4*1000</x:f>
        <x:v>33.37575026993862</x:v>
      </x:c>
      <x:c r="N195" s="9" t="n">
        <x:f>Sources!$B$6-K195</x:f>
        <x:v>-5949.000000007451</x:v>
      </x:c>
      <x:c r="O195" s="1" t="str">
        <x:v>keyboard_route</x:v>
      </x:c>
      <x:c r="P195" s="12" t="n">
        <x:v>0</x:v>
      </x:c>
      <x:c r="Q195" s="12" t="n">
        <x:v>0</x:v>
      </x:c>
      <x:c r="R195" s="12" t="n">
        <x:v>0</x:v>
      </x:c>
      <x:c r="S195" s="12" t="n">
        <x:v>3</x:v>
      </x:c>
      <x:c r="T195" s="1" t="str">
        <x:v>No</x:v>
      </x:c>
      <x:c r="U195" s="1" t="n">
        <x:v>0</x:v>
      </x:c>
    </x:row>
    <x:row r="196" ht="23" customHeight="1">
      <x:c r="A196" s="9" t="n">
        <x:v>195</x:v>
      </x:c>
      <x:c r="B196" s="9" t="n">
        <x:v>0</x:v>
      </x:c>
      <x:c r="C196" s="9" t="n">
        <x:v>747</x:v>
      </x:c>
      <x:c r="D196" s="9" t="n">
        <x:v>2</x:v>
      </x:c>
      <x:c r="E196" s="9" t="n">
        <x:v>119473</x:v>
      </x:c>
      <x:c r="F196" s="9" t="n">
        <x:v>35471.00000000745</x:v>
      </x:c>
      <x:c r="G196" s="9" t="n">
        <x:v>24831</x:v>
      </x:c>
      <x:c r="H196" s="9" t="n">
        <x:v>56500</x:v>
      </x:c>
      <x:c r="I196" s="9" t="n">
        <x:v>2565</x:v>
      </x:c>
      <x:c r="J196" s="9" t="n">
        <x:v>105.99999999254942</x:v>
      </x:c>
      <x:c r="K196" s="9" t="n">
        <x:f>F196+G196+I196+J196</x:f>
        <x:v>62973</x:v>
      </x:c>
      <x:c r="L196" s="10" t="n">
        <x:f>K196/Sources!$B$4*1000</x:f>
        <x:v>17.59245937682024</x:v>
      </x:c>
      <x:c r="M196" s="10" t="n">
        <x:f>E196/Sources!$B$4*1000</x:f>
        <x:v>33.37658836528106</x:v>
      </x:c>
      <x:c r="N196" s="9" t="n">
        <x:f>Sources!$B$6-K196</x:f>
        <x:v>-3237</x:v>
      </x:c>
      <x:c r="O196" s="1" t="str">
        <x:v>keyboard_route</x:v>
      </x:c>
      <x:c r="P196" s="12" t="n">
        <x:v>0</x:v>
      </x:c>
      <x:c r="Q196" s="12" t="n">
        <x:v>0</x:v>
      </x:c>
      <x:c r="R196" s="12" t="n">
        <x:v>0</x:v>
      </x:c>
      <x:c r="S196" s="12" t="n">
        <x:v>3</x:v>
      </x:c>
      <x:c r="T196" s="1" t="str">
        <x:v>No</x:v>
      </x:c>
      <x:c r="U196" s="1" t="n">
        <x:v>0</x:v>
      </x:c>
    </x:row>
    <x:row r="197" ht="23" customHeight="1">
      <x:c r="A197" s="9" t="n">
        <x:v>196</x:v>
      </x:c>
      <x:c r="B197" s="9" t="n">
        <x:v>0</x:v>
      </x:c>
      <x:c r="C197" s="9" t="n">
        <x:v>747</x:v>
      </x:c>
      <x:c r="D197" s="9" t="n">
        <x:v>2</x:v>
      </x:c>
      <x:c r="E197" s="9" t="n">
        <x:v>119473.99999999255</x:v>
      </x:c>
      <x:c r="F197" s="9" t="n">
        <x:v>37688</x:v>
      </x:c>
      <x:c r="G197" s="9" t="n">
        <x:v>24530</x:v>
      </x:c>
      <x:c r="H197" s="9" t="n">
        <x:v>54584.99999999255</x:v>
      </x:c>
      <x:c r="I197" s="9" t="n">
        <x:v>2565</x:v>
      </x:c>
      <x:c r="J197" s="9" t="n">
        <x:v>106</x:v>
      </x:c>
      <x:c r="K197" s="9" t="n">
        <x:f>F197+G197+I197+J197</x:f>
        <x:v>64889</x:v>
      </x:c>
      <x:c r="L197" s="10" t="n">
        <x:f>K197/Sources!$B$4*1000</x:f>
        <x:v>18.127722936853704</x:v>
      </x:c>
      <x:c r="M197" s="10" t="n">
        <x:f>E197/Sources!$B$4*1000</x:f>
        <x:v>33.37686773039382</x:v>
      </x:c>
      <x:c r="N197" s="9" t="n">
        <x:f>Sources!$B$6-K197</x:f>
        <x:v>-5153</x:v>
      </x:c>
      <x:c r="O197" s="1" t="str">
        <x:v>keyboard_route</x:v>
      </x:c>
      <x:c r="P197" s="12" t="n">
        <x:v>0</x:v>
      </x:c>
      <x:c r="Q197" s="12" t="n">
        <x:v>0</x:v>
      </x:c>
      <x:c r="R197" s="12" t="n">
        <x:v>0</x:v>
      </x:c>
      <x:c r="S197" s="12" t="n">
        <x:v>3</x:v>
      </x:c>
      <x:c r="T197" s="1" t="str">
        <x:v>No</x:v>
      </x:c>
      <x:c r="U197" s="1" t="n">
        <x:v>0</x:v>
      </x:c>
    </x:row>
    <x:row r="198" ht="23" customHeight="1">
      <x:c r="A198" s="9" t="n">
        <x:v>197</x:v>
      </x:c>
      <x:c r="B198" s="9" t="n">
        <x:v>0</x:v>
      </x:c>
      <x:c r="C198" s="9" t="n">
        <x:v>743</x:v>
      </x:c>
      <x:c r="D198" s="9" t="n">
        <x:v>2</x:v>
      </x:c>
      <x:c r="E198" s="9" t="n">
        <x:v>121023.00000000745</x:v>
      </x:c>
      <x:c r="F198" s="9" t="n">
        <x:v>34953.00000000745</x:v>
      </x:c>
      <x:c r="G198" s="9" t="n">
        <x:v>42172</x:v>
      </x:c>
      <x:c r="H198" s="9" t="n">
        <x:v>39675</x:v>
      </x:c>
      <x:c r="I198" s="9" t="n">
        <x:v>4117</x:v>
      </x:c>
      <x:c r="J198" s="9" t="n">
        <x:v>106</x:v>
      </x:c>
      <x:c r="K198" s="9" t="n">
        <x:f>F198+G198+I198+J198</x:f>
        <x:v>81348.00000000745</x:v>
      </x:c>
      <x:c r="L198" s="10" t="n">
        <x:f>K198/Sources!$B$4*1000</x:f>
        <x:v>22.72579336200759</x:v>
      </x:c>
      <x:c r="M198" s="10" t="n">
        <x:f>E198/Sources!$B$4*1000</x:f>
        <x:v>33.80960429328517</x:v>
      </x:c>
      <x:c r="N198" s="9" t="n">
        <x:f>Sources!$B$6-K198</x:f>
        <x:v>-21612.00000000745</x:v>
      </x:c>
      <x:c r="O198" s="1" t="str">
        <x:v>keyboard_route</x:v>
      </x:c>
      <x:c r="P198" s="12" t="n">
        <x:v>0</x:v>
      </x:c>
      <x:c r="Q198" s="12" t="n">
        <x:v>-4</x:v>
      </x:c>
      <x:c r="R198" s="12" t="n">
        <x:v>0</x:v>
      </x:c>
      <x:c r="S198" s="12" t="n">
        <x:v>7</x:v>
      </x:c>
      <x:c r="T198" s="1" t="str">
        <x:v>Yes</x:v>
      </x:c>
      <x:c r="U198" s="1" t="n">
        <x:v>0</x:v>
      </x:c>
    </x:row>
    <x:row r="199" ht="23" customHeight="1">
      <x:c r="A199" s="9" t="n">
        <x:v>198</x:v>
      </x:c>
      <x:c r="B199" s="9" t="n">
        <x:v>0</x:v>
      </x:c>
      <x:c r="C199" s="9" t="n">
        <x:v>739</x:v>
      </x:c>
      <x:c r="D199" s="9" t="n">
        <x:v>2</x:v>
      </x:c>
      <x:c r="E199" s="9" t="n">
        <x:v>119470</x:v>
      </x:c>
      <x:c r="F199" s="9" t="n">
        <x:v>37794</x:v>
      </x:c>
      <x:c r="G199" s="9" t="n">
        <x:v>25817.99999999255</x:v>
      </x:c>
      <x:c r="H199" s="9" t="n">
        <x:v>51635.00000000745</x:v>
      </x:c>
      <x:c r="I199" s="9" t="n">
        <x:v>4117</x:v>
      </x:c>
      <x:c r="J199" s="9" t="n">
        <x:v>106</x:v>
      </x:c>
      <x:c r="K199" s="9" t="n">
        <x:f>F199+G199+I199+J199</x:f>
        <x:v>67834.99999999255</x:v>
      </x:c>
      <x:c r="L199" s="10" t="n">
        <x:f>K199/Sources!$B$4*1000</x:f>
        <x:v>18.95073256517031</x:v>
      </x:c>
      <x:c r="M199" s="10" t="n">
        <x:f>E199/Sources!$B$4*1000</x:f>
        <x:v>33.37575026993654</x:v>
      </x:c>
      <x:c r="N199" s="9" t="n">
        <x:f>Sources!$B$6-K199</x:f>
        <x:v>-8098.999999992549</x:v>
      </x:c>
      <x:c r="O199" s="1" t="str">
        <x:v>keyboard_route</x:v>
      </x:c>
      <x:c r="P199" s="12" t="n">
        <x:v>0</x:v>
      </x:c>
      <x:c r="Q199" s="12" t="n">
        <x:v>-4</x:v>
      </x:c>
      <x:c r="R199" s="12" t="n">
        <x:v>0</x:v>
      </x:c>
      <x:c r="S199" s="12" t="n">
        <x:v>3</x:v>
      </x:c>
      <x:c r="T199" s="1" t="str">
        <x:v>No</x:v>
      </x:c>
      <x:c r="U199" s="1" t="n">
        <x:v>0</x:v>
      </x:c>
    </x:row>
    <x:row r="200" ht="23" customHeight="1">
      <x:c r="A200" s="9" t="n">
        <x:v>199</x:v>
      </x:c>
      <x:c r="B200" s="9" t="n">
        <x:v>0</x:v>
      </x:c>
      <x:c r="C200" s="9" t="n">
        <x:v>735</x:v>
      </x:c>
      <x:c r="D200" s="9" t="n">
        <x:v>2</x:v>
      </x:c>
      <x:c r="E200" s="9" t="n">
        <x:v>119476</x:v>
      </x:c>
      <x:c r="F200" s="9" t="n">
        <x:v>39495.99999999255</x:v>
      </x:c>
      <x:c r="G200" s="9" t="n">
        <x:v>42152.00000000745</x:v>
      </x:c>
      <x:c r="H200" s="9" t="n">
        <x:v>33604.99999999255</x:v>
      </x:c>
      <x:c r="I200" s="9" t="n">
        <x:v>4117.000000007451</x:v>
      </x:c>
      <x:c r="J200" s="9" t="n">
        <x:v>106</x:v>
      </x:c>
      <x:c r="K200" s="9" t="n">
        <x:f>F200+G200+I200+J200</x:f>
        <x:v>85871.00000000745</x:v>
      </x:c>
      <x:c r="L200" s="10" t="n">
        <x:f>K200/Sources!$B$4*1000</x:f>
        <x:v>23.989361776428975</x:v>
      </x:c>
      <x:c r="M200" s="10" t="n">
        <x:f>E200/Sources!$B$4*1000</x:f>
        <x:v>33.37742646062558</x:v>
      </x:c>
      <x:c r="N200" s="9" t="n">
        <x:f>Sources!$B$6-K200</x:f>
        <x:v>-26135.00000000745</x:v>
      </x:c>
      <x:c r="O200" s="1" t="str">
        <x:v>keyboard_route</x:v>
      </x:c>
      <x:c r="P200" s="12" t="n">
        <x:v>0</x:v>
      </x:c>
      <x:c r="Q200" s="12" t="n">
        <x:v>-4</x:v>
      </x:c>
      <x:c r="R200" s="12" t="n">
        <x:v>0</x:v>
      </x:c>
      <x:c r="S200" s="12" t="n">
        <x:v>7</x:v>
      </x:c>
      <x:c r="T200" s="1" t="str">
        <x:v>Yes</x:v>
      </x:c>
      <x:c r="U200" s="1" t="n">
        <x:v>0</x:v>
      </x:c>
    </x:row>
    <x:row r="201" ht="23" customHeight="1">
      <x:c r="A201" s="9" t="n">
        <x:v>200</x:v>
      </x:c>
      <x:c r="B201" s="9" t="n">
        <x:v>0</x:v>
      </x:c>
      <x:c r="C201" s="9" t="n">
        <x:v>731</x:v>
      </x:c>
      <x:c r="D201" s="9" t="n">
        <x:v>2</x:v>
      </x:c>
      <x:c r="E201" s="9" t="n">
        <x:v>119472</x:v>
      </x:c>
      <x:c r="F201" s="9" t="n">
        <x:v>38064.99999999255</x:v>
      </x:c>
      <x:c r="G201" s="9" t="n">
        <x:v>25824.00000000745</x:v>
      </x:c>
      <x:c r="H201" s="9" t="n">
        <x:v>51359.99999999255</x:v>
      </x:c>
      <x:c r="I201" s="9" t="n">
        <x:v>4117</x:v>
      </x:c>
      <x:c r="J201" s="9" t="n">
        <x:v>106.00000000745058</x:v>
      </x:c>
      <x:c r="K201" s="9" t="n">
        <x:f>F201+G201+I201+J201</x:f>
        <x:v>68112.00000000745</x:v>
      </x:c>
      <x:c r="L201" s="10" t="n">
        <x:f>K201/Sources!$B$4*1000</x:f>
        <x:v>19.028116701985155</x:v>
      </x:c>
      <x:c r="M201" s="10" t="n">
        <x:f>E201/Sources!$B$4*1000</x:f>
        <x:v>33.37630900016622</x:v>
      </x:c>
      <x:c r="N201" s="9" t="n">
        <x:f>Sources!$B$6-K201</x:f>
        <x:v>-8376.00000000745</x:v>
      </x:c>
      <x:c r="O201" s="1" t="str">
        <x:v>keyboard_route</x:v>
      </x:c>
      <x:c r="P201" s="12" t="n">
        <x:v>0</x:v>
      </x:c>
      <x:c r="Q201" s="12" t="n">
        <x:v>-4</x:v>
      </x:c>
      <x:c r="R201" s="12" t="n">
        <x:v>0</x:v>
      </x:c>
      <x:c r="S201" s="12" t="n">
        <x:v>3</x:v>
      </x:c>
      <x:c r="T201" s="1" t="str">
        <x:v>No</x:v>
      </x:c>
      <x:c r="U201" s="1" t="n">
        <x:v>0</x:v>
      </x:c>
    </x:row>
    <x:row r="202" ht="23" customHeight="1">
      <x:c r="A202" s="9" t="n">
        <x:v>201</x:v>
      </x:c>
      <x:c r="B202" s="9" t="n">
        <x:v>0</x:v>
      </x:c>
      <x:c r="C202" s="9" t="n">
        <x:v>727</x:v>
      </x:c>
      <x:c r="D202" s="9" t="n">
        <x:v>2</x:v>
      </x:c>
      <x:c r="E202" s="9" t="n">
        <x:v>119468.99999999255</x:v>
      </x:c>
      <x:c r="F202" s="9" t="n">
        <x:v>34868.99999999255</x:v>
      </x:c>
      <x:c r="G202" s="9" t="n">
        <x:v>42152</x:v>
      </x:c>
      <x:c r="H202" s="9" t="n">
        <x:v>38225.00000000745</x:v>
      </x:c>
      <x:c r="I202" s="9" t="n">
        <x:v>4117</x:v>
      </x:c>
      <x:c r="J202" s="9" t="n">
        <x:v>105.99999999254942</x:v>
      </x:c>
      <x:c r="K202" s="9" t="n">
        <x:f>F202+G202+I202+J202</x:f>
        <x:v>81243.9999999851</x:v>
      </x:c>
      <x:c r="L202" s="10" t="n">
        <x:f>K202/Sources!$B$4*1000</x:f>
        <x:v>22.69673939005798</x:v>
      </x:c>
      <x:c r="M202" s="10" t="n">
        <x:f>E202/Sources!$B$4*1000</x:f>
        <x:v>33.37547090481962</x:v>
      </x:c>
      <x:c r="N202" s="9" t="n">
        <x:f>Sources!$B$6-K202</x:f>
        <x:v>-21507.9999999851</x:v>
      </x:c>
      <x:c r="O202" s="1" t="str">
        <x:v>keyboard_route</x:v>
      </x:c>
      <x:c r="P202" s="12" t="n">
        <x:v>0</x:v>
      </x:c>
      <x:c r="Q202" s="12" t="n">
        <x:v>-4</x:v>
      </x:c>
      <x:c r="R202" s="12" t="n">
        <x:v>0</x:v>
      </x:c>
      <x:c r="S202" s="12" t="n">
        <x:v>7</x:v>
      </x:c>
      <x:c r="T202" s="1" t="str">
        <x:v>Yes</x:v>
      </x:c>
      <x:c r="U202" s="1" t="n">
        <x:v>0</x:v>
      </x:c>
    </x:row>
    <x:row r="203" ht="23" customHeight="1">
      <x:c r="A203" s="9" t="n">
        <x:v>202</x:v>
      </x:c>
      <x:c r="B203" s="9" t="n">
        <x:v>0</x:v>
      </x:c>
      <x:c r="C203" s="9" t="n">
        <x:v>723</x:v>
      </x:c>
      <x:c r="D203" s="9" t="n">
        <x:v>2</x:v>
      </x:c>
      <x:c r="E203" s="9" t="n">
        <x:v>119472.00000000745</x:v>
      </x:c>
      <x:c r="F203" s="9" t="n">
        <x:v>39336</x:v>
      </x:c>
      <x:c r="G203" s="9" t="n">
        <x:v>25818</x:v>
      </x:c>
      <x:c r="H203" s="9" t="n">
        <x:v>50095</x:v>
      </x:c>
      <x:c r="I203" s="9" t="n">
        <x:v>4117</x:v>
      </x:c>
      <x:c r="J203" s="9" t="n">
        <x:v>106.00000000745058</x:v>
      </x:c>
      <x:c r="K203" s="9" t="n">
        <x:f>F203+G203+I203+J203</x:f>
        <x:v>69377.00000000745</x:v>
      </x:c>
      <x:c r="L203" s="10" t="n">
        <x:f>K203/Sources!$B$4*1000</x:f>
        <x:v>19.381513572257774</x:v>
      </x:c>
      <x:c r="M203" s="10" t="n">
        <x:f>E203/Sources!$B$4*1000</x:f>
        <x:v>33.376309000168305</x:v>
      </x:c>
      <x:c r="N203" s="9" t="n">
        <x:f>Sources!$B$6-K203</x:f>
        <x:v>-9641.00000000745</x:v>
      </x:c>
      <x:c r="O203" s="1" t="str">
        <x:v>keyboard_route</x:v>
      </x:c>
      <x:c r="P203" s="12" t="n">
        <x:v>0</x:v>
      </x:c>
      <x:c r="Q203" s="12" t="n">
        <x:v>-4</x:v>
      </x:c>
      <x:c r="R203" s="12" t="n">
        <x:v>0</x:v>
      </x:c>
      <x:c r="S203" s="12" t="n">
        <x:v>3</x:v>
      </x:c>
      <x:c r="T203" s="1" t="str">
        <x:v>No</x:v>
      </x:c>
      <x:c r="U203" s="1" t="n">
        <x:v>0</x:v>
      </x:c>
    </x:row>
    <x:row r="204" ht="23" customHeight="1">
      <x:c r="A204" s="9" t="n">
        <x:v>203</x:v>
      </x:c>
      <x:c r="B204" s="9" t="n">
        <x:v>0</x:v>
      </x:c>
      <x:c r="C204" s="9" t="n">
        <x:v>719</x:v>
      </x:c>
      <x:c r="D204" s="9" t="n">
        <x:v>2</x:v>
      </x:c>
      <x:c r="E204" s="9" t="n">
        <x:v>119472</x:v>
      </x:c>
      <x:c r="F204" s="9" t="n">
        <x:v>33918</x:v>
      </x:c>
      <x:c r="G204" s="9" t="n">
        <x:v>42146</x:v>
      </x:c>
      <x:c r="H204" s="9" t="n">
        <x:v>39185</x:v>
      </x:c>
      <x:c r="I204" s="9" t="n">
        <x:v>4117</x:v>
      </x:c>
      <x:c r="J204" s="9" t="n">
        <x:v>106</x:v>
      </x:c>
      <x:c r="K204" s="9" t="n">
        <x:f>F204+G204+I204+J204</x:f>
        <x:v>80287</x:v>
      </x:c>
      <x:c r="L204" s="10" t="n">
        <x:f>K204/Sources!$B$4*1000</x:f>
        <x:v>22.42938697516025</x:v>
      </x:c>
      <x:c r="M204" s="10" t="n">
        <x:f>E204/Sources!$B$4*1000</x:f>
        <x:v>33.37630900016622</x:v>
      </x:c>
      <x:c r="N204" s="9" t="n">
        <x:f>Sources!$B$6-K204</x:f>
        <x:v>-20551</x:v>
      </x:c>
      <x:c r="O204" s="1" t="str">
        <x:v>keyboard_route</x:v>
      </x:c>
      <x:c r="P204" s="12" t="n">
        <x:v>0</x:v>
      </x:c>
      <x:c r="Q204" s="12" t="n">
        <x:v>-4</x:v>
      </x:c>
      <x:c r="R204" s="12" t="n">
        <x:v>0</x:v>
      </x:c>
      <x:c r="S204" s="12" t="n">
        <x:v>7</x:v>
      </x:c>
      <x:c r="T204" s="1" t="str">
        <x:v>Yes</x:v>
      </x:c>
      <x:c r="U204" s="1" t="n">
        <x:v>0</x:v>
      </x:c>
    </x:row>
    <x:row r="205" ht="23" customHeight="1">
      <x:c r="A205" s="9" t="n">
        <x:v>204</x:v>
      </x:c>
      <x:c r="B205" s="9" t="n">
        <x:v>0</x:v>
      </x:c>
      <x:c r="C205" s="9" t="n">
        <x:v>715</x:v>
      </x:c>
      <x:c r="D205" s="9" t="n">
        <x:v>2</x:v>
      </x:c>
      <x:c r="E205" s="9" t="n">
        <x:v>119472</x:v>
      </x:c>
      <x:c r="F205" s="9" t="n">
        <x:v>35656</x:v>
      </x:c>
      <x:c r="G205" s="9" t="n">
        <x:v>25818</x:v>
      </x:c>
      <x:c r="H205" s="9" t="n">
        <x:v>53775</x:v>
      </x:c>
      <x:c r="I205" s="9" t="n">
        <x:v>4117</x:v>
      </x:c>
      <x:c r="J205" s="9" t="n">
        <x:v>106</x:v>
      </x:c>
      <x:c r="K205" s="9" t="n">
        <x:f>F205+G205+I205+J205</x:f>
        <x:v>65697</x:v>
      </x:c>
      <x:c r="L205" s="10" t="n">
        <x:f>K205/Sources!$B$4*1000</x:f>
        <x:v>18.353449949644435</x:v>
      </x:c>
      <x:c r="M205" s="10" t="n">
        <x:f>E205/Sources!$B$4*1000</x:f>
        <x:v>33.37630900016622</x:v>
      </x:c>
      <x:c r="N205" s="9" t="n">
        <x:f>Sources!$B$6-K205</x:f>
        <x:v>-5961</x:v>
      </x:c>
      <x:c r="O205" s="1" t="str">
        <x:v>keyboard_route</x:v>
      </x:c>
      <x:c r="P205" s="12" t="n">
        <x:v>0</x:v>
      </x:c>
      <x:c r="Q205" s="12" t="n">
        <x:v>-4</x:v>
      </x:c>
      <x:c r="R205" s="12" t="n">
        <x:v>0</x:v>
      </x:c>
      <x:c r="S205" s="12" t="n">
        <x:v>3</x:v>
      </x:c>
      <x:c r="T205" s="1" t="str">
        <x:v>No</x:v>
      </x:c>
      <x:c r="U205" s="1" t="n">
        <x:v>0</x:v>
      </x:c>
    </x:row>
    <x:row r="206" ht="23" customHeight="1">
      <x:c r="A206" s="9" t="n">
        <x:v>205</x:v>
      </x:c>
      <x:c r="B206" s="9" t="n">
        <x:v>0</x:v>
      </x:c>
      <x:c r="C206" s="9" t="n">
        <x:v>711</x:v>
      </x:c>
      <x:c r="D206" s="9" t="n">
        <x:v>2</x:v>
      </x:c>
      <x:c r="E206" s="9" t="n">
        <x:v>119475</x:v>
      </x:c>
      <x:c r="F206" s="9" t="n">
        <x:v>32641</x:v>
      </x:c>
      <x:c r="G206" s="9" t="n">
        <x:v>42146</x:v>
      </x:c>
      <x:c r="H206" s="9" t="n">
        <x:v>40465</x:v>
      </x:c>
      <x:c r="I206" s="9" t="n">
        <x:v>4117</x:v>
      </x:c>
      <x:c r="J206" s="9" t="n">
        <x:v>106</x:v>
      </x:c>
      <x:c r="K206" s="9" t="n">
        <x:f>F206+G206+I206+J206</x:f>
        <x:v>79010</x:v>
      </x:c>
      <x:c r="L206" s="10" t="n">
        <x:f>K206/Sources!$B$4*1000</x:f>
        <x:v>22.072637723509555</x:v>
      </x:c>
      <x:c r="M206" s="10" t="n">
        <x:f>E206/Sources!$B$4*1000</x:f>
        <x:v>33.37714709551074</x:v>
      </x:c>
      <x:c r="N206" s="9" t="n">
        <x:f>Sources!$B$6-K206</x:f>
        <x:v>-19274</x:v>
      </x:c>
      <x:c r="O206" s="1" t="str">
        <x:v>keyboard_route</x:v>
      </x:c>
      <x:c r="P206" s="12" t="n">
        <x:v>0</x:v>
      </x:c>
      <x:c r="Q206" s="12" t="n">
        <x:v>-4</x:v>
      </x:c>
      <x:c r="R206" s="12" t="n">
        <x:v>0</x:v>
      </x:c>
      <x:c r="S206" s="12" t="n">
        <x:v>7</x:v>
      </x:c>
      <x:c r="T206" s="1" t="str">
        <x:v>Yes</x:v>
      </x:c>
      <x:c r="U206" s="1" t="n">
        <x:v>0</x:v>
      </x:c>
    </x:row>
    <x:row r="207" ht="23" customHeight="1">
      <x:c r="A207" s="9" t="n">
        <x:v>206</x:v>
      </x:c>
      <x:c r="B207" s="9" t="n">
        <x:v>0</x:v>
      </x:c>
      <x:c r="C207" s="9" t="n">
        <x:v>707</x:v>
      </x:c>
      <x:c r="D207" s="9" t="n">
        <x:v>2</x:v>
      </x:c>
      <x:c r="E207" s="9" t="n">
        <x:v>119471</x:v>
      </x:c>
      <x:c r="F207" s="9" t="n">
        <x:v>37585.99999999255</x:v>
      </x:c>
      <x:c r="G207" s="9" t="n">
        <x:v>26887</x:v>
      </x:c>
      <x:c r="H207" s="9" t="n">
        <x:v>50775</x:v>
      </x:c>
      <x:c r="I207" s="9" t="n">
        <x:v>4116.999999992549</x:v>
      </x:c>
      <x:c r="J207" s="9" t="n">
        <x:v>106.00000001490116</x:v>
      </x:c>
      <x:c r="K207" s="9" t="n">
        <x:f>F207+G207+I207+J207</x:f>
        <x:v>68696</x:v>
      </x:c>
      <x:c r="L207" s="10" t="n">
        <x:f>K207/Sources!$B$4*1000</x:f>
        <x:v>19.191265929049642</x:v>
      </x:c>
      <x:c r="M207" s="10" t="n">
        <x:f>E207/Sources!$B$4*1000</x:f>
        <x:v>33.37602963505138</x:v>
      </x:c>
      <x:c r="N207" s="9" t="n">
        <x:f>Sources!$B$6-K207</x:f>
        <x:v>-8960</x:v>
      </x:c>
      <x:c r="O207" s="1" t="str">
        <x:v>keyboard_route</x:v>
      </x:c>
      <x:c r="P207" s="12" t="n">
        <x:v>0</x:v>
      </x:c>
      <x:c r="Q207" s="12" t="n">
        <x:v>-4</x:v>
      </x:c>
      <x:c r="R207" s="12" t="n">
        <x:v>0</x:v>
      </x:c>
      <x:c r="S207" s="12" t="n">
        <x:v>3</x:v>
      </x:c>
      <x:c r="T207" s="1" t="str">
        <x:v>No</x:v>
      </x:c>
      <x:c r="U207" s="1" t="n">
        <x:v>0</x:v>
      </x:c>
    </x:row>
    <x:row r="208" ht="23" customHeight="1">
      <x:c r="A208" s="9" t="n">
        <x:v>207</x:v>
      </x:c>
      <x:c r="B208" s="9" t="n">
        <x:v>0</x:v>
      </x:c>
      <x:c r="C208" s="9" t="n">
        <x:v>703</x:v>
      </x:c>
      <x:c r="D208" s="9" t="n">
        <x:v>2</x:v>
      </x:c>
      <x:c r="E208" s="9" t="n">
        <x:v>119469</x:v>
      </x:c>
      <x:c r="F208" s="9" t="n">
        <x:v>32478</x:v>
      </x:c>
      <x:c r="G208" s="9" t="n">
        <x:v>42178</x:v>
      </x:c>
      <x:c r="H208" s="9" t="n">
        <x:v>40590</x:v>
      </x:c>
      <x:c r="I208" s="9" t="n">
        <x:v>4117</x:v>
      </x:c>
      <x:c r="J208" s="9" t="n">
        <x:v>106</x:v>
      </x:c>
      <x:c r="K208" s="9" t="n">
        <x:f>F208+G208+I208+J208</x:f>
        <x:v>78879</x:v>
      </x:c>
      <x:c r="L208" s="10" t="n">
        <x:f>K208/Sources!$B$4*1000</x:f>
        <x:v>22.03604089346551</x:v>
      </x:c>
      <x:c r="M208" s="10" t="n">
        <x:f>E208/Sources!$B$4*1000</x:f>
        <x:v>33.375470904821704</x:v>
      </x:c>
      <x:c r="N208" s="9" t="n">
        <x:f>Sources!$B$6-K208</x:f>
        <x:v>-19143</x:v>
      </x:c>
      <x:c r="O208" s="1" t="str">
        <x:v>keyboard_route</x:v>
      </x:c>
      <x:c r="P208" s="12" t="n">
        <x:v>0</x:v>
      </x:c>
      <x:c r="Q208" s="12" t="n">
        <x:v>-4</x:v>
      </x:c>
      <x:c r="R208" s="12" t="n">
        <x:v>0</x:v>
      </x:c>
      <x:c r="S208" s="12" t="n">
        <x:v>7</x:v>
      </x:c>
      <x:c r="T208" s="1" t="str">
        <x:v>Yes</x:v>
      </x:c>
      <x:c r="U208" s="1" t="n">
        <x:v>0</x:v>
      </x:c>
    </x:row>
    <x:row r="209" ht="23" customHeight="1">
      <x:c r="A209" s="9" t="n">
        <x:v>208</x:v>
      </x:c>
      <x:c r="B209" s="9" t="n">
        <x:v>0</x:v>
      </x:c>
      <x:c r="C209" s="9" t="n">
        <x:v>699</x:v>
      </x:c>
      <x:c r="D209" s="9" t="n">
        <x:v>2</x:v>
      </x:c>
      <x:c r="E209" s="9" t="n">
        <x:v>119472</x:v>
      </x:c>
      <x:c r="F209" s="9" t="n">
        <x:v>38616</x:v>
      </x:c>
      <x:c r="G209" s="9" t="n">
        <x:v>26018</x:v>
      </x:c>
      <x:c r="H209" s="9" t="n">
        <x:v>50615</x:v>
      </x:c>
      <x:c r="I209" s="9" t="n">
        <x:v>4117</x:v>
      </x:c>
      <x:c r="J209" s="9" t="n">
        <x:v>106</x:v>
      </x:c>
      <x:c r="K209" s="9" t="n">
        <x:f>F209+G209+I209+J209</x:f>
        <x:v>68857</x:v>
      </x:c>
      <x:c r="L209" s="10" t="n">
        <x:f>K209/Sources!$B$4*1000</x:f>
        <x:v>19.236243712538887</x:v>
      </x:c>
      <x:c r="M209" s="10" t="n">
        <x:f>E209/Sources!$B$4*1000</x:f>
        <x:v>33.37630900016622</x:v>
      </x:c>
      <x:c r="N209" s="9" t="n">
        <x:f>Sources!$B$6-K209</x:f>
        <x:v>-9121</x:v>
      </x:c>
      <x:c r="O209" s="1" t="str">
        <x:v>keyboard_route</x:v>
      </x:c>
      <x:c r="P209" s="12" t="n">
        <x:v>0</x:v>
      </x:c>
      <x:c r="Q209" s="12" t="n">
        <x:v>-4</x:v>
      </x:c>
      <x:c r="R209" s="12" t="n">
        <x:v>0</x:v>
      </x:c>
      <x:c r="S209" s="12" t="n">
        <x:v>3</x:v>
      </x:c>
      <x:c r="T209" s="1" t="str">
        <x:v>No</x:v>
      </x:c>
      <x:c r="U209" s="1" t="n">
        <x:v>0</x:v>
      </x:c>
    </x:row>
    <x:row r="210" ht="23" customHeight="1">
      <x:c r="A210" s="9" t="n">
        <x:v>209</x:v>
      </x:c>
      <x:c r="B210" s="9" t="n">
        <x:v>0</x:v>
      </x:c>
      <x:c r="C210" s="9" t="n">
        <x:v>695</x:v>
      </x:c>
      <x:c r="D210" s="9" t="n">
        <x:v>2</x:v>
      </x:c>
      <x:c r="E210" s="9" t="n">
        <x:v>119476</x:v>
      </x:c>
      <x:c r="F210" s="9" t="n">
        <x:v>33356</x:v>
      </x:c>
      <x:c r="G210" s="9" t="n">
        <x:v>42172</x:v>
      </x:c>
      <x:c r="H210" s="9" t="n">
        <x:v>39724.99999999255</x:v>
      </x:c>
      <x:c r="I210" s="9" t="n">
        <x:v>4117</x:v>
      </x:c>
      <x:c r="J210" s="9" t="n">
        <x:v>106.00000000745058</x:v>
      </x:c>
      <x:c r="K210" s="9" t="n">
        <x:f>F210+G210+I210+J210</x:f>
        <x:v>79751.00000000745</x:v>
      </x:c>
      <x:c r="L210" s="10" t="n">
        <x:f>K210/Sources!$B$4*1000</x:f>
        <x:v>22.279647273608084</x:v>
      </x:c>
      <x:c r="M210" s="10" t="n">
        <x:f>E210/Sources!$B$4*1000</x:f>
        <x:v>33.37742646062558</x:v>
      </x:c>
      <x:c r="N210" s="9" t="n">
        <x:f>Sources!$B$6-K210</x:f>
        <x:v>-20015.00000000745</x:v>
      </x:c>
      <x:c r="O210" s="1" t="str">
        <x:v>keyboard_route</x:v>
      </x:c>
      <x:c r="P210" s="12" t="n">
        <x:v>0</x:v>
      </x:c>
      <x:c r="Q210" s="12" t="n">
        <x:v>-4</x:v>
      </x:c>
      <x:c r="R210" s="12" t="n">
        <x:v>0</x:v>
      </x:c>
      <x:c r="S210" s="12" t="n">
        <x:v>7</x:v>
      </x:c>
      <x:c r="T210" s="1" t="str">
        <x:v>Yes</x:v>
      </x:c>
      <x:c r="U210" s="1" t="n">
        <x:v>0</x:v>
      </x:c>
    </x:row>
    <x:row r="211" ht="23" customHeight="1">
      <x:c r="A211" s="9" t="n">
        <x:v>210</x:v>
      </x:c>
      <x:c r="B211" s="9" t="n">
        <x:v>0</x:v>
      </x:c>
      <x:c r="C211" s="9" t="n">
        <x:v>691</x:v>
      </x:c>
      <x:c r="D211" s="9" t="n">
        <x:v>2</x:v>
      </x:c>
      <x:c r="E211" s="9" t="n">
        <x:v>119468.99999999255</x:v>
      </x:c>
      <x:c r="F211" s="9" t="n">
        <x:v>35688</x:v>
      </x:c>
      <x:c r="G211" s="9" t="n">
        <x:v>26018</x:v>
      </x:c>
      <x:c r="H211" s="9" t="n">
        <x:v>53540</x:v>
      </x:c>
      <x:c r="I211" s="9" t="n">
        <x:v>4117</x:v>
      </x:c>
      <x:c r="J211" s="9" t="n">
        <x:v>105.99999999254942</x:v>
      </x:c>
      <x:c r="K211" s="9" t="n">
        <x:f>F211+G211+I211+J211</x:f>
        <x:v>65928.99999999255</x:v>
      </x:c>
      <x:c r="L211" s="10" t="n">
        <x:f>K211/Sources!$B$4*1000</x:f>
        <x:v>18.41826265628524</x:v>
      </x:c>
      <x:c r="M211" s="10" t="n">
        <x:f>E211/Sources!$B$4*1000</x:f>
        <x:v>33.37547090481962</x:v>
      </x:c>
      <x:c r="N211" s="9" t="n">
        <x:f>Sources!$B$6-K211</x:f>
        <x:v>-6192.999999992549</x:v>
      </x:c>
      <x:c r="O211" s="1" t="str">
        <x:v>keyboard_route</x:v>
      </x:c>
      <x:c r="P211" s="12" t="n">
        <x:v>0</x:v>
      </x:c>
      <x:c r="Q211" s="12" t="n">
        <x:v>-4</x:v>
      </x:c>
      <x:c r="R211" s="12" t="n">
        <x:v>0</x:v>
      </x:c>
      <x:c r="S211" s="12" t="n">
        <x:v>3</x:v>
      </x:c>
      <x:c r="T211" s="1" t="str">
        <x:v>No</x:v>
      </x:c>
      <x:c r="U211" s="1" t="n">
        <x:v>0</x:v>
      </x:c>
    </x:row>
    <x:row r="212" ht="23" customHeight="1">
      <x:c r="A212" s="9" t="n">
        <x:v>211</x:v>
      </x:c>
      <x:c r="B212" s="9" t="n">
        <x:v>0</x:v>
      </x:c>
      <x:c r="C212" s="9" t="n">
        <x:v>687</x:v>
      </x:c>
      <x:c r="D212" s="9" t="n">
        <x:v>2</x:v>
      </x:c>
      <x:c r="E212" s="9" t="n">
        <x:v>119474.00000000745</x:v>
      </x:c>
      <x:c r="F212" s="9" t="n">
        <x:v>32504</x:v>
      </x:c>
      <x:c r="G212" s="9" t="n">
        <x:v>42172</x:v>
      </x:c>
      <x:c r="H212" s="9" t="n">
        <x:v>40575.00000000745</x:v>
      </x:c>
      <x:c r="I212" s="9" t="n">
        <x:v>4117</x:v>
      </x:c>
      <x:c r="J212" s="9" t="n">
        <x:v>106</x:v>
      </x:c>
      <x:c r="K212" s="9" t="n">
        <x:f>F212+G212+I212+J212</x:f>
        <x:v>78899</x:v>
      </x:c>
      <x:c r="L212" s="10" t="n">
        <x:f>K212/Sources!$B$4*1000</x:f>
        <x:v>22.04162819576231</x:v>
      </x:c>
      <x:c r="M212" s="10" t="n">
        <x:f>E212/Sources!$B$4*1000</x:f>
        <x:v>33.37686773039798</x:v>
      </x:c>
      <x:c r="N212" s="9" t="n">
        <x:f>Sources!$B$6-K212</x:f>
        <x:v>-19163</x:v>
      </x:c>
      <x:c r="O212" s="1" t="str">
        <x:v>keyboard_route</x:v>
      </x:c>
      <x:c r="P212" s="12" t="n">
        <x:v>0</x:v>
      </x:c>
      <x:c r="Q212" s="12" t="n">
        <x:v>-4</x:v>
      </x:c>
      <x:c r="R212" s="12" t="n">
        <x:v>0</x:v>
      </x:c>
      <x:c r="S212" s="12" t="n">
        <x:v>7</x:v>
      </x:c>
      <x:c r="T212" s="1" t="str">
        <x:v>Yes</x:v>
      </x:c>
      <x:c r="U212" s="1" t="n">
        <x:v>0</x:v>
      </x:c>
    </x:row>
    <x:row r="213" ht="23" customHeight="1">
      <x:c r="A213" s="9" t="n">
        <x:v>212</x:v>
      </x:c>
      <x:c r="B213" s="9" t="n">
        <x:v>0</x:v>
      </x:c>
      <x:c r="C213" s="9" t="n">
        <x:v>683</x:v>
      </x:c>
      <x:c r="D213" s="9" t="n">
        <x:v>2</x:v>
      </x:c>
      <x:c r="E213" s="9" t="n">
        <x:v>119473</x:v>
      </x:c>
      <x:c r="F213" s="9" t="n">
        <x:v>39056</x:v>
      </x:c>
      <x:c r="G213" s="9" t="n">
        <x:v>26024</x:v>
      </x:c>
      <x:c r="H213" s="9" t="n">
        <x:v>50170</x:v>
      </x:c>
      <x:c r="I213" s="9" t="n">
        <x:v>4117</x:v>
      </x:c>
      <x:c r="J213" s="9" t="n">
        <x:v>106</x:v>
      </x:c>
      <x:c r="K213" s="9" t="n">
        <x:f>F213+G213+I213+J213</x:f>
        <x:v>69303</x:v>
      </x:c>
      <x:c r="L213" s="10" t="n">
        <x:f>K213/Sources!$B$4*1000</x:f>
        <x:v>19.36084055375753</x:v>
      </x:c>
      <x:c r="M213" s="10" t="n">
        <x:f>E213/Sources!$B$4*1000</x:f>
        <x:v>33.37658836528106</x:v>
      </x:c>
      <x:c r="N213" s="9" t="n">
        <x:f>Sources!$B$6-K213</x:f>
        <x:v>-9567</x:v>
      </x:c>
      <x:c r="O213" s="1" t="str">
        <x:v>keyboard_route</x:v>
      </x:c>
      <x:c r="P213" s="12" t="n">
        <x:v>0</x:v>
      </x:c>
      <x:c r="Q213" s="12" t="n">
        <x:v>-4</x:v>
      </x:c>
      <x:c r="R213" s="12" t="n">
        <x:v>0</x:v>
      </x:c>
      <x:c r="S213" s="12" t="n">
        <x:v>3</x:v>
      </x:c>
      <x:c r="T213" s="1" t="str">
        <x:v>No</x:v>
      </x:c>
      <x:c r="U213" s="1" t="n">
        <x:v>0</x:v>
      </x:c>
    </x:row>
    <x:row r="214" ht="23" customHeight="1">
      <x:c r="A214" s="9" t="n">
        <x:v>213</x:v>
      </x:c>
      <x:c r="B214" s="9" t="n">
        <x:v>0</x:v>
      </x:c>
      <x:c r="C214" s="9" t="n">
        <x:v>679</x:v>
      </x:c>
      <x:c r="D214" s="9" t="n">
        <x:v>2</x:v>
      </x:c>
      <x:c r="E214" s="9" t="n">
        <x:v>119472</x:v>
      </x:c>
      <x:c r="F214" s="9" t="n">
        <x:v>34220.99999999255</x:v>
      </x:c>
      <x:c r="G214" s="9" t="n">
        <x:v>42178.00000000745</x:v>
      </x:c>
      <x:c r="H214" s="9" t="n">
        <x:v>38850</x:v>
      </x:c>
      <x:c r="I214" s="9" t="n">
        <x:v>4117</x:v>
      </x:c>
      <x:c r="J214" s="9" t="n">
        <x:v>106</x:v>
      </x:c>
      <x:c r="K214" s="9" t="n">
        <x:f>F214+G214+I214+J214</x:f>
        <x:v>80622</x:v>
      </x:c>
      <x:c r="L214" s="10" t="n">
        <x:f>K214/Sources!$B$4*1000</x:f>
        <x:v>22.522974288631655</x:v>
      </x:c>
      <x:c r="M214" s="10" t="n">
        <x:f>E214/Sources!$B$4*1000</x:f>
        <x:v>33.37630900016622</x:v>
      </x:c>
      <x:c r="N214" s="9" t="n">
        <x:f>Sources!$B$6-K214</x:f>
        <x:v>-20886</x:v>
      </x:c>
      <x:c r="O214" s="1" t="str">
        <x:v>keyboard_route</x:v>
      </x:c>
      <x:c r="P214" s="12" t="n">
        <x:v>0</x:v>
      </x:c>
      <x:c r="Q214" s="12" t="n">
        <x:v>-4</x:v>
      </x:c>
      <x:c r="R214" s="12" t="n">
        <x:v>0</x:v>
      </x:c>
      <x:c r="S214" s="12" t="n">
        <x:v>7</x:v>
      </x:c>
      <x:c r="T214" s="1" t="str">
        <x:v>Yes</x:v>
      </x:c>
      <x:c r="U214" s="1" t="n">
        <x:v>0</x:v>
      </x:c>
    </x:row>
    <x:row r="215" ht="23" customHeight="1">
      <x:c r="A215" s="9" t="n">
        <x:v>214</x:v>
      </x:c>
      <x:c r="B215" s="9" t="n">
        <x:v>0</x:v>
      </x:c>
      <x:c r="C215" s="9" t="n">
        <x:v>675</x:v>
      </x:c>
      <x:c r="D215" s="9" t="n">
        <x:v>2</x:v>
      </x:c>
      <x:c r="E215" s="9" t="n">
        <x:v>119469</x:v>
      </x:c>
      <x:c r="F215" s="9" t="n">
        <x:v>35632</x:v>
      </x:c>
      <x:c r="G215" s="9" t="n">
        <x:v>26024</x:v>
      </x:c>
      <x:c r="H215" s="9" t="n">
        <x:v>53590</x:v>
      </x:c>
      <x:c r="I215" s="9" t="n">
        <x:v>4117</x:v>
      </x:c>
      <x:c r="J215" s="9" t="n">
        <x:v>106</x:v>
      </x:c>
      <x:c r="K215" s="9" t="n">
        <x:f>F215+G215+I215+J215</x:f>
        <x:v>65879</x:v>
      </x:c>
      <x:c r="L215" s="10" t="n">
        <x:f>K215/Sources!$B$4*1000</x:f>
        <x:v>18.40429440054532</x:v>
      </x:c>
      <x:c r="M215" s="10" t="n">
        <x:f>E215/Sources!$B$4*1000</x:f>
        <x:v>33.375470904821704</x:v>
      </x:c>
      <x:c r="N215" s="9" t="n">
        <x:f>Sources!$B$6-K215</x:f>
        <x:v>-6143</x:v>
      </x:c>
      <x:c r="O215" s="1" t="str">
        <x:v>keyboard_route</x:v>
      </x:c>
      <x:c r="P215" s="12" t="n">
        <x:v>0</x:v>
      </x:c>
      <x:c r="Q215" s="12" t="n">
        <x:v>-4</x:v>
      </x:c>
      <x:c r="R215" s="12" t="n">
        <x:v>0</x:v>
      </x:c>
      <x:c r="S215" s="12" t="n">
        <x:v>3</x:v>
      </x:c>
      <x:c r="T215" s="1" t="str">
        <x:v>No</x:v>
      </x:c>
      <x:c r="U215" s="1" t="n">
        <x:v>0</x:v>
      </x:c>
    </x:row>
    <x:row r="216" ht="23" customHeight="1">
      <x:c r="A216" s="9" t="n">
        <x:v>215</x:v>
      </x:c>
      <x:c r="B216" s="9" t="n">
        <x:v>0</x:v>
      </x:c>
      <x:c r="C216" s="9" t="n">
        <x:v>671</x:v>
      </x:c>
      <x:c r="D216" s="9" t="n">
        <x:v>2</x:v>
      </x:c>
      <x:c r="E216" s="9" t="n">
        <x:v>119475</x:v>
      </x:c>
      <x:c r="F216" s="9" t="n">
        <x:v>33986</x:v>
      </x:c>
      <x:c r="G216" s="9" t="n">
        <x:v>42146</x:v>
      </x:c>
      <x:c r="H216" s="9" t="n">
        <x:v>39120</x:v>
      </x:c>
      <x:c r="I216" s="9" t="n">
        <x:v>4117</x:v>
      </x:c>
      <x:c r="J216" s="9" t="n">
        <x:v>106</x:v>
      </x:c>
      <x:c r="K216" s="9" t="n">
        <x:f>F216+G216+I216+J216</x:f>
        <x:v>80355</x:v>
      </x:c>
      <x:c r="L216" s="10" t="n">
        <x:f>K216/Sources!$B$4*1000</x:f>
        <x:v>22.44838380296937</x:v>
      </x:c>
      <x:c r="M216" s="10" t="n">
        <x:f>E216/Sources!$B$4*1000</x:f>
        <x:v>33.37714709551074</x:v>
      </x:c>
      <x:c r="N216" s="9" t="n">
        <x:f>Sources!$B$6-K216</x:f>
        <x:v>-20619</x:v>
      </x:c>
      <x:c r="O216" s="1" t="str">
        <x:v>keyboard_route</x:v>
      </x:c>
      <x:c r="P216" s="12" t="n">
        <x:v>0</x:v>
      </x:c>
      <x:c r="Q216" s="12" t="n">
        <x:v>-4</x:v>
      </x:c>
      <x:c r="R216" s="12" t="n">
        <x:v>0</x:v>
      </x:c>
      <x:c r="S216" s="12" t="n">
        <x:v>7</x:v>
      </x:c>
      <x:c r="T216" s="1" t="str">
        <x:v>Yes</x:v>
      </x:c>
      <x:c r="U216" s="1" t="n">
        <x:v>0</x:v>
      </x:c>
    </x:row>
    <x:row r="217" ht="23" customHeight="1">
      <x:c r="A217" s="9" t="n">
        <x:v>216</x:v>
      </x:c>
      <x:c r="B217" s="9" t="n">
        <x:v>0</x:v>
      </x:c>
      <x:c r="C217" s="9" t="n">
        <x:v>667</x:v>
      </x:c>
      <x:c r="D217" s="9" t="n">
        <x:v>2</x:v>
      </x:c>
      <x:c r="E217" s="9" t="n">
        <x:v>119469</x:v>
      </x:c>
      <x:c r="F217" s="9" t="n">
        <x:v>35568</x:v>
      </x:c>
      <x:c r="G217" s="9" t="n">
        <x:v>26018</x:v>
      </x:c>
      <x:c r="H217" s="9" t="n">
        <x:v>53659.99999999255</x:v>
      </x:c>
      <x:c r="I217" s="9" t="n">
        <x:v>4117.000000007451</x:v>
      </x:c>
      <x:c r="J217" s="9" t="n">
        <x:v>106</x:v>
      </x:c>
      <x:c r="K217" s="9" t="n">
        <x:f>F217+G217+I217+J217</x:f>
        <x:v>65809.00000000745</x:v>
      </x:c>
      <x:c r="L217" s="10" t="n">
        <x:f>K217/Sources!$B$4*1000</x:f>
        <x:v>18.384738842508604</x:v>
      </x:c>
      <x:c r="M217" s="10" t="n">
        <x:f>E217/Sources!$B$4*1000</x:f>
        <x:v>33.375470904821704</x:v>
      </x:c>
      <x:c r="N217" s="9" t="n">
        <x:f>Sources!$B$6-K217</x:f>
        <x:v>-6073.000000007451</x:v>
      </x:c>
      <x:c r="O217" s="1" t="str">
        <x:v>keyboard_route</x:v>
      </x:c>
      <x:c r="P217" s="12" t="n">
        <x:v>0</x:v>
      </x:c>
      <x:c r="Q217" s="12" t="n">
        <x:v>-4</x:v>
      </x:c>
      <x:c r="R217" s="12" t="n">
        <x:v>0</x:v>
      </x:c>
      <x:c r="S217" s="12" t="n">
        <x:v>3</x:v>
      </x:c>
      <x:c r="T217" s="1" t="str">
        <x:v>No</x:v>
      </x:c>
      <x:c r="U217" s="1" t="n">
        <x:v>0</x:v>
      </x:c>
    </x:row>
    <x:row r="218" ht="23" customHeight="1">
      <x:c r="A218" s="9" t="n">
        <x:v>217</x:v>
      </x:c>
      <x:c r="B218" s="9" t="n">
        <x:v>0</x:v>
      </x:c>
      <x:c r="C218" s="9" t="n">
        <x:v>663</x:v>
      </x:c>
      <x:c r="D218" s="9" t="n">
        <x:v>2</x:v>
      </x:c>
      <x:c r="E218" s="9" t="n">
        <x:v>119473.99999999255</x:v>
      </x:c>
      <x:c r="F218" s="9" t="n">
        <x:v>34105</x:v>
      </x:c>
      <x:c r="G218" s="9" t="n">
        <x:v>42146</x:v>
      </x:c>
      <x:c r="H218" s="9" t="n">
        <x:v>39000</x:v>
      </x:c>
      <x:c r="I218" s="9" t="n">
        <x:v>4117</x:v>
      </x:c>
      <x:c r="J218" s="9" t="n">
        <x:v>105.99999999254942</x:v>
      </x:c>
      <x:c r="K218" s="9" t="n">
        <x:f>F218+G218+I218+J218</x:f>
        <x:v>80473.99999999255</x:v>
      </x:c>
      <x:c r="L218" s="10" t="n">
        <x:f>K218/Sources!$B$4*1000</x:f>
        <x:v>22.481628251633254</x:v>
      </x:c>
      <x:c r="M218" s="10" t="n">
        <x:f>E218/Sources!$B$4*1000</x:f>
        <x:v>33.37686773039382</x:v>
      </x:c>
      <x:c r="N218" s="9" t="n">
        <x:f>Sources!$B$6-K218</x:f>
        <x:v>-20737.99999999255</x:v>
      </x:c>
      <x:c r="O218" s="1" t="str">
        <x:v>keyboard_route</x:v>
      </x:c>
      <x:c r="P218" s="12" t="n">
        <x:v>0</x:v>
      </x:c>
      <x:c r="Q218" s="12" t="n">
        <x:v>-4</x:v>
      </x:c>
      <x:c r="R218" s="12" t="n">
        <x:v>0</x:v>
      </x:c>
      <x:c r="S218" s="12" t="n">
        <x:v>7</x:v>
      </x:c>
      <x:c r="T218" s="1" t="str">
        <x:v>Yes</x:v>
      </x:c>
      <x:c r="U218" s="1" t="n">
        <x:v>0</x:v>
      </x:c>
    </x:row>
    <x:row r="219" ht="23" customHeight="1">
      <x:c r="A219" s="9" t="n">
        <x:v>218</x:v>
      </x:c>
      <x:c r="B219" s="9" t="n">
        <x:v>0</x:v>
      </x:c>
      <x:c r="C219" s="9" t="n">
        <x:v>659</x:v>
      </x:c>
      <x:c r="D219" s="9" t="n">
        <x:v>2</x:v>
      </x:c>
      <x:c r="E219" s="9" t="n">
        <x:v>119469.00000000745</x:v>
      </x:c>
      <x:c r="F219" s="9" t="n">
        <x:v>34333.00000000745</x:v>
      </x:c>
      <x:c r="G219" s="9" t="n">
        <x:v>26018</x:v>
      </x:c>
      <x:c r="H219" s="9" t="n">
        <x:v>54895</x:v>
      </x:c>
      <x:c r="I219" s="9" t="n">
        <x:v>4117</x:v>
      </x:c>
      <x:c r="J219" s="9" t="n">
        <x:v>106</x:v>
      </x:c>
      <x:c r="K219" s="9" t="n">
        <x:f>F219+G219+I219+J219</x:f>
        <x:v>64574.00000000745</x:v>
      </x:c>
      <x:c r="L219" s="10" t="n">
        <x:f>K219/Sources!$B$4*1000</x:f>
        <x:v>18.039722925681183</x:v>
      </x:c>
      <x:c r="M219" s="10" t="n">
        <x:f>E219/Sources!$B$4*1000</x:f>
        <x:v>33.375470904823786</x:v>
      </x:c>
      <x:c r="N219" s="9" t="n">
        <x:f>Sources!$B$6-K219</x:f>
        <x:v>-4838.000000007451</x:v>
      </x:c>
      <x:c r="O219" s="1" t="str">
        <x:v>keyboard_route</x:v>
      </x:c>
      <x:c r="P219" s="12" t="n">
        <x:v>0</x:v>
      </x:c>
      <x:c r="Q219" s="12" t="n">
        <x:v>-4</x:v>
      </x:c>
      <x:c r="R219" s="12" t="n">
        <x:v>0</x:v>
      </x:c>
      <x:c r="S219" s="12" t="n">
        <x:v>3</x:v>
      </x:c>
      <x:c r="T219" s="1" t="str">
        <x:v>No</x:v>
      </x:c>
      <x:c r="U219" s="1" t="n">
        <x:v>0</x:v>
      </x:c>
    </x:row>
    <x:row r="220" ht="23" customHeight="1">
      <x:c r="A220" s="9" t="n">
        <x:v>219</x:v>
      </x:c>
      <x:c r="B220" s="9" t="n">
        <x:v>0</x:v>
      </x:c>
      <x:c r="C220" s="9" t="n">
        <x:v>655</x:v>
      </x:c>
      <x:c r="D220" s="9" t="n">
        <x:v>2</x:v>
      </x:c>
      <x:c r="E220" s="9" t="n">
        <x:v>119472</x:v>
      </x:c>
      <x:c r="F220" s="9" t="n">
        <x:v>35573.99999999255</x:v>
      </x:c>
      <x:c r="G220" s="9" t="n">
        <x:v>43215.00000000745</x:v>
      </x:c>
      <x:c r="H220" s="9" t="n">
        <x:v>36460</x:v>
      </x:c>
      <x:c r="I220" s="9" t="n">
        <x:v>4117</x:v>
      </x:c>
      <x:c r="J220" s="9" t="n">
        <x:v>106</x:v>
      </x:c>
      <x:c r="K220" s="9" t="n">
        <x:f>F220+G220+I220+J220</x:f>
        <x:v>83012</x:v>
      </x:c>
      <x:c r="L220" s="10" t="n">
        <x:f>K220/Sources!$B$4*1000</x:f>
        <x:v>23.190656913099293</x:v>
      </x:c>
      <x:c r="M220" s="10" t="n">
        <x:f>E220/Sources!$B$4*1000</x:f>
        <x:v>33.37630900016622</x:v>
      </x:c>
      <x:c r="N220" s="9" t="n">
        <x:f>Sources!$B$6-K220</x:f>
        <x:v>-23276</x:v>
      </x:c>
      <x:c r="O220" s="1" t="str">
        <x:v>keyboard_route</x:v>
      </x:c>
      <x:c r="P220" s="12" t="n">
        <x:v>0</x:v>
      </x:c>
      <x:c r="Q220" s="12" t="n">
        <x:v>-4</x:v>
      </x:c>
      <x:c r="R220" s="12" t="n">
        <x:v>0</x:v>
      </x:c>
      <x:c r="S220" s="12" t="n">
        <x:v>7</x:v>
      </x:c>
      <x:c r="T220" s="1" t="str">
        <x:v>Yes</x:v>
      </x:c>
      <x:c r="U220" s="1" t="n">
        <x:v>0</x:v>
      </x:c>
    </x:row>
    <x:row r="221" ht="23" customHeight="1">
      <x:c r="A221" s="9" t="n">
        <x:v>220</x:v>
      </x:c>
      <x:c r="B221" s="9" t="n">
        <x:v>0</x:v>
      </x:c>
      <x:c r="C221" s="9" t="n">
        <x:v>651</x:v>
      </x:c>
      <x:c r="D221" s="9" t="n">
        <x:v>2</x:v>
      </x:c>
      <x:c r="E221" s="9" t="n">
        <x:v>119474</x:v>
      </x:c>
      <x:c r="F221" s="9" t="n">
        <x:v>36477</x:v>
      </x:c>
      <x:c r="G221" s="9" t="n">
        <x:v>26024.00000000745</x:v>
      </x:c>
      <x:c r="H221" s="9" t="n">
        <x:v>52749.99999999255</x:v>
      </x:c>
      <x:c r="I221" s="9" t="n">
        <x:v>4117</x:v>
      </x:c>
      <x:c r="J221" s="9" t="n">
        <x:v>106</x:v>
      </x:c>
      <x:c r="K221" s="9" t="n">
        <x:f>F221+G221+I221+J221</x:f>
        <x:v>66724.00000000745</x:v>
      </x:c>
      <x:c r="L221" s="10" t="n">
        <x:f>K221/Sources!$B$4*1000</x:f>
        <x:v>18.640357922587214</x:v>
      </x:c>
      <x:c r="M221" s="10" t="n">
        <x:f>E221/Sources!$B$4*1000</x:f>
        <x:v>33.3768677303959</x:v>
      </x:c>
      <x:c r="N221" s="9" t="n">
        <x:f>Sources!$B$6-K221</x:f>
        <x:v>-6988.000000007451</x:v>
      </x:c>
      <x:c r="O221" s="1" t="str">
        <x:v>keyboard_route</x:v>
      </x:c>
      <x:c r="P221" s="12" t="n">
        <x:v>0</x:v>
      </x:c>
      <x:c r="Q221" s="12" t="n">
        <x:v>-4</x:v>
      </x:c>
      <x:c r="R221" s="12" t="n">
        <x:v>0</x:v>
      </x:c>
      <x:c r="S221" s="12" t="n">
        <x:v>3</x:v>
      </x:c>
      <x:c r="T221" s="1" t="str">
        <x:v>No</x:v>
      </x:c>
      <x:c r="U221" s="1" t="n">
        <x:v>0</x:v>
      </x:c>
    </x:row>
    <x:row r="222" ht="23" customHeight="1">
      <x:c r="A222" s="9" t="n">
        <x:v>221</x:v>
      </x:c>
      <x:c r="B222" s="9" t="n">
        <x:v>0</x:v>
      </x:c>
      <x:c r="C222" s="9" t="n">
        <x:v>647</x:v>
      </x:c>
      <x:c r="D222" s="9" t="n">
        <x:v>2</x:v>
      </x:c>
      <x:c r="E222" s="9" t="n">
        <x:v>119473</x:v>
      </x:c>
      <x:c r="F222" s="9" t="n">
        <x:v>36044</x:v>
      </x:c>
      <x:c r="G222" s="9" t="n">
        <x:v>42346</x:v>
      </x:c>
      <x:c r="H222" s="9" t="n">
        <x:v>36860</x:v>
      </x:c>
      <x:c r="I222" s="9" t="n">
        <x:v>4117</x:v>
      </x:c>
      <x:c r="J222" s="9" t="n">
        <x:v>106</x:v>
      </x:c>
      <x:c r="K222" s="9" t="n">
        <x:f>F222+G222+I222+J222</x:f>
        <x:v>82613</x:v>
      </x:c>
      <x:c r="L222" s="10" t="n">
        <x:f>K222/Sources!$B$4*1000</x:f>
        <x:v>23.079190232278123</x:v>
      </x:c>
      <x:c r="M222" s="10" t="n">
        <x:f>E222/Sources!$B$4*1000</x:f>
        <x:v>33.37658836528106</x:v>
      </x:c>
      <x:c r="N222" s="9" t="n">
        <x:f>Sources!$B$6-K222</x:f>
        <x:v>-22877</x:v>
      </x:c>
      <x:c r="O222" s="1" t="str">
        <x:v>keyboard_route</x:v>
      </x:c>
      <x:c r="P222" s="12" t="n">
        <x:v>0</x:v>
      </x:c>
      <x:c r="Q222" s="12" t="n">
        <x:v>-4</x:v>
      </x:c>
      <x:c r="R222" s="12" t="n">
        <x:v>0</x:v>
      </x:c>
      <x:c r="S222" s="12" t="n">
        <x:v>7</x:v>
      </x:c>
      <x:c r="T222" s="1" t="str">
        <x:v>Yes</x:v>
      </x:c>
      <x:c r="U222" s="1" t="n">
        <x:v>0</x:v>
      </x:c>
    </x:row>
    <x:row r="223" ht="23" customHeight="1">
      <x:c r="A223" s="9" t="n">
        <x:v>222</x:v>
      </x:c>
      <x:c r="B223" s="9" t="n">
        <x:v>0</x:v>
      </x:c>
      <x:c r="C223" s="9" t="n">
        <x:v>643</x:v>
      </x:c>
      <x:c r="D223" s="9" t="n">
        <x:v>2</x:v>
      </x:c>
      <x:c r="E223" s="9" t="n">
        <x:v>119473</x:v>
      </x:c>
      <x:c r="F223" s="9" t="n">
        <x:v>36422</x:v>
      </x:c>
      <x:c r="G223" s="9" t="n">
        <x:v>26018</x:v>
      </x:c>
      <x:c r="H223" s="9" t="n">
        <x:v>52810</x:v>
      </x:c>
      <x:c r="I223" s="9" t="n">
        <x:v>4117</x:v>
      </x:c>
      <x:c r="J223" s="9" t="n">
        <x:v>106</x:v>
      </x:c>
      <x:c r="K223" s="9" t="n">
        <x:f>F223+G223+I223+J223</x:f>
        <x:v>66663</x:v>
      </x:c>
      <x:c r="L223" s="10" t="n">
        <x:f>K223/Sources!$B$4*1000</x:f>
        <x:v>18.62331665057989</x:v>
      </x:c>
      <x:c r="M223" s="10" t="n">
        <x:f>E223/Sources!$B$4*1000</x:f>
        <x:v>33.37658836528106</x:v>
      </x:c>
      <x:c r="N223" s="9" t="n">
        <x:f>Sources!$B$6-K223</x:f>
        <x:v>-6927</x:v>
      </x:c>
      <x:c r="O223" s="1" t="str">
        <x:v>keyboard_route</x:v>
      </x:c>
      <x:c r="P223" s="12" t="n">
        <x:v>0</x:v>
      </x:c>
      <x:c r="Q223" s="12" t="n">
        <x:v>-4</x:v>
      </x:c>
      <x:c r="R223" s="12" t="n">
        <x:v>0</x:v>
      </x:c>
      <x:c r="S223" s="12" t="n">
        <x:v>3</x:v>
      </x:c>
      <x:c r="T223" s="1" t="str">
        <x:v>No</x:v>
      </x:c>
      <x:c r="U223" s="1" t="n">
        <x:v>0</x:v>
      </x:c>
    </x:row>
    <x:row r="224" ht="23" customHeight="1">
      <x:c r="A224" s="9" t="n">
        <x:v>223</x:v>
      </x:c>
      <x:c r="B224" s="9" t="n">
        <x:v>0</x:v>
      </x:c>
      <x:c r="C224" s="9" t="n">
        <x:v>639</x:v>
      </x:c>
      <x:c r="D224" s="9" t="n">
        <x:v>2</x:v>
      </x:c>
      <x:c r="E224" s="9" t="n">
        <x:v>119468</x:v>
      </x:c>
      <x:c r="F224" s="9" t="n">
        <x:v>33010</x:v>
      </x:c>
      <x:c r="G224" s="9" t="n">
        <x:v>42270</x:v>
      </x:c>
      <x:c r="H224" s="9" t="n">
        <x:v>39965</x:v>
      </x:c>
      <x:c r="I224" s="9" t="n">
        <x:v>4116.999999992549</x:v>
      </x:c>
      <x:c r="J224" s="9" t="n">
        <x:v>106.00000000745058</x:v>
      </x:c>
      <x:c r="K224" s="9" t="n">
        <x:f>F224+G224+I224+J224</x:f>
        <x:v>79503</x:v>
      </x:c>
      <x:c r="L224" s="10" t="n">
        <x:f>K224/Sources!$B$4*1000</x:f>
        <x:v>22.21036472512568</x:v>
      </x:c>
      <x:c r="M224" s="10" t="n">
        <x:f>E224/Sources!$B$4*1000</x:f>
        <x:v>33.37519153970686</x:v>
      </x:c>
      <x:c r="N224" s="9" t="n">
        <x:f>Sources!$B$6-K224</x:f>
        <x:v>-19767</x:v>
      </x:c>
      <x:c r="O224" s="1" t="str">
        <x:v>keyboard_route</x:v>
      </x:c>
      <x:c r="P224" s="12" t="n">
        <x:v>0</x:v>
      </x:c>
      <x:c r="Q224" s="12" t="n">
        <x:v>-4</x:v>
      </x:c>
      <x:c r="R224" s="12" t="n">
        <x:v>0</x:v>
      </x:c>
      <x:c r="S224" s="12" t="n">
        <x:v>7</x:v>
      </x:c>
      <x:c r="T224" s="1" t="str">
        <x:v>Yes</x:v>
      </x:c>
      <x:c r="U224" s="1" t="n">
        <x:v>0</x:v>
      </x:c>
    </x:row>
    <x:row r="225" ht="23" customHeight="1">
      <x:c r="A225" s="9" t="n">
        <x:v>224</x:v>
      </x:c>
      <x:c r="B225" s="9" t="n">
        <x:v>0</x:v>
      </x:c>
      <x:c r="C225" s="9" t="n">
        <x:v>635</x:v>
      </x:c>
      <x:c r="D225" s="9" t="n">
        <x:v>2</x:v>
      </x:c>
      <x:c r="E225" s="9" t="n">
        <x:v>119476</x:v>
      </x:c>
      <x:c r="F225" s="9" t="n">
        <x:v>34400</x:v>
      </x:c>
      <x:c r="G225" s="9" t="n">
        <x:v>26018</x:v>
      </x:c>
      <x:c r="H225" s="9" t="n">
        <x:v>54835</x:v>
      </x:c>
      <x:c r="I225" s="9" t="n">
        <x:v>4117</x:v>
      </x:c>
      <x:c r="J225" s="9" t="n">
        <x:v>106</x:v>
      </x:c>
      <x:c r="K225" s="9" t="n">
        <x:f>F225+G225+I225+J225</x:f>
        <x:v>64641</x:v>
      </x:c>
      <x:c r="L225" s="10" t="n">
        <x:f>K225/Sources!$B$4*1000</x:f>
        <x:v>18.058440388373384</x:v>
      </x:c>
      <x:c r="M225" s="10" t="n">
        <x:f>E225/Sources!$B$4*1000</x:f>
        <x:v>33.37742646062558</x:v>
      </x:c>
      <x:c r="N225" s="9" t="n">
        <x:f>Sources!$B$6-K225</x:f>
        <x:v>-4905</x:v>
      </x:c>
      <x:c r="O225" s="1" t="str">
        <x:v>keyboard_route</x:v>
      </x:c>
      <x:c r="P225" s="12" t="n">
        <x:v>0</x:v>
      </x:c>
      <x:c r="Q225" s="12" t="n">
        <x:v>-4</x:v>
      </x:c>
      <x:c r="R225" s="12" t="n">
        <x:v>0</x:v>
      </x:c>
      <x:c r="S225" s="12" t="n">
        <x:v>3</x:v>
      </x:c>
      <x:c r="T225" s="1" t="str">
        <x:v>No</x:v>
      </x:c>
      <x:c r="U225" s="1" t="n">
        <x:v>0</x:v>
      </x:c>
    </x:row>
    <x:row r="226" ht="23" customHeight="1">
      <x:c r="A226" s="9" t="n">
        <x:v>225</x:v>
      </x:c>
      <x:c r="B226" s="9" t="n">
        <x:v>0</x:v>
      </x:c>
      <x:c r="C226" s="9" t="n">
        <x:v>631</x:v>
      </x:c>
      <x:c r="D226" s="9" t="n">
        <x:v>2</x:v>
      </x:c>
      <x:c r="E226" s="9" t="n">
        <x:v>119470.99999999255</x:v>
      </x:c>
      <x:c r="F226" s="9" t="n">
        <x:v>34795</x:v>
      </x:c>
      <x:c r="G226" s="9" t="n">
        <x:v>42167.99999999255</x:v>
      </x:c>
      <x:c r="H226" s="9" t="n">
        <x:v>38285.00000000745</x:v>
      </x:c>
      <x:c r="I226" s="9" t="n">
        <x:v>4116.999999992549</x:v>
      </x:c>
      <x:c r="J226" s="9" t="n">
        <x:v>106</x:v>
      </x:c>
      <x:c r="K226" s="9" t="n">
        <x:f>F226+G226+I226+J226</x:f>
        <x:v>81185.9999999851</x:v>
      </x:c>
      <x:c r="L226" s="10" t="n">
        <x:f>K226/Sources!$B$4*1000</x:f>
        <x:v>22.68053621339726</x:v>
      </x:c>
      <x:c r="M226" s="10" t="n">
        <x:f>E226/Sources!$B$4*1000</x:f>
        <x:v>33.3760296350493</x:v>
      </x:c>
      <x:c r="N226" s="9" t="n">
        <x:f>Sources!$B$6-K226</x:f>
        <x:v>-21449.9999999851</x:v>
      </x:c>
      <x:c r="O226" s="1" t="str">
        <x:v>keyboard_route</x:v>
      </x:c>
      <x:c r="P226" s="12" t="n">
        <x:v>0</x:v>
      </x:c>
      <x:c r="Q226" s="12" t="n">
        <x:v>-4</x:v>
      </x:c>
      <x:c r="R226" s="12" t="n">
        <x:v>0</x:v>
      </x:c>
      <x:c r="S226" s="12" t="n">
        <x:v>7</x:v>
      </x:c>
      <x:c r="T226" s="1" t="str">
        <x:v>Yes</x:v>
      </x:c>
      <x:c r="U226" s="1" t="n">
        <x:v>0</x:v>
      </x:c>
    </x:row>
    <x:row r="227" ht="23" customHeight="1">
      <x:c r="A227" s="9" t="n">
        <x:v>226</x:v>
      </x:c>
      <x:c r="B227" s="9" t="n">
        <x:v>0</x:v>
      </x:c>
      <x:c r="C227" s="9" t="n">
        <x:v>627</x:v>
      </x:c>
      <x:c r="D227" s="9" t="n">
        <x:v>2</x:v>
      </x:c>
      <x:c r="E227" s="9" t="n">
        <x:v>119471.00000000745</x:v>
      </x:c>
      <x:c r="F227" s="9" t="n">
        <x:v>38810.00000000745</x:v>
      </x:c>
      <x:c r="G227" s="9" t="n">
        <x:v>26018</x:v>
      </x:c>
      <x:c r="H227" s="9" t="n">
        <x:v>50420</x:v>
      </x:c>
      <x:c r="I227" s="9" t="n">
        <x:v>4117</x:v>
      </x:c>
      <x:c r="J227" s="9" t="n">
        <x:v>106</x:v>
      </x:c>
      <x:c r="K227" s="9" t="n">
        <x:f>F227+G227+I227+J227</x:f>
        <x:v>69051.00000000745</x:v>
      </x:c>
      <x:c r="L227" s="10" t="n">
        <x:f>K227/Sources!$B$4*1000</x:f>
        <x:v>19.290440544819926</x:v>
      </x:c>
      <x:c r="M227" s="10" t="n">
        <x:f>E227/Sources!$B$4*1000</x:f>
        <x:v>33.37602963505346</x:v>
      </x:c>
      <x:c r="N227" s="9" t="n">
        <x:f>Sources!$B$6-K227</x:f>
        <x:v>-9315.00000000745</x:v>
      </x:c>
      <x:c r="O227" s="1" t="str">
        <x:v>keyboard_route</x:v>
      </x:c>
      <x:c r="P227" s="12" t="n">
        <x:v>0</x:v>
      </x:c>
      <x:c r="Q227" s="12" t="n">
        <x:v>-4</x:v>
      </x:c>
      <x:c r="R227" s="12" t="n">
        <x:v>0</x:v>
      </x:c>
      <x:c r="S227" s="12" t="n">
        <x:v>3</x:v>
      </x:c>
      <x:c r="T227" s="1" t="str">
        <x:v>No</x:v>
      </x:c>
      <x:c r="U227" s="1" t="n">
        <x:v>0</x:v>
      </x:c>
    </x:row>
    <x:row r="228" ht="23" customHeight="1">
      <x:c r="A228" s="9" t="n">
        <x:v>227</x:v>
      </x:c>
      <x:c r="B228" s="9" t="n">
        <x:v>0</x:v>
      </x:c>
      <x:c r="C228" s="9" t="n">
        <x:v>623</x:v>
      </x:c>
      <x:c r="D228" s="9" t="n">
        <x:v>2</x:v>
      </x:c>
      <x:c r="E228" s="9" t="n">
        <x:v>119474</x:v>
      </x:c>
      <x:c r="F228" s="9" t="n">
        <x:v>36326</x:v>
      </x:c>
      <x:c r="G228" s="9" t="n">
        <x:v>42060</x:v>
      </x:c>
      <x:c r="H228" s="9" t="n">
        <x:v>36864.99999999255</x:v>
      </x:c>
      <x:c r="I228" s="9" t="n">
        <x:v>4117.000000007451</x:v>
      </x:c>
      <x:c r="J228" s="9" t="n">
        <x:v>106</x:v>
      </x:c>
      <x:c r="K228" s="9" t="n">
        <x:f>F228+G228+I228+J228</x:f>
        <x:v>82609.00000000745</x:v>
      </x:c>
      <x:c r="L228" s="10" t="n">
        <x:f>K228/Sources!$B$4*1000</x:f>
        <x:v>23.078072771820846</x:v>
      </x:c>
      <x:c r="M228" s="10" t="n">
        <x:f>E228/Sources!$B$4*1000</x:f>
        <x:v>33.3768677303959</x:v>
      </x:c>
      <x:c r="N228" s="9" t="n">
        <x:f>Sources!$B$6-K228</x:f>
        <x:v>-22873.00000000745</x:v>
      </x:c>
      <x:c r="O228" s="1" t="str">
        <x:v>keyboard_route</x:v>
      </x:c>
      <x:c r="P228" s="12" t="n">
        <x:v>0</x:v>
      </x:c>
      <x:c r="Q228" s="12" t="n">
        <x:v>-4</x:v>
      </x:c>
      <x:c r="R228" s="12" t="n">
        <x:v>0</x:v>
      </x:c>
      <x:c r="S228" s="12" t="n">
        <x:v>7</x:v>
      </x:c>
      <x:c r="T228" s="1" t="str">
        <x:v>Yes</x:v>
      </x:c>
      <x:c r="U228" s="1" t="n">
        <x:v>0</x:v>
      </x:c>
    </x:row>
    <x:row r="229" ht="23" customHeight="1">
      <x:c r="A229" s="9" t="n">
        <x:v>228</x:v>
      </x:c>
      <x:c r="B229" s="9" t="n">
        <x:v>0</x:v>
      </x:c>
      <x:c r="C229" s="9" t="n">
        <x:v>619</x:v>
      </x:c>
      <x:c r="D229" s="9" t="n">
        <x:v>2</x:v>
      </x:c>
      <x:c r="E229" s="9" t="n">
        <x:v>119470</x:v>
      </x:c>
      <x:c r="F229" s="9" t="n">
        <x:v>35700</x:v>
      </x:c>
      <x:c r="G229" s="9" t="n">
        <x:v>26012</x:v>
      </x:c>
      <x:c r="H229" s="9" t="n">
        <x:v>53535</x:v>
      </x:c>
      <x:c r="I229" s="9" t="n">
        <x:v>4117.000000007451</x:v>
      </x:c>
      <x:c r="J229" s="9" t="n">
        <x:v>105.99999999254942</x:v>
      </x:c>
      <x:c r="K229" s="9" t="n">
        <x:f>F229+G229+I229+J229</x:f>
        <x:v>65935</x:v>
      </x:c>
      <x:c r="L229" s="10" t="n">
        <x:f>K229/Sources!$B$4*1000</x:f>
        <x:v>18.41993884697636</x:v>
      </x:c>
      <x:c r="M229" s="10" t="n">
        <x:f>E229/Sources!$B$4*1000</x:f>
        <x:v>33.37575026993654</x:v>
      </x:c>
      <x:c r="N229" s="9" t="n">
        <x:f>Sources!$B$6-K229</x:f>
        <x:v>-6199</x:v>
      </x:c>
      <x:c r="O229" s="1" t="str">
        <x:v>keyboard_route</x:v>
      </x:c>
      <x:c r="P229" s="12" t="n">
        <x:v>0</x:v>
      </x:c>
      <x:c r="Q229" s="12" t="n">
        <x:v>-4</x:v>
      </x:c>
      <x:c r="R229" s="12" t="n">
        <x:v>0</x:v>
      </x:c>
      <x:c r="S229" s="12" t="n">
        <x:v>3</x:v>
      </x:c>
      <x:c r="T229" s="1" t="str">
        <x:v>No</x:v>
      </x:c>
      <x:c r="U229" s="1" t="n">
        <x:v>0</x:v>
      </x:c>
    </x:row>
    <x:row r="230" ht="23" customHeight="1">
      <x:c r="A230" s="9" t="n">
        <x:v>229</x:v>
      </x:c>
      <x:c r="B230" s="9" t="n">
        <x:v>0</x:v>
      </x:c>
      <x:c r="C230" s="9" t="n">
        <x:v>615</x:v>
      </x:c>
      <x:c r="D230" s="9" t="n">
        <x:v>2</x:v>
      </x:c>
      <x:c r="E230" s="9" t="n">
        <x:v>119471</x:v>
      </x:c>
      <x:c r="F230" s="9" t="n">
        <x:v>34058</x:v>
      </x:c>
      <x:c r="G230" s="9" t="n">
        <x:v>42059.99999999255</x:v>
      </x:c>
      <x:c r="H230" s="9" t="n">
        <x:v>39130.00000000745</x:v>
      </x:c>
      <x:c r="I230" s="9" t="n">
        <x:v>4117</x:v>
      </x:c>
      <x:c r="J230" s="9" t="n">
        <x:v>106</x:v>
      </x:c>
      <x:c r="K230" s="9" t="n">
        <x:f>F230+G230+I230+J230</x:f>
        <x:v>80340.99999999255</x:v>
      </x:c>
      <x:c r="L230" s="10" t="n">
        <x:f>K230/Sources!$B$4*1000</x:f>
        <x:v>22.44447269135953</x:v>
      </x:c>
      <x:c r="M230" s="10" t="n">
        <x:f>E230/Sources!$B$4*1000</x:f>
        <x:v>33.37602963505138</x:v>
      </x:c>
      <x:c r="N230" s="9" t="n">
        <x:f>Sources!$B$6-K230</x:f>
        <x:v>-20604.99999999255</x:v>
      </x:c>
      <x:c r="O230" s="1" t="str">
        <x:v>keyboard_route</x:v>
      </x:c>
      <x:c r="P230" s="12" t="n">
        <x:v>0</x:v>
      </x:c>
      <x:c r="Q230" s="12" t="n">
        <x:v>-4</x:v>
      </x:c>
      <x:c r="R230" s="12" t="n">
        <x:v>0</x:v>
      </x:c>
      <x:c r="S230" s="12" t="n">
        <x:v>7</x:v>
      </x:c>
      <x:c r="T230" s="1" t="str">
        <x:v>Yes</x:v>
      </x:c>
      <x:c r="U230" s="1" t="n">
        <x:v>0</x:v>
      </x:c>
    </x:row>
    <x:row r="231" ht="23" customHeight="1">
      <x:c r="A231" s="9" t="n">
        <x:v>230</x:v>
      </x:c>
      <x:c r="B231" s="9" t="n">
        <x:v>0</x:v>
      </x:c>
      <x:c r="C231" s="9" t="n">
        <x:v>611</x:v>
      </x:c>
      <x:c r="D231" s="9" t="n">
        <x:v>2</x:v>
      </x:c>
      <x:c r="E231" s="9" t="n">
        <x:v>119471</x:v>
      </x:c>
      <x:c r="F231" s="9" t="n">
        <x:v>36001</x:v>
      </x:c>
      <x:c r="G231" s="9" t="n">
        <x:v>26012</x:v>
      </x:c>
      <x:c r="H231" s="9" t="n">
        <x:v>53235</x:v>
      </x:c>
      <x:c r="I231" s="9" t="n">
        <x:v>4117.000000007451</x:v>
      </x:c>
      <x:c r="J231" s="9" t="n">
        <x:v>105.99999999254942</x:v>
      </x:c>
      <x:c r="K231" s="9" t="n">
        <x:f>F231+G231+I231+J231</x:f>
        <x:v>66236</x:v>
      </x:c>
      <x:c r="L231" s="10" t="n">
        <x:f>K231/Sources!$B$4*1000</x:f>
        <x:v>18.504027746543205</x:v>
      </x:c>
      <x:c r="M231" s="10" t="n">
        <x:f>E231/Sources!$B$4*1000</x:f>
        <x:v>33.37602963505138</x:v>
      </x:c>
      <x:c r="N231" s="9" t="n">
        <x:f>Sources!$B$6-K231</x:f>
        <x:v>-6500</x:v>
      </x:c>
      <x:c r="O231" s="1" t="str">
        <x:v>keyboard_route</x:v>
      </x:c>
      <x:c r="P231" s="12" t="n">
        <x:v>0</x:v>
      </x:c>
      <x:c r="Q231" s="12" t="n">
        <x:v>-4</x:v>
      </x:c>
      <x:c r="R231" s="12" t="n">
        <x:v>0</x:v>
      </x:c>
      <x:c r="S231" s="12" t="n">
        <x:v>3</x:v>
      </x:c>
      <x:c r="T231" s="1" t="str">
        <x:v>No</x:v>
      </x:c>
      <x:c r="U231" s="1" t="n">
        <x:v>0</x:v>
      </x:c>
    </x:row>
    <x:row r="232" ht="23" customHeight="1">
      <x:c r="A232" s="9" t="n">
        <x:v>231</x:v>
      </x:c>
      <x:c r="B232" s="9" t="n">
        <x:v>0</x:v>
      </x:c>
      <x:c r="C232" s="9" t="n">
        <x:v>607</x:v>
      </x:c>
      <x:c r="D232" s="9" t="n">
        <x:v>2</x:v>
      </x:c>
      <x:c r="E232" s="9" t="n">
        <x:v>119473.99999999255</x:v>
      </x:c>
      <x:c r="F232" s="9" t="n">
        <x:v>35570</x:v>
      </x:c>
      <x:c r="G232" s="9" t="n">
        <x:v>41491</x:v>
      </x:c>
      <x:c r="H232" s="9" t="n">
        <x:v>38190</x:v>
      </x:c>
      <x:c r="I232" s="9" t="n">
        <x:v>4116.999999992549</x:v>
      </x:c>
      <x:c r="J232" s="9" t="n">
        <x:v>106</x:v>
      </x:c>
      <x:c r="K232" s="9" t="n">
        <x:f>F232+G232+I232+J232</x:f>
        <x:v>81283.99999999255</x:v>
      </x:c>
      <x:c r="L232" s="10" t="n">
        <x:f>K232/Sources!$B$4*1000</x:f>
        <x:v>22.707913994653666</x:v>
      </x:c>
      <x:c r="M232" s="10" t="n">
        <x:f>E232/Sources!$B$4*1000</x:f>
        <x:v>33.37686773039382</x:v>
      </x:c>
      <x:c r="N232" s="9" t="n">
        <x:f>Sources!$B$6-K232</x:f>
        <x:v>-21547.99999999255</x:v>
      </x:c>
      <x:c r="O232" s="1" t="str">
        <x:v>keyboard_route</x:v>
      </x:c>
      <x:c r="P232" s="12" t="n">
        <x:v>0</x:v>
      </x:c>
      <x:c r="Q232" s="12" t="n">
        <x:v>-4</x:v>
      </x:c>
      <x:c r="R232" s="12" t="n">
        <x:v>0</x:v>
      </x:c>
      <x:c r="S232" s="12" t="n">
        <x:v>7</x:v>
      </x:c>
      <x:c r="T232" s="1" t="str">
        <x:v>Yes</x:v>
      </x:c>
      <x:c r="U232" s="1" t="n">
        <x:v>0</x:v>
      </x:c>
    </x:row>
    <x:row r="233" ht="23" customHeight="1">
      <x:c r="A233" s="9" t="n">
        <x:v>232</x:v>
      </x:c>
      <x:c r="B233" s="9" t="n">
        <x:v>0</x:v>
      </x:c>
      <x:c r="C233" s="9" t="n">
        <x:v>603</x:v>
      </x:c>
      <x:c r="D233" s="9" t="n">
        <x:v>2</x:v>
      </x:c>
      <x:c r="E233" s="9" t="n">
        <x:v>119471.00000000745</x:v>
      </x:c>
      <x:c r="F233" s="9" t="n">
        <x:v>38511.00000000745</x:v>
      </x:c>
      <x:c r="G233" s="9" t="n">
        <x:v>26012</x:v>
      </x:c>
      <x:c r="H233" s="9" t="n">
        <x:v>50725</x:v>
      </x:c>
      <x:c r="I233" s="9" t="n">
        <x:v>4117</x:v>
      </x:c>
      <x:c r="J233" s="9" t="n">
        <x:v>106</x:v>
      </x:c>
      <x:c r="K233" s="9" t="n">
        <x:f>F233+G233+I233+J233</x:f>
        <x:v>68746.00000000745</x:v>
      </x:c>
      <x:c r="L233" s="10" t="n">
        <x:f>K233/Sources!$B$4*1000</x:f>
        <x:v>19.205234184793724</x:v>
      </x:c>
      <x:c r="M233" s="10" t="n">
        <x:f>E233/Sources!$B$4*1000</x:f>
        <x:v>33.37602963505346</x:v>
      </x:c>
      <x:c r="N233" s="9" t="n">
        <x:f>Sources!$B$6-K233</x:f>
        <x:v>-9010.00000000745</x:v>
      </x:c>
      <x:c r="O233" s="1" t="str">
        <x:v>keyboard_route</x:v>
      </x:c>
      <x:c r="P233" s="12" t="n">
        <x:v>0</x:v>
      </x:c>
      <x:c r="Q233" s="12" t="n">
        <x:v>-4</x:v>
      </x:c>
      <x:c r="R233" s="12" t="n">
        <x:v>0</x:v>
      </x:c>
      <x:c r="S233" s="12" t="n">
        <x:v>3</x:v>
      </x:c>
      <x:c r="T233" s="1" t="str">
        <x:v>No</x:v>
      </x:c>
      <x:c r="U233" s="1" t="n">
        <x:v>0</x:v>
      </x:c>
    </x:row>
    <x:row r="234" ht="23" customHeight="1">
      <x:c r="A234" s="9" t="n">
        <x:v>233</x:v>
      </x:c>
      <x:c r="B234" s="9" t="n">
        <x:v>0</x:v>
      </x:c>
      <x:c r="C234" s="9" t="n">
        <x:v>599</x:v>
      </x:c>
      <x:c r="D234" s="9" t="n">
        <x:v>2</x:v>
      </x:c>
      <x:c r="E234" s="9" t="n">
        <x:v>119474</x:v>
      </x:c>
      <x:c r="F234" s="9" t="n">
        <x:v>35713</x:v>
      </x:c>
      <x:c r="G234" s="9" t="n">
        <x:v>40948</x:v>
      </x:c>
      <x:c r="H234" s="9" t="n">
        <x:v>38589.99999999255</x:v>
      </x:c>
      <x:c r="I234" s="9" t="n">
        <x:v>4117</x:v>
      </x:c>
      <x:c r="J234" s="9" t="n">
        <x:v>106.00000000745058</x:v>
      </x:c>
      <x:c r="K234" s="9" t="n">
        <x:f>F234+G234+I234+J234</x:f>
        <x:v>80884.00000000745</x:v>
      </x:c>
      <x:c r="L234" s="10" t="n">
        <x:f>K234/Sources!$B$4*1000</x:f>
        <x:v>22.59616794872182</x:v>
      </x:c>
      <x:c r="M234" s="10" t="n">
        <x:f>E234/Sources!$B$4*1000</x:f>
        <x:v>33.3768677303959</x:v>
      </x:c>
      <x:c r="N234" s="9" t="n">
        <x:f>Sources!$B$6-K234</x:f>
        <x:v>-21148.00000000745</x:v>
      </x:c>
      <x:c r="O234" s="1" t="str">
        <x:v>keyboard_route</x:v>
      </x:c>
      <x:c r="P234" s="12" t="n">
        <x:v>0</x:v>
      </x:c>
      <x:c r="Q234" s="12" t="n">
        <x:v>-4</x:v>
      </x:c>
      <x:c r="R234" s="12" t="n">
        <x:v>0</x:v>
      </x:c>
      <x:c r="S234" s="12" t="n">
        <x:v>7</x:v>
      </x:c>
      <x:c r="T234" s="1" t="str">
        <x:v>Yes</x:v>
      </x:c>
      <x:c r="U234" s="1" t="n">
        <x:v>0</x:v>
      </x:c>
    </x:row>
    <x:row r="235" ht="23" customHeight="1">
      <x:c r="A235" s="9" t="n">
        <x:v>234</x:v>
      </x:c>
      <x:c r="B235" s="9" t="n">
        <x:v>0</x:v>
      </x:c>
      <x:c r="C235" s="9" t="n">
        <x:v>595</x:v>
      </x:c>
      <x:c r="D235" s="9" t="n">
        <x:v>2</x:v>
      </x:c>
      <x:c r="E235" s="9" t="n">
        <x:v>119470</x:v>
      </x:c>
      <x:c r="F235" s="9" t="n">
        <x:v>37079.99999999255</x:v>
      </x:c>
      <x:c r="G235" s="9" t="n">
        <x:v>26012.00000000745</x:v>
      </x:c>
      <x:c r="H235" s="9" t="n">
        <x:v>52154.99999999255</x:v>
      </x:c>
      <x:c r="I235" s="9" t="n">
        <x:v>4117.000000007451</x:v>
      </x:c>
      <x:c r="J235" s="9" t="n">
        <x:v>106</x:v>
      </x:c>
      <x:c r="K235" s="9" t="n">
        <x:f>F235+G235+I235+J235</x:f>
        <x:v>67315.00000000745</x:v>
      </x:c>
      <x:c r="L235" s="10" t="n">
        <x:f>K235/Sources!$B$4*1000</x:f>
        <x:v>18.805462705457664</x:v>
      </x:c>
      <x:c r="M235" s="10" t="n">
        <x:f>E235/Sources!$B$4*1000</x:f>
        <x:v>33.37575026993654</x:v>
      </x:c>
      <x:c r="N235" s="9" t="n">
        <x:f>Sources!$B$6-K235</x:f>
        <x:v>-7579.000000007451</x:v>
      </x:c>
      <x:c r="O235" s="1" t="str">
        <x:v>keyboard_route</x:v>
      </x:c>
      <x:c r="P235" s="12" t="n">
        <x:v>0</x:v>
      </x:c>
      <x:c r="Q235" s="12" t="n">
        <x:v>-4</x:v>
      </x:c>
      <x:c r="R235" s="12" t="n">
        <x:v>0</x:v>
      </x:c>
      <x:c r="S235" s="12" t="n">
        <x:v>3</x:v>
      </x:c>
      <x:c r="T235" s="1" t="str">
        <x:v>No</x:v>
      </x:c>
      <x:c r="U235" s="1" t="n">
        <x:v>0</x:v>
      </x:c>
    </x:row>
    <x:row r="236" ht="23" customHeight="1">
      <x:c r="A236" s="9" t="n">
        <x:v>235</x:v>
      </x:c>
      <x:c r="B236" s="9" t="n">
        <x:v>0</x:v>
      </x:c>
      <x:c r="C236" s="9" t="n">
        <x:v>591</x:v>
      </x:c>
      <x:c r="D236" s="9" t="n">
        <x:v>2</x:v>
      </x:c>
      <x:c r="E236" s="9" t="n">
        <x:v>122292</x:v>
      </x:c>
      <x:c r="F236" s="9" t="n">
        <x:v>37557.99999999255</x:v>
      </x:c>
      <x:c r="G236" s="9" t="n">
        <x:v>38080.00000000745</x:v>
      </x:c>
      <x:c r="H236" s="9" t="n">
        <x:v>39610</x:v>
      </x:c>
      <x:c r="I236" s="9" t="n">
        <x:v>6938</x:v>
      </x:c>
      <x:c r="J236" s="9" t="n">
        <x:v>106</x:v>
      </x:c>
      <x:c r="K236" s="9" t="n">
        <x:f>F236+G236+I236+J236</x:f>
        <x:v>82682</x:v>
      </x:c>
      <x:c r="L236" s="10" t="n">
        <x:f>K236/Sources!$B$4*1000</x:f>
        <x:v>23.098466425202087</x:v>
      </x:c>
      <x:c r="M236" s="10" t="n">
        <x:f>E236/Sources!$B$4*1000</x:f>
        <x:v>34.16411862401506</x:v>
      </x:c>
      <x:c r="N236" s="9" t="n">
        <x:f>Sources!$B$6-K236</x:f>
        <x:v>-22946</x:v>
      </x:c>
      <x:c r="O236" s="1" t="str">
        <x:v>keyboard_route</x:v>
      </x:c>
      <x:c r="P236" s="12" t="n">
        <x:v>0</x:v>
      </x:c>
      <x:c r="Q236" s="12" t="n">
        <x:v>-4</x:v>
      </x:c>
      <x:c r="R236" s="12" t="n">
        <x:v>0</x:v>
      </x:c>
      <x:c r="S236" s="12" t="n">
        <x:v>7</x:v>
      </x:c>
      <x:c r="T236" s="1" t="str">
        <x:v>Yes</x:v>
      </x:c>
      <x:c r="U236" s="1" t="n">
        <x:v>0</x:v>
      </x:c>
    </x:row>
    <x:row r="237" ht="23" customHeight="1">
      <x:c r="A237" s="9" t="n">
        <x:v>236</x:v>
      </x:c>
      <x:c r="B237" s="9" t="n">
        <x:v>0</x:v>
      </x:c>
      <x:c r="C237" s="9" t="n">
        <x:v>587</x:v>
      </x:c>
      <x:c r="D237" s="9" t="n">
        <x:v>2</x:v>
      </x:c>
      <x:c r="E237" s="9" t="n">
        <x:v>116652</x:v>
      </x:c>
      <x:c r="F237" s="9" t="n">
        <x:v>34837</x:v>
      </x:c>
      <x:c r="G237" s="9" t="n">
        <x:v>26012.00000000745</x:v>
      </x:c>
      <x:c r="H237" s="9" t="n">
        <x:v>51580</x:v>
      </x:c>
      <x:c r="I237" s="9" t="n">
        <x:v>4116.999999992549</x:v>
      </x:c>
      <x:c r="J237" s="9" t="n">
        <x:v>106</x:v>
      </x:c>
      <x:c r="K237" s="9" t="n">
        <x:f>F237+G237+I237+J237</x:f>
        <x:v>65072</x:v>
      </x:c>
      <x:c r="L237" s="10" t="n">
        <x:f>K237/Sources!$B$4*1000</x:f>
        <x:v>18.17884675286943</x:v>
      </x:c>
      <x:c r="M237" s="10" t="n">
        <x:f>E237/Sources!$B$4*1000</x:f>
        <x:v>32.58849937631738</x:v>
      </x:c>
      <x:c r="N237" s="9" t="n">
        <x:f>Sources!$B$6-K237</x:f>
        <x:v>-5336</x:v>
      </x:c>
      <x:c r="O237" s="1" t="str">
        <x:v>keyboard_route</x:v>
      </x:c>
      <x:c r="P237" s="12" t="n">
        <x:v>0</x:v>
      </x:c>
      <x:c r="Q237" s="12" t="n">
        <x:v>-4</x:v>
      </x:c>
      <x:c r="R237" s="12" t="n">
        <x:v>0</x:v>
      </x:c>
      <x:c r="S237" s="12" t="n">
        <x:v>3</x:v>
      </x:c>
      <x:c r="T237" s="1" t="str">
        <x:v>No</x:v>
      </x:c>
      <x:c r="U237" s="1" t="n">
        <x:v>0</x:v>
      </x:c>
    </x:row>
    <x:row r="238" ht="23" customHeight="1">
      <x:c r="A238" s="9" t="n">
        <x:v>237</x:v>
      </x:c>
      <x:c r="B238" s="9" t="n">
        <x:v>0</x:v>
      </x:c>
      <x:c r="C238" s="9" t="n">
        <x:v>583</x:v>
      </x:c>
      <x:c r="D238" s="9" t="n">
        <x:v>2</x:v>
      </x:c>
      <x:c r="E238" s="9" t="n">
        <x:v>119474</x:v>
      </x:c>
      <x:c r="F238" s="9" t="n">
        <x:v>34691</x:v>
      </x:c>
      <x:c r="G238" s="9" t="n">
        <x:v>38080.00000000745</x:v>
      </x:c>
      <x:c r="H238" s="9" t="n">
        <x:v>42480</x:v>
      </x:c>
      <x:c r="I238" s="9" t="n">
        <x:v>4117</x:v>
      </x:c>
      <x:c r="J238" s="9" t="n">
        <x:v>105.99999999254942</x:v>
      </x:c>
      <x:c r="K238" s="9" t="n">
        <x:f>F238+G238+I238+J238</x:f>
        <x:v>76994</x:v>
      </x:c>
      <x:c r="L238" s="10" t="n">
        <x:f>K238/Sources!$B$4*1000</x:f>
        <x:v>21.50943765199208</x:v>
      </x:c>
      <x:c r="M238" s="10" t="n">
        <x:f>E238/Sources!$B$4*1000</x:f>
        <x:v>33.3768677303959</x:v>
      </x:c>
      <x:c r="N238" s="9" t="n">
        <x:f>Sources!$B$6-K238</x:f>
        <x:v>-17258</x:v>
      </x:c>
      <x:c r="O238" s="1" t="str">
        <x:v>keyboard_route</x:v>
      </x:c>
      <x:c r="P238" s="12" t="n">
        <x:v>0</x:v>
      </x:c>
      <x:c r="Q238" s="12" t="n">
        <x:v>-4</x:v>
      </x:c>
      <x:c r="R238" s="12" t="n">
        <x:v>0</x:v>
      </x:c>
      <x:c r="S238" s="12" t="n">
        <x:v>7</x:v>
      </x:c>
      <x:c r="T238" s="1" t="str">
        <x:v>Yes</x:v>
      </x:c>
      <x:c r="U238" s="1" t="n">
        <x:v>0</x:v>
      </x:c>
    </x:row>
    <x:row r="239" ht="23" customHeight="1">
      <x:c r="A239" s="9" t="n">
        <x:v>238</x:v>
      </x:c>
      <x:c r="B239" s="9" t="n">
        <x:v>0</x:v>
      </x:c>
      <x:c r="C239" s="9" t="n">
        <x:v>579</x:v>
      </x:c>
      <x:c r="D239" s="9" t="n">
        <x:v>2</x:v>
      </x:c>
      <x:c r="E239" s="9" t="n">
        <x:v>119469.99999999255</x:v>
      </x:c>
      <x:c r="F239" s="9" t="n">
        <x:v>38675</x:v>
      </x:c>
      <x:c r="G239" s="9" t="n">
        <x:v>26012</x:v>
      </x:c>
      <x:c r="H239" s="9" t="n">
        <x:v>50560</x:v>
      </x:c>
      <x:c r="I239" s="9" t="n">
        <x:v>4117</x:v>
      </x:c>
      <x:c r="J239" s="9" t="n">
        <x:v>105.99999999254942</x:v>
      </x:c>
      <x:c r="K239" s="9" t="n">
        <x:f>F239+G239+I239+J239</x:f>
        <x:v>68909.99999999255</x:v>
      </x:c>
      <x:c r="L239" s="10" t="n">
        <x:f>K239/Sources!$B$4*1000</x:f>
        <x:v>19.251050063623325</x:v>
      </x:c>
      <x:c r="M239" s="10" t="n">
        <x:f>E239/Sources!$B$4*1000</x:f>
        <x:v>33.37575026993446</x:v>
      </x:c>
      <x:c r="N239" s="9" t="n">
        <x:f>Sources!$B$6-K239</x:f>
        <x:v>-9173.99999999255</x:v>
      </x:c>
      <x:c r="O239" s="1" t="str">
        <x:v>keyboard_route</x:v>
      </x:c>
      <x:c r="P239" s="12" t="n">
        <x:v>0</x:v>
      </x:c>
      <x:c r="Q239" s="12" t="n">
        <x:v>-4</x:v>
      </x:c>
      <x:c r="R239" s="12" t="n">
        <x:v>0</x:v>
      </x:c>
      <x:c r="S239" s="12" t="n">
        <x:v>3</x:v>
      </x:c>
      <x:c r="T239" s="1" t="str">
        <x:v>No</x:v>
      </x:c>
      <x:c r="U239" s="1" t="n">
        <x:v>0</x:v>
      </x:c>
    </x:row>
    <x:row r="240" ht="23" customHeight="1">
      <x:c r="A240" s="9" t="n">
        <x:v>239</x:v>
      </x:c>
      <x:c r="B240" s="9" t="n">
        <x:v>0</x:v>
      </x:c>
      <x:c r="C240" s="9" t="n">
        <x:v>575</x:v>
      </x:c>
      <x:c r="D240" s="9" t="n">
        <x:v>2</x:v>
      </x:c>
      <x:c r="E240" s="9" t="n">
        <x:v>119474.00000000745</x:v>
      </x:c>
      <x:c r="F240" s="9" t="n">
        <x:v>34949.99999999255</x:v>
      </x:c>
      <x:c r="G240" s="9" t="n">
        <x:v>38106</x:v>
      </x:c>
      <x:c r="H240" s="9" t="n">
        <x:v>42195</x:v>
      </x:c>
      <x:c r="I240" s="9" t="n">
        <x:v>4117</x:v>
      </x:c>
      <x:c r="J240" s="9" t="n">
        <x:v>106.00000001490116</x:v>
      </x:c>
      <x:c r="K240" s="9" t="n">
        <x:f>F240+G240+I240+J240</x:f>
        <x:v>77279.00000000745</x:v>
      </x:c>
      <x:c r="L240" s="10" t="n">
        <x:f>K240/Sources!$B$4*1000</x:f>
        <x:v>21.589056709723568</x:v>
      </x:c>
      <x:c r="M240" s="10" t="n">
        <x:f>E240/Sources!$B$4*1000</x:f>
        <x:v>33.37686773039798</x:v>
      </x:c>
      <x:c r="N240" s="9" t="n">
        <x:f>Sources!$B$6-K240</x:f>
        <x:v>-17543.00000000745</x:v>
      </x:c>
      <x:c r="O240" s="1" t="str">
        <x:v>keyboard_route</x:v>
      </x:c>
      <x:c r="P240" s="12" t="n">
        <x:v>0</x:v>
      </x:c>
      <x:c r="Q240" s="12" t="n">
        <x:v>-4</x:v>
      </x:c>
      <x:c r="R240" s="12" t="n">
        <x:v>0</x:v>
      </x:c>
      <x:c r="S240" s="12" t="n">
        <x:v>7</x:v>
      </x:c>
      <x:c r="T240" s="1" t="str">
        <x:v>Yes</x:v>
      </x:c>
      <x:c r="U240" s="1" t="n">
        <x:v>0</x:v>
      </x:c>
    </x:row>
    <x:row r="241" ht="23" customHeight="1">
      <x:c r="A241" s="9" t="n">
        <x:v>240</x:v>
      </x:c>
      <x:c r="B241" s="9" t="n">
        <x:v>0</x:v>
      </x:c>
      <x:c r="C241" s="9" t="n">
        <x:v>571</x:v>
      </x:c>
      <x:c r="D241" s="9" t="n">
        <x:v>2</x:v>
      </x:c>
      <x:c r="E241" s="9" t="n">
        <x:v>119470</x:v>
      </x:c>
      <x:c r="F241" s="9" t="n">
        <x:v>37890</x:v>
      </x:c>
      <x:c r="G241" s="9" t="n">
        <x:v>26011.99999999255</x:v>
      </x:c>
      <x:c r="H241" s="9" t="n">
        <x:v>51345.00000000745</x:v>
      </x:c>
      <x:c r="I241" s="9" t="n">
        <x:v>4117</x:v>
      </x:c>
      <x:c r="J241" s="9" t="n">
        <x:v>106</x:v>
      </x:c>
      <x:c r="K241" s="9" t="n">
        <x:f>F241+G241+I241+J241</x:f>
        <x:v>68124.99999999255</x:v>
      </x:c>
      <x:c r="L241" s="10" t="n">
        <x:f>K241/Sources!$B$4*1000</x:f>
        <x:v>19.031748448473913</x:v>
      </x:c>
      <x:c r="M241" s="10" t="n">
        <x:f>E241/Sources!$B$4*1000</x:f>
        <x:v>33.37575026993654</x:v>
      </x:c>
      <x:c r="N241" s="9" t="n">
        <x:f>Sources!$B$6-K241</x:f>
        <x:v>-8388.99999999255</x:v>
      </x:c>
      <x:c r="O241" s="1" t="str">
        <x:v>keyboard_route</x:v>
      </x:c>
      <x:c r="P241" s="12" t="n">
        <x:v>0</x:v>
      </x:c>
      <x:c r="Q241" s="12" t="n">
        <x:v>-4</x:v>
      </x:c>
      <x:c r="R241" s="12" t="n">
        <x:v>0</x:v>
      </x:c>
      <x:c r="S241" s="12" t="n">
        <x:v>3</x:v>
      </x:c>
      <x:c r="T241" s="1" t="str">
        <x:v>No</x:v>
      </x:c>
      <x:c r="U241" s="1" t="n">
        <x:v>0</x:v>
      </x:c>
    </x:row>
    <x:row r="242" ht="23" customHeight="1">
      <x:c r="A242" s="9" t="n">
        <x:v>241</x:v>
      </x:c>
      <x:c r="B242" s="9" t="n">
        <x:v>0</x:v>
      </x:c>
      <x:c r="C242" s="9" t="n">
        <x:v>567</x:v>
      </x:c>
      <x:c r="D242" s="9" t="n">
        <x:v>2</x:v>
      </x:c>
      <x:c r="E242" s="9" t="n">
        <x:v>119471</x:v>
      </x:c>
      <x:c r="F242" s="9" t="n">
        <x:v>32886.99999999255</x:v>
      </x:c>
      <x:c r="G242" s="9" t="n">
        <x:v>38106</x:v>
      </x:c>
      <x:c r="H242" s="9" t="n">
        <x:v>44254.99999999255</x:v>
      </x:c>
      <x:c r="I242" s="9" t="n">
        <x:v>4117</x:v>
      </x:c>
      <x:c r="J242" s="9" t="n">
        <x:v>106.00000001490116</x:v>
      </x:c>
      <x:c r="K242" s="9" t="n">
        <x:f>F242+G242+I242+J242</x:f>
        <x:v>75216.00000000745</x:v>
      </x:c>
      <x:c r="L242" s="10" t="n">
        <x:f>K242/Sources!$B$4*1000</x:f>
        <x:v>21.012726477808616</x:v>
      </x:c>
      <x:c r="M242" s="10" t="n">
        <x:f>E242/Sources!$B$4*1000</x:f>
        <x:v>33.37602963505138</x:v>
      </x:c>
      <x:c r="N242" s="9" t="n">
        <x:f>Sources!$B$6-K242</x:f>
        <x:v>-15480.00000000745</x:v>
      </x:c>
      <x:c r="O242" s="1" t="str">
        <x:v>keyboard_route</x:v>
      </x:c>
      <x:c r="P242" s="12" t="n">
        <x:v>0</x:v>
      </x:c>
      <x:c r="Q242" s="12" t="n">
        <x:v>-4</x:v>
      </x:c>
      <x:c r="R242" s="12" t="n">
        <x:v>0</x:v>
      </x:c>
      <x:c r="S242" s="12" t="n">
        <x:v>7</x:v>
      </x:c>
      <x:c r="T242" s="1" t="str">
        <x:v>Yes</x:v>
      </x:c>
      <x:c r="U242" s="1" t="n">
        <x:v>0</x:v>
      </x:c>
    </x:row>
    <x:row r="243" ht="23" customHeight="1">
      <x:c r="A243" s="9" t="n">
        <x:v>242</x:v>
      </x:c>
      <x:c r="B243" s="9" t="n">
        <x:v>0</x:v>
      </x:c>
      <x:c r="C243" s="9" t="n">
        <x:v>563</x:v>
      </x:c>
      <x:c r="D243" s="9" t="n">
        <x:v>2</x:v>
      </x:c>
      <x:c r="E243" s="9" t="n">
        <x:v>119476</x:v>
      </x:c>
      <x:c r="F243" s="9" t="n">
        <x:v>34920.99999999255</x:v>
      </x:c>
      <x:c r="G243" s="9" t="n">
        <x:v>26012.00000000745</x:v>
      </x:c>
      <x:c r="H243" s="9" t="n">
        <x:v>54320</x:v>
      </x:c>
      <x:c r="I243" s="9" t="n">
        <x:v>4117</x:v>
      </x:c>
      <x:c r="J243" s="9" t="n">
        <x:v>106</x:v>
      </x:c>
      <x:c r="K243" s="9" t="n">
        <x:f>F243+G243+I243+J243</x:f>
        <x:v>65156</x:v>
      </x:c>
      <x:c r="L243" s="10" t="n">
        <x:f>K243/Sources!$B$4*1000</x:f>
        <x:v>18.20231342251599</x:v>
      </x:c>
      <x:c r="M243" s="10" t="n">
        <x:f>E243/Sources!$B$4*1000</x:f>
        <x:v>33.37742646062558</x:v>
      </x:c>
      <x:c r="N243" s="9" t="n">
        <x:f>Sources!$B$6-K243</x:f>
        <x:v>-5420</x:v>
      </x:c>
      <x:c r="O243" s="1" t="str">
        <x:v>keyboard_route</x:v>
      </x:c>
      <x:c r="P243" s="12" t="n">
        <x:v>0</x:v>
      </x:c>
      <x:c r="Q243" s="12" t="n">
        <x:v>-4</x:v>
      </x:c>
      <x:c r="R243" s="12" t="n">
        <x:v>0</x:v>
      </x:c>
      <x:c r="S243" s="12" t="n">
        <x:v>3</x:v>
      </x:c>
      <x:c r="T243" s="1" t="str">
        <x:v>No</x:v>
      </x:c>
      <x:c r="U243" s="1" t="n">
        <x:v>0</x:v>
      </x:c>
    </x:row>
    <x:row r="244" ht="23" customHeight="1">
      <x:c r="A244" s="9" t="n">
        <x:v>243</x:v>
      </x:c>
      <x:c r="B244" s="9" t="n">
        <x:v>0</x:v>
      </x:c>
      <x:c r="C244" s="9" t="n">
        <x:v>559</x:v>
      </x:c>
      <x:c r="D244" s="9" t="n">
        <x:v>2</x:v>
      </x:c>
      <x:c r="E244" s="9" t="n">
        <x:v>119469</x:v>
      </x:c>
      <x:c r="F244" s="9" t="n">
        <x:v>32880</x:v>
      </x:c>
      <x:c r="G244" s="9" t="n">
        <x:v>38106.00000000745</x:v>
      </x:c>
      <x:c r="H244" s="9" t="n">
        <x:v>44259.99999999255</x:v>
      </x:c>
      <x:c r="I244" s="9" t="n">
        <x:v>4117.000000007451</x:v>
      </x:c>
      <x:c r="J244" s="9" t="n">
        <x:v>105.99999999254942</x:v>
      </x:c>
      <x:c r="K244" s="9" t="n">
        <x:f>F244+G244+I244+J244</x:f>
        <x:v>75209.00000000745</x:v>
      </x:c>
      <x:c r="L244" s="10" t="n">
        <x:f>K244/Sources!$B$4*1000</x:f>
        <x:v>21.01077092200474</x:v>
      </x:c>
      <x:c r="M244" s="10" t="n">
        <x:f>E244/Sources!$B$4*1000</x:f>
        <x:v>33.375470904821704</x:v>
      </x:c>
      <x:c r="N244" s="9" t="n">
        <x:f>Sources!$B$6-K244</x:f>
        <x:v>-15473.00000000745</x:v>
      </x:c>
      <x:c r="O244" s="1" t="str">
        <x:v>keyboard_route</x:v>
      </x:c>
      <x:c r="P244" s="12" t="n">
        <x:v>0</x:v>
      </x:c>
      <x:c r="Q244" s="12" t="n">
        <x:v>-4</x:v>
      </x:c>
      <x:c r="R244" s="12" t="n">
        <x:v>0</x:v>
      </x:c>
      <x:c r="S244" s="12" t="n">
        <x:v>7</x:v>
      </x:c>
      <x:c r="T244" s="1" t="str">
        <x:v>Yes</x:v>
      </x:c>
      <x:c r="U244" s="1" t="n">
        <x:v>0</x:v>
      </x:c>
    </x:row>
    <x:row r="245" ht="23" customHeight="1">
      <x:c r="A245" s="9" t="n">
        <x:v>244</x:v>
      </x:c>
      <x:c r="B245" s="9" t="n">
        <x:v>0</x:v>
      </x:c>
      <x:c r="C245" s="9" t="n">
        <x:v>555</x:v>
      </x:c>
      <x:c r="D245" s="9" t="n">
        <x:v>2</x:v>
      </x:c>
      <x:c r="E245" s="9" t="n">
        <x:v>119475</x:v>
      </x:c>
      <x:c r="F245" s="9" t="n">
        <x:v>39235</x:v>
      </x:c>
      <x:c r="G245" s="9" t="n">
        <x:v>26011.99999999255</x:v>
      </x:c>
      <x:c r="H245" s="9" t="n">
        <x:v>50005.00000000745</x:v>
      </x:c>
      <x:c r="I245" s="9" t="n">
        <x:v>4117.000000007451</x:v>
      </x:c>
      <x:c r="J245" s="9" t="n">
        <x:v>105.99999999254942</x:v>
      </x:c>
      <x:c r="K245" s="9" t="n">
        <x:f>F245+G245+I245+J245</x:f>
        <x:v>69469.99999999255</x:v>
      </x:c>
      <x:c r="L245" s="10" t="n">
        <x:f>K245/Sources!$B$4*1000</x:f>
        <x:v>19.407494527933732</x:v>
      </x:c>
      <x:c r="M245" s="10" t="n">
        <x:f>E245/Sources!$B$4*1000</x:f>
        <x:v>33.37714709551074</x:v>
      </x:c>
      <x:c r="N245" s="9" t="n">
        <x:f>Sources!$B$6-K245</x:f>
        <x:v>-9733.99999999255</x:v>
      </x:c>
      <x:c r="O245" s="1" t="str">
        <x:v>keyboard_route</x:v>
      </x:c>
      <x:c r="P245" s="12" t="n">
        <x:v>0</x:v>
      </x:c>
      <x:c r="Q245" s="12" t="n">
        <x:v>-4</x:v>
      </x:c>
      <x:c r="R245" s="12" t="n">
        <x:v>0</x:v>
      </x:c>
      <x:c r="S245" s="12" t="n">
        <x:v>3</x:v>
      </x:c>
      <x:c r="T245" s="1" t="str">
        <x:v>No</x:v>
      </x:c>
      <x:c r="U245" s="1" t="n">
        <x:v>0</x:v>
      </x:c>
    </x:row>
    <x:row r="246" ht="23" customHeight="1">
      <x:c r="A246" s="9" t="n">
        <x:v>245</x:v>
      </x:c>
      <x:c r="B246" s="9" t="n">
        <x:v>0</x:v>
      </x:c>
      <x:c r="C246" s="9" t="n">
        <x:v>551</x:v>
      </x:c>
      <x:c r="D246" s="9" t="n">
        <x:v>2</x:v>
      </x:c>
      <x:c r="E246" s="9" t="n">
        <x:v>119470</x:v>
      </x:c>
      <x:c r="F246" s="9" t="n">
        <x:v>35816</x:v>
      </x:c>
      <x:c r="G246" s="9" t="n">
        <x:v>38106</x:v>
      </x:c>
      <x:c r="H246" s="9" t="n">
        <x:v>41325</x:v>
      </x:c>
      <x:c r="I246" s="9" t="n">
        <x:v>4117</x:v>
      </x:c>
      <x:c r="J246" s="9" t="n">
        <x:v>106</x:v>
      </x:c>
      <x:c r="K246" s="9" t="n">
        <x:f>F246+G246+I246+J246</x:f>
        <x:v>78145</x:v>
      </x:c>
      <x:c r="L246" s="10" t="n">
        <x:f>K246/Sources!$B$4*1000</x:f>
        <x:v>21.83098689917294</x:v>
      </x:c>
      <x:c r="M246" s="10" t="n">
        <x:f>E246/Sources!$B$4*1000</x:f>
        <x:v>33.37575026993654</x:v>
      </x:c>
      <x:c r="N246" s="9" t="n">
        <x:f>Sources!$B$6-K246</x:f>
        <x:v>-18409</x:v>
      </x:c>
      <x:c r="O246" s="1" t="str">
        <x:v>keyboard_route</x:v>
      </x:c>
      <x:c r="P246" s="12" t="n">
        <x:v>0</x:v>
      </x:c>
      <x:c r="Q246" s="12" t="n">
        <x:v>-4</x:v>
      </x:c>
      <x:c r="R246" s="12" t="n">
        <x:v>0</x:v>
      </x:c>
      <x:c r="S246" s="12" t="n">
        <x:v>7</x:v>
      </x:c>
      <x:c r="T246" s="1" t="str">
        <x:v>Yes</x:v>
      </x:c>
      <x:c r="U246" s="1" t="n">
        <x:v>0</x:v>
      </x:c>
    </x:row>
    <x:row r="247" ht="23" customHeight="1">
      <x:c r="A247" s="9" t="n">
        <x:v>246</x:v>
      </x:c>
      <x:c r="B247" s="9" t="n">
        <x:v>0</x:v>
      </x:c>
      <x:c r="C247" s="9" t="n">
        <x:v>547</x:v>
      </x:c>
      <x:c r="D247" s="9" t="n">
        <x:v>2</x:v>
      </x:c>
      <x:c r="E247" s="9" t="n">
        <x:v>119472</x:v>
      </x:c>
      <x:c r="F247" s="9" t="n">
        <x:v>37841.99999999255</x:v>
      </x:c>
      <x:c r="G247" s="9" t="n">
        <x:v>26012.00000000745</x:v>
      </x:c>
      <x:c r="H247" s="9" t="n">
        <x:v>51395</x:v>
      </x:c>
      <x:c r="I247" s="9" t="n">
        <x:v>4117</x:v>
      </x:c>
      <x:c r="J247" s="9" t="n">
        <x:v>106</x:v>
      </x:c>
      <x:c r="K247" s="9" t="n">
        <x:f>F247+G247+I247+J247</x:f>
        <x:v>68077</x:v>
      </x:c>
      <x:c r="L247" s="10" t="n">
        <x:f>K247/Sources!$B$4*1000</x:f>
        <x:v>19.01833892296367</x:v>
      </x:c>
      <x:c r="M247" s="10" t="n">
        <x:f>E247/Sources!$B$4*1000</x:f>
        <x:v>33.37630900016622</x:v>
      </x:c>
      <x:c r="N247" s="9" t="n">
        <x:f>Sources!$B$6-K247</x:f>
        <x:v>-8341</x:v>
      </x:c>
      <x:c r="O247" s="1" t="str">
        <x:v>keyboard_route</x:v>
      </x:c>
      <x:c r="P247" s="12" t="n">
        <x:v>0</x:v>
      </x:c>
      <x:c r="Q247" s="12" t="n">
        <x:v>-4</x:v>
      </x:c>
      <x:c r="R247" s="12" t="n">
        <x:v>0</x:v>
      </x:c>
      <x:c r="S247" s="12" t="n">
        <x:v>3</x:v>
      </x:c>
      <x:c r="T247" s="1" t="str">
        <x:v>No</x:v>
      </x:c>
      <x:c r="U247" s="1" t="n">
        <x:v>0</x:v>
      </x:c>
    </x:row>
    <x:row r="248" ht="23" customHeight="1">
      <x:c r="A248" s="9" t="n">
        <x:v>247</x:v>
      </x:c>
      <x:c r="B248" s="9" t="n">
        <x:v>0</x:v>
      </x:c>
      <x:c r="C248" s="9" t="n">
        <x:v>543</x:v>
      </x:c>
      <x:c r="D248" s="9" t="n">
        <x:v>2</x:v>
      </x:c>
      <x:c r="E248" s="9" t="n">
        <x:v>119470</x:v>
      </x:c>
      <x:c r="F248" s="9" t="n">
        <x:v>34446.99999999255</x:v>
      </x:c>
      <x:c r="G248" s="9" t="n">
        <x:v>38080</x:v>
      </x:c>
      <x:c r="H248" s="9" t="n">
        <x:v>42720</x:v>
      </x:c>
      <x:c r="I248" s="9" t="n">
        <x:v>4117</x:v>
      </x:c>
      <x:c r="J248" s="9" t="n">
        <x:v>106.00000000745058</x:v>
      </x:c>
      <x:c r="K248" s="9" t="n">
        <x:f>F248+G248+I248+J248</x:f>
        <x:v>76750</x:v>
      </x:c>
      <x:c r="L248" s="10" t="n">
        <x:f>K248/Sources!$B$4*1000</x:f>
        <x:v>21.441272563971122</x:v>
      </x:c>
      <x:c r="M248" s="10" t="n">
        <x:f>E248/Sources!$B$4*1000</x:f>
        <x:v>33.37575026993654</x:v>
      </x:c>
      <x:c r="N248" s="9" t="n">
        <x:f>Sources!$B$6-K248</x:f>
        <x:v>-17014</x:v>
      </x:c>
      <x:c r="O248" s="1" t="str">
        <x:v>keyboard_route</x:v>
      </x:c>
      <x:c r="P248" s="12" t="n">
        <x:v>0</x:v>
      </x:c>
      <x:c r="Q248" s="12" t="n">
        <x:v>-4</x:v>
      </x:c>
      <x:c r="R248" s="12" t="n">
        <x:v>0</x:v>
      </x:c>
      <x:c r="S248" s="12" t="n">
        <x:v>7</x:v>
      </x:c>
      <x:c r="T248" s="1" t="str">
        <x:v>Yes</x:v>
      </x:c>
      <x:c r="U248" s="1" t="n">
        <x:v>0</x:v>
      </x:c>
    </x:row>
    <x:row r="249" ht="23" customHeight="1">
      <x:c r="A249" s="9" t="n">
        <x:v>248</x:v>
      </x:c>
      <x:c r="B249" s="9" t="n">
        <x:v>0</x:v>
      </x:c>
      <x:c r="C249" s="9" t="n">
        <x:v>539</x:v>
      </x:c>
      <x:c r="D249" s="9" t="n">
        <x:v>2</x:v>
      </x:c>
      <x:c r="E249" s="9" t="n">
        <x:v>119474</x:v>
      </x:c>
      <x:c r="F249" s="9" t="n">
        <x:v>36459</x:v>
      </x:c>
      <x:c r="G249" s="9" t="n">
        <x:v>26012.00000000745</x:v>
      </x:c>
      <x:c r="H249" s="9" t="n">
        <x:v>52779.99999999255</x:v>
      </x:c>
      <x:c r="I249" s="9" t="n">
        <x:v>4117</x:v>
      </x:c>
      <x:c r="J249" s="9" t="n">
        <x:v>106</x:v>
      </x:c>
      <x:c r="K249" s="9" t="n">
        <x:f>F249+G249+I249+J249</x:f>
        <x:v>66694.00000000745</x:v>
      </x:c>
      <x:c r="L249" s="10" t="n">
        <x:f>K249/Sources!$B$4*1000</x:f>
        <x:v>18.631976969142016</x:v>
      </x:c>
      <x:c r="M249" s="10" t="n">
        <x:f>E249/Sources!$B$4*1000</x:f>
        <x:v>33.3768677303959</x:v>
      </x:c>
      <x:c r="N249" s="9" t="n">
        <x:f>Sources!$B$6-K249</x:f>
        <x:v>-6958.000000007451</x:v>
      </x:c>
      <x:c r="O249" s="1" t="str">
        <x:v>keyboard_route</x:v>
      </x:c>
      <x:c r="P249" s="12" t="n">
        <x:v>0</x:v>
      </x:c>
      <x:c r="Q249" s="12" t="n">
        <x:v>-4</x:v>
      </x:c>
      <x:c r="R249" s="12" t="n">
        <x:v>0</x:v>
      </x:c>
      <x:c r="S249" s="12" t="n">
        <x:v>3</x:v>
      </x:c>
      <x:c r="T249" s="1" t="str">
        <x:v>No</x:v>
      </x:c>
      <x:c r="U249" s="1" t="n">
        <x:v>0</x:v>
      </x:c>
    </x:row>
    <x:row r="250" ht="23" customHeight="1">
      <x:c r="A250" s="9" t="n">
        <x:v>249</x:v>
      </x:c>
      <x:c r="B250" s="9" t="n">
        <x:v>0</x:v>
      </x:c>
      <x:c r="C250" s="9" t="n">
        <x:v>535</x:v>
      </x:c>
      <x:c r="D250" s="9" t="n">
        <x:v>2</x:v>
      </x:c>
      <x:c r="E250" s="9" t="n">
        <x:v>119470</x:v>
      </x:c>
      <x:c r="F250" s="9" t="n">
        <x:v>33942</x:v>
      </x:c>
      <x:c r="G250" s="9" t="n">
        <x:v>38080</x:v>
      </x:c>
      <x:c r="H250" s="9" t="n">
        <x:v>43224.99999999255</x:v>
      </x:c>
      <x:c r="I250" s="9" t="n">
        <x:v>4117.000000007451</x:v>
      </x:c>
      <x:c r="J250" s="9" t="n">
        <x:v>106</x:v>
      </x:c>
      <x:c r="K250" s="9" t="n">
        <x:f>F250+G250+I250+J250</x:f>
        <x:v>76245.00000000745</x:v>
      </x:c>
      <x:c r="L250" s="10" t="n">
        <x:f>K250/Sources!$B$4*1000</x:f>
        <x:v>21.300193180978994</x:v>
      </x:c>
      <x:c r="M250" s="10" t="n">
        <x:f>E250/Sources!$B$4*1000</x:f>
        <x:v>33.37575026993654</x:v>
      </x:c>
      <x:c r="N250" s="9" t="n">
        <x:f>Sources!$B$6-K250</x:f>
        <x:v>-16509.00000000745</x:v>
      </x:c>
      <x:c r="O250" s="1" t="str">
        <x:v>keyboard_route</x:v>
      </x:c>
      <x:c r="P250" s="12" t="n">
        <x:v>0</x:v>
      </x:c>
      <x:c r="Q250" s="12" t="n">
        <x:v>-4</x:v>
      </x:c>
      <x:c r="R250" s="12" t="n">
        <x:v>0</x:v>
      </x:c>
      <x:c r="S250" s="12" t="n">
        <x:v>7</x:v>
      </x:c>
      <x:c r="T250" s="1" t="str">
        <x:v>Yes</x:v>
      </x:c>
      <x:c r="U250" s="1" t="n">
        <x:v>0</x:v>
      </x:c>
    </x:row>
    <x:row r="251" ht="23" customHeight="1">
      <x:c r="A251" s="9" t="n">
        <x:v>250</x:v>
      </x:c>
      <x:c r="B251" s="9" t="n">
        <x:v>0</x:v>
      </x:c>
      <x:c r="C251" s="9" t="n">
        <x:v>531</x:v>
      </x:c>
      <x:c r="D251" s="9" t="n">
        <x:v>2</x:v>
      </x:c>
      <x:c r="E251" s="9" t="n">
        <x:v>119475</x:v>
      </x:c>
      <x:c r="F251" s="9" t="n">
        <x:v>37806</x:v>
      </x:c>
      <x:c r="G251" s="9" t="n">
        <x:v>26881</x:v>
      </x:c>
      <x:c r="H251" s="9" t="n">
        <x:v>50564.99999999255</x:v>
      </x:c>
      <x:c r="I251" s="9" t="n">
        <x:v>4117.000000007451</x:v>
      </x:c>
      <x:c r="J251" s="9" t="n">
        <x:v>106</x:v>
      </x:c>
      <x:c r="K251" s="9" t="n">
        <x:f>F251+G251+I251+J251</x:f>
        <x:v>68910.00000000745</x:v>
      </x:c>
      <x:c r="L251" s="10" t="n">
        <x:f>K251/Sources!$B$4*1000</x:f>
        <x:v>19.25105006362749</x:v>
      </x:c>
      <x:c r="M251" s="10" t="n">
        <x:f>E251/Sources!$B$4*1000</x:f>
        <x:v>33.37714709551074</x:v>
      </x:c>
      <x:c r="N251" s="9" t="n">
        <x:f>Sources!$B$6-K251</x:f>
        <x:v>-9174.00000000745</x:v>
      </x:c>
      <x:c r="O251" s="1" t="str">
        <x:v>keyboard_route</x:v>
      </x:c>
      <x:c r="P251" s="12" t="n">
        <x:v>0</x:v>
      </x:c>
      <x:c r="Q251" s="12" t="n">
        <x:v>-4</x:v>
      </x:c>
      <x:c r="R251" s="12" t="n">
        <x:v>0</x:v>
      </x:c>
      <x:c r="S251" s="12" t="n">
        <x:v>3</x:v>
      </x:c>
      <x:c r="T251" s="1" t="str">
        <x:v>No</x:v>
      </x:c>
      <x:c r="U251" s="1" t="n">
        <x:v>0</x:v>
      </x:c>
    </x:row>
    <x:row r="252" ht="23" customHeight="1">
      <x:c r="A252" s="9" t="n">
        <x:v>251</x:v>
      </x:c>
      <x:c r="B252" s="9" t="n">
        <x:v>0</x:v>
      </x:c>
      <x:c r="C252" s="9" t="n">
        <x:v>527</x:v>
      </x:c>
      <x:c r="D252" s="9" t="n">
        <x:v>2</x:v>
      </x:c>
      <x:c r="E252" s="9" t="n">
        <x:v>119470</x:v>
      </x:c>
      <x:c r="F252" s="9" t="n">
        <x:v>35765.99999999255</x:v>
      </x:c>
      <x:c r="G252" s="9" t="n">
        <x:v>38086.00000000745</x:v>
      </x:c>
      <x:c r="H252" s="9" t="n">
        <x:v>41395</x:v>
      </x:c>
      <x:c r="I252" s="9" t="n">
        <x:v>4117</x:v>
      </x:c>
      <x:c r="J252" s="9" t="n">
        <x:v>106</x:v>
      </x:c>
      <x:c r="K252" s="9" t="n">
        <x:f>F252+G252+I252+J252</x:f>
        <x:v>78075</x:v>
      </x:c>
      <x:c r="L252" s="10" t="n">
        <x:f>K252/Sources!$B$4*1000</x:f>
        <x:v>21.81143134113414</x:v>
      </x:c>
      <x:c r="M252" s="10" t="n">
        <x:f>E252/Sources!$B$4*1000</x:f>
        <x:v>33.37575026993654</x:v>
      </x:c>
      <x:c r="N252" s="9" t="n">
        <x:f>Sources!$B$6-K252</x:f>
        <x:v>-18339</x:v>
      </x:c>
      <x:c r="O252" s="1" t="str">
        <x:v>keyboard_route</x:v>
      </x:c>
      <x:c r="P252" s="12" t="n">
        <x:v>0</x:v>
      </x:c>
      <x:c r="Q252" s="12" t="n">
        <x:v>-4</x:v>
      </x:c>
      <x:c r="R252" s="12" t="n">
        <x:v>0</x:v>
      </x:c>
      <x:c r="S252" s="12" t="n">
        <x:v>7</x:v>
      </x:c>
      <x:c r="T252" s="1" t="str">
        <x:v>Yes</x:v>
      </x:c>
      <x:c r="U252" s="1" t="n">
        <x:v>0</x:v>
      </x:c>
    </x:row>
    <x:row r="253" ht="23" customHeight="1">
      <x:c r="A253" s="9" t="n">
        <x:v>252</x:v>
      </x:c>
      <x:c r="B253" s="9" t="n">
        <x:v>0</x:v>
      </x:c>
      <x:c r="C253" s="9" t="n">
        <x:v>523</x:v>
      </x:c>
      <x:c r="D253" s="9" t="n">
        <x:v>2</x:v>
      </x:c>
      <x:c r="E253" s="9" t="n">
        <x:v>119473</x:v>
      </x:c>
      <x:c r="F253" s="9" t="n">
        <x:v>37112</x:v>
      </x:c>
      <x:c r="G253" s="9" t="n">
        <x:v>26018</x:v>
      </x:c>
      <x:c r="H253" s="9" t="n">
        <x:v>52120</x:v>
      </x:c>
      <x:c r="I253" s="9" t="n">
        <x:v>4117</x:v>
      </x:c>
      <x:c r="J253" s="9" t="n">
        <x:v>106</x:v>
      </x:c>
      <x:c r="K253" s="9" t="n">
        <x:f>F253+G253+I253+J253</x:f>
        <x:v>67353</x:v>
      </x:c>
      <x:c r="L253" s="10" t="n">
        <x:f>K253/Sources!$B$4*1000</x:f>
        <x:v>18.8160785798195</x:v>
      </x:c>
      <x:c r="M253" s="10" t="n">
        <x:f>E253/Sources!$B$4*1000</x:f>
        <x:v>33.37658836528106</x:v>
      </x:c>
      <x:c r="N253" s="9" t="n">
        <x:f>Sources!$B$6-K253</x:f>
        <x:v>-7617</x:v>
      </x:c>
      <x:c r="O253" s="1" t="str">
        <x:v>keyboard_route</x:v>
      </x:c>
      <x:c r="P253" s="12" t="n">
        <x:v>0</x:v>
      </x:c>
      <x:c r="Q253" s="12" t="n">
        <x:v>-4</x:v>
      </x:c>
      <x:c r="R253" s="12" t="n">
        <x:v>0</x:v>
      </x:c>
      <x:c r="S253" s="12" t="n">
        <x:v>3</x:v>
      </x:c>
      <x:c r="T253" s="1" t="str">
        <x:v>No</x:v>
      </x:c>
      <x:c r="U253" s="1" t="n">
        <x:v>0</x:v>
      </x:c>
    </x:row>
    <x:row r="254" ht="23" customHeight="1">
      <x:c r="A254" s="9" t="n">
        <x:v>253</x:v>
      </x:c>
      <x:c r="B254" s="9" t="n">
        <x:v>0</x:v>
      </x:c>
      <x:c r="C254" s="9" t="n">
        <x:v>519</x:v>
      </x:c>
      <x:c r="D254" s="9" t="n">
        <x:v>2</x:v>
      </x:c>
      <x:c r="E254" s="9" t="n">
        <x:v>119472.99999999255</x:v>
      </x:c>
      <x:c r="F254" s="9" t="n">
        <x:v>35999</x:v>
      </x:c>
      <x:c r="G254" s="9" t="n">
        <x:v>38086</x:v>
      </x:c>
      <x:c r="H254" s="9" t="n">
        <x:v>41165</x:v>
      </x:c>
      <x:c r="I254" s="9" t="n">
        <x:v>4116.999999992549</x:v>
      </x:c>
      <x:c r="J254" s="9" t="n">
        <x:v>106</x:v>
      </x:c>
      <x:c r="K254" s="9" t="n">
        <x:f>F254+G254+I254+J254</x:f>
        <x:v>78307.99999999255</x:v>
      </x:c>
      <x:c r="L254" s="10" t="n">
        <x:f>K254/Sources!$B$4*1000</x:f>
        <x:v>21.876523412889778</x:v>
      </x:c>
      <x:c r="M254" s="10" t="n">
        <x:f>E254/Sources!$B$4*1000</x:f>
        <x:v>33.37658836527898</x:v>
      </x:c>
      <x:c r="N254" s="9" t="n">
        <x:f>Sources!$B$6-K254</x:f>
        <x:v>-18571.99999999255</x:v>
      </x:c>
      <x:c r="O254" s="1" t="str">
        <x:v>keyboard_route</x:v>
      </x:c>
      <x:c r="P254" s="12" t="n">
        <x:v>0</x:v>
      </x:c>
      <x:c r="Q254" s="12" t="n">
        <x:v>-4</x:v>
      </x:c>
      <x:c r="R254" s="12" t="n">
        <x:v>0</x:v>
      </x:c>
      <x:c r="S254" s="12" t="n">
        <x:v>7</x:v>
      </x:c>
      <x:c r="T254" s="1" t="str">
        <x:v>Yes</x:v>
      </x:c>
      <x:c r="U254" s="1" t="n">
        <x:v>0</x:v>
      </x:c>
    </x:row>
    <x:row r="255" ht="23" customHeight="1">
      <x:c r="A255" s="9" t="n">
        <x:v>254</x:v>
      </x:c>
      <x:c r="B255" s="9" t="n">
        <x:v>0</x:v>
      </x:c>
      <x:c r="C255" s="9" t="n">
        <x:v>515</x:v>
      </x:c>
      <x:c r="D255" s="9" t="n">
        <x:v>2</x:v>
      </x:c>
      <x:c r="E255" s="9" t="n">
        <x:v>119470.00000000745</x:v>
      </x:c>
      <x:c r="F255" s="9" t="n">
        <x:v>34979.00000000745</x:v>
      </x:c>
      <x:c r="G255" s="9" t="n">
        <x:v>26017.99999999255</x:v>
      </x:c>
      <x:c r="H255" s="9" t="n">
        <x:v>54250</x:v>
      </x:c>
      <x:c r="I255" s="9" t="n">
        <x:v>4116.999999992549</x:v>
      </x:c>
      <x:c r="J255" s="9" t="n">
        <x:v>106.00000001490116</x:v>
      </x:c>
      <x:c r="K255" s="9" t="n">
        <x:f>F255+G255+I255+J255</x:f>
        <x:v>65220.00000000745</x:v>
      </x:c>
      <x:c r="L255" s="10" t="n">
        <x:f>K255/Sources!$B$4*1000</x:f>
        <x:v>18.220192789867834</x:v>
      </x:c>
      <x:c r="M255" s="10" t="n">
        <x:f>E255/Sources!$B$4*1000</x:f>
        <x:v>33.37575026993862</x:v>
      </x:c>
      <x:c r="N255" s="9" t="n">
        <x:f>Sources!$B$6-K255</x:f>
        <x:v>-5484.000000007451</x:v>
      </x:c>
      <x:c r="O255" s="1" t="str">
        <x:v>keyboard_route</x:v>
      </x:c>
      <x:c r="P255" s="12" t="n">
        <x:v>0</x:v>
      </x:c>
      <x:c r="Q255" s="12" t="n">
        <x:v>-4</x:v>
      </x:c>
      <x:c r="R255" s="12" t="n">
        <x:v>0</x:v>
      </x:c>
      <x:c r="S255" s="12" t="n">
        <x:v>3</x:v>
      </x:c>
      <x:c r="T255" s="1" t="str">
        <x:v>No</x:v>
      </x:c>
      <x:c r="U255" s="1" t="n">
        <x:v>0</x:v>
      </x:c>
    </x:row>
    <x:row r="256" ht="23" customHeight="1">
      <x:c r="A256" s="9" t="n">
        <x:v>255</x:v>
      </x:c>
      <x:c r="B256" s="9" t="n">
        <x:v>0</x:v>
      </x:c>
      <x:c r="C256" s="9" t="n">
        <x:v>511</x:v>
      </x:c>
      <x:c r="D256" s="9" t="n">
        <x:v>2</x:v>
      </x:c>
      <x:c r="E256" s="9" t="n">
        <x:v>119471.99999999255</x:v>
      </x:c>
      <x:c r="F256" s="9" t="n">
        <x:v>32872</x:v>
      </x:c>
      <x:c r="G256" s="9" t="n">
        <x:v>38112</x:v>
      </x:c>
      <x:c r="H256" s="9" t="n">
        <x:v>44265</x:v>
      </x:c>
      <x:c r="I256" s="9" t="n">
        <x:v>4116.999999992549</x:v>
      </x:c>
      <x:c r="J256" s="9" t="n">
        <x:v>106</x:v>
      </x:c>
      <x:c r="K256" s="9" t="n">
        <x:f>F256+G256+I256+J256</x:f>
        <x:v>75206.99999999255</x:v>
      </x:c>
      <x:c r="L256" s="10" t="n">
        <x:f>K256/Sources!$B$4*1000</x:f>
        <x:v>21.010212191770893</x:v>
      </x:c>
      <x:c r="M256" s="10" t="n">
        <x:f>E256/Sources!$B$4*1000</x:f>
        <x:v>33.37630900016414</x:v>
      </x:c>
      <x:c r="N256" s="9" t="n">
        <x:f>Sources!$B$6-K256</x:f>
        <x:v>-15470.99999999255</x:v>
      </x:c>
      <x:c r="O256" s="1" t="str">
        <x:v>keyboard_route</x:v>
      </x:c>
      <x:c r="P256" s="12" t="n">
        <x:v>0</x:v>
      </x:c>
      <x:c r="Q256" s="12" t="n">
        <x:v>-4</x:v>
      </x:c>
      <x:c r="R256" s="12" t="n">
        <x:v>0</x:v>
      </x:c>
      <x:c r="S256" s="12" t="n">
        <x:v>7</x:v>
      </x:c>
      <x:c r="T256" s="1" t="str">
        <x:v>Yes</x:v>
      </x:c>
      <x:c r="U256" s="1" t="n">
        <x:v>0</x:v>
      </x:c>
    </x:row>
    <x:row r="257" ht="23" customHeight="1">
      <x:c r="A257" s="9" t="n">
        <x:v>256</x:v>
      </x:c>
      <x:c r="B257" s="9" t="n">
        <x:v>0</x:v>
      </x:c>
      <x:c r="C257" s="9" t="n">
        <x:v>507</x:v>
      </x:c>
      <x:c r="D257" s="9" t="n">
        <x:v>2</x:v>
      </x:c>
      <x:c r="E257" s="9" t="n">
        <x:v>119475</x:v>
      </x:c>
      <x:c r="F257" s="9" t="n">
        <x:v>36314.00000000745</x:v>
      </x:c>
      <x:c r="G257" s="9" t="n">
        <x:v>26018</x:v>
      </x:c>
      <x:c r="H257" s="9" t="n">
        <x:v>52920</x:v>
      </x:c>
      <x:c r="I257" s="9" t="n">
        <x:v>4116.999999992549</x:v>
      </x:c>
      <x:c r="J257" s="9" t="n">
        <x:v>106</x:v>
      </x:c>
      <x:c r="K257" s="9" t="n">
        <x:f>F257+G257+I257+J257</x:f>
        <x:v>66555</x:v>
      </x:c>
      <x:c r="L257" s="10" t="n">
        <x:f>K257/Sources!$B$4*1000</x:f>
        <x:v>18.59314521817717</x:v>
      </x:c>
      <x:c r="M257" s="10" t="n">
        <x:f>E257/Sources!$B$4*1000</x:f>
        <x:v>33.37714709551074</x:v>
      </x:c>
      <x:c r="N257" s="9" t="n">
        <x:f>Sources!$B$6-K257</x:f>
        <x:v>-6819</x:v>
      </x:c>
      <x:c r="O257" s="1" t="str">
        <x:v>keyboard_route</x:v>
      </x:c>
      <x:c r="P257" s="12" t="n">
        <x:v>0</x:v>
      </x:c>
      <x:c r="Q257" s="12" t="n">
        <x:v>-4</x:v>
      </x:c>
      <x:c r="R257" s="12" t="n">
        <x:v>0</x:v>
      </x:c>
      <x:c r="S257" s="12" t="n">
        <x:v>3</x:v>
      </x:c>
      <x:c r="T257" s="1" t="str">
        <x:v>No</x:v>
      </x:c>
      <x:c r="U257" s="1" t="n">
        <x:v>0</x:v>
      </x:c>
    </x:row>
    <x:row r="258" ht="23" customHeight="1">
      <x:c r="A258" s="9" t="n">
        <x:v>257</x:v>
      </x:c>
      <x:c r="B258" s="9" t="n">
        <x:v>0</x:v>
      </x:c>
      <x:c r="C258" s="9" t="n">
        <x:v>503</x:v>
      </x:c>
      <x:c r="D258" s="9" t="n">
        <x:v>2</x:v>
      </x:c>
      <x:c r="E258" s="9" t="n">
        <x:v>119468.00000000745</x:v>
      </x:c>
      <x:c r="F258" s="9" t="n">
        <x:v>36007</x:v>
      </x:c>
      <x:c r="G258" s="9" t="n">
        <x:v>38117.99999999255</x:v>
      </x:c>
      <x:c r="H258" s="9" t="n">
        <x:v>41120.00000000745</x:v>
      </x:c>
      <x:c r="I258" s="9" t="n">
        <x:v>4117</x:v>
      </x:c>
      <x:c r="J258" s="9" t="n">
        <x:v>106.00000000745058</x:v>
      </x:c>
      <x:c r="K258" s="9" t="n">
        <x:f>F258+G258+I258+J258</x:f>
        <x:v>78348</x:v>
      </x:c>
      <x:c r="L258" s="10" t="n">
        <x:f>K258/Sources!$B$4*1000</x:f>
        <x:v>21.887698017485462</x:v>
      </x:c>
      <x:c r="M258" s="10" t="n">
        <x:f>E258/Sources!$B$4*1000</x:f>
        <x:v>33.37519153970894</x:v>
      </x:c>
      <x:c r="N258" s="9" t="n">
        <x:f>Sources!$B$6-K258</x:f>
        <x:v>-18612</x:v>
      </x:c>
      <x:c r="O258" s="1" t="str">
        <x:v>keyboard_route</x:v>
      </x:c>
      <x:c r="P258" s="12" t="n">
        <x:v>0</x:v>
      </x:c>
      <x:c r="Q258" s="12" t="n">
        <x:v>-4</x:v>
      </x:c>
      <x:c r="R258" s="12" t="n">
        <x:v>0</x:v>
      </x:c>
      <x:c r="S258" s="12" t="n">
        <x:v>7</x:v>
      </x:c>
      <x:c r="T258" s="1" t="str">
        <x:v>Yes</x:v>
      </x:c>
      <x:c r="U258" s="1" t="n">
        <x:v>0</x:v>
      </x:c>
    </x:row>
    <x:row r="259" ht="23" customHeight="1">
      <x:c r="A259" s="9" t="n">
        <x:v>258</x:v>
      </x:c>
      <x:c r="B259" s="9" t="n">
        <x:v>0</x:v>
      </x:c>
      <x:c r="C259" s="9" t="n">
        <x:v>499</x:v>
      </x:c>
      <x:c r="D259" s="9" t="n">
        <x:v>2</x:v>
      </x:c>
      <x:c r="E259" s="9" t="n">
        <x:v>119473</x:v>
      </x:c>
      <x:c r="F259" s="9" t="n">
        <x:v>38051</x:v>
      </x:c>
      <x:c r="G259" s="9" t="n">
        <x:v>26024</x:v>
      </x:c>
      <x:c r="H259" s="9" t="n">
        <x:v>51175</x:v>
      </x:c>
      <x:c r="I259" s="9" t="n">
        <x:v>4117</x:v>
      </x:c>
      <x:c r="J259" s="9" t="n">
        <x:v>106</x:v>
      </x:c>
      <x:c r="K259" s="9" t="n">
        <x:f>F259+G259+I259+J259</x:f>
        <x:v>68298</x:v>
      </x:c>
      <x:c r="L259" s="10" t="n">
        <x:f>K259/Sources!$B$4*1000</x:f>
        <x:v>19.080078613343318</x:v>
      </x:c>
      <x:c r="M259" s="10" t="n">
        <x:f>E259/Sources!$B$4*1000</x:f>
        <x:v>33.37658836528106</x:v>
      </x:c>
      <x:c r="N259" s="9" t="n">
        <x:f>Sources!$B$6-K259</x:f>
        <x:v>-8562</x:v>
      </x:c>
      <x:c r="O259" s="1" t="str">
        <x:v>keyboard_route</x:v>
      </x:c>
      <x:c r="P259" s="12" t="n">
        <x:v>0</x:v>
      </x:c>
      <x:c r="Q259" s="12" t="n">
        <x:v>-4</x:v>
      </x:c>
      <x:c r="R259" s="12" t="n">
        <x:v>0</x:v>
      </x:c>
      <x:c r="S259" s="12" t="n">
        <x:v>3</x:v>
      </x:c>
      <x:c r="T259" s="1" t="str">
        <x:v>No</x:v>
      </x:c>
      <x:c r="U259" s="1" t="n">
        <x:v>0</x:v>
      </x:c>
    </x:row>
    <x:row r="260" ht="23" customHeight="1">
      <x:c r="A260" s="9" t="n">
        <x:v>259</x:v>
      </x:c>
      <x:c r="B260" s="9" t="n">
        <x:v>0</x:v>
      </x:c>
      <x:c r="C260" s="9" t="n">
        <x:v>495</x:v>
      </x:c>
      <x:c r="D260" s="9" t="n">
        <x:v>2</x:v>
      </x:c>
      <x:c r="E260" s="9" t="n">
        <x:v>119471</x:v>
      </x:c>
      <x:c r="F260" s="9" t="n">
        <x:v>34406</x:v>
      </x:c>
      <x:c r="G260" s="9" t="n">
        <x:v>38112</x:v>
      </x:c>
      <x:c r="H260" s="9" t="n">
        <x:v>42729.99999999255</x:v>
      </x:c>
      <x:c r="I260" s="9" t="n">
        <x:v>4117</x:v>
      </x:c>
      <x:c r="J260" s="9" t="n">
        <x:v>106.00000000745058</x:v>
      </x:c>
      <x:c r="K260" s="9" t="n">
        <x:f>F260+G260+I260+J260</x:f>
        <x:v>76741.00000000745</x:v>
      </x:c>
      <x:c r="L260" s="10" t="n">
        <x:f>K260/Sources!$B$4*1000</x:f>
        <x:v>21.43875827793964</x:v>
      </x:c>
      <x:c r="M260" s="10" t="n">
        <x:f>E260/Sources!$B$4*1000</x:f>
        <x:v>33.37602963505138</x:v>
      </x:c>
      <x:c r="N260" s="9" t="n">
        <x:f>Sources!$B$6-K260</x:f>
        <x:v>-17005.00000000745</x:v>
      </x:c>
      <x:c r="O260" s="1" t="str">
        <x:v>keyboard_route</x:v>
      </x:c>
      <x:c r="P260" s="12" t="n">
        <x:v>0</x:v>
      </x:c>
      <x:c r="Q260" s="12" t="n">
        <x:v>-4</x:v>
      </x:c>
      <x:c r="R260" s="12" t="n">
        <x:v>0</x:v>
      </x:c>
      <x:c r="S260" s="12" t="n">
        <x:v>7</x:v>
      </x:c>
      <x:c r="T260" s="1" t="str">
        <x:v>Yes</x:v>
      </x:c>
      <x:c r="U260" s="1" t="n">
        <x:v>0</x:v>
      </x:c>
    </x:row>
    <x:row r="261" ht="23" customHeight="1">
      <x:c r="A261" s="9" t="n">
        <x:v>260</x:v>
      </x:c>
      <x:c r="B261" s="9" t="n">
        <x:v>0</x:v>
      </x:c>
      <x:c r="C261" s="9" t="n">
        <x:v>491</x:v>
      </x:c>
      <x:c r="D261" s="9" t="n">
        <x:v>2</x:v>
      </x:c>
      <x:c r="E261" s="9" t="n">
        <x:v>119476</x:v>
      </x:c>
      <x:c r="F261" s="9" t="n">
        <x:v>35835</x:v>
      </x:c>
      <x:c r="G261" s="9" t="n">
        <x:v>26018</x:v>
      </x:c>
      <x:c r="H261" s="9" t="n">
        <x:v>53400</x:v>
      </x:c>
      <x:c r="I261" s="9" t="n">
        <x:v>4117</x:v>
      </x:c>
      <x:c r="J261" s="9" t="n">
        <x:v>106</x:v>
      </x:c>
      <x:c r="K261" s="9" t="n">
        <x:f>F261+G261+I261+J261</x:f>
        <x:v>66076</x:v>
      </x:c>
      <x:c r="L261" s="10" t="n">
        <x:f>K261/Sources!$B$4*1000</x:f>
        <x:v>18.459329328168806</x:v>
      </x:c>
      <x:c r="M261" s="10" t="n">
        <x:f>E261/Sources!$B$4*1000</x:f>
        <x:v>33.37742646062558</x:v>
      </x:c>
      <x:c r="N261" s="9" t="n">
        <x:f>Sources!$B$6-K261</x:f>
        <x:v>-6340</x:v>
      </x:c>
      <x:c r="O261" s="1" t="str">
        <x:v>keyboard_route</x:v>
      </x:c>
      <x:c r="P261" s="12" t="n">
        <x:v>0</x:v>
      </x:c>
      <x:c r="Q261" s="12" t="n">
        <x:v>-4</x:v>
      </x:c>
      <x:c r="R261" s="12" t="n">
        <x:v>0</x:v>
      </x:c>
      <x:c r="S261" s="12" t="n">
        <x:v>3</x:v>
      </x:c>
      <x:c r="T261" s="1" t="str">
        <x:v>No</x:v>
      </x:c>
      <x:c r="U261" s="1" t="n">
        <x:v>0</x:v>
      </x:c>
    </x:row>
    <x:row r="262" ht="23" customHeight="1">
      <x:c r="A262" s="9" t="n">
        <x:v>261</x:v>
      </x:c>
      <x:c r="B262" s="9" t="n">
        <x:v>0</x:v>
      </x:c>
      <x:c r="C262" s="9" t="n">
        <x:v>487</x:v>
      </x:c>
      <x:c r="D262" s="9" t="n">
        <x:v>2</x:v>
      </x:c>
      <x:c r="E262" s="9" t="n">
        <x:v>119467.99999999255</x:v>
      </x:c>
      <x:c r="F262" s="9" t="n">
        <x:v>33103</x:v>
      </x:c>
      <x:c r="G262" s="9" t="n">
        <x:v>38112</x:v>
      </x:c>
      <x:c r="H262" s="9" t="n">
        <x:v>44030</x:v>
      </x:c>
      <x:c r="I262" s="9" t="n">
        <x:v>4117</x:v>
      </x:c>
      <x:c r="J262" s="9" t="n">
        <x:v>105.99999999254942</x:v>
      </x:c>
      <x:c r="K262" s="9" t="n">
        <x:f>F262+G262+I262+J262</x:f>
        <x:v>75437.99999999255</x:v>
      </x:c>
      <x:c r="L262" s="10" t="n">
        <x:f>K262/Sources!$B$4*1000</x:f>
        <x:v>21.074745533298938</x:v>
      </x:c>
      <x:c r="M262" s="10" t="n">
        <x:f>E262/Sources!$B$4*1000</x:f>
        <x:v>33.37519153970478</x:v>
      </x:c>
      <x:c r="N262" s="9" t="n">
        <x:f>Sources!$B$6-K262</x:f>
        <x:v>-15701.99999999255</x:v>
      </x:c>
      <x:c r="O262" s="1" t="str">
        <x:v>keyboard_route</x:v>
      </x:c>
      <x:c r="P262" s="12" t="n">
        <x:v>0</x:v>
      </x:c>
      <x:c r="Q262" s="12" t="n">
        <x:v>-4</x:v>
      </x:c>
      <x:c r="R262" s="12" t="n">
        <x:v>0</x:v>
      </x:c>
      <x:c r="S262" s="12" t="n">
        <x:v>7</x:v>
      </x:c>
      <x:c r="T262" s="1" t="str">
        <x:v>Yes</x:v>
      </x:c>
      <x:c r="U262" s="1" t="n">
        <x:v>0</x:v>
      </x:c>
    </x:row>
    <x:row r="263" ht="23" customHeight="1">
      <x:c r="A263" s="9" t="n">
        <x:v>262</x:v>
      </x:c>
      <x:c r="B263" s="9" t="n">
        <x:v>0</x:v>
      </x:c>
      <x:c r="C263" s="9" t="n">
        <x:v>483</x:v>
      </x:c>
      <x:c r="D263" s="9" t="n">
        <x:v>2</x:v>
      </x:c>
      <x:c r="E263" s="9" t="n">
        <x:v>119475</x:v>
      </x:c>
      <x:c r="F263" s="9" t="n">
        <x:v>37524.00000000745</x:v>
      </x:c>
      <x:c r="G263" s="9" t="n">
        <x:v>26018</x:v>
      </x:c>
      <x:c r="H263" s="9" t="n">
        <x:v>51710</x:v>
      </x:c>
      <x:c r="I263" s="9" t="n">
        <x:v>4116.999999992549</x:v>
      </x:c>
      <x:c r="J263" s="9" t="n">
        <x:v>106</x:v>
      </x:c>
      <x:c r="K263" s="9" t="n">
        <x:f>F263+G263+I263+J263</x:f>
        <x:v>67765</x:v>
      </x:c>
      <x:c r="L263" s="10" t="n">
        <x:f>K263/Sources!$B$4*1000</x:f>
        <x:v>18.931177007133588</x:v>
      </x:c>
      <x:c r="M263" s="10" t="n">
        <x:f>E263/Sources!$B$4*1000</x:f>
        <x:v>33.37714709551074</x:v>
      </x:c>
      <x:c r="N263" s="9" t="n">
        <x:f>Sources!$B$6-K263</x:f>
        <x:v>-8029</x:v>
      </x:c>
      <x:c r="O263" s="1" t="str">
        <x:v>keyboard_route</x:v>
      </x:c>
      <x:c r="P263" s="12" t="n">
        <x:v>0</x:v>
      </x:c>
      <x:c r="Q263" s="12" t="n">
        <x:v>-4</x:v>
      </x:c>
      <x:c r="R263" s="12" t="n">
        <x:v>0</x:v>
      </x:c>
      <x:c r="S263" s="12" t="n">
        <x:v>3</x:v>
      </x:c>
      <x:c r="T263" s="1" t="str">
        <x:v>No</x:v>
      </x:c>
      <x:c r="U263" s="1" t="n">
        <x:v>0</x:v>
      </x:c>
    </x:row>
    <x:row r="264" ht="23" customHeight="1">
      <x:c r="A264" s="9" t="n">
        <x:v>263</x:v>
      </x:c>
      <x:c r="B264" s="9" t="n">
        <x:v>0</x:v>
      </x:c>
      <x:c r="C264" s="9" t="n">
        <x:v>479</x:v>
      </x:c>
      <x:c r="D264" s="9" t="n">
        <x:v>2</x:v>
      </x:c>
      <x:c r="E264" s="9" t="n">
        <x:v>119469.00000000745</x:v>
      </x:c>
      <x:c r="F264" s="9" t="n">
        <x:v>34126.00000000745</x:v>
      </x:c>
      <x:c r="G264" s="9" t="n">
        <x:v>38955</x:v>
      </x:c>
      <x:c r="H264" s="9" t="n">
        <x:v>42165</x:v>
      </x:c>
      <x:c r="I264" s="9" t="n">
        <x:v>4117</x:v>
      </x:c>
      <x:c r="J264" s="9" t="n">
        <x:v>106</x:v>
      </x:c>
      <x:c r="K264" s="9" t="n">
        <x:f>F264+G264+I264+J264</x:f>
        <x:v>77304.00000000745</x:v>
      </x:c>
      <x:c r="L264" s="10" t="n">
        <x:f>K264/Sources!$B$4*1000</x:f>
        <x:v>21.596040837594572</x:v>
      </x:c>
      <x:c r="M264" s="10" t="n">
        <x:f>E264/Sources!$B$4*1000</x:f>
        <x:v>33.375470904823786</x:v>
      </x:c>
      <x:c r="N264" s="9" t="n">
        <x:f>Sources!$B$6-K264</x:f>
        <x:v>-17568.00000000745</x:v>
      </x:c>
      <x:c r="O264" s="1" t="str">
        <x:v>keyboard_route</x:v>
      </x:c>
      <x:c r="P264" s="12" t="n">
        <x:v>0</x:v>
      </x:c>
      <x:c r="Q264" s="12" t="n">
        <x:v>-4</x:v>
      </x:c>
      <x:c r="R264" s="12" t="n">
        <x:v>0</x:v>
      </x:c>
      <x:c r="S264" s="12" t="n">
        <x:v>7</x:v>
      </x:c>
      <x:c r="T264" s="1" t="str">
        <x:v>Yes</x:v>
      </x:c>
      <x:c r="U264" s="1" t="n">
        <x:v>0</x:v>
      </x:c>
    </x:row>
    <x:row r="265" ht="23" customHeight="1">
      <x:c r="A265" s="9" t="n">
        <x:v>264</x:v>
      </x:c>
      <x:c r="B265" s="9" t="n">
        <x:v>0</x:v>
      </x:c>
      <x:c r="C265" s="9" t="n">
        <x:v>475</x:v>
      </x:c>
      <x:c r="D265" s="9" t="n">
        <x:v>2</x:v>
      </x:c>
      <x:c r="E265" s="9" t="n">
        <x:v>119474</x:v>
      </x:c>
      <x:c r="F265" s="9" t="n">
        <x:v>38536.99999999255</x:v>
      </x:c>
      <x:c r="G265" s="9" t="n">
        <x:v>26024</x:v>
      </x:c>
      <x:c r="H265" s="9" t="n">
        <x:v>50690.00000000745</x:v>
      </x:c>
      <x:c r="I265" s="9" t="n">
        <x:v>4117</x:v>
      </x:c>
      <x:c r="J265" s="9" t="n">
        <x:v>106</x:v>
      </x:c>
      <x:c r="K265" s="9" t="n">
        <x:f>F265+G265+I265+J265</x:f>
        <x:v>68783.99999999255</x:v>
      </x:c>
      <x:c r="L265" s="10" t="n">
        <x:f>K265/Sources!$B$4*1000</x:f>
        <x:v>19.21585005915348</x:v>
      </x:c>
      <x:c r="M265" s="10" t="n">
        <x:f>E265/Sources!$B$4*1000</x:f>
        <x:v>33.3768677303959</x:v>
      </x:c>
      <x:c r="N265" s="9" t="n">
        <x:f>Sources!$B$6-K265</x:f>
        <x:v>-9047.99999999255</x:v>
      </x:c>
      <x:c r="O265" s="1" t="str">
        <x:v>keyboard_route</x:v>
      </x:c>
      <x:c r="P265" s="12" t="n">
        <x:v>0</x:v>
      </x:c>
      <x:c r="Q265" s="12" t="n">
        <x:v>-4</x:v>
      </x:c>
      <x:c r="R265" s="12" t="n">
        <x:v>0</x:v>
      </x:c>
      <x:c r="S265" s="12" t="n">
        <x:v>3</x:v>
      </x:c>
      <x:c r="T265" s="1" t="str">
        <x:v>No</x:v>
      </x:c>
      <x:c r="U265" s="1" t="n">
        <x:v>0</x:v>
      </x:c>
    </x:row>
    <x:row r="266" ht="23" customHeight="1">
      <x:c r="A266" s="9" t="n">
        <x:v>265</x:v>
      </x:c>
      <x:c r="B266" s="9" t="n">
        <x:v>0</x:v>
      </x:c>
      <x:c r="C266" s="9" t="n">
        <x:v>471</x:v>
      </x:c>
      <x:c r="D266" s="9" t="n">
        <x:v>2</x:v>
      </x:c>
      <x:c r="E266" s="9" t="n">
        <x:v>119473.99999999255</x:v>
      </x:c>
      <x:c r="F266" s="9" t="n">
        <x:v>33518.99999999255</x:v>
      </x:c>
      <x:c r="G266" s="9" t="n">
        <x:v>38092.00000000745</x:v>
      </x:c>
      <x:c r="H266" s="9" t="n">
        <x:v>43640</x:v>
      </x:c>
      <x:c r="I266" s="9" t="n">
        <x:v>4116.999999992549</x:v>
      </x:c>
      <x:c r="J266" s="9" t="n">
        <x:v>106</x:v>
      </x:c>
      <x:c r="K266" s="9" t="n">
        <x:f>F266+G266+I266+J266</x:f>
        <x:v>75833.99999999255</x:v>
      </x:c>
      <x:c r="L266" s="10" t="n">
        <x:f>K266/Sources!$B$4*1000</x:f>
        <x:v>21.185374118775584</x:v>
      </x:c>
      <x:c r="M266" s="10" t="n">
        <x:f>E266/Sources!$B$4*1000</x:f>
        <x:v>33.37686773039382</x:v>
      </x:c>
      <x:c r="N266" s="9" t="n">
        <x:f>Sources!$B$6-K266</x:f>
        <x:v>-16097.99999999255</x:v>
      </x:c>
      <x:c r="O266" s="1" t="str">
        <x:v>keyboard_route</x:v>
      </x:c>
      <x:c r="P266" s="12" t="n">
        <x:v>0</x:v>
      </x:c>
      <x:c r="Q266" s="12" t="n">
        <x:v>-4</x:v>
      </x:c>
      <x:c r="R266" s="12" t="n">
        <x:v>0</x:v>
      </x:c>
      <x:c r="S266" s="12" t="n">
        <x:v>7</x:v>
      </x:c>
      <x:c r="T266" s="1" t="str">
        <x:v>Yes</x:v>
      </x:c>
      <x:c r="U266" s="1" t="n">
        <x:v>0</x:v>
      </x:c>
    </x:row>
    <x:row r="267" ht="23" customHeight="1">
      <x:c r="A267" s="9" t="n">
        <x:v>266</x:v>
      </x:c>
      <x:c r="B267" s="9" t="n">
        <x:v>0</x:v>
      </x:c>
      <x:c r="C267" s="9" t="n">
        <x:v>467</x:v>
      </x:c>
      <x:c r="D267" s="9" t="n">
        <x:v>2</x:v>
      </x:c>
      <x:c r="E267" s="9" t="n">
        <x:v>119471.00000000745</x:v>
      </x:c>
      <x:c r="F267" s="9" t="n">
        <x:v>37745</x:v>
      </x:c>
      <x:c r="G267" s="9" t="n">
        <x:v>26018.00000000745</x:v>
      </x:c>
      <x:c r="H267" s="9" t="n">
        <x:v>51485</x:v>
      </x:c>
      <x:c r="I267" s="9" t="n">
        <x:v>4117</x:v>
      </x:c>
      <x:c r="J267" s="9" t="n">
        <x:v>106</x:v>
      </x:c>
      <x:c r="K267" s="9" t="n">
        <x:f>F267+G267+I267+J267</x:f>
        <x:v>67986.00000000745</x:v>
      </x:c>
      <x:c r="L267" s="10" t="n">
        <x:f>K267/Sources!$B$4*1000</x:f>
        <x:v>18.992916697515312</x:v>
      </x:c>
      <x:c r="M267" s="10" t="n">
        <x:f>E267/Sources!$B$4*1000</x:f>
        <x:v>33.37602963505346</x:v>
      </x:c>
      <x:c r="N267" s="9" t="n">
        <x:f>Sources!$B$6-K267</x:f>
        <x:v>-8250.00000000745</x:v>
      </x:c>
      <x:c r="O267" s="1" t="str">
        <x:v>keyboard_route</x:v>
      </x:c>
      <x:c r="P267" s="12" t="n">
        <x:v>0</x:v>
      </x:c>
      <x:c r="Q267" s="12" t="n">
        <x:v>-4</x:v>
      </x:c>
      <x:c r="R267" s="12" t="n">
        <x:v>0</x:v>
      </x:c>
      <x:c r="S267" s="12" t="n">
        <x:v>3</x:v>
      </x:c>
      <x:c r="T267" s="1" t="str">
        <x:v>No</x:v>
      </x:c>
      <x:c r="U267" s="1" t="n">
        <x:v>0</x:v>
      </x:c>
    </x:row>
    <x:row r="268" ht="23" customHeight="1">
      <x:c r="A268" s="9" t="n">
        <x:v>267</x:v>
      </x:c>
      <x:c r="B268" s="9" t="n">
        <x:v>0</x:v>
      </x:c>
      <x:c r="C268" s="9" t="n">
        <x:v>463</x:v>
      </x:c>
      <x:c r="D268" s="9" t="n">
        <x:v>2</x:v>
      </x:c>
      <x:c r="E268" s="9" t="n">
        <x:v>119470</x:v>
      </x:c>
      <x:c r="F268" s="9" t="n">
        <x:v>32646</x:v>
      </x:c>
      <x:c r="G268" s="9" t="n">
        <x:v>38086</x:v>
      </x:c>
      <x:c r="H268" s="9" t="n">
        <x:v>44515</x:v>
      </x:c>
      <x:c r="I268" s="9" t="n">
        <x:v>4117</x:v>
      </x:c>
      <x:c r="J268" s="9" t="n">
        <x:v>106</x:v>
      </x:c>
      <x:c r="K268" s="9" t="n">
        <x:f>F268+G268+I268+J268</x:f>
        <x:v>74955</x:v>
      </x:c>
      <x:c r="L268" s="10" t="n">
        <x:f>K268/Sources!$B$4*1000</x:f>
        <x:v>20.939812182833293</x:v>
      </x:c>
      <x:c r="M268" s="10" t="n">
        <x:f>E268/Sources!$B$4*1000</x:f>
        <x:v>33.37575026993654</x:v>
      </x:c>
      <x:c r="N268" s="9" t="n">
        <x:f>Sources!$B$6-K268</x:f>
        <x:v>-15219</x:v>
      </x:c>
      <x:c r="O268" s="1" t="str">
        <x:v>keyboard_route</x:v>
      </x:c>
      <x:c r="P268" s="12" t="n">
        <x:v>0</x:v>
      </x:c>
      <x:c r="Q268" s="12" t="n">
        <x:v>-4</x:v>
      </x:c>
      <x:c r="R268" s="12" t="n">
        <x:v>0</x:v>
      </x:c>
      <x:c r="S268" s="12" t="n">
        <x:v>7</x:v>
      </x:c>
      <x:c r="T268" s="1" t="str">
        <x:v>Yes</x:v>
      </x:c>
      <x:c r="U268" s="1" t="n">
        <x:v>0</x:v>
      </x:c>
    </x:row>
    <x:row r="269" ht="23" customHeight="1">
      <x:c r="A269" s="9" t="n">
        <x:v>268</x:v>
      </x:c>
      <x:c r="B269" s="9" t="n">
        <x:v>0</x:v>
      </x:c>
      <x:c r="C269" s="9" t="n">
        <x:v>459</x:v>
      </x:c>
      <x:c r="D269" s="9" t="n">
        <x:v>2</x:v>
      </x:c>
      <x:c r="E269" s="9" t="n">
        <x:v>119472.99999999255</x:v>
      </x:c>
      <x:c r="F269" s="9" t="n">
        <x:v>36227</x:v>
      </x:c>
      <x:c r="G269" s="9" t="n">
        <x:v>26018</x:v>
      </x:c>
      <x:c r="H269" s="9" t="n">
        <x:v>53005</x:v>
      </x:c>
      <x:c r="I269" s="9" t="n">
        <x:v>4117</x:v>
      </x:c>
      <x:c r="J269" s="9" t="n">
        <x:v>105.99999999254942</x:v>
      </x:c>
      <x:c r="K269" s="9" t="n">
        <x:f>F269+G269+I269+J269</x:f>
        <x:v>66467.99999999255</x:v>
      </x:c>
      <x:c r="L269" s="10" t="n">
        <x:f>K269/Sources!$B$4*1000</x:f>
        <x:v>18.568840453184006</x:v>
      </x:c>
      <x:c r="M269" s="10" t="n">
        <x:f>E269/Sources!$B$4*1000</x:f>
        <x:v>33.37658836527898</x:v>
      </x:c>
      <x:c r="N269" s="9" t="n">
        <x:f>Sources!$B$6-K269</x:f>
        <x:v>-6731.999999992549</x:v>
      </x:c>
      <x:c r="O269" s="1" t="str">
        <x:v>keyboard_route</x:v>
      </x:c>
      <x:c r="P269" s="12" t="n">
        <x:v>0</x:v>
      </x:c>
      <x:c r="Q269" s="12" t="n">
        <x:v>-4</x:v>
      </x:c>
      <x:c r="R269" s="12" t="n">
        <x:v>0</x:v>
      </x:c>
      <x:c r="S269" s="12" t="n">
        <x:v>3</x:v>
      </x:c>
      <x:c r="T269" s="1" t="str">
        <x:v>No</x:v>
      </x:c>
      <x:c r="U269" s="1" t="n">
        <x:v>0</x:v>
      </x:c>
    </x:row>
    <x:row r="270" ht="23" customHeight="1">
      <x:c r="A270" s="9" t="n">
        <x:v>269</x:v>
      </x:c>
      <x:c r="B270" s="9" t="n">
        <x:v>0</x:v>
      </x:c>
      <x:c r="C270" s="9" t="n">
        <x:v>459</x:v>
      </x:c>
      <x:c r="D270" s="9" t="n">
        <x:v>2</x:v>
      </x:c>
      <x:c r="E270" s="9" t="n">
        <x:v>117920.00000000745</x:v>
      </x:c>
      <x:c r="F270" s="9" t="n">
        <x:v>34248.00000000745</x:v>
      </x:c>
      <x:c r="G270" s="9" t="n">
        <x:v>25031</x:v>
      </x:c>
      <x:c r="H270" s="9" t="n">
        <x:v>55970</x:v>
      </x:c>
      <x:c r="I270" s="9" t="n">
        <x:v>2565</x:v>
      </x:c>
      <x:c r="J270" s="9" t="n">
        <x:v>106</x:v>
      </x:c>
      <x:c r="K270" s="9" t="n">
        <x:f>F270+G270+I270+J270</x:f>
        <x:v>61950.00000000745</x:v>
      </x:c>
      <x:c r="L270" s="10" t="n">
        <x:f>K270/Sources!$B$4*1000</x:f>
        <x:v>17.306668864340985</x:v>
      </x:c>
      <x:c r="M270" s="10" t="n">
        <x:f>E270/Sources!$B$4*1000</x:f>
        <x:v>32.9427343419366</x:v>
      </x:c>
      <x:c r="N270" s="9" t="n">
        <x:f>Sources!$B$6-K270</x:f>
        <x:v>-2214.0000000074506</x:v>
      </x:c>
      <x:c r="O270" s="1" t="str">
        <x:v>keyboard_route</x:v>
      </x:c>
      <x:c r="P270" s="12" t="n">
        <x:v>0</x:v>
      </x:c>
      <x:c r="Q270" s="12" t="n">
        <x:v>0</x:v>
      </x:c>
      <x:c r="R270" s="12" t="n">
        <x:v>0</x:v>
      </x:c>
      <x:c r="S270" s="12" t="n">
        <x:v>3</x:v>
      </x:c>
      <x:c r="T270" s="1" t="str">
        <x:v>No</x:v>
      </x:c>
      <x:c r="U270" s="1" t="n">
        <x:v>0</x:v>
      </x:c>
    </x:row>
    <x:row r="271" ht="23" customHeight="1">
      <x:c r="A271" s="9" t="n">
        <x:v>270</x:v>
      </x:c>
      <x:c r="B271" s="9" t="n">
        <x:v>0</x:v>
      </x:c>
      <x:c r="C271" s="9" t="n">
        <x:v>459</x:v>
      </x:c>
      <x:c r="D271" s="9" t="n">
        <x:v>2</x:v>
      </x:c>
      <x:c r="E271" s="9" t="n">
        <x:v>119470</x:v>
      </x:c>
      <x:c r="F271" s="9" t="n">
        <x:v>36849</x:v>
      </x:c>
      <x:c r="G271" s="9" t="n">
        <x:v>24730.00000000745</x:v>
      </x:c>
      <x:c r="H271" s="9" t="n">
        <x:v>55220</x:v>
      </x:c>
      <x:c r="I271" s="9" t="n">
        <x:v>2565</x:v>
      </x:c>
      <x:c r="J271" s="9" t="n">
        <x:v>105.99999999254942</x:v>
      </x:c>
      <x:c r="K271" s="9" t="n">
        <x:f>F271+G271+I271+J271</x:f>
        <x:v>64250</x:v>
      </x:c>
      <x:c r="L271" s="10" t="n">
        <x:f>K271/Sources!$B$4*1000</x:f>
        <x:v>17.949208628470934</x:v>
      </x:c>
      <x:c r="M271" s="10" t="n">
        <x:f>E271/Sources!$B$4*1000</x:f>
        <x:v>33.37575026993654</x:v>
      </x:c>
      <x:c r="N271" s="9" t="n">
        <x:f>Sources!$B$6-K271</x:f>
        <x:v>-4514</x:v>
      </x:c>
      <x:c r="O271" s="1" t="str">
        <x:v>keyboard_route</x:v>
      </x:c>
      <x:c r="P271" s="12" t="n">
        <x:v>0</x:v>
      </x:c>
      <x:c r="Q271" s="12" t="n">
        <x:v>0</x:v>
      </x:c>
      <x:c r="R271" s="12" t="n">
        <x:v>0</x:v>
      </x:c>
      <x:c r="S271" s="12" t="n">
        <x:v>3</x:v>
      </x:c>
      <x:c r="T271" s="1" t="str">
        <x:v>No</x:v>
      </x:c>
      <x:c r="U271" s="1" t="n">
        <x:v>0</x:v>
      </x:c>
    </x:row>
    <x:row r="272" ht="23" customHeight="1">
      <x:c r="A272" s="9" t="n">
        <x:v>271</x:v>
      </x:c>
      <x:c r="B272" s="9" t="n">
        <x:v>0</x:v>
      </x:c>
      <x:c r="C272" s="9" t="n">
        <x:v>459</x:v>
      </x:c>
      <x:c r="D272" s="9" t="n">
        <x:v>2</x:v>
      </x:c>
      <x:c r="E272" s="9" t="n">
        <x:v>119472</x:v>
      </x:c>
      <x:c r="F272" s="9" t="n">
        <x:v>39960</x:v>
      </x:c>
      <x:c r="G272" s="9" t="n">
        <x:v>25031</x:v>
      </x:c>
      <x:c r="H272" s="9" t="n">
        <x:v>51810</x:v>
      </x:c>
      <x:c r="I272" s="9" t="n">
        <x:v>2565</x:v>
      </x:c>
      <x:c r="J272" s="9" t="n">
        <x:v>106</x:v>
      </x:c>
      <x:c r="K272" s="9" t="n">
        <x:f>F272+G272+I272+J272</x:f>
        <x:v>67662</x:v>
      </x:c>
      <x:c r="L272" s="10" t="n">
        <x:f>K272/Sources!$B$4*1000</x:f>
        <x:v>18.902402400305064</x:v>
      </x:c>
      <x:c r="M272" s="10" t="n">
        <x:f>E272/Sources!$B$4*1000</x:f>
        <x:v>33.37630900016622</x:v>
      </x:c>
      <x:c r="N272" s="9" t="n">
        <x:f>Sources!$B$6-K272</x:f>
        <x:v>-7926</x:v>
      </x:c>
      <x:c r="O272" s="1" t="str">
        <x:v>keyboard_route</x:v>
      </x:c>
      <x:c r="P272" s="12" t="n">
        <x:v>0</x:v>
      </x:c>
      <x:c r="Q272" s="12" t="n">
        <x:v>0</x:v>
      </x:c>
      <x:c r="R272" s="12" t="n">
        <x:v>0</x:v>
      </x:c>
      <x:c r="S272" s="12" t="n">
        <x:v>3</x:v>
      </x:c>
      <x:c r="T272" s="1" t="str">
        <x:v>No</x:v>
      </x:c>
      <x:c r="U272" s="1" t="n">
        <x:v>0</x:v>
      </x:c>
    </x:row>
    <x:row r="273" ht="23" customHeight="1">
      <x:c r="A273" s="9" t="n">
        <x:v>272</x:v>
      </x:c>
      <x:c r="B273" s="9" t="n">
        <x:v>0</x:v>
      </x:c>
      <x:c r="C273" s="9" t="n">
        <x:v>459</x:v>
      </x:c>
      <x:c r="D273" s="9" t="n">
        <x:v>2</x:v>
      </x:c>
      <x:c r="E273" s="9" t="n">
        <x:v>119476</x:v>
      </x:c>
      <x:c r="F273" s="9" t="n">
        <x:v>34761</x:v>
      </x:c>
      <x:c r="G273" s="9" t="n">
        <x:v>24723.99999999255</x:v>
      </x:c>
      <x:c r="H273" s="9" t="n">
        <x:v>57320</x:v>
      </x:c>
      <x:c r="I273" s="9" t="n">
        <x:v>2565</x:v>
      </x:c>
      <x:c r="J273" s="9" t="n">
        <x:v>106.00000000745058</x:v>
      </x:c>
      <x:c r="K273" s="9" t="n">
        <x:f>F273+G273+I273+J273</x:f>
        <x:v>62156</x:v>
      </x:c>
      <x:c r="L273" s="10" t="n">
        <x:f>K273/Sources!$B$4*1000</x:f>
        <x:v>17.364218077995947</x:v>
      </x:c>
      <x:c r="M273" s="10" t="n">
        <x:f>E273/Sources!$B$4*1000</x:f>
        <x:v>33.37742646062558</x:v>
      </x:c>
      <x:c r="N273" s="9" t="n">
        <x:f>Sources!$B$6-K273</x:f>
        <x:v>-2420</x:v>
      </x:c>
      <x:c r="O273" s="1" t="str">
        <x:v>keyboard_route</x:v>
      </x:c>
      <x:c r="P273" s="12" t="n">
        <x:v>0</x:v>
      </x:c>
      <x:c r="Q273" s="12" t="n">
        <x:v>0</x:v>
      </x:c>
      <x:c r="R273" s="12" t="n">
        <x:v>0</x:v>
      </x:c>
      <x:c r="S273" s="12" t="n">
        <x:v>3</x:v>
      </x:c>
      <x:c r="T273" s="1" t="str">
        <x:v>No</x:v>
      </x:c>
      <x:c r="U273" s="1" t="n">
        <x:v>0</x:v>
      </x:c>
    </x:row>
    <x:row r="274" ht="23" customHeight="1">
      <x:c r="A274" s="9" t="n">
        <x:v>273</x:v>
      </x:c>
      <x:c r="B274" s="9" t="n">
        <x:v>0</x:v>
      </x:c>
      <x:c r="C274" s="9" t="n">
        <x:v>459</x:v>
      </x:c>
      <x:c r="D274" s="9" t="n">
        <x:v>2</x:v>
      </x:c>
      <x:c r="E274" s="9" t="n">
        <x:v>119468.99999999255</x:v>
      </x:c>
      <x:c r="F274" s="9" t="n">
        <x:v>38578.00000000745</x:v>
      </x:c>
      <x:c r="G274" s="9" t="n">
        <x:v>25024.99999999255</x:v>
      </x:c>
      <x:c r="H274" s="9" t="n">
        <x:v>53195.00000000745</x:v>
      </x:c>
      <x:c r="I274" s="9" t="n">
        <x:v>2565</x:v>
      </x:c>
      <x:c r="J274" s="9" t="n">
        <x:v>105.99999998509884</x:v>
      </x:c>
      <x:c r="K274" s="9" t="n">
        <x:f>F274+G274+I274+J274</x:f>
        <x:v>66273.9999999851</x:v>
      </x:c>
      <x:c r="L274" s="10" t="n">
        <x:f>K274/Sources!$B$4*1000</x:f>
        <x:v>18.514643620902966</x:v>
      </x:c>
      <x:c r="M274" s="10" t="n">
        <x:f>E274/Sources!$B$4*1000</x:f>
        <x:v>33.37547090481962</x:v>
      </x:c>
      <x:c r="N274" s="9" t="n">
        <x:f>Sources!$B$6-K274</x:f>
        <x:v>-6537.999999985099</x:v>
      </x:c>
      <x:c r="O274" s="1" t="str">
        <x:v>keyboard_route</x:v>
      </x:c>
      <x:c r="P274" s="12" t="n">
        <x:v>0</x:v>
      </x:c>
      <x:c r="Q274" s="12" t="n">
        <x:v>0</x:v>
      </x:c>
      <x:c r="R274" s="12" t="n">
        <x:v>0</x:v>
      </x:c>
      <x:c r="S274" s="12" t="n">
        <x:v>3</x:v>
      </x:c>
      <x:c r="T274" s="1" t="str">
        <x:v>No</x:v>
      </x:c>
      <x:c r="U274" s="1" t="n">
        <x:v>0</x:v>
      </x:c>
    </x:row>
    <x:row r="275" ht="23" customHeight="1">
      <x:c r="A275" s="9" t="n">
        <x:v>274</x:v>
      </x:c>
      <x:c r="B275" s="9" t="n">
        <x:v>0</x:v>
      </x:c>
      <x:c r="C275" s="9" t="n">
        <x:v>459</x:v>
      </x:c>
      <x:c r="D275" s="9" t="n">
        <x:v>2</x:v>
      </x:c>
      <x:c r="E275" s="9" t="n">
        <x:v>119475</x:v>
      </x:c>
      <x:c r="F275" s="9" t="n">
        <x:v>33985</x:v>
      </x:c>
      <x:c r="G275" s="9" t="n">
        <x:v>24723.99999999255</x:v>
      </x:c>
      <x:c r="H275" s="9" t="n">
        <x:v>58095.00000000745</x:v>
      </x:c>
      <x:c r="I275" s="9" t="n">
        <x:v>2565</x:v>
      </x:c>
      <x:c r="J275" s="9" t="n">
        <x:v>106</x:v>
      </x:c>
      <x:c r="K275" s="9" t="n">
        <x:f>F275+G275+I275+J275</x:f>
        <x:v>61379.99999999255</x:v>
      </x:c>
      <x:c r="L275" s="10" t="n">
        <x:f>K275/Sources!$B$4*1000</x:f>
        <x:v>17.147430748878012</x:v>
      </x:c>
      <x:c r="M275" s="10" t="n">
        <x:f>E275/Sources!$B$4*1000</x:f>
        <x:v>33.37714709551074</x:v>
      </x:c>
      <x:c r="N275" s="9" t="n">
        <x:f>Sources!$B$6-K275</x:f>
        <x:v>-1643.9999999925494</x:v>
      </x:c>
      <x:c r="O275" s="1" t="str">
        <x:v>keyboard_route</x:v>
      </x:c>
      <x:c r="P275" s="12" t="n">
        <x:v>0</x:v>
      </x:c>
      <x:c r="Q275" s="12" t="n">
        <x:v>0</x:v>
      </x:c>
      <x:c r="R275" s="12" t="n">
        <x:v>0</x:v>
      </x:c>
      <x:c r="S275" s="12" t="n">
        <x:v>3</x:v>
      </x:c>
      <x:c r="T275" s="1" t="str">
        <x:v>No</x:v>
      </x:c>
      <x:c r="U275" s="1" t="n">
        <x:v>0</x:v>
      </x:c>
    </x:row>
    <x:row r="276" ht="23" customHeight="1">
      <x:c r="A276" s="9" t="n">
        <x:v>275</x:v>
      </x:c>
      <x:c r="B276" s="9" t="n">
        <x:v>0</x:v>
      </x:c>
      <x:c r="C276" s="9" t="n">
        <x:v>455</x:v>
      </x:c>
      <x:c r="D276" s="9" t="n">
        <x:v>2</x:v>
      </x:c>
      <x:c r="E276" s="9" t="n">
        <x:v>121021.00000000745</x:v>
      </x:c>
      <x:c r="F276" s="9" t="n">
        <x:v>40358.00000000745</x:v>
      </x:c>
      <x:c r="G276" s="9" t="n">
        <x:v>38080</x:v>
      </x:c>
      <x:c r="H276" s="9" t="n">
        <x:v>38360</x:v>
      </x:c>
      <x:c r="I276" s="9" t="n">
        <x:v>4117</x:v>
      </x:c>
      <x:c r="J276" s="9" t="n">
        <x:v>106</x:v>
      </x:c>
      <x:c r="K276" s="9" t="n">
        <x:f>F276+G276+I276+J276</x:f>
        <x:v>82661.00000000745</x:v>
      </x:c>
      <x:c r="L276" s="10" t="n">
        <x:f>K276/Sources!$B$4*1000</x:f>
        <x:v>23.092599757792527</x:v>
      </x:c>
      <x:c r="M276" s="10" t="n">
        <x:f>E276/Sources!$B$4*1000</x:f>
        <x:v>33.809045563055484</x:v>
      </x:c>
      <x:c r="N276" s="9" t="n">
        <x:f>Sources!$B$6-K276</x:f>
        <x:v>-22925.00000000745</x:v>
      </x:c>
      <x:c r="O276" s="1" t="str">
        <x:v>keyboard_route</x:v>
      </x:c>
      <x:c r="P276" s="12" t="n">
        <x:v>0</x:v>
      </x:c>
      <x:c r="Q276" s="12" t="n">
        <x:v>-4</x:v>
      </x:c>
      <x:c r="R276" s="12" t="n">
        <x:v>0</x:v>
      </x:c>
      <x:c r="S276" s="12" t="n">
        <x:v>7</x:v>
      </x:c>
      <x:c r="T276" s="1" t="str">
        <x:v>Yes</x:v>
      </x:c>
      <x:c r="U276" s="1" t="n">
        <x:v>0</x:v>
      </x:c>
    </x:row>
    <x:row r="277" ht="23" customHeight="1">
      <x:c r="A277" s="9" t="n">
        <x:v>276</x:v>
      </x:c>
      <x:c r="B277" s="9" t="n">
        <x:v>0</x:v>
      </x:c>
      <x:c r="C277" s="9" t="n">
        <x:v>451</x:v>
      </x:c>
      <x:c r="D277" s="9" t="n">
        <x:v>2</x:v>
      </x:c>
      <x:c r="E277" s="9" t="n">
        <x:v>119471</x:v>
      </x:c>
      <x:c r="F277" s="9" t="n">
        <x:v>39666.99999999255</x:v>
      </x:c>
      <x:c r="G277" s="9" t="n">
        <x:v>26881.00000000745</x:v>
      </x:c>
      <x:c r="H277" s="9" t="n">
        <x:v>48699.99999999255</x:v>
      </x:c>
      <x:c r="I277" s="9" t="n">
        <x:v>4117.000000007451</x:v>
      </x:c>
      <x:c r="J277" s="9" t="n">
        <x:v>106</x:v>
      </x:c>
      <x:c r="K277" s="9" t="n">
        <x:f>F277+G277+I277+J277</x:f>
        <x:v>70771.00000000745</x:v>
      </x:c>
      <x:c r="L277" s="10" t="n">
        <x:f>K277/Sources!$B$4*1000</x:f>
        <x:v>19.77094854234475</x:v>
      </x:c>
      <x:c r="M277" s="10" t="n">
        <x:f>E277/Sources!$B$4*1000</x:f>
        <x:v>33.37602963505138</x:v>
      </x:c>
      <x:c r="N277" s="9" t="n">
        <x:f>Sources!$B$6-K277</x:f>
        <x:v>-11035.00000000745</x:v>
      </x:c>
      <x:c r="O277" s="1" t="str">
        <x:v>keyboard_route</x:v>
      </x:c>
      <x:c r="P277" s="12" t="n">
        <x:v>0</x:v>
      </x:c>
      <x:c r="Q277" s="12" t="n">
        <x:v>-4</x:v>
      </x:c>
      <x:c r="R277" s="12" t="n">
        <x:v>0</x:v>
      </x:c>
      <x:c r="S277" s="12" t="n">
        <x:v>3</x:v>
      </x:c>
      <x:c r="T277" s="1" t="str">
        <x:v>No</x:v>
      </x:c>
      <x:c r="U277" s="1" t="n">
        <x:v>0</x:v>
      </x:c>
    </x:row>
    <x:row r="278" ht="23" customHeight="1">
      <x:c r="A278" s="9" t="n">
        <x:v>277</x:v>
      </x:c>
      <x:c r="B278" s="9" t="n">
        <x:v>0</x:v>
      </x:c>
      <x:c r="C278" s="9" t="n">
        <x:v>447</x:v>
      </x:c>
      <x:c r="D278" s="9" t="n">
        <x:v>2</x:v>
      </x:c>
      <x:c r="E278" s="9" t="n">
        <x:v>119475</x:v>
      </x:c>
      <x:c r="F278" s="9" t="n">
        <x:v>37815</x:v>
      </x:c>
      <x:c r="G278" s="9" t="n">
        <x:v>38112</x:v>
      </x:c>
      <x:c r="H278" s="9" t="n">
        <x:v>39325</x:v>
      </x:c>
      <x:c r="I278" s="9" t="n">
        <x:v>4117.000000007451</x:v>
      </x:c>
      <x:c r="J278" s="9" t="n">
        <x:v>105.99999999254942</x:v>
      </x:c>
      <x:c r="K278" s="9" t="n">
        <x:f>F278+G278+I278+J278</x:f>
        <x:v>80150</x:v>
      </x:c>
      <x:c r="L278" s="10" t="n">
        <x:f>K278/Sources!$B$4*1000</x:f>
        <x:v>22.39111395442717</x:v>
      </x:c>
      <x:c r="M278" s="10" t="n">
        <x:f>E278/Sources!$B$4*1000</x:f>
        <x:v>33.37714709551074</x:v>
      </x:c>
      <x:c r="N278" s="9" t="n">
        <x:f>Sources!$B$6-K278</x:f>
        <x:v>-20414</x:v>
      </x:c>
      <x:c r="O278" s="1" t="str">
        <x:v>keyboard_route</x:v>
      </x:c>
      <x:c r="P278" s="12" t="n">
        <x:v>0</x:v>
      </x:c>
      <x:c r="Q278" s="12" t="n">
        <x:v>-4</x:v>
      </x:c>
      <x:c r="R278" s="12" t="n">
        <x:v>0</x:v>
      </x:c>
      <x:c r="S278" s="12" t="n">
        <x:v>7</x:v>
      </x:c>
      <x:c r="T278" s="1" t="str">
        <x:v>Yes</x:v>
      </x:c>
      <x:c r="U278" s="1" t="n">
        <x:v>0</x:v>
      </x:c>
    </x:row>
    <x:row r="279" ht="23" customHeight="1">
      <x:c r="A279" s="9" t="n">
        <x:v>278</x:v>
      </x:c>
      <x:c r="B279" s="9" t="n">
        <x:v>0</x:v>
      </x:c>
      <x:c r="C279" s="9" t="n">
        <x:v>443</x:v>
      </x:c>
      <x:c r="D279" s="9" t="n">
        <x:v>2</x:v>
      </x:c>
      <x:c r="E279" s="9" t="n">
        <x:v>119470.99999999255</x:v>
      </x:c>
      <x:c r="F279" s="9" t="n">
        <x:v>39176</x:v>
      </x:c>
      <x:c r="G279" s="9" t="n">
        <x:v>26012</x:v>
      </x:c>
      <x:c r="H279" s="9" t="n">
        <x:v>50060</x:v>
      </x:c>
      <x:c r="I279" s="9" t="n">
        <x:v>4117</x:v>
      </x:c>
      <x:c r="J279" s="9" t="n">
        <x:v>105.99999999254942</x:v>
      </x:c>
      <x:c r="K279" s="9" t="n">
        <x:f>F279+G279+I279+J279</x:f>
        <x:v>69410.99999999255</x:v>
      </x:c>
      <x:c r="L279" s="10" t="n">
        <x:f>K279/Sources!$B$4*1000</x:f>
        <x:v>19.391011986158173</x:v>
      </x:c>
      <x:c r="M279" s="10" t="n">
        <x:f>E279/Sources!$B$4*1000</x:f>
        <x:v>33.3760296350493</x:v>
      </x:c>
      <x:c r="N279" s="9" t="n">
        <x:f>Sources!$B$6-K279</x:f>
        <x:v>-9674.99999999255</x:v>
      </x:c>
      <x:c r="O279" s="1" t="str">
        <x:v>keyboard_route</x:v>
      </x:c>
      <x:c r="P279" s="12" t="n">
        <x:v>0</x:v>
      </x:c>
      <x:c r="Q279" s="12" t="n">
        <x:v>-4</x:v>
      </x:c>
      <x:c r="R279" s="12" t="n">
        <x:v>0</x:v>
      </x:c>
      <x:c r="S279" s="12" t="n">
        <x:v>3</x:v>
      </x:c>
      <x:c r="T279" s="1" t="str">
        <x:v>No</x:v>
      </x:c>
      <x:c r="U279" s="1" t="n">
        <x:v>0</x:v>
      </x:c>
    </x:row>
    <x:row r="280" ht="23" customHeight="1">
      <x:c r="A280" s="9" t="n">
        <x:v>279</x:v>
      </x:c>
      <x:c r="B280" s="9" t="n">
        <x:v>0</x:v>
      </x:c>
      <x:c r="C280" s="9" t="n">
        <x:v>439</x:v>
      </x:c>
      <x:c r="D280" s="9" t="n">
        <x:v>2</x:v>
      </x:c>
      <x:c r="E280" s="9" t="n">
        <x:v>119473.00000000745</x:v>
      </x:c>
      <x:c r="F280" s="9" t="n">
        <x:v>37104</x:v>
      </x:c>
      <x:c r="G280" s="9" t="n">
        <x:v>38106.00000000745</x:v>
      </x:c>
      <x:c r="H280" s="9" t="n">
        <x:v>40039.99999999255</x:v>
      </x:c>
      <x:c r="I280" s="9" t="n">
        <x:v>4117</x:v>
      </x:c>
      <x:c r="J280" s="9" t="n">
        <x:v>106.00000000745058</x:v>
      </x:c>
      <x:c r="K280" s="9" t="n">
        <x:f>F280+G280+I280+J280</x:f>
        <x:v>79433.0000000149</x:v>
      </x:c>
      <x:c r="L280" s="10" t="n">
        <x:f>K280/Sources!$B$4*1000</x:f>
        <x:v>22.19080916709104</x:v>
      </x:c>
      <x:c r="M280" s="10" t="n">
        <x:f>E280/Sources!$B$4*1000</x:f>
        <x:v>33.37658836528314</x:v>
      </x:c>
      <x:c r="N280" s="9" t="n">
        <x:f>Sources!$B$6-K280</x:f>
        <x:v>-19697.0000000149</x:v>
      </x:c>
      <x:c r="O280" s="1" t="str">
        <x:v>keyboard_route</x:v>
      </x:c>
      <x:c r="P280" s="12" t="n">
        <x:v>0</x:v>
      </x:c>
      <x:c r="Q280" s="12" t="n">
        <x:v>-4</x:v>
      </x:c>
      <x:c r="R280" s="12" t="n">
        <x:v>0</x:v>
      </x:c>
      <x:c r="S280" s="12" t="n">
        <x:v>7</x:v>
      </x:c>
      <x:c r="T280" s="1" t="str">
        <x:v>Yes</x:v>
      </x:c>
      <x:c r="U280" s="1" t="n">
        <x:v>0</x:v>
      </x:c>
    </x:row>
    <x:row r="281" ht="23" customHeight="1">
      <x:c r="A281" s="9" t="n">
        <x:v>280</x:v>
      </x:c>
      <x:c r="B281" s="9" t="n">
        <x:v>0</x:v>
      </x:c>
      <x:c r="C281" s="9" t="n">
        <x:v>435</x:v>
      </x:c>
      <x:c r="D281" s="9" t="n">
        <x:v>2</x:v>
      </x:c>
      <x:c r="E281" s="9" t="n">
        <x:v>122292</x:v>
      </x:c>
      <x:c r="F281" s="9" t="n">
        <x:v>42941</x:v>
      </x:c>
      <x:c r="G281" s="9" t="n">
        <x:v>26011.99999999255</x:v>
      </x:c>
      <x:c r="H281" s="9" t="n">
        <x:v>46295.00000000745</x:v>
      </x:c>
      <x:c r="I281" s="9" t="n">
        <x:v>6938</x:v>
      </x:c>
      <x:c r="J281" s="9" t="n">
        <x:v>106</x:v>
      </x:c>
      <x:c r="K281" s="9" t="n">
        <x:f>F281+G281+I281+J281</x:f>
        <x:v>75996.99999999255</x:v>
      </x:c>
      <x:c r="L281" s="10" t="n">
        <x:f>K281/Sources!$B$4*1000</x:f>
        <x:v>21.230910632494506</x:v>
      </x:c>
      <x:c r="M281" s="10" t="n">
        <x:f>E281/Sources!$B$4*1000</x:f>
        <x:v>34.16411862401506</x:v>
      </x:c>
      <x:c r="N281" s="9" t="n">
        <x:f>Sources!$B$6-K281</x:f>
        <x:v>-16260.99999999255</x:v>
      </x:c>
      <x:c r="O281" s="1" t="str">
        <x:v>keyboard_route</x:v>
      </x:c>
      <x:c r="P281" s="12" t="n">
        <x:v>0</x:v>
      </x:c>
      <x:c r="Q281" s="12" t="n">
        <x:v>-4</x:v>
      </x:c>
      <x:c r="R281" s="12" t="n">
        <x:v>0</x:v>
      </x:c>
      <x:c r="S281" s="12" t="n">
        <x:v>3</x:v>
      </x:c>
      <x:c r="T281" s="1" t="str">
        <x:v>No</x:v>
      </x:c>
      <x:c r="U281" s="1" t="n">
        <x:v>0</x:v>
      </x:c>
    </x:row>
    <x:row r="282" ht="23" customHeight="1">
      <x:c r="A282" s="9" t="n">
        <x:v>281</x:v>
      </x:c>
      <x:c r="B282" s="9" t="n">
        <x:v>0</x:v>
      </x:c>
      <x:c r="C282" s="9" t="n">
        <x:v>431</x:v>
      </x:c>
      <x:c r="D282" s="9" t="n">
        <x:v>2</x:v>
      </x:c>
      <x:c r="E282" s="9" t="n">
        <x:v>116651</x:v>
      </x:c>
      <x:c r="F282" s="9" t="n">
        <x:v>32651.99999999255</x:v>
      </x:c>
      <x:c r="G282" s="9" t="n">
        <x:v>38106.00000000745</x:v>
      </x:c>
      <x:c r="H282" s="9" t="n">
        <x:v>41670</x:v>
      </x:c>
      <x:c r="I282" s="9" t="n">
        <x:v>4117</x:v>
      </x:c>
      <x:c r="J282" s="9" t="n">
        <x:v>106</x:v>
      </x:c>
      <x:c r="K282" s="9" t="n">
        <x:f>F282+G282+I282+J282</x:f>
        <x:v>74981</x:v>
      </x:c>
      <x:c r="L282" s="10" t="n">
        <x:f>K282/Sources!$B$4*1000</x:f>
        <x:v>20.947075675819132</x:v>
      </x:c>
      <x:c r="M282" s="10" t="n">
        <x:f>E282/Sources!$B$4*1000</x:f>
        <x:v>32.58822001120254</x:v>
      </x:c>
      <x:c r="N282" s="9" t="n">
        <x:f>Sources!$B$6-K282</x:f>
        <x:v>-15245</x:v>
      </x:c>
      <x:c r="O282" s="1" t="str">
        <x:v>keyboard_route</x:v>
      </x:c>
      <x:c r="P282" s="12" t="n">
        <x:v>0</x:v>
      </x:c>
      <x:c r="Q282" s="12" t="n">
        <x:v>-4</x:v>
      </x:c>
      <x:c r="R282" s="12" t="n">
        <x:v>0</x:v>
      </x:c>
      <x:c r="S282" s="12" t="n">
        <x:v>7</x:v>
      </x:c>
      <x:c r="T282" s="1" t="str">
        <x:v>Yes</x:v>
      </x:c>
      <x:c r="U282" s="1" t="n">
        <x:v>0</x:v>
      </x:c>
    </x:row>
    <x:row r="283" ht="23" customHeight="1">
      <x:c r="A283" s="9" t="n">
        <x:v>282</x:v>
      </x:c>
      <x:c r="B283" s="9" t="n">
        <x:v>0</x:v>
      </x:c>
      <x:c r="C283" s="9" t="n">
        <x:v>427</x:v>
      </x:c>
      <x:c r="D283" s="9" t="n">
        <x:v>2</x:v>
      </x:c>
      <x:c r="E283" s="9" t="n">
        <x:v>119472</x:v>
      </x:c>
      <x:c r="F283" s="9" t="n">
        <x:v>37520.99999999255</x:v>
      </x:c>
      <x:c r="G283" s="9" t="n">
        <x:v>26018</x:v>
      </x:c>
      <x:c r="H283" s="9" t="n">
        <x:v>51710</x:v>
      </x:c>
      <x:c r="I283" s="9" t="n">
        <x:v>4117</x:v>
      </x:c>
      <x:c r="J283" s="9" t="n">
        <x:v>106.00000000745058</x:v>
      </x:c>
      <x:c r="K283" s="9" t="n">
        <x:f>F283+G283+I283+J283</x:f>
        <x:v>67762</x:v>
      </x:c>
      <x:c r="L283" s="10" t="n">
        <x:f>K283/Sources!$B$4*1000</x:f>
        <x:v>18.930338911789068</x:v>
      </x:c>
      <x:c r="M283" s="10" t="n">
        <x:f>E283/Sources!$B$4*1000</x:f>
        <x:v>33.37630900016622</x:v>
      </x:c>
      <x:c r="N283" s="9" t="n">
        <x:f>Sources!$B$6-K283</x:f>
        <x:v>-8026</x:v>
      </x:c>
      <x:c r="O283" s="1" t="str">
        <x:v>keyboard_route</x:v>
      </x:c>
      <x:c r="P283" s="12" t="n">
        <x:v>0</x:v>
      </x:c>
      <x:c r="Q283" s="12" t="n">
        <x:v>-4</x:v>
      </x:c>
      <x:c r="R283" s="12" t="n">
        <x:v>0</x:v>
      </x:c>
      <x:c r="S283" s="12" t="n">
        <x:v>3</x:v>
      </x:c>
      <x:c r="T283" s="1" t="str">
        <x:v>No</x:v>
      </x:c>
      <x:c r="U283" s="1" t="n">
        <x:v>0</x:v>
      </x:c>
    </x:row>
    <x:row r="284" ht="23" customHeight="1">
      <x:c r="A284" s="9" t="n">
        <x:v>283</x:v>
      </x:c>
      <x:c r="B284" s="9" t="n">
        <x:v>0</x:v>
      </x:c>
      <x:c r="C284" s="9" t="n">
        <x:v>423</x:v>
      </x:c>
      <x:c r="D284" s="9" t="n">
        <x:v>2</x:v>
      </x:c>
      <x:c r="E284" s="9" t="n">
        <x:v>119474</x:v>
      </x:c>
      <x:c r="F284" s="9" t="n">
        <x:v>33293.99999999255</x:v>
      </x:c>
      <x:c r="G284" s="9" t="n">
        <x:v>38112</x:v>
      </x:c>
      <x:c r="H284" s="9" t="n">
        <x:v>43845</x:v>
      </x:c>
      <x:c r="I284" s="9" t="n">
        <x:v>4116.999999992549</x:v>
      </x:c>
      <x:c r="J284" s="9" t="n">
        <x:v>106.00000001490116</x:v>
      </x:c>
      <x:c r="K284" s="9" t="n">
        <x:f>F284+G284+I284+J284</x:f>
        <x:v>75629</x:v>
      </x:c>
      <x:c r="L284" s="10" t="n">
        <x:f>K284/Sources!$B$4*1000</x:f>
        <x:v>21.128104270235465</x:v>
      </x:c>
      <x:c r="M284" s="10" t="n">
        <x:f>E284/Sources!$B$4*1000</x:f>
        <x:v>33.3768677303959</x:v>
      </x:c>
      <x:c r="N284" s="9" t="n">
        <x:f>Sources!$B$6-K284</x:f>
        <x:v>-15893</x:v>
      </x:c>
      <x:c r="O284" s="1" t="str">
        <x:v>keyboard_route</x:v>
      </x:c>
      <x:c r="P284" s="12" t="n">
        <x:v>0</x:v>
      </x:c>
      <x:c r="Q284" s="12" t="n">
        <x:v>-4</x:v>
      </x:c>
      <x:c r="R284" s="12" t="n">
        <x:v>0</x:v>
      </x:c>
      <x:c r="S284" s="12" t="n">
        <x:v>7</x:v>
      </x:c>
      <x:c r="T284" s="1" t="str">
        <x:v>Yes</x:v>
      </x:c>
      <x:c r="U284" s="1" t="n">
        <x:v>0</x:v>
      </x:c>
    </x:row>
    <x:row r="285" ht="23" customHeight="1">
      <x:c r="A285" s="9" t="n">
        <x:v>284</x:v>
      </x:c>
      <x:c r="B285" s="9" t="n">
        <x:v>0</x:v>
      </x:c>
      <x:c r="C285" s="9" t="n">
        <x:v>419</x:v>
      </x:c>
      <x:c r="D285" s="9" t="n">
        <x:v>2</x:v>
      </x:c>
      <x:c r="E285" s="9" t="n">
        <x:v>119470</x:v>
      </x:c>
      <x:c r="F285" s="9" t="n">
        <x:v>37834.00000000745</x:v>
      </x:c>
      <x:c r="G285" s="9" t="n">
        <x:v>26018</x:v>
      </x:c>
      <x:c r="H285" s="9" t="n">
        <x:v>51394.99999999255</x:v>
      </x:c>
      <x:c r="I285" s="9" t="n">
        <x:v>4117</x:v>
      </x:c>
      <x:c r="J285" s="9" t="n">
        <x:v>106</x:v>
      </x:c>
      <x:c r="K285" s="9" t="n">
        <x:f>F285+G285+I285+J285</x:f>
        <x:v>68075.00000000745</x:v>
      </x:c>
      <x:c r="L285" s="10" t="n">
        <x:f>K285/Sources!$B$4*1000</x:f>
        <x:v>19.017780192736076</x:v>
      </x:c>
      <x:c r="M285" s="10" t="n">
        <x:f>E285/Sources!$B$4*1000</x:f>
        <x:v>33.37575026993654</x:v>
      </x:c>
      <x:c r="N285" s="9" t="n">
        <x:f>Sources!$B$6-K285</x:f>
        <x:v>-8339.00000000745</x:v>
      </x:c>
      <x:c r="O285" s="1" t="str">
        <x:v>keyboard_route</x:v>
      </x:c>
      <x:c r="P285" s="12" t="n">
        <x:v>0</x:v>
      </x:c>
      <x:c r="Q285" s="12" t="n">
        <x:v>-4</x:v>
      </x:c>
      <x:c r="R285" s="12" t="n">
        <x:v>0</x:v>
      </x:c>
      <x:c r="S285" s="12" t="n">
        <x:v>3</x:v>
      </x:c>
      <x:c r="T285" s="1" t="str">
        <x:v>No</x:v>
      </x:c>
      <x:c r="U285" s="1" t="n">
        <x:v>0</x:v>
      </x:c>
    </x:row>
    <x:row r="286" ht="23" customHeight="1">
      <x:c r="A286" s="9" t="n">
        <x:v>285</x:v>
      </x:c>
      <x:c r="B286" s="9" t="n">
        <x:v>0</x:v>
      </x:c>
      <x:c r="C286" s="9" t="n">
        <x:v>415</x:v>
      </x:c>
      <x:c r="D286" s="9" t="n">
        <x:v>2</x:v>
      </x:c>
      <x:c r="E286" s="9" t="n">
        <x:v>119473</x:v>
      </x:c>
      <x:c r="F286" s="9" t="n">
        <x:v>35225</x:v>
      </x:c>
      <x:c r="G286" s="9" t="n">
        <x:v>38079.99999999255</x:v>
      </x:c>
      <x:c r="H286" s="9" t="n">
        <x:v>41945.00000000745</x:v>
      </x:c>
      <x:c r="I286" s="9" t="n">
        <x:v>4117</x:v>
      </x:c>
      <x:c r="J286" s="9" t="n">
        <x:v>106</x:v>
      </x:c>
      <x:c r="K286" s="9" t="n">
        <x:f>F286+G286+I286+J286</x:f>
        <x:v>77527.99999999255</x:v>
      </x:c>
      <x:c r="L286" s="10" t="n">
        <x:f>K286/Sources!$B$4*1000</x:f>
        <x:v>21.658618623314567</x:v>
      </x:c>
      <x:c r="M286" s="10" t="n">
        <x:f>E286/Sources!$B$4*1000</x:f>
        <x:v>33.37658836528106</x:v>
      </x:c>
      <x:c r="N286" s="9" t="n">
        <x:f>Sources!$B$6-K286</x:f>
        <x:v>-17791.99999999255</x:v>
      </x:c>
      <x:c r="O286" s="1" t="str">
        <x:v>keyboard_route</x:v>
      </x:c>
      <x:c r="P286" s="12" t="n">
        <x:v>0</x:v>
      </x:c>
      <x:c r="Q286" s="12" t="n">
        <x:v>-4</x:v>
      </x:c>
      <x:c r="R286" s="12" t="n">
        <x:v>0</x:v>
      </x:c>
      <x:c r="S286" s="12" t="n">
        <x:v>7</x:v>
      </x:c>
      <x:c r="T286" s="1" t="str">
        <x:v>Yes</x:v>
      </x:c>
      <x:c r="U286" s="1" t="n">
        <x:v>0</x:v>
      </x:c>
    </x:row>
    <x:row r="287" ht="23" customHeight="1">
      <x:c r="A287" s="9" t="n">
        <x:v>286</x:v>
      </x:c>
      <x:c r="B287" s="9" t="n">
        <x:v>0</x:v>
      </x:c>
      <x:c r="C287" s="9" t="n">
        <x:v>411</x:v>
      </x:c>
      <x:c r="D287" s="9" t="n">
        <x:v>2</x:v>
      </x:c>
      <x:c r="E287" s="9" t="n">
        <x:v>119470.99999999255</x:v>
      </x:c>
      <x:c r="F287" s="9" t="n">
        <x:v>35811</x:v>
      </x:c>
      <x:c r="G287" s="9" t="n">
        <x:v>26011.99999999255</x:v>
      </x:c>
      <x:c r="H287" s="9" t="n">
        <x:v>53425.00000000745</x:v>
      </x:c>
      <x:c r="I287" s="9" t="n">
        <x:v>4116.999999992549</x:v>
      </x:c>
      <x:c r="J287" s="9" t="n">
        <x:v>106</x:v>
      </x:c>
      <x:c r="K287" s="9" t="n">
        <x:f>F287+G287+I287+J287</x:f>
        <x:v>66045.9999999851</x:v>
      </x:c>
      <x:c r="L287" s="10" t="n">
        <x:f>K287/Sources!$B$4*1000</x:f>
        <x:v>18.45094837471944</x:v>
      </x:c>
      <x:c r="M287" s="10" t="n">
        <x:f>E287/Sources!$B$4*1000</x:f>
        <x:v>33.3760296350493</x:v>
      </x:c>
      <x:c r="N287" s="9" t="n">
        <x:f>Sources!$B$6-K287</x:f>
        <x:v>-6309.999999985099</x:v>
      </x:c>
      <x:c r="O287" s="1" t="str">
        <x:v>keyboard_route</x:v>
      </x:c>
      <x:c r="P287" s="12" t="n">
        <x:v>0</x:v>
      </x:c>
      <x:c r="Q287" s="12" t="n">
        <x:v>-4</x:v>
      </x:c>
      <x:c r="R287" s="12" t="n">
        <x:v>0</x:v>
      </x:c>
      <x:c r="S287" s="12" t="n">
        <x:v>3</x:v>
      </x:c>
      <x:c r="T287" s="1" t="str">
        <x:v>No</x:v>
      </x:c>
      <x:c r="U287" s="1" t="n">
        <x:v>0</x:v>
      </x:c>
    </x:row>
    <x:row r="288" ht="23" customHeight="1">
      <x:c r="A288" s="9" t="n">
        <x:v>287</x:v>
      </x:c>
      <x:c r="B288" s="9" t="n">
        <x:v>0</x:v>
      </x:c>
      <x:c r="C288" s="9" t="n">
        <x:v>407</x:v>
      </x:c>
      <x:c r="D288" s="9" t="n">
        <x:v>2</x:v>
      </x:c>
      <x:c r="E288" s="9" t="n">
        <x:v>119473.00000000745</x:v>
      </x:c>
      <x:c r="F288" s="9" t="n">
        <x:v>32485.00000000745</x:v>
      </x:c>
      <x:c r="G288" s="9" t="n">
        <x:v>38080</x:v>
      </x:c>
      <x:c r="H288" s="9" t="n">
        <x:v>44684.99999999255</x:v>
      </x:c>
      <x:c r="I288" s="9" t="n">
        <x:v>4117.000000007451</x:v>
      </x:c>
      <x:c r="J288" s="9" t="n">
        <x:v>106</x:v>
      </x:c>
      <x:c r="K288" s="9" t="n">
        <x:f>F288+G288+I288+J288</x:f>
        <x:v>74788.0000000149</x:v>
      </x:c>
      <x:c r="L288" s="10" t="n">
        <x:f>K288/Sources!$B$4*1000</x:f>
        <x:v>20.893158208659173</x:v>
      </x:c>
      <x:c r="M288" s="10" t="n">
        <x:f>E288/Sources!$B$4*1000</x:f>
        <x:v>33.37658836528314</x:v>
      </x:c>
      <x:c r="N288" s="9" t="n">
        <x:f>Sources!$B$6-K288</x:f>
        <x:v>-15052.000000014901</x:v>
      </x:c>
      <x:c r="O288" s="1" t="str">
        <x:v>keyboard_route</x:v>
      </x:c>
      <x:c r="P288" s="12" t="n">
        <x:v>0</x:v>
      </x:c>
      <x:c r="Q288" s="12" t="n">
        <x:v>-4</x:v>
      </x:c>
      <x:c r="R288" s="12" t="n">
        <x:v>0</x:v>
      </x:c>
      <x:c r="S288" s="12" t="n">
        <x:v>7</x:v>
      </x:c>
      <x:c r="T288" s="1" t="str">
        <x:v>Yes</x:v>
      </x:c>
      <x:c r="U288" s="1" t="n">
        <x:v>0</x:v>
      </x:c>
    </x:row>
    <x:row r="289" ht="23" customHeight="1">
      <x:c r="A289" s="9" t="n">
        <x:v>288</x:v>
      </x:c>
      <x:c r="B289" s="9" t="n">
        <x:v>0</x:v>
      </x:c>
      <x:c r="C289" s="9" t="n">
        <x:v>403</x:v>
      </x:c>
      <x:c r="D289" s="9" t="n">
        <x:v>2</x:v>
      </x:c>
      <x:c r="E289" s="9" t="n">
        <x:v>119470</x:v>
      </x:c>
      <x:c r="F289" s="9" t="n">
        <x:v>35835</x:v>
      </x:c>
      <x:c r="G289" s="9" t="n">
        <x:v>26011.99999999255</x:v>
      </x:c>
      <x:c r="H289" s="9" t="n">
        <x:v>53400.00000000745</x:v>
      </x:c>
      <x:c r="I289" s="9" t="n">
        <x:v>4117</x:v>
      </x:c>
      <x:c r="J289" s="9" t="n">
        <x:v>106</x:v>
      </x:c>
      <x:c r="K289" s="9" t="n">
        <x:f>F289+G289+I289+J289</x:f>
        <x:v>66069.99999999255</x:v>
      </x:c>
      <x:c r="L289" s="10" t="n">
        <x:f>K289/Sources!$B$4*1000</x:f>
        <x:v>18.45765313747768</x:v>
      </x:c>
      <x:c r="M289" s="10" t="n">
        <x:f>E289/Sources!$B$4*1000</x:f>
        <x:v>33.37575026993654</x:v>
      </x:c>
      <x:c r="N289" s="9" t="n">
        <x:f>Sources!$B$6-K289</x:f>
        <x:v>-6333.999999992549</x:v>
      </x:c>
      <x:c r="O289" s="1" t="str">
        <x:v>keyboard_route</x:v>
      </x:c>
      <x:c r="P289" s="12" t="n">
        <x:v>0</x:v>
      </x:c>
      <x:c r="Q289" s="12" t="n">
        <x:v>-4</x:v>
      </x:c>
      <x:c r="R289" s="12" t="n">
        <x:v>0</x:v>
      </x:c>
      <x:c r="S289" s="12" t="n">
        <x:v>3</x:v>
      </x:c>
      <x:c r="T289" s="1" t="str">
        <x:v>No</x:v>
      </x:c>
      <x:c r="U289" s="1" t="n">
        <x:v>0</x:v>
      </x:c>
    </x:row>
    <x:row r="290" ht="23" customHeight="1">
      <x:c r="A290" s="9" t="n">
        <x:v>289</x:v>
      </x:c>
      <x:c r="B290" s="9" t="n">
        <x:v>0</x:v>
      </x:c>
      <x:c r="C290" s="9" t="n">
        <x:v>399</x:v>
      </x:c>
      <x:c r="D290" s="9" t="n">
        <x:v>2</x:v>
      </x:c>
      <x:c r="E290" s="9" t="n">
        <x:v>119472</x:v>
      </x:c>
      <x:c r="F290" s="9" t="n">
        <x:v>35480</x:v>
      </x:c>
      <x:c r="G290" s="9" t="n">
        <x:v>38948.99999999255</x:v>
      </x:c>
      <x:c r="H290" s="9" t="n">
        <x:v>40820</x:v>
      </x:c>
      <x:c r="I290" s="9" t="n">
        <x:v>4117.000000007451</x:v>
      </x:c>
      <x:c r="J290" s="9" t="n">
        <x:v>106</x:v>
      </x:c>
      <x:c r="K290" s="9" t="n">
        <x:f>F290+G290+I290+J290</x:f>
        <x:v>78652</x:v>
      </x:c>
      <x:c r="L290" s="10" t="n">
        <x:f>K290/Sources!$B$4*1000</x:f>
        <x:v>21.972625012396826</x:v>
      </x:c>
      <x:c r="M290" s="10" t="n">
        <x:f>E290/Sources!$B$4*1000</x:f>
        <x:v>33.37630900016622</x:v>
      </x:c>
      <x:c r="N290" s="9" t="n">
        <x:f>Sources!$B$6-K290</x:f>
        <x:v>-18916</x:v>
      </x:c>
      <x:c r="O290" s="1" t="str">
        <x:v>keyboard_route</x:v>
      </x:c>
      <x:c r="P290" s="12" t="n">
        <x:v>0</x:v>
      </x:c>
      <x:c r="Q290" s="12" t="n">
        <x:v>-4</x:v>
      </x:c>
      <x:c r="R290" s="12" t="n">
        <x:v>0</x:v>
      </x:c>
      <x:c r="S290" s="12" t="n">
        <x:v>7</x:v>
      </x:c>
      <x:c r="T290" s="1" t="str">
        <x:v>Yes</x:v>
      </x:c>
      <x:c r="U290" s="1" t="n">
        <x:v>0</x:v>
      </x:c>
    </x:row>
    <x:row r="291" ht="23" customHeight="1">
      <x:c r="A291" s="9" t="n">
        <x:v>290</x:v>
      </x:c>
      <x:c r="B291" s="9" t="n">
        <x:v>0</x:v>
      </x:c>
      <x:c r="C291" s="9" t="n">
        <x:v>395</x:v>
      </x:c>
      <x:c r="D291" s="9" t="n">
        <x:v>2</x:v>
      </x:c>
      <x:c r="E291" s="9" t="n">
        <x:v>119475</x:v>
      </x:c>
      <x:c r="F291" s="9" t="n">
        <x:v>36354</x:v>
      </x:c>
      <x:c r="G291" s="9" t="n">
        <x:v>26017.99999999255</x:v>
      </x:c>
      <x:c r="H291" s="9" t="n">
        <x:v>52880.00000000745</x:v>
      </x:c>
      <x:c r="I291" s="9" t="n">
        <x:v>4117.000000007451</x:v>
      </x:c>
      <x:c r="J291" s="9" t="n">
        <x:v>105.99999999254942</x:v>
      </x:c>
      <x:c r="K291" s="9" t="n">
        <x:f>F291+G291+I291+J291</x:f>
        <x:v>66594.99999999255</x:v>
      </x:c>
      <x:c r="L291" s="10" t="n">
        <x:f>K291/Sources!$B$4*1000</x:f>
        <x:v>18.60431982276869</x:v>
      </x:c>
      <x:c r="M291" s="10" t="n">
        <x:f>E291/Sources!$B$4*1000</x:f>
        <x:v>33.37714709551074</x:v>
      </x:c>
      <x:c r="N291" s="9" t="n">
        <x:f>Sources!$B$6-K291</x:f>
        <x:v>-6858.999999992549</x:v>
      </x:c>
      <x:c r="O291" s="1" t="str">
        <x:v>keyboard_route</x:v>
      </x:c>
      <x:c r="P291" s="12" t="n">
        <x:v>0</x:v>
      </x:c>
      <x:c r="Q291" s="12" t="n">
        <x:v>-4</x:v>
      </x:c>
      <x:c r="R291" s="12" t="n">
        <x:v>0</x:v>
      </x:c>
      <x:c r="S291" s="12" t="n">
        <x:v>3</x:v>
      </x:c>
      <x:c r="T291" s="1" t="str">
        <x:v>No</x:v>
      </x:c>
      <x:c r="U291" s="1" t="n">
        <x:v>0</x:v>
      </x:c>
    </x:row>
    <x:row r="292" ht="23" customHeight="1">
      <x:c r="A292" s="9" t="n">
        <x:v>291</x:v>
      </x:c>
      <x:c r="B292" s="9" t="n">
        <x:v>0</x:v>
      </x:c>
      <x:c r="C292" s="9" t="n">
        <x:v>391</x:v>
      </x:c>
      <x:c r="D292" s="9" t="n">
        <x:v>2</x:v>
      </x:c>
      <x:c r="E292" s="9" t="n">
        <x:v>119470.99999999255</x:v>
      </x:c>
      <x:c r="F292" s="9" t="n">
        <x:v>35938</x:v>
      </x:c>
      <x:c r="G292" s="9" t="n">
        <x:v>38079.99999999255</x:v>
      </x:c>
      <x:c r="H292" s="9" t="n">
        <x:v>41230.00000000745</x:v>
      </x:c>
      <x:c r="I292" s="9" t="n">
        <x:v>4117</x:v>
      </x:c>
      <x:c r="J292" s="9" t="n">
        <x:v>105.99999999254942</x:v>
      </x:c>
      <x:c r="K292" s="9" t="n">
        <x:f>F292+G292+I292+J292</x:f>
        <x:v>78240.9999999851</x:v>
      </x:c>
      <x:c r="L292" s="10" t="n">
        <x:f>K292/Sources!$B$4*1000</x:f>
        <x:v>21.857805950193416</x:v>
      </x:c>
      <x:c r="M292" s="10" t="n">
        <x:f>E292/Sources!$B$4*1000</x:f>
        <x:v>33.3760296350493</x:v>
      </x:c>
      <x:c r="N292" s="9" t="n">
        <x:f>Sources!$B$6-K292</x:f>
        <x:v>-18504.9999999851</x:v>
      </x:c>
      <x:c r="O292" s="1" t="str">
        <x:v>keyboard_route</x:v>
      </x:c>
      <x:c r="P292" s="12" t="n">
        <x:v>0</x:v>
      </x:c>
      <x:c r="Q292" s="12" t="n">
        <x:v>-4</x:v>
      </x:c>
      <x:c r="R292" s="12" t="n">
        <x:v>0</x:v>
      </x:c>
      <x:c r="S292" s="12" t="n">
        <x:v>7</x:v>
      </x:c>
      <x:c r="T292" s="1" t="str">
        <x:v>Yes</x:v>
      </x:c>
      <x:c r="U292" s="1" t="n">
        <x:v>0</x:v>
      </x:c>
    </x:row>
    <x:row r="293" ht="23" customHeight="1">
      <x:c r="A293" s="9" t="n">
        <x:v>292</x:v>
      </x:c>
      <x:c r="B293" s="9" t="n">
        <x:v>0</x:v>
      </x:c>
      <x:c r="C293" s="9" t="n">
        <x:v>387</x:v>
      </x:c>
      <x:c r="D293" s="9" t="n">
        <x:v>2</x:v>
      </x:c>
      <x:c r="E293" s="9" t="n">
        <x:v>119469.00000000745</x:v>
      </x:c>
      <x:c r="F293" s="9" t="n">
        <x:v>36573.99999999255</x:v>
      </x:c>
      <x:c r="G293" s="9" t="n">
        <x:v>26012.00000000745</x:v>
      </x:c>
      <x:c r="H293" s="9" t="n">
        <x:v>52660</x:v>
      </x:c>
      <x:c r="I293" s="9" t="n">
        <x:v>4117</x:v>
      </x:c>
      <x:c r="J293" s="9" t="n">
        <x:v>106.00000000745058</x:v>
      </x:c>
      <x:c r="K293" s="9" t="n">
        <x:f>F293+G293+I293+J293</x:f>
        <x:v>66809.00000000745</x:v>
      </x:c>
      <x:c r="L293" s="10" t="n">
        <x:f>K293/Sources!$B$4*1000</x:f>
        <x:v>18.664103957348615</x:v>
      </x:c>
      <x:c r="M293" s="10" t="n">
        <x:f>E293/Sources!$B$4*1000</x:f>
        <x:v>33.375470904823786</x:v>
      </x:c>
      <x:c r="N293" s="9" t="n">
        <x:f>Sources!$B$6-K293</x:f>
        <x:v>-7073.000000007451</x:v>
      </x:c>
      <x:c r="O293" s="1" t="str">
        <x:v>keyboard_route</x:v>
      </x:c>
      <x:c r="P293" s="12" t="n">
        <x:v>0</x:v>
      </x:c>
      <x:c r="Q293" s="12" t="n">
        <x:v>-4</x:v>
      </x:c>
      <x:c r="R293" s="12" t="n">
        <x:v>0</x:v>
      </x:c>
      <x:c r="S293" s="12" t="n">
        <x:v>3</x:v>
      </x:c>
      <x:c r="T293" s="1" t="str">
        <x:v>No</x:v>
      </x:c>
      <x:c r="U293" s="1" t="n">
        <x:v>0</x:v>
      </x:c>
    </x:row>
    <x:row r="294" ht="23" customHeight="1">
      <x:c r="A294" s="9" t="n">
        <x:v>293</x:v>
      </x:c>
      <x:c r="B294" s="9" t="n">
        <x:v>0</x:v>
      </x:c>
      <x:c r="C294" s="9" t="n">
        <x:v>383</x:v>
      </x:c>
      <x:c r="D294" s="9" t="n">
        <x:v>2</x:v>
      </x:c>
      <x:c r="E294" s="9" t="n">
        <x:v>119474</x:v>
      </x:c>
      <x:c r="F294" s="9" t="n">
        <x:v>35224.99999999255</x:v>
      </x:c>
      <x:c r="G294" s="9" t="n">
        <x:v>38106.00000000745</x:v>
      </x:c>
      <x:c r="H294" s="9" t="n">
        <x:v>41919.99999999255</x:v>
      </x:c>
      <x:c r="I294" s="9" t="n">
        <x:v>4117.000000007451</x:v>
      </x:c>
      <x:c r="J294" s="9" t="n">
        <x:v>106</x:v>
      </x:c>
      <x:c r="K294" s="9" t="n">
        <x:f>F294+G294+I294+J294</x:f>
        <x:v>77554.00000000745</x:v>
      </x:c>
      <x:c r="L294" s="10" t="n">
        <x:f>K294/Sources!$B$4*1000</x:f>
        <x:v>21.66588211630457</x:v>
      </x:c>
      <x:c r="M294" s="10" t="n">
        <x:f>E294/Sources!$B$4*1000</x:f>
        <x:v>33.3768677303959</x:v>
      </x:c>
      <x:c r="N294" s="9" t="n">
        <x:f>Sources!$B$6-K294</x:f>
        <x:v>-17818.00000000745</x:v>
      </x:c>
      <x:c r="O294" s="1" t="str">
        <x:v>keyboard_route</x:v>
      </x:c>
      <x:c r="P294" s="12" t="n">
        <x:v>0</x:v>
      </x:c>
      <x:c r="Q294" s="12" t="n">
        <x:v>-4</x:v>
      </x:c>
      <x:c r="R294" s="12" t="n">
        <x:v>0</x:v>
      </x:c>
      <x:c r="S294" s="12" t="n">
        <x:v>7</x:v>
      </x:c>
      <x:c r="T294" s="1" t="str">
        <x:v>Yes</x:v>
      </x:c>
      <x:c r="U294" s="1" t="n">
        <x:v>0</x:v>
      </x:c>
    </x:row>
    <x:row r="295" ht="23" customHeight="1">
      <x:c r="A295" s="9" t="n">
        <x:v>294</x:v>
      </x:c>
      <x:c r="B295" s="9" t="n">
        <x:v>0</x:v>
      </x:c>
      <x:c r="C295" s="9" t="n">
        <x:v>379</x:v>
      </x:c>
      <x:c r="D295" s="9" t="n">
        <x:v>2</x:v>
      </x:c>
      <x:c r="E295" s="9" t="n">
        <x:v>119472</x:v>
      </x:c>
      <x:c r="F295" s="9" t="n">
        <x:v>35887</x:v>
      </x:c>
      <x:c r="G295" s="9" t="n">
        <x:v>26012</x:v>
      </x:c>
      <x:c r="H295" s="9" t="n">
        <x:v>53350</x:v>
      </x:c>
      <x:c r="I295" s="9" t="n">
        <x:v>4117</x:v>
      </x:c>
      <x:c r="J295" s="9" t="n">
        <x:v>106</x:v>
      </x:c>
      <x:c r="K295" s="9" t="n">
        <x:f>F295+G295+I295+J295</x:f>
        <x:v>66122</x:v>
      </x:c>
      <x:c r="L295" s="10" t="n">
        <x:f>K295/Sources!$B$4*1000</x:f>
        <x:v>18.472180123451444</x:v>
      </x:c>
      <x:c r="M295" s="10" t="n">
        <x:f>E295/Sources!$B$4*1000</x:f>
        <x:v>33.37630900016622</x:v>
      </x:c>
      <x:c r="N295" s="9" t="n">
        <x:f>Sources!$B$6-K295</x:f>
        <x:v>-6386</x:v>
      </x:c>
      <x:c r="O295" s="1" t="str">
        <x:v>keyboard_route</x:v>
      </x:c>
      <x:c r="P295" s="12" t="n">
        <x:v>0</x:v>
      </x:c>
      <x:c r="Q295" s="12" t="n">
        <x:v>-4</x:v>
      </x:c>
      <x:c r="R295" s="12" t="n">
        <x:v>0</x:v>
      </x:c>
      <x:c r="S295" s="12" t="n">
        <x:v>3</x:v>
      </x:c>
      <x:c r="T295" s="1" t="str">
        <x:v>No</x:v>
      </x:c>
      <x:c r="U295" s="1" t="n">
        <x:v>0</x:v>
      </x:c>
    </x:row>
    <x:row r="296" ht="23" customHeight="1">
      <x:c r="A296" s="9" t="n">
        <x:v>295</x:v>
      </x:c>
      <x:c r="B296" s="9" t="n">
        <x:v>0</x:v>
      </x:c>
      <x:c r="C296" s="9" t="n">
        <x:v>375</x:v>
      </x:c>
      <x:c r="D296" s="9" t="n">
        <x:v>2</x:v>
      </x:c>
      <x:c r="E296" s="9" t="n">
        <x:v>119471</x:v>
      </x:c>
      <x:c r="F296" s="9" t="n">
        <x:v>33870.99999999255</x:v>
      </x:c>
      <x:c r="G296" s="9" t="n">
        <x:v>38112.00000000745</x:v>
      </x:c>
      <x:c r="H296" s="9" t="n">
        <x:v>43265</x:v>
      </x:c>
      <x:c r="I296" s="9" t="n">
        <x:v>4117</x:v>
      </x:c>
      <x:c r="J296" s="9" t="n">
        <x:v>106</x:v>
      </x:c>
      <x:c r="K296" s="9" t="n">
        <x:f>F296+G296+I296+J296</x:f>
        <x:v>76206</x:v>
      </x:c>
      <x:c r="L296" s="10" t="n">
        <x:f>K296/Sources!$B$4*1000</x:f>
        <x:v>21.289297941498152</x:v>
      </x:c>
      <x:c r="M296" s="10" t="n">
        <x:f>E296/Sources!$B$4*1000</x:f>
        <x:v>33.37602963505138</x:v>
      </x:c>
      <x:c r="N296" s="9" t="n">
        <x:f>Sources!$B$6-K296</x:f>
        <x:v>-16470</x:v>
      </x:c>
      <x:c r="O296" s="1" t="str">
        <x:v>keyboard_route</x:v>
      </x:c>
      <x:c r="P296" s="12" t="n">
        <x:v>0</x:v>
      </x:c>
      <x:c r="Q296" s="12" t="n">
        <x:v>-4</x:v>
      </x:c>
      <x:c r="R296" s="12" t="n">
        <x:v>0</x:v>
      </x:c>
      <x:c r="S296" s="12" t="n">
        <x:v>7</x:v>
      </x:c>
      <x:c r="T296" s="1" t="str">
        <x:v>Yes</x:v>
      </x:c>
      <x:c r="U296" s="1" t="n">
        <x:v>0</x:v>
      </x:c>
    </x:row>
    <x:row r="297" ht="23" customHeight="1">
      <x:c r="A297" s="9" t="n">
        <x:v>296</x:v>
      </x:c>
      <x:c r="B297" s="9" t="n">
        <x:v>0</x:v>
      </x:c>
      <x:c r="C297" s="9" t="n">
        <x:v>371</x:v>
      </x:c>
      <x:c r="D297" s="9" t="n">
        <x:v>2</x:v>
      </x:c>
      <x:c r="E297" s="9" t="n">
        <x:v>119474</x:v>
      </x:c>
      <x:c r="F297" s="9" t="n">
        <x:v>35293</x:v>
      </x:c>
      <x:c r="G297" s="9" t="n">
        <x:v>26018</x:v>
      </x:c>
      <x:c r="H297" s="9" t="n">
        <x:v>53940</x:v>
      </x:c>
      <x:c r="I297" s="9" t="n">
        <x:v>4117.000000007451</x:v>
      </x:c>
      <x:c r="J297" s="9" t="n">
        <x:v>105.99999999254942</x:v>
      </x:c>
      <x:c r="K297" s="9" t="n">
        <x:f>F297+G297+I297+J297</x:f>
        <x:v>65534</x:v>
      </x:c>
      <x:c r="L297" s="10" t="n">
        <x:f>K297/Sources!$B$4*1000</x:f>
        <x:v>18.307913435925517</x:v>
      </x:c>
      <x:c r="M297" s="10" t="n">
        <x:f>E297/Sources!$B$4*1000</x:f>
        <x:v>33.3768677303959</x:v>
      </x:c>
      <x:c r="N297" s="9" t="n">
        <x:f>Sources!$B$6-K297</x:f>
        <x:v>-5798</x:v>
      </x:c>
      <x:c r="O297" s="1" t="str">
        <x:v>keyboard_route</x:v>
      </x:c>
      <x:c r="P297" s="12" t="n">
        <x:v>0</x:v>
      </x:c>
      <x:c r="Q297" s="12" t="n">
        <x:v>-4</x:v>
      </x:c>
      <x:c r="R297" s="12" t="n">
        <x:v>0</x:v>
      </x:c>
      <x:c r="S297" s="12" t="n">
        <x:v>3</x:v>
      </x:c>
      <x:c r="T297" s="1" t="str">
        <x:v>No</x:v>
      </x:c>
      <x:c r="U297" s="1" t="n">
        <x:v>0</x:v>
      </x:c>
    </x:row>
    <x:row r="298" ht="23" customHeight="1">
      <x:c r="A298" s="9" t="n">
        <x:v>297</x:v>
      </x:c>
      <x:c r="B298" s="9" t="n">
        <x:v>0</x:v>
      </x:c>
      <x:c r="C298" s="9" t="n">
        <x:v>367</x:v>
      </x:c>
      <x:c r="D298" s="9" t="n">
        <x:v>2</x:v>
      </x:c>
      <x:c r="E298" s="9" t="n">
        <x:v>119470</x:v>
      </x:c>
      <x:c r="F298" s="9" t="n">
        <x:v>34360</x:v>
      </x:c>
      <x:c r="G298" s="9" t="n">
        <x:v>38111.99999999255</x:v>
      </x:c>
      <x:c r="H298" s="9" t="n">
        <x:v>42775.00000000745</x:v>
      </x:c>
      <x:c r="I298" s="9" t="n">
        <x:v>4117</x:v>
      </x:c>
      <x:c r="J298" s="9" t="n">
        <x:v>106</x:v>
      </x:c>
      <x:c r="K298" s="9" t="n">
        <x:f>F298+G298+I298+J298</x:f>
        <x:v>76694.99999999255</x:v>
      </x:c>
      <x:c r="L298" s="10" t="n">
        <x:f>K298/Sources!$B$4*1000</x:f>
        <x:v>21.425907482652836</x:v>
      </x:c>
      <x:c r="M298" s="10" t="n">
        <x:f>E298/Sources!$B$4*1000</x:f>
        <x:v>33.37575026993654</x:v>
      </x:c>
      <x:c r="N298" s="9" t="n">
        <x:f>Sources!$B$6-K298</x:f>
        <x:v>-16958.99999999255</x:v>
      </x:c>
      <x:c r="O298" s="1" t="str">
        <x:v>keyboard_route</x:v>
      </x:c>
      <x:c r="P298" s="12" t="n">
        <x:v>0</x:v>
      </x:c>
      <x:c r="Q298" s="12" t="n">
        <x:v>-4</x:v>
      </x:c>
      <x:c r="R298" s="12" t="n">
        <x:v>0</x:v>
      </x:c>
      <x:c r="S298" s="12" t="n">
        <x:v>7</x:v>
      </x:c>
      <x:c r="T298" s="1" t="str">
        <x:v>Yes</x:v>
      </x:c>
      <x:c r="U298" s="1" t="n">
        <x:v>0</x:v>
      </x:c>
    </x:row>
    <x:row r="299" ht="23" customHeight="1">
      <x:c r="A299" s="9" t="n">
        <x:v>298</x:v>
      </x:c>
      <x:c r="B299" s="9" t="n">
        <x:v>0</x:v>
      </x:c>
      <x:c r="C299" s="9" t="n">
        <x:v>363</x:v>
      </x:c>
      <x:c r="D299" s="9" t="n">
        <x:v>2</x:v>
      </x:c>
      <x:c r="E299" s="9" t="n">
        <x:v>119472</x:v>
      </x:c>
      <x:c r="F299" s="9" t="n">
        <x:v>38787</x:v>
      </x:c>
      <x:c r="G299" s="9" t="n">
        <x:v>26012</x:v>
      </x:c>
      <x:c r="H299" s="9" t="n">
        <x:v>50449.99999999255</x:v>
      </x:c>
      <x:c r="I299" s="9" t="n">
        <x:v>4117.000000007451</x:v>
      </x:c>
      <x:c r="J299" s="9" t="n">
        <x:v>106</x:v>
      </x:c>
      <x:c r="K299" s="9" t="n">
        <x:f>F299+G299+I299+J299</x:f>
        <x:v>69022.00000000745</x:v>
      </x:c>
      <x:c r="L299" s="10" t="n">
        <x:f>K299/Sources!$B$4*1000</x:f>
        <x:v>19.282338956489568</x:v>
      </x:c>
      <x:c r="M299" s="10" t="n">
        <x:f>E299/Sources!$B$4*1000</x:f>
        <x:v>33.37630900016622</x:v>
      </x:c>
      <x:c r="N299" s="9" t="n">
        <x:f>Sources!$B$6-K299</x:f>
        <x:v>-9286.00000000745</x:v>
      </x:c>
      <x:c r="O299" s="1" t="str">
        <x:v>keyboard_route</x:v>
      </x:c>
      <x:c r="P299" s="12" t="n">
        <x:v>0</x:v>
      </x:c>
      <x:c r="Q299" s="12" t="n">
        <x:v>-4</x:v>
      </x:c>
      <x:c r="R299" s="12" t="n">
        <x:v>0</x:v>
      </x:c>
      <x:c r="S299" s="12" t="n">
        <x:v>3</x:v>
      </x:c>
      <x:c r="T299" s="1" t="str">
        <x:v>No</x:v>
      </x:c>
      <x:c r="U299" s="1" t="n">
        <x:v>0</x:v>
      </x:c>
    </x:row>
    <x:row r="300" ht="23" customHeight="1">
      <x:c r="A300" s="9" t="n">
        <x:v>299</x:v>
      </x:c>
      <x:c r="B300" s="9" t="n">
        <x:v>0</x:v>
      </x:c>
      <x:c r="C300" s="9" t="n">
        <x:v>359</x:v>
      </x:c>
      <x:c r="D300" s="9" t="n">
        <x:v>2</x:v>
      </x:c>
      <x:c r="E300" s="9" t="n">
        <x:v>119473</x:v>
      </x:c>
      <x:c r="F300" s="9" t="n">
        <x:v>32359</x:v>
      </x:c>
      <x:c r="G300" s="9" t="n">
        <x:v>38105.99999999255</x:v>
      </x:c>
      <x:c r="H300" s="9" t="n">
        <x:v>44785</x:v>
      </x:c>
      <x:c r="I300" s="9" t="n">
        <x:v>4117</x:v>
      </x:c>
      <x:c r="J300" s="9" t="n">
        <x:v>106.00000000745058</x:v>
      </x:c>
      <x:c r="K300" s="9" t="n">
        <x:f>F300+G300+I300+J300</x:f>
        <x:v>74688</x:v>
      </x:c>
      <x:c r="L300" s="10" t="n">
        <x:f>K300/Sources!$B$4*1000</x:f>
        <x:v>20.86522169717101</x:v>
      </x:c>
      <x:c r="M300" s="10" t="n">
        <x:f>E300/Sources!$B$4*1000</x:f>
        <x:v>33.37658836528106</x:v>
      </x:c>
      <x:c r="N300" s="9" t="n">
        <x:f>Sources!$B$6-K300</x:f>
        <x:v>-14952</x:v>
      </x:c>
      <x:c r="O300" s="1" t="str">
        <x:v>keyboard_route</x:v>
      </x:c>
      <x:c r="P300" s="12" t="n">
        <x:v>0</x:v>
      </x:c>
      <x:c r="Q300" s="12" t="n">
        <x:v>-4</x:v>
      </x:c>
      <x:c r="R300" s="12" t="n">
        <x:v>0</x:v>
      </x:c>
      <x:c r="S300" s="12" t="n">
        <x:v>7</x:v>
      </x:c>
      <x:c r="T300" s="1" t="str">
        <x:v>Yes</x:v>
      </x:c>
      <x:c r="U300" s="1" t="n">
        <x:v>0</x:v>
      </x:c>
    </x:row>
    <x:row r="301" ht="23" customHeight="1">
      <x:c r="A301" s="9" t="n">
        <x:v>300</x:v>
      </x:c>
      <x:c r="B301" s="9" t="n">
        <x:v>0</x:v>
      </x:c>
      <x:c r="C301" s="9" t="n">
        <x:v>355</x:v>
      </x:c>
      <x:c r="D301" s="9" t="n">
        <x:v>2</x:v>
      </x:c>
      <x:c r="E301" s="9" t="n">
        <x:v>119472</x:v>
      </x:c>
      <x:c r="F301" s="9" t="n">
        <x:v>35787</x:v>
      </x:c>
      <x:c r="G301" s="9" t="n">
        <x:v>26012</x:v>
      </x:c>
      <x:c r="H301" s="9" t="n">
        <x:v>53450</x:v>
      </x:c>
      <x:c r="I301" s="9" t="n">
        <x:v>4117</x:v>
      </x:c>
      <x:c r="J301" s="9" t="n">
        <x:v>106</x:v>
      </x:c>
      <x:c r="K301" s="9" t="n">
        <x:f>F301+G301+I301+J301</x:f>
        <x:v>66022</x:v>
      </x:c>
      <x:c r="L301" s="10" t="n">
        <x:f>K301/Sources!$B$4*1000</x:f>
        <x:v>18.444243611967444</x:v>
      </x:c>
      <x:c r="M301" s="10" t="n">
        <x:f>E301/Sources!$B$4*1000</x:f>
        <x:v>33.37630900016622</x:v>
      </x:c>
      <x:c r="N301" s="9" t="n">
        <x:f>Sources!$B$6-K301</x:f>
        <x:v>-6286</x:v>
      </x:c>
      <x:c r="O301" s="1" t="str">
        <x:v>keyboard_route</x:v>
      </x:c>
      <x:c r="P301" s="12" t="n">
        <x:v>0</x:v>
      </x:c>
      <x:c r="Q301" s="12" t="n">
        <x:v>-4</x:v>
      </x:c>
      <x:c r="R301" s="12" t="n">
        <x:v>0</x:v>
      </x:c>
      <x:c r="S301" s="12" t="n">
        <x:v>3</x:v>
      </x:c>
      <x:c r="T301" s="1" t="str">
        <x:v>No</x:v>
      </x:c>
      <x:c r="U301" s="1" t="n">
        <x:v>0</x:v>
      </x:c>
    </x:row>
    <x:row r="302" ht="23" customHeight="1">
      <x:c r="A302" s="9" t="n">
        <x:v>301</x:v>
      </x:c>
      <x:c r="B302" s="9" t="n">
        <x:v>0</x:v>
      </x:c>
      <x:c r="C302" s="9" t="n">
        <x:v>351</x:v>
      </x:c>
      <x:c r="D302" s="9" t="n">
        <x:v>2</x:v>
      </x:c>
      <x:c r="E302" s="9" t="n">
        <x:v>119474</x:v>
      </x:c>
      <x:c r="F302" s="9" t="n">
        <x:v>32506</x:v>
      </x:c>
      <x:c r="G302" s="9" t="n">
        <x:v>38079.99999999255</x:v>
      </x:c>
      <x:c r="H302" s="9" t="n">
        <x:v>44664.99999999255</x:v>
      </x:c>
      <x:c r="I302" s="9" t="n">
        <x:v>4117</x:v>
      </x:c>
      <x:c r="J302" s="9" t="n">
        <x:v>106.00000001490116</x:v>
      </x:c>
      <x:c r="K302" s="9" t="n">
        <x:f>F302+G302+I302+J302</x:f>
        <x:v>74809.00000000745</x:v>
      </x:c>
      <x:c r="L302" s="10" t="n">
        <x:f>K302/Sources!$B$4*1000</x:f>
        <x:v>20.899024876068733</x:v>
      </x:c>
      <x:c r="M302" s="10" t="n">
        <x:f>E302/Sources!$B$4*1000</x:f>
        <x:v>33.3768677303959</x:v>
      </x:c>
      <x:c r="N302" s="9" t="n">
        <x:f>Sources!$B$6-K302</x:f>
        <x:v>-15073.00000000745</x:v>
      </x:c>
      <x:c r="O302" s="1" t="str">
        <x:v>keyboard_route</x:v>
      </x:c>
      <x:c r="P302" s="12" t="n">
        <x:v>0</x:v>
      </x:c>
      <x:c r="Q302" s="12" t="n">
        <x:v>-4</x:v>
      </x:c>
      <x:c r="R302" s="12" t="n">
        <x:v>0</x:v>
      </x:c>
      <x:c r="S302" s="12" t="n">
        <x:v>7</x:v>
      </x:c>
      <x:c r="T302" s="1" t="str">
        <x:v>Yes</x:v>
      </x:c>
      <x:c r="U302" s="1" t="n">
        <x:v>0</x:v>
      </x:c>
    </x:row>
    <x:row r="303" ht="23" customHeight="1">
      <x:c r="A303" s="9" t="n">
        <x:v>302</x:v>
      </x:c>
      <x:c r="B303" s="9" t="n">
        <x:v>0</x:v>
      </x:c>
      <x:c r="C303" s="9" t="n">
        <x:v>347</x:v>
      </x:c>
      <x:c r="D303" s="9" t="n">
        <x:v>2</x:v>
      </x:c>
      <x:c r="E303" s="9" t="n">
        <x:v>119468</x:v>
      </x:c>
      <x:c r="F303" s="9" t="n">
        <x:v>37524</x:v>
      </x:c>
      <x:c r="G303" s="9" t="n">
        <x:v>26881</x:v>
      </x:c>
      <x:c r="H303" s="9" t="n">
        <x:v>50840</x:v>
      </x:c>
      <x:c r="I303" s="9" t="n">
        <x:v>4117</x:v>
      </x:c>
      <x:c r="J303" s="9" t="n">
        <x:v>106</x:v>
      </x:c>
      <x:c r="K303" s="9" t="n">
        <x:f>F303+G303+I303+J303</x:f>
        <x:v>68628</x:v>
      </x:c>
      <x:c r="L303" s="10" t="n">
        <x:f>K303/Sources!$B$4*1000</x:f>
        <x:v>19.17226910124052</x:v>
      </x:c>
      <x:c r="M303" s="10" t="n">
        <x:f>E303/Sources!$B$4*1000</x:f>
        <x:v>33.37519153970686</x:v>
      </x:c>
      <x:c r="N303" s="9" t="n">
        <x:f>Sources!$B$6-K303</x:f>
        <x:v>-8892</x:v>
      </x:c>
      <x:c r="O303" s="1" t="str">
        <x:v>keyboard_route</x:v>
      </x:c>
      <x:c r="P303" s="12" t="n">
        <x:v>0</x:v>
      </x:c>
      <x:c r="Q303" s="12" t="n">
        <x:v>-4</x:v>
      </x:c>
      <x:c r="R303" s="12" t="n">
        <x:v>0</x:v>
      </x:c>
      <x:c r="S303" s="12" t="n">
        <x:v>3</x:v>
      </x:c>
      <x:c r="T303" s="1" t="str">
        <x:v>No</x:v>
      </x:c>
      <x:c r="U303" s="1" t="n">
        <x:v>0</x:v>
      </x:c>
    </x:row>
    <x:row r="304" ht="23" customHeight="1">
      <x:c r="A304" s="9" t="n">
        <x:v>303</x:v>
      </x:c>
      <x:c r="B304" s="9" t="n">
        <x:v>0</x:v>
      </x:c>
      <x:c r="C304" s="9" t="n">
        <x:v>343</x:v>
      </x:c>
      <x:c r="D304" s="9" t="n">
        <x:v>2</x:v>
      </x:c>
      <x:c r="E304" s="9" t="n">
        <x:v>119475</x:v>
      </x:c>
      <x:c r="F304" s="9" t="n">
        <x:v>34115.99999999255</x:v>
      </x:c>
      <x:c r="G304" s="9" t="n">
        <x:v>38086.00000000745</x:v>
      </x:c>
      <x:c r="H304" s="9" t="n">
        <x:v>43050</x:v>
      </x:c>
      <x:c r="I304" s="9" t="n">
        <x:v>4117</x:v>
      </x:c>
      <x:c r="J304" s="9" t="n">
        <x:v>106</x:v>
      </x:c>
      <x:c r="K304" s="9" t="n">
        <x:f>F304+G304+I304+J304</x:f>
        <x:v>76425</x:v>
      </x:c>
      <x:c r="L304" s="10" t="n">
        <x:f>K304/Sources!$B$4*1000</x:f>
        <x:v>21.350478901648113</x:v>
      </x:c>
      <x:c r="M304" s="10" t="n">
        <x:f>E304/Sources!$B$4*1000</x:f>
        <x:v>33.37714709551074</x:v>
      </x:c>
      <x:c r="N304" s="9" t="n">
        <x:f>Sources!$B$6-K304</x:f>
        <x:v>-16689</x:v>
      </x:c>
      <x:c r="O304" s="1" t="str">
        <x:v>keyboard_route</x:v>
      </x:c>
      <x:c r="P304" s="12" t="n">
        <x:v>0</x:v>
      </x:c>
      <x:c r="Q304" s="12" t="n">
        <x:v>-4</x:v>
      </x:c>
      <x:c r="R304" s="12" t="n">
        <x:v>0</x:v>
      </x:c>
      <x:c r="S304" s="12" t="n">
        <x:v>7</x:v>
      </x:c>
      <x:c r="T304" s="1" t="str">
        <x:v>Yes</x:v>
      </x:c>
      <x:c r="U304" s="1" t="n">
        <x:v>0</x:v>
      </x:c>
    </x:row>
    <x:row r="305" ht="23" customHeight="1">
      <x:c r="A305" s="9" t="n">
        <x:v>304</x:v>
      </x:c>
      <x:c r="B305" s="9" t="n">
        <x:v>0</x:v>
      </x:c>
      <x:c r="C305" s="9" t="n">
        <x:v>339</x:v>
      </x:c>
      <x:c r="D305" s="9" t="n">
        <x:v>2</x:v>
      </x:c>
      <x:c r="E305" s="9" t="n">
        <x:v>119469</x:v>
      </x:c>
      <x:c r="F305" s="9" t="n">
        <x:v>38264</x:v>
      </x:c>
      <x:c r="G305" s="9" t="n">
        <x:v>26012</x:v>
      </x:c>
      <x:c r="H305" s="9" t="n">
        <x:v>50969.99999999255</x:v>
      </x:c>
      <x:c r="I305" s="9" t="n">
        <x:v>4117.000000007451</x:v>
      </x:c>
      <x:c r="J305" s="9" t="n">
        <x:v>106</x:v>
      </x:c>
      <x:c r="K305" s="9" t="n">
        <x:f>F305+G305+I305+J305</x:f>
        <x:v>68499.00000000745</x:v>
      </x:c>
      <x:c r="L305" s="10" t="n">
        <x:f>K305/Sources!$B$4*1000</x:f>
        <x:v>19.13623100142824</x:v>
      </x:c>
      <x:c r="M305" s="10" t="n">
        <x:f>E305/Sources!$B$4*1000</x:f>
        <x:v>33.375470904821704</x:v>
      </x:c>
      <x:c r="N305" s="9" t="n">
        <x:f>Sources!$B$6-K305</x:f>
        <x:v>-8763.00000000745</x:v>
      </x:c>
      <x:c r="O305" s="1" t="str">
        <x:v>keyboard_route</x:v>
      </x:c>
      <x:c r="P305" s="12" t="n">
        <x:v>0</x:v>
      </x:c>
      <x:c r="Q305" s="12" t="n">
        <x:v>-4</x:v>
      </x:c>
      <x:c r="R305" s="12" t="n">
        <x:v>0</x:v>
      </x:c>
      <x:c r="S305" s="12" t="n">
        <x:v>3</x:v>
      </x:c>
      <x:c r="T305" s="1" t="str">
        <x:v>No</x:v>
      </x:c>
      <x:c r="U305" s="1" t="n">
        <x:v>0</x:v>
      </x:c>
    </x:row>
    <x:row r="306" ht="23" customHeight="1">
      <x:c r="A306" s="9" t="n">
        <x:v>305</x:v>
      </x:c>
      <x:c r="B306" s="9" t="n">
        <x:v>0</x:v>
      </x:c>
      <x:c r="C306" s="9" t="n">
        <x:v>335</x:v>
      </x:c>
      <x:c r="D306" s="9" t="n">
        <x:v>2</x:v>
      </x:c>
      <x:c r="E306" s="9" t="n">
        <x:v>119473</x:v>
      </x:c>
      <x:c r="F306" s="9" t="n">
        <x:v>33565</x:v>
      </x:c>
      <x:c r="G306" s="9" t="n">
        <x:v>38080</x:v>
      </x:c>
      <x:c r="H306" s="9" t="n">
        <x:v>43605</x:v>
      </x:c>
      <x:c r="I306" s="9" t="n">
        <x:v>4117</x:v>
      </x:c>
      <x:c r="J306" s="9" t="n">
        <x:v>106</x:v>
      </x:c>
      <x:c r="K306" s="9" t="n">
        <x:f>F306+G306+I306+J306</x:f>
        <x:v>75868</x:v>
      </x:c>
      <x:c r="L306" s="10" t="n">
        <x:f>K306/Sources!$B$4*1000</x:f>
        <x:v>21.194872532682226</x:v>
      </x:c>
      <x:c r="M306" s="10" t="n">
        <x:f>E306/Sources!$B$4*1000</x:f>
        <x:v>33.37658836528106</x:v>
      </x:c>
      <x:c r="N306" s="9" t="n">
        <x:f>Sources!$B$6-K306</x:f>
        <x:v>-16132</x:v>
      </x:c>
      <x:c r="O306" s="1" t="str">
        <x:v>keyboard_route</x:v>
      </x:c>
      <x:c r="P306" s="12" t="n">
        <x:v>0</x:v>
      </x:c>
      <x:c r="Q306" s="12" t="n">
        <x:v>-4</x:v>
      </x:c>
      <x:c r="R306" s="12" t="n">
        <x:v>0</x:v>
      </x:c>
      <x:c r="S306" s="12" t="n">
        <x:v>7</x:v>
      </x:c>
      <x:c r="T306" s="1" t="str">
        <x:v>Yes</x:v>
      </x:c>
      <x:c r="U306" s="1" t="n">
        <x:v>0</x:v>
      </x:c>
    </x:row>
    <x:row r="307" ht="23" customHeight="1">
      <x:c r="A307" s="9" t="n">
        <x:v>306</x:v>
      </x:c>
      <x:c r="B307" s="9" t="n">
        <x:v>0</x:v>
      </x:c>
      <x:c r="C307" s="9" t="n">
        <x:v>331</x:v>
      </x:c>
      <x:c r="D307" s="9" t="n">
        <x:v>2</x:v>
      </x:c>
      <x:c r="E307" s="9" t="n">
        <x:v>119474</x:v>
      </x:c>
      <x:c r="F307" s="9" t="n">
        <x:v>35929</x:v>
      </x:c>
      <x:c r="G307" s="9" t="n">
        <x:v>26012</x:v>
      </x:c>
      <x:c r="H307" s="9" t="n">
        <x:v>53309.99999999255</x:v>
      </x:c>
      <x:c r="I307" s="9" t="n">
        <x:v>4117</x:v>
      </x:c>
      <x:c r="J307" s="9" t="n">
        <x:v>106.00000000745058</x:v>
      </x:c>
      <x:c r="K307" s="9" t="n">
        <x:f>F307+G307+I307+J307</x:f>
        <x:v>66164.00000000745</x:v>
      </x:c>
      <x:c r="L307" s="10" t="n">
        <x:f>K307/Sources!$B$4*1000</x:f>
        <x:v>18.483913458276806</x:v>
      </x:c>
      <x:c r="M307" s="10" t="n">
        <x:f>E307/Sources!$B$4*1000</x:f>
        <x:v>33.3768677303959</x:v>
      </x:c>
      <x:c r="N307" s="9" t="n">
        <x:f>Sources!$B$6-K307</x:f>
        <x:v>-6428.000000007451</x:v>
      </x:c>
      <x:c r="O307" s="1" t="str">
        <x:v>keyboard_route</x:v>
      </x:c>
      <x:c r="P307" s="12" t="n">
        <x:v>0</x:v>
      </x:c>
      <x:c r="Q307" s="12" t="n">
        <x:v>-4</x:v>
      </x:c>
      <x:c r="R307" s="12" t="n">
        <x:v>0</x:v>
      </x:c>
      <x:c r="S307" s="12" t="n">
        <x:v>3</x:v>
      </x:c>
      <x:c r="T307" s="1" t="str">
        <x:v>No</x:v>
      </x:c>
      <x:c r="U307" s="1" t="n">
        <x:v>0</x:v>
      </x:c>
    </x:row>
    <x:row r="308" ht="23" customHeight="1">
      <x:c r="A308" s="9" t="n">
        <x:v>307</x:v>
      </x:c>
      <x:c r="B308" s="9" t="n">
        <x:v>0</x:v>
      </x:c>
      <x:c r="C308" s="9" t="n">
        <x:v>327</x:v>
      </x:c>
      <x:c r="D308" s="9" t="n">
        <x:v>2</x:v>
      </x:c>
      <x:c r="E308" s="9" t="n">
        <x:v>119471</x:v>
      </x:c>
      <x:c r="F308" s="9" t="n">
        <x:v>34068</x:v>
      </x:c>
      <x:c r="G308" s="9" t="n">
        <x:v>38080</x:v>
      </x:c>
      <x:c r="H308" s="9" t="n">
        <x:v>43100</x:v>
      </x:c>
      <x:c r="I308" s="9" t="n">
        <x:v>4117</x:v>
      </x:c>
      <x:c r="J308" s="9" t="n">
        <x:v>106</x:v>
      </x:c>
      <x:c r="K308" s="9" t="n">
        <x:f>F308+G308+I308+J308</x:f>
        <x:v>76371</x:v>
      </x:c>
      <x:c r="L308" s="10" t="n">
        <x:f>K308/Sources!$B$4*1000</x:f>
        <x:v>21.33539318544675</x:v>
      </x:c>
      <x:c r="M308" s="10" t="n">
        <x:f>E308/Sources!$B$4*1000</x:f>
        <x:v>33.37602963505138</x:v>
      </x:c>
      <x:c r="N308" s="9" t="n">
        <x:f>Sources!$B$6-K308</x:f>
        <x:v>-16635</x:v>
      </x:c>
      <x:c r="O308" s="1" t="str">
        <x:v>keyboard_route</x:v>
      </x:c>
      <x:c r="P308" s="12" t="n">
        <x:v>0</x:v>
      </x:c>
      <x:c r="Q308" s="12" t="n">
        <x:v>-4</x:v>
      </x:c>
      <x:c r="R308" s="12" t="n">
        <x:v>0</x:v>
      </x:c>
      <x:c r="S308" s="12" t="n">
        <x:v>7</x:v>
      </x:c>
      <x:c r="T308" s="1" t="str">
        <x:v>Yes</x:v>
      </x:c>
      <x:c r="U308" s="1" t="n">
        <x:v>0</x:v>
      </x:c>
    </x:row>
    <x:row r="309" ht="23" customHeight="1">
      <x:c r="A309" s="9" t="n">
        <x:v>308</x:v>
      </x:c>
      <x:c r="B309" s="9" t="n">
        <x:v>0</x:v>
      </x:c>
      <x:c r="C309" s="9" t="n">
        <x:v>323</x:v>
      </x:c>
      <x:c r="D309" s="9" t="n">
        <x:v>2</x:v>
      </x:c>
      <x:c r="E309" s="9" t="n">
        <x:v>119469.99999999255</x:v>
      </x:c>
      <x:c r="F309" s="9" t="n">
        <x:v>36103.99999999255</x:v>
      </x:c>
      <x:c r="G309" s="9" t="n">
        <x:v>26018.00000000745</x:v>
      </x:c>
      <x:c r="H309" s="9" t="n">
        <x:v>53125</x:v>
      </x:c>
      <x:c r="I309" s="9" t="n">
        <x:v>4117</x:v>
      </x:c>
      <x:c r="J309" s="9" t="n">
        <x:v>105.99999999254942</x:v>
      </x:c>
      <x:c r="K309" s="9" t="n">
        <x:f>F309+G309+I309+J309</x:f>
        <x:v>66344.99999999255</x:v>
      </x:c>
      <x:c r="L309" s="10" t="n">
        <x:f>K309/Sources!$B$4*1000</x:f>
        <x:v>18.534478544058686</x:v>
      </x:c>
      <x:c r="M309" s="10" t="n">
        <x:f>E309/Sources!$B$4*1000</x:f>
        <x:v>33.37575026993446</x:v>
      </x:c>
      <x:c r="N309" s="9" t="n">
        <x:f>Sources!$B$6-K309</x:f>
        <x:v>-6608.999999992549</x:v>
      </x:c>
      <x:c r="O309" s="1" t="str">
        <x:v>keyboard_route</x:v>
      </x:c>
      <x:c r="P309" s="12" t="n">
        <x:v>0</x:v>
      </x:c>
      <x:c r="Q309" s="12" t="n">
        <x:v>-4</x:v>
      </x:c>
      <x:c r="R309" s="12" t="n">
        <x:v>0</x:v>
      </x:c>
      <x:c r="S309" s="12" t="n">
        <x:v>3</x:v>
      </x:c>
      <x:c r="T309" s="1" t="str">
        <x:v>No</x:v>
      </x:c>
      <x:c r="U309" s="1" t="n">
        <x:v>0</x:v>
      </x:c>
    </x:row>
    <x:row r="310" ht="23" customHeight="1">
      <x:c r="A310" s="9" t="n">
        <x:v>309</x:v>
      </x:c>
      <x:c r="B310" s="9" t="n">
        <x:v>0</x:v>
      </x:c>
      <x:c r="C310" s="9" t="n">
        <x:v>319</x:v>
      </x:c>
      <x:c r="D310" s="9" t="n">
        <x:v>2</x:v>
      </x:c>
      <x:c r="E310" s="9" t="n">
        <x:v>119476.00000000745</x:v>
      </x:c>
      <x:c r="F310" s="9" t="n">
        <x:v>34706</x:v>
      </x:c>
      <x:c r="G310" s="9" t="n">
        <x:v>38112</x:v>
      </x:c>
      <x:c r="H310" s="9" t="n">
        <x:v>42434.99999999255</x:v>
      </x:c>
      <x:c r="I310" s="9" t="n">
        <x:v>4117.000000007451</x:v>
      </x:c>
      <x:c r="J310" s="9" t="n">
        <x:v>106.00000000745058</x:v>
      </x:c>
      <x:c r="K310" s="9" t="n">
        <x:f>F310+G310+I310+J310</x:f>
        <x:v>77041.0000000149</x:v>
      </x:c>
      <x:c r="L310" s="10" t="n">
        <x:f>K310/Sources!$B$4*1000</x:f>
        <x:v>21.522567812393728</x:v>
      </x:c>
      <x:c r="M310" s="10" t="n">
        <x:f>E310/Sources!$B$4*1000</x:f>
        <x:v>33.37742646062766</x:v>
      </x:c>
      <x:c r="N310" s="9" t="n">
        <x:f>Sources!$B$6-K310</x:f>
        <x:v>-17305.0000000149</x:v>
      </x:c>
      <x:c r="O310" s="1" t="str">
        <x:v>keyboard_route</x:v>
      </x:c>
      <x:c r="P310" s="12" t="n">
        <x:v>0</x:v>
      </x:c>
      <x:c r="Q310" s="12" t="n">
        <x:v>-4</x:v>
      </x:c>
      <x:c r="R310" s="12" t="n">
        <x:v>0</x:v>
      </x:c>
      <x:c r="S310" s="12" t="n">
        <x:v>7</x:v>
      </x:c>
      <x:c r="T310" s="1" t="str">
        <x:v>Yes</x:v>
      </x:c>
      <x:c r="U310" s="1" t="n">
        <x:v>0</x:v>
      </x:c>
    </x:row>
    <x:row r="311" ht="23" customHeight="1">
      <x:c r="A311" s="9" t="n">
        <x:v>310</x:v>
      </x:c>
      <x:c r="B311" s="9" t="n">
        <x:v>0</x:v>
      </x:c>
      <x:c r="C311" s="9" t="n">
        <x:v>315</x:v>
      </x:c>
      <x:c r="D311" s="9" t="n">
        <x:v>2</x:v>
      </x:c>
      <x:c r="E311" s="9" t="n">
        <x:v>119468.99999999255</x:v>
      </x:c>
      <x:c r="F311" s="9" t="n">
        <x:v>39108</x:v>
      </x:c>
      <x:c r="G311" s="9" t="n">
        <x:v>25818</x:v>
      </x:c>
      <x:c r="H311" s="9" t="n">
        <x:v>50320</x:v>
      </x:c>
      <x:c r="I311" s="9" t="n">
        <x:v>4116.999999992549</x:v>
      </x:c>
      <x:c r="J311" s="9" t="n">
        <x:v>106</x:v>
      </x:c>
      <x:c r="K311" s="9" t="n">
        <x:f>F311+G311+I311+J311</x:f>
        <x:v>69148.99999999255</x:v>
      </x:c>
      <x:c r="L311" s="10" t="n">
        <x:f>K311/Sources!$B$4*1000</x:f>
        <x:v>19.31781832607009</x:v>
      </x:c>
      <x:c r="M311" s="10" t="n">
        <x:f>E311/Sources!$B$4*1000</x:f>
        <x:v>33.37547090481962</x:v>
      </x:c>
      <x:c r="N311" s="9" t="n">
        <x:f>Sources!$B$6-K311</x:f>
        <x:v>-9412.99999999255</x:v>
      </x:c>
      <x:c r="O311" s="1" t="str">
        <x:v>keyboard_route</x:v>
      </x:c>
      <x:c r="P311" s="12" t="n">
        <x:v>0</x:v>
      </x:c>
      <x:c r="Q311" s="12" t="n">
        <x:v>-4</x:v>
      </x:c>
      <x:c r="R311" s="12" t="n">
        <x:v>0</x:v>
      </x:c>
      <x:c r="S311" s="12" t="n">
        <x:v>3</x:v>
      </x:c>
      <x:c r="T311" s="1" t="str">
        <x:v>No</x:v>
      </x:c>
      <x:c r="U311" s="1" t="n">
        <x:v>0</x:v>
      </x:c>
    </x:row>
    <x:row r="312" ht="23" customHeight="1">
      <x:c r="A312" s="9" t="n">
        <x:v>311</x:v>
      </x:c>
      <x:c r="B312" s="9" t="n">
        <x:v>0</x:v>
      </x:c>
      <x:c r="C312" s="9" t="n">
        <x:v>311</x:v>
      </x:c>
      <x:c r="D312" s="9" t="n">
        <x:v>2</x:v>
      </x:c>
      <x:c r="E312" s="9" t="n">
        <x:v>119473</x:v>
      </x:c>
      <x:c r="F312" s="9" t="n">
        <x:v>34688.00000000745</x:v>
      </x:c>
      <x:c r="G312" s="9" t="n">
        <x:v>38112</x:v>
      </x:c>
      <x:c r="H312" s="9" t="n">
        <x:v>42449.99999999255</x:v>
      </x:c>
      <x:c r="I312" s="9" t="n">
        <x:v>4117</x:v>
      </x:c>
      <x:c r="J312" s="9" t="n">
        <x:v>106</x:v>
      </x:c>
      <x:c r="K312" s="9" t="n">
        <x:f>F312+G312+I312+J312</x:f>
        <x:v>77023.00000000745</x:v>
      </x:c>
      <x:c r="L312" s="10" t="n">
        <x:f>K312/Sources!$B$4*1000</x:f>
        <x:v>21.517539240324528</x:v>
      </x:c>
      <x:c r="M312" s="10" t="n">
        <x:f>E312/Sources!$B$4*1000</x:f>
        <x:v>33.37658836528106</x:v>
      </x:c>
      <x:c r="N312" s="9" t="n">
        <x:f>Sources!$B$6-K312</x:f>
        <x:v>-17287.00000000745</x:v>
      </x:c>
      <x:c r="O312" s="1" t="str">
        <x:v>keyboard_route</x:v>
      </x:c>
      <x:c r="P312" s="12" t="n">
        <x:v>0</x:v>
      </x:c>
      <x:c r="Q312" s="12" t="n">
        <x:v>-4</x:v>
      </x:c>
      <x:c r="R312" s="12" t="n">
        <x:v>0</x:v>
      </x:c>
      <x:c r="S312" s="12" t="n">
        <x:v>7</x:v>
      </x:c>
      <x:c r="T312" s="1" t="str">
        <x:v>Yes</x:v>
      </x:c>
      <x:c r="U312" s="1" t="n">
        <x:v>0</x:v>
      </x:c>
    </x:row>
    <x:row r="313" ht="23" customHeight="1">
      <x:c r="A313" s="9" t="n">
        <x:v>312</x:v>
      </x:c>
      <x:c r="B313" s="9" t="n">
        <x:v>0</x:v>
      </x:c>
      <x:c r="C313" s="9" t="n">
        <x:v>307</x:v>
      </x:c>
      <x:c r="D313" s="9" t="n">
        <x:v>2</x:v>
      </x:c>
      <x:c r="E313" s="9" t="n">
        <x:v>119471.00000000745</x:v>
      </x:c>
      <x:c r="F313" s="9" t="n">
        <x:v>35914.99999999255</x:v>
      </x:c>
      <x:c r="G313" s="9" t="n">
        <x:v>25817.99999999255</x:v>
      </x:c>
      <x:c r="H313" s="9" t="n">
        <x:v>53514.99999999255</x:v>
      </x:c>
      <x:c r="I313" s="9" t="n">
        <x:v>4117</x:v>
      </x:c>
      <x:c r="J313" s="9" t="n">
        <x:v>106.00000002980232</x:v>
      </x:c>
      <x:c r="K313" s="9" t="n">
        <x:f>F313+G313+I313+J313</x:f>
        <x:v>65956.0000000149</x:v>
      </x:c>
      <x:c r="L313" s="10" t="n">
        <x:f>K313/Sources!$B$4*1000</x:f>
        <x:v>18.425805514392163</x:v>
      </x:c>
      <x:c r="M313" s="10" t="n">
        <x:f>E313/Sources!$B$4*1000</x:f>
        <x:v>33.37602963505346</x:v>
      </x:c>
      <x:c r="N313" s="9" t="n">
        <x:f>Sources!$B$6-K313</x:f>
        <x:v>-6220.000000014901</x:v>
      </x:c>
      <x:c r="O313" s="1" t="str">
        <x:v>keyboard_route</x:v>
      </x:c>
      <x:c r="P313" s="12" t="n">
        <x:v>0</x:v>
      </x:c>
      <x:c r="Q313" s="12" t="n">
        <x:v>-4</x:v>
      </x:c>
      <x:c r="R313" s="12" t="n">
        <x:v>0</x:v>
      </x:c>
      <x:c r="S313" s="12" t="n">
        <x:v>3</x:v>
      </x:c>
      <x:c r="T313" s="1" t="str">
        <x:v>No</x:v>
      </x:c>
      <x:c r="U313" s="1" t="n">
        <x:v>0</x:v>
      </x:c>
    </x:row>
    <x:row r="314" ht="23" customHeight="1">
      <x:c r="A314" s="9" t="n">
        <x:v>313</x:v>
      </x:c>
      <x:c r="B314" s="9" t="n">
        <x:v>0</x:v>
      </x:c>
      <x:c r="C314" s="9" t="n">
        <x:v>303</x:v>
      </x:c>
      <x:c r="D314" s="9" t="n">
        <x:v>2</x:v>
      </x:c>
      <x:c r="E314" s="9" t="n">
        <x:v>119473.99999999255</x:v>
      </x:c>
      <x:c r="F314" s="9" t="n">
        <x:v>32574</x:v>
      </x:c>
      <x:c r="G314" s="9" t="n">
        <x:v>38112.00000000745</x:v>
      </x:c>
      <x:c r="H314" s="9" t="n">
        <x:v>44564.99999999255</x:v>
      </x:c>
      <x:c r="I314" s="9" t="n">
        <x:v>4117</x:v>
      </x:c>
      <x:c r="J314" s="9" t="n">
        <x:v>105.99999999254942</x:v>
      </x:c>
      <x:c r="K314" s="9" t="n">
        <x:f>F314+G314+I314+J314</x:f>
        <x:v>74909</x:v>
      </x:c>
      <x:c r="L314" s="10" t="n">
        <x:f>K314/Sources!$B$4*1000</x:f>
        <x:v>20.92696138755065</x:v>
      </x:c>
      <x:c r="M314" s="10" t="n">
        <x:f>E314/Sources!$B$4*1000</x:f>
        <x:v>33.37686773039382</x:v>
      </x:c>
      <x:c r="N314" s="9" t="n">
        <x:f>Sources!$B$6-K314</x:f>
        <x:v>-15173</x:v>
      </x:c>
      <x:c r="O314" s="1" t="str">
        <x:v>keyboard_route</x:v>
      </x:c>
      <x:c r="P314" s="12" t="n">
        <x:v>0</x:v>
      </x:c>
      <x:c r="Q314" s="12" t="n">
        <x:v>-4</x:v>
      </x:c>
      <x:c r="R314" s="12" t="n">
        <x:v>0</x:v>
      </x:c>
      <x:c r="S314" s="12" t="n">
        <x:v>7</x:v>
      </x:c>
      <x:c r="T314" s="1" t="str">
        <x:v>Yes</x:v>
      </x:c>
      <x:c r="U314" s="1" t="n">
        <x:v>0</x:v>
      </x:c>
    </x:row>
    <x:row r="315" ht="23" customHeight="1">
      <x:c r="A315" s="9" t="n">
        <x:v>314</x:v>
      </x:c>
      <x:c r="B315" s="9" t="n">
        <x:v>0</x:v>
      </x:c>
      <x:c r="C315" s="9" t="n">
        <x:v>299</x:v>
      </x:c>
      <x:c r="D315" s="9" t="n">
        <x:v>2</x:v>
      </x:c>
      <x:c r="E315" s="9" t="n">
        <x:v>119471.00000000745</x:v>
      </x:c>
      <x:c r="F315" s="9" t="n">
        <x:v>36114</x:v>
      </x:c>
      <x:c r="G315" s="9" t="n">
        <x:v>25824.00000000745</x:v>
      </x:c>
      <x:c r="H315" s="9" t="n">
        <x:v>53310.00000000745</x:v>
      </x:c>
      <x:c r="I315" s="9" t="n">
        <x:v>4117</x:v>
      </x:c>
      <x:c r="J315" s="9" t="n">
        <x:v>105.99999999254942</x:v>
      </x:c>
      <x:c r="K315" s="9" t="n">
        <x:f>F315+G315+I315+J315</x:f>
        <x:v>66161</x:v>
      </x:c>
      <x:c r="L315" s="10" t="n">
        <x:f>K315/Sources!$B$4*1000</x:f>
        <x:v>18.483075362930204</x:v>
      </x:c>
      <x:c r="M315" s="10" t="n">
        <x:f>E315/Sources!$B$4*1000</x:f>
        <x:v>33.37602963505346</x:v>
      </x:c>
      <x:c r="N315" s="9" t="n">
        <x:f>Sources!$B$6-K315</x:f>
        <x:v>-6425</x:v>
      </x:c>
      <x:c r="O315" s="1" t="str">
        <x:v>keyboard_route</x:v>
      </x:c>
      <x:c r="P315" s="12" t="n">
        <x:v>0</x:v>
      </x:c>
      <x:c r="Q315" s="12" t="n">
        <x:v>-4</x:v>
      </x:c>
      <x:c r="R315" s="12" t="n">
        <x:v>0</x:v>
      </x:c>
      <x:c r="S315" s="12" t="n">
        <x:v>3</x:v>
      </x:c>
      <x:c r="T315" s="1" t="str">
        <x:v>No</x:v>
      </x:c>
      <x:c r="U315" s="1" t="n">
        <x:v>0</x:v>
      </x:c>
    </x:row>
    <x:row r="316" ht="23" customHeight="1">
      <x:c r="A316" s="9" t="n">
        <x:v>315</x:v>
      </x:c>
      <x:c r="B316" s="9" t="n">
        <x:v>0</x:v>
      </x:c>
      <x:c r="C316" s="9" t="n">
        <x:v>295</x:v>
      </x:c>
      <x:c r="D316" s="9" t="n">
        <x:v>2</x:v>
      </x:c>
      <x:c r="E316" s="9" t="n">
        <x:v>119471.99999999255</x:v>
      </x:c>
      <x:c r="F316" s="9" t="n">
        <x:v>34461.00000000745</x:v>
      </x:c>
      <x:c r="G316" s="9" t="n">
        <x:v>38118.00000000745</x:v>
      </x:c>
      <x:c r="H316" s="9" t="n">
        <x:v>42670.00000000745</x:v>
      </x:c>
      <x:c r="I316" s="9" t="n">
        <x:v>4117.000000007451</x:v>
      </x:c>
      <x:c r="J316" s="9" t="n">
        <x:v>105.9999999627471</x:v>
      </x:c>
      <x:c r="K316" s="9" t="n">
        <x:f>F316+G316+I316+J316</x:f>
        <x:v>76801.9999999851</x:v>
      </x:c>
      <x:c r="L316" s="10" t="n">
        <x:f>K316/Sources!$B$4*1000</x:f>
        <x:v>21.455799549938636</x:v>
      </x:c>
      <x:c r="M316" s="10" t="n">
        <x:f>E316/Sources!$B$4*1000</x:f>
        <x:v>33.37630900016414</x:v>
      </x:c>
      <x:c r="N316" s="9" t="n">
        <x:f>Sources!$B$6-K316</x:f>
        <x:v>-17065.9999999851</x:v>
      </x:c>
      <x:c r="O316" s="1" t="str">
        <x:v>keyboard_route</x:v>
      </x:c>
      <x:c r="P316" s="12" t="n">
        <x:v>0</x:v>
      </x:c>
      <x:c r="Q316" s="12" t="n">
        <x:v>-4</x:v>
      </x:c>
      <x:c r="R316" s="12" t="n">
        <x:v>0</x:v>
      </x:c>
      <x:c r="S316" s="12" t="n">
        <x:v>7</x:v>
      </x:c>
      <x:c r="T316" s="1" t="str">
        <x:v>Yes</x:v>
      </x:c>
      <x:c r="U316" s="1" t="n">
        <x:v>0</x:v>
      </x:c>
    </x:row>
    <x:row r="317" ht="23" customHeight="1">
      <x:c r="A317" s="9" t="n">
        <x:v>316</x:v>
      </x:c>
      <x:c r="B317" s="9" t="n">
        <x:v>0</x:v>
      </x:c>
      <x:c r="C317" s="9" t="n">
        <x:v>291</x:v>
      </x:c>
      <x:c r="D317" s="9" t="n">
        <x:v>2</x:v>
      </x:c>
      <x:c r="E317" s="9" t="n">
        <x:v>119474.00000000745</x:v>
      </x:c>
      <x:c r="F317" s="9" t="n">
        <x:v>39022</x:v>
      </x:c>
      <x:c r="G317" s="9" t="n">
        <x:v>25824.00000000745</x:v>
      </x:c>
      <x:c r="H317" s="9" t="n">
        <x:v>50405.00000000745</x:v>
      </x:c>
      <x:c r="I317" s="9" t="n">
        <x:v>4117</x:v>
      </x:c>
      <x:c r="J317" s="9" t="n">
        <x:v>105.99999999254942</x:v>
      </x:c>
      <x:c r="K317" s="9" t="n">
        <x:f>F317+G317+I317+J317</x:f>
        <x:v>69069</x:v>
      </x:c>
      <x:c r="L317" s="10" t="n">
        <x:f>K317/Sources!$B$4*1000</x:f>
        <x:v>19.295469116884966</x:v>
      </x:c>
      <x:c r="M317" s="10" t="n">
        <x:f>E317/Sources!$B$4*1000</x:f>
        <x:v>33.37686773039798</x:v>
      </x:c>
      <x:c r="N317" s="9" t="n">
        <x:f>Sources!$B$6-K317</x:f>
        <x:v>-9333</x:v>
      </x:c>
      <x:c r="O317" s="1" t="str">
        <x:v>keyboard_route</x:v>
      </x:c>
      <x:c r="P317" s="12" t="n">
        <x:v>0</x:v>
      </x:c>
      <x:c r="Q317" s="12" t="n">
        <x:v>-4</x:v>
      </x:c>
      <x:c r="R317" s="12" t="n">
        <x:v>0</x:v>
      </x:c>
      <x:c r="S317" s="12" t="n">
        <x:v>3</x:v>
      </x:c>
      <x:c r="T317" s="1" t="str">
        <x:v>No</x:v>
      </x:c>
      <x:c r="U317" s="1" t="n">
        <x:v>0</x:v>
      </x:c>
    </x:row>
    <x:row r="318" ht="23" customHeight="1">
      <x:c r="A318" s="9" t="n">
        <x:v>317</x:v>
      </x:c>
      <x:c r="B318" s="9" t="n">
        <x:v>0</x:v>
      </x:c>
      <x:c r="C318" s="9" t="n">
        <x:v>287</x:v>
      </x:c>
      <x:c r="D318" s="9" t="n">
        <x:v>2</x:v>
      </x:c>
      <x:c r="E318" s="9" t="n">
        <x:v>119469</x:v>
      </x:c>
      <x:c r="F318" s="9" t="n">
        <x:v>34885.00000000745</x:v>
      </x:c>
      <x:c r="G318" s="9" t="n">
        <x:v>38086.00000000745</x:v>
      </x:c>
      <x:c r="H318" s="9" t="n">
        <x:v>42275.00000000745</x:v>
      </x:c>
      <x:c r="I318" s="9" t="n">
        <x:v>4117</x:v>
      </x:c>
      <x:c r="J318" s="9" t="n">
        <x:v>105.99999997764826</x:v>
      </x:c>
      <x:c r="K318" s="9" t="n">
        <x:f>F318+G318+I318+J318</x:f>
        <x:v>77193.99999999255</x:v>
      </x:c>
      <x:c r="L318" s="10" t="n">
        <x:f>K318/Sources!$B$4*1000</x:f>
        <x:v>21.565310674958003</x:v>
      </x:c>
      <x:c r="M318" s="10" t="n">
        <x:f>E318/Sources!$B$4*1000</x:f>
        <x:v>33.375470904821704</x:v>
      </x:c>
      <x:c r="N318" s="9" t="n">
        <x:f>Sources!$B$6-K318</x:f>
        <x:v>-17457.99999999255</x:v>
      </x:c>
      <x:c r="O318" s="1" t="str">
        <x:v>keyboard_route</x:v>
      </x:c>
      <x:c r="P318" s="12" t="n">
        <x:v>0</x:v>
      </x:c>
      <x:c r="Q318" s="12" t="n">
        <x:v>-4</x:v>
      </x:c>
      <x:c r="R318" s="12" t="n">
        <x:v>0</x:v>
      </x:c>
      <x:c r="S318" s="12" t="n">
        <x:v>7</x:v>
      </x:c>
      <x:c r="T318" s="1" t="str">
        <x:v>Yes</x:v>
      </x:c>
      <x:c r="U318" s="1" t="n">
        <x:v>0</x:v>
      </x:c>
    </x:row>
    <x:row r="319" ht="23" customHeight="1">
      <x:c r="A319" s="9" t="n">
        <x:v>318</x:v>
      </x:c>
      <x:c r="B319" s="9" t="n">
        <x:v>0</x:v>
      </x:c>
      <x:c r="C319" s="9" t="n">
        <x:v>283</x:v>
      </x:c>
      <x:c r="D319" s="9" t="n">
        <x:v>2</x:v>
      </x:c>
      <x:c r="E319" s="9" t="n">
        <x:v>119475</x:v>
      </x:c>
      <x:c r="F319" s="9" t="n">
        <x:v>35889.00000000745</x:v>
      </x:c>
      <x:c r="G319" s="9" t="n">
        <x:v>25818.00000000745</x:v>
      </x:c>
      <x:c r="H319" s="9" t="n">
        <x:v>53545</x:v>
      </x:c>
      <x:c r="I319" s="9" t="n">
        <x:v>4117</x:v>
      </x:c>
      <x:c r="J319" s="9" t="n">
        <x:v>105.99999998509884</x:v>
      </x:c>
      <x:c r="K319" s="9" t="n">
        <x:f>F319+G319+I319+J319</x:f>
        <x:v>65930</x:v>
      </x:c>
      <x:c r="L319" s="10" t="n">
        <x:f>K319/Sources!$B$4*1000</x:f>
        <x:v>18.41854202140216</x:v>
      </x:c>
      <x:c r="M319" s="10" t="n">
        <x:f>E319/Sources!$B$4*1000</x:f>
        <x:v>33.37714709551074</x:v>
      </x:c>
      <x:c r="N319" s="9" t="n">
        <x:f>Sources!$B$6-K319</x:f>
        <x:v>-6194</x:v>
      </x:c>
      <x:c r="O319" s="1" t="str">
        <x:v>keyboard_route</x:v>
      </x:c>
      <x:c r="P319" s="12" t="n">
        <x:v>0</x:v>
      </x:c>
      <x:c r="Q319" s="12" t="n">
        <x:v>-4</x:v>
      </x:c>
      <x:c r="R319" s="12" t="n">
        <x:v>0</x:v>
      </x:c>
      <x:c r="S319" s="12" t="n">
        <x:v>3</x:v>
      </x:c>
      <x:c r="T319" s="1" t="str">
        <x:v>No</x:v>
      </x:c>
      <x:c r="U319" s="1" t="n">
        <x:v>0</x:v>
      </x:c>
    </x:row>
    <x:row r="320" ht="23" customHeight="1">
      <x:c r="A320" s="9" t="n">
        <x:v>319</x:v>
      </x:c>
      <x:c r="B320" s="9" t="n">
        <x:v>0</x:v>
      </x:c>
      <x:c r="C320" s="9" t="n">
        <x:v>279</x:v>
      </x:c>
      <x:c r="D320" s="9" t="n">
        <x:v>2</x:v>
      </x:c>
      <x:c r="E320" s="9" t="n">
        <x:v>119468.00000000745</x:v>
      </x:c>
      <x:c r="F320" s="9" t="n">
        <x:v>32419.00000000745</x:v>
      </x:c>
      <x:c r="G320" s="9" t="n">
        <x:v>38086.00000000745</x:v>
      </x:c>
      <x:c r="H320" s="9" t="n">
        <x:v>44740</x:v>
      </x:c>
      <x:c r="I320" s="9" t="n">
        <x:v>4117</x:v>
      </x:c>
      <x:c r="J320" s="9" t="n">
        <x:v>105.99999999254942</x:v>
      </x:c>
      <x:c r="K320" s="9" t="n">
        <x:f>F320+G320+I320+J320</x:f>
        <x:v>74728.00000000745</x:v>
      </x:c>
      <x:c r="L320" s="10" t="n">
        <x:f>K320/Sources!$B$4*1000</x:f>
        <x:v>20.87639630176669</x:v>
      </x:c>
      <x:c r="M320" s="10" t="n">
        <x:f>E320/Sources!$B$4*1000</x:f>
        <x:v>33.37519153970894</x:v>
      </x:c>
      <x:c r="N320" s="9" t="n">
        <x:f>Sources!$B$6-K320</x:f>
        <x:v>-14992.00000000745</x:v>
      </x:c>
      <x:c r="O320" s="1" t="str">
        <x:v>keyboard_route</x:v>
      </x:c>
      <x:c r="P320" s="12" t="n">
        <x:v>0</x:v>
      </x:c>
      <x:c r="Q320" s="12" t="n">
        <x:v>-4</x:v>
      </x:c>
      <x:c r="R320" s="12" t="n">
        <x:v>0</x:v>
      </x:c>
      <x:c r="S320" s="12" t="n">
        <x:v>7</x:v>
      </x:c>
      <x:c r="T320" s="1" t="str">
        <x:v>Yes</x:v>
      </x:c>
      <x:c r="U320" s="1" t="n">
        <x:v>0</x:v>
      </x:c>
    </x:row>
    <x:row r="321" ht="23" customHeight="1">
      <x:c r="A321" s="9" t="n">
        <x:v>320</x:v>
      </x:c>
      <x:c r="B321" s="9" t="n">
        <x:v>0</x:v>
      </x:c>
      <x:c r="C321" s="9" t="n">
        <x:v>275</x:v>
      </x:c>
      <x:c r="D321" s="9" t="n">
        <x:v>2</x:v>
      </x:c>
      <x:c r="E321" s="9" t="n">
        <x:v>119473.9999999851</x:v>
      </x:c>
      <x:c r="F321" s="9" t="n">
        <x:v>36037.99999999255</x:v>
      </x:c>
      <x:c r="G321" s="9" t="n">
        <x:v>25817.99999999255</x:v>
      </x:c>
      <x:c r="H321" s="9" t="n">
        <x:v>53394.99999999255</x:v>
      </x:c>
      <x:c r="I321" s="9" t="n">
        <x:v>4117</x:v>
      </x:c>
      <x:c r="J321" s="9" t="n">
        <x:v>106.00000000745058</x:v>
      </x:c>
      <x:c r="K321" s="9" t="n">
        <x:f>F321+G321+I321+J321</x:f>
        <x:v>66078.99999999255</x:v>
      </x:c>
      <x:c r="L321" s="10" t="n">
        <x:f>K321/Sources!$B$4*1000</x:f>
        <x:v>18.460167423511244</x:v>
      </x:c>
      <x:c r="M321" s="10" t="n">
        <x:f>E321/Sources!$B$4*1000</x:f>
        <x:v>33.37686773039174</x:v>
      </x:c>
      <x:c r="N321" s="9" t="n">
        <x:f>Sources!$B$6-K321</x:f>
        <x:v>-6342.999999992549</x:v>
      </x:c>
      <x:c r="O321" s="1" t="str">
        <x:v>keyboard_route</x:v>
      </x:c>
      <x:c r="P321" s="12" t="n">
        <x:v>0</x:v>
      </x:c>
      <x:c r="Q321" s="12" t="n">
        <x:v>-4</x:v>
      </x:c>
      <x:c r="R321" s="12" t="n">
        <x:v>0</x:v>
      </x:c>
      <x:c r="S321" s="12" t="n">
        <x:v>3</x:v>
      </x:c>
      <x:c r="T321" s="1" t="str">
        <x:v>No</x:v>
      </x:c>
      <x:c r="U321" s="1" t="n">
        <x:v>0</x:v>
      </x:c>
    </x:row>
    <x:row r="322" ht="23" customHeight="1">
      <x:c r="A322" s="9" t="n">
        <x:v>321</x:v>
      </x:c>
      <x:c r="B322" s="9" t="n">
        <x:v>0</x:v>
      </x:c>
      <x:c r="C322" s="9" t="n">
        <x:v>271</x:v>
      </x:c>
      <x:c r="D322" s="9" t="n">
        <x:v>2</x:v>
      </x:c>
      <x:c r="E322" s="9" t="n">
        <x:v>119474</x:v>
      </x:c>
      <x:c r="F322" s="9" t="n">
        <x:v>34135.99999999255</x:v>
      </x:c>
      <x:c r="G322" s="9" t="n">
        <x:v>38954.99999999255</x:v>
      </x:c>
      <x:c r="H322" s="9" t="n">
        <x:v>42160</x:v>
      </x:c>
      <x:c r="I322" s="9" t="n">
        <x:v>4117</x:v>
      </x:c>
      <x:c r="J322" s="9" t="n">
        <x:v>106.00000001490116</x:v>
      </x:c>
      <x:c r="K322" s="9" t="n">
        <x:f>F322+G322+I322+J322</x:f>
        <x:v>77314</x:v>
      </x:c>
      <x:c r="L322" s="10" t="n">
        <x:f>K322/Sources!$B$4*1000</x:f>
        <x:v>21.598834488740888</x:v>
      </x:c>
      <x:c r="M322" s="10" t="n">
        <x:f>E322/Sources!$B$4*1000</x:f>
        <x:v>33.3768677303959</x:v>
      </x:c>
      <x:c r="N322" s="9" t="n">
        <x:f>Sources!$B$6-K322</x:f>
        <x:v>-17578</x:v>
      </x:c>
      <x:c r="O322" s="1" t="str">
        <x:v>keyboard_route</x:v>
      </x:c>
      <x:c r="P322" s="12" t="n">
        <x:v>0</x:v>
      </x:c>
      <x:c r="Q322" s="12" t="n">
        <x:v>-4</x:v>
      </x:c>
      <x:c r="R322" s="12" t="n">
        <x:v>0</x:v>
      </x:c>
      <x:c r="S322" s="12" t="n">
        <x:v>7</x:v>
      </x:c>
      <x:c r="T322" s="1" t="str">
        <x:v>Yes</x:v>
      </x:c>
      <x:c r="U322" s="1" t="n">
        <x:v>0</x:v>
      </x:c>
    </x:row>
    <x:row r="323" ht="23" customHeight="1">
      <x:c r="A323" s="9" t="n">
        <x:v>322</x:v>
      </x:c>
      <x:c r="B323" s="9" t="n">
        <x:v>0</x:v>
      </x:c>
      <x:c r="C323" s="9" t="n">
        <x:v>267</x:v>
      </x:c>
      <x:c r="D323" s="9" t="n">
        <x:v>2</x:v>
      </x:c>
      <x:c r="E323" s="9" t="n">
        <x:v>119469.00000000745</x:v>
      </x:c>
      <x:c r="F323" s="9" t="n">
        <x:v>35867</x:v>
      </x:c>
      <x:c r="G323" s="9" t="n">
        <x:v>25824.00000000745</x:v>
      </x:c>
      <x:c r="H323" s="9" t="n">
        <x:v>53555.00000000745</x:v>
      </x:c>
      <x:c r="I323" s="9" t="n">
        <x:v>4117</x:v>
      </x:c>
      <x:c r="J323" s="9" t="n">
        <x:v>105.99999999254942</x:v>
      </x:c>
      <x:c r="K323" s="9" t="n">
        <x:f>F323+G323+I323+J323</x:f>
        <x:v>65914</x:v>
      </x:c>
      <x:c r="L323" s="10" t="n">
        <x:f>K323/Sources!$B$4*1000</x:f>
        <x:v>18.41407217956472</x:v>
      </x:c>
      <x:c r="M323" s="10" t="n">
        <x:f>E323/Sources!$B$4*1000</x:f>
        <x:v>33.375470904823786</x:v>
      </x:c>
      <x:c r="N323" s="9" t="n">
        <x:f>Sources!$B$6-K323</x:f>
        <x:v>-6178</x:v>
      </x:c>
      <x:c r="O323" s="1" t="str">
        <x:v>keyboard_route</x:v>
      </x:c>
      <x:c r="P323" s="12" t="n">
        <x:v>0</x:v>
      </x:c>
      <x:c r="Q323" s="12" t="n">
        <x:v>-4</x:v>
      </x:c>
      <x:c r="R323" s="12" t="n">
        <x:v>0</x:v>
      </x:c>
      <x:c r="S323" s="12" t="n">
        <x:v>3</x:v>
      </x:c>
      <x:c r="T323" s="1" t="str">
        <x:v>No</x:v>
      </x:c>
      <x:c r="U323" s="1" t="n">
        <x:v>0</x:v>
      </x:c>
    </x:row>
    <x:row r="324" ht="23" customHeight="1">
      <x:c r="A324" s="9" t="n">
        <x:v>323</x:v>
      </x:c>
      <x:c r="B324" s="9" t="n">
        <x:v>0</x:v>
      </x:c>
      <x:c r="C324" s="9" t="n">
        <x:v>263</x:v>
      </x:c>
      <x:c r="D324" s="9" t="n">
        <x:v>2</x:v>
      </x:c>
      <x:c r="E324" s="9" t="n">
        <x:v>119470.99999999255</x:v>
      </x:c>
      <x:c r="F324" s="9" t="n">
        <x:v>36731.99999999255</x:v>
      </x:c>
      <x:c r="G324" s="9" t="n">
        <x:v>37885.99999999255</x:v>
      </x:c>
      <x:c r="H324" s="9" t="n">
        <x:v>40629.99999999255</x:v>
      </x:c>
      <x:c r="I324" s="9" t="n">
        <x:v>4117</x:v>
      </x:c>
      <x:c r="J324" s="9" t="n">
        <x:v>106.00000001490116</x:v>
      </x:c>
      <x:c r="K324" s="9" t="n">
        <x:f>F324+G324+I324+J324</x:f>
        <x:v>78841</x:v>
      </x:c>
      <x:c r="L324" s="10" t="n">
        <x:f>K324/Sources!$B$4*1000</x:f>
        <x:v>22.02542501910159</x:v>
      </x:c>
      <x:c r="M324" s="10" t="n">
        <x:f>E324/Sources!$B$4*1000</x:f>
        <x:v>33.3760296350493</x:v>
      </x:c>
      <x:c r="N324" s="9" t="n">
        <x:f>Sources!$B$6-K324</x:f>
        <x:v>-19105</x:v>
      </x:c>
      <x:c r="O324" s="1" t="str">
        <x:v>keyboard_route</x:v>
      </x:c>
      <x:c r="P324" s="12" t="n">
        <x:v>0</x:v>
      </x:c>
      <x:c r="Q324" s="12" t="n">
        <x:v>-4</x:v>
      </x:c>
      <x:c r="R324" s="12" t="n">
        <x:v>0</x:v>
      </x:c>
      <x:c r="S324" s="12" t="n">
        <x:v>7</x:v>
      </x:c>
      <x:c r="T324" s="1" t="str">
        <x:v>Yes</x:v>
      </x:c>
      <x:c r="U324" s="1" t="n">
        <x:v>0</x:v>
      </x:c>
    </x:row>
    <x:row r="325" ht="23" customHeight="1">
      <x:c r="A325" s="9" t="n">
        <x:v>324</x:v>
      </x:c>
      <x:c r="B325" s="9" t="n">
        <x:v>0</x:v>
      </x:c>
      <x:c r="C325" s="9" t="n">
        <x:v>259</x:v>
      </x:c>
      <x:c r="D325" s="9" t="n">
        <x:v>2</x:v>
      </x:c>
      <x:c r="E325" s="9" t="n">
        <x:v>119472.00000000745</x:v>
      </x:c>
      <x:c r="F325" s="9" t="n">
        <x:v>37581</x:v>
      </x:c>
      <x:c r="G325" s="9" t="n">
        <x:v>25817.99999999255</x:v>
      </x:c>
      <x:c r="H325" s="9" t="n">
        <x:v>51850</x:v>
      </x:c>
      <x:c r="I325" s="9" t="n">
        <x:v>4116.999999992549</x:v>
      </x:c>
      <x:c r="J325" s="9" t="n">
        <x:v>106.00000002235174</x:v>
      </x:c>
      <x:c r="K325" s="9" t="n">
        <x:f>F325+G325+I325+J325</x:f>
        <x:v>67622.00000000745</x:v>
      </x:c>
      <x:c r="L325" s="10" t="n">
        <x:f>K325/Sources!$B$4*1000</x:f>
        <x:v>18.891227795713547</x:v>
      </x:c>
      <x:c r="M325" s="10" t="n">
        <x:f>E325/Sources!$B$4*1000</x:f>
        <x:v>33.376309000168305</x:v>
      </x:c>
      <x:c r="N325" s="9" t="n">
        <x:f>Sources!$B$6-K325</x:f>
        <x:v>-7886.000000007451</x:v>
      </x:c>
      <x:c r="O325" s="1" t="str">
        <x:v>keyboard_route</x:v>
      </x:c>
      <x:c r="P325" s="12" t="n">
        <x:v>0</x:v>
      </x:c>
      <x:c r="Q325" s="12" t="n">
        <x:v>-4</x:v>
      </x:c>
      <x:c r="R325" s="12" t="n">
        <x:v>0</x:v>
      </x:c>
      <x:c r="S325" s="12" t="n">
        <x:v>3</x:v>
      </x:c>
      <x:c r="T325" s="1" t="str">
        <x:v>No</x:v>
      </x:c>
      <x:c r="U325" s="1" t="n">
        <x:v>0</x:v>
      </x:c>
    </x:row>
    <x:row r="326" ht="23" customHeight="1">
      <x:c r="A326" s="9" t="n">
        <x:v>325</x:v>
      </x:c>
      <x:c r="B326" s="9" t="n">
        <x:v>0</x:v>
      </x:c>
      <x:c r="C326" s="9" t="n">
        <x:v>255</x:v>
      </x:c>
      <x:c r="D326" s="9" t="n">
        <x:v>2</x:v>
      </x:c>
      <x:c r="E326" s="9" t="n">
        <x:v>119476</x:v>
      </x:c>
      <x:c r="F326" s="9" t="n">
        <x:v>35726</x:v>
      </x:c>
      <x:c r="G326" s="9" t="n">
        <x:v>37912</x:v>
      </x:c>
      <x:c r="H326" s="9" t="n">
        <x:v>41615</x:v>
      </x:c>
      <x:c r="I326" s="9" t="n">
        <x:v>4117</x:v>
      </x:c>
      <x:c r="J326" s="9" t="n">
        <x:v>106</x:v>
      </x:c>
      <x:c r="K326" s="9" t="n">
        <x:f>F326+G326+I326+J326</x:f>
        <x:v>77861</x:v>
      </x:c>
      <x:c r="L326" s="10" t="n">
        <x:f>K326/Sources!$B$4*1000</x:f>
        <x:v>21.751647206558378</x:v>
      </x:c>
      <x:c r="M326" s="10" t="n">
        <x:f>E326/Sources!$B$4*1000</x:f>
        <x:v>33.37742646062558</x:v>
      </x:c>
      <x:c r="N326" s="9" t="n">
        <x:f>Sources!$B$6-K326</x:f>
        <x:v>-18125</x:v>
      </x:c>
      <x:c r="O326" s="1" t="str">
        <x:v>keyboard_route</x:v>
      </x:c>
      <x:c r="P326" s="12" t="n">
        <x:v>0</x:v>
      </x:c>
      <x:c r="Q326" s="12" t="n">
        <x:v>-4</x:v>
      </x:c>
      <x:c r="R326" s="12" t="n">
        <x:v>0</x:v>
      </x:c>
      <x:c r="S326" s="12" t="n">
        <x:v>7</x:v>
      </x:c>
      <x:c r="T326" s="1" t="str">
        <x:v>Yes</x:v>
      </x:c>
      <x:c r="U326" s="1" t="n">
        <x:v>0</x:v>
      </x:c>
    </x:row>
    <x:row r="327" ht="23" customHeight="1">
      <x:c r="A327" s="9" t="n">
        <x:v>326</x:v>
      </x:c>
      <x:c r="B327" s="9" t="n">
        <x:v>0</x:v>
      </x:c>
      <x:c r="C327" s="9" t="n">
        <x:v>251</x:v>
      </x:c>
      <x:c r="D327" s="9" t="n">
        <x:v>2</x:v>
      </x:c>
      <x:c r="E327" s="9" t="n">
        <x:v>119470</x:v>
      </x:c>
      <x:c r="F327" s="9" t="n">
        <x:v>34569.00000000745</x:v>
      </x:c>
      <x:c r="G327" s="9" t="n">
        <x:v>25818.00000000745</x:v>
      </x:c>
      <x:c r="H327" s="9" t="n">
        <x:v>54860</x:v>
      </x:c>
      <x:c r="I327" s="9" t="n">
        <x:v>4117</x:v>
      </x:c>
      <x:c r="J327" s="9" t="n">
        <x:v>105.99999998509884</x:v>
      </x:c>
      <x:c r="K327" s="9" t="n">
        <x:f>F327+G327+I327+J327</x:f>
        <x:v>64610</x:v>
      </x:c>
      <x:c r="L327" s="10" t="n">
        <x:f>K327/Sources!$B$4*1000</x:f>
        <x:v>18.04978006981334</x:v>
      </x:c>
      <x:c r="M327" s="10" t="n">
        <x:f>E327/Sources!$B$4*1000</x:f>
        <x:v>33.37575026993654</x:v>
      </x:c>
      <x:c r="N327" s="9" t="n">
        <x:f>Sources!$B$6-K327</x:f>
        <x:v>-4874</x:v>
      </x:c>
      <x:c r="O327" s="1" t="str">
        <x:v>keyboard_route</x:v>
      </x:c>
      <x:c r="P327" s="12" t="n">
        <x:v>0</x:v>
      </x:c>
      <x:c r="Q327" s="12" t="n">
        <x:v>-4</x:v>
      </x:c>
      <x:c r="R327" s="12" t="n">
        <x:v>0</x:v>
      </x:c>
      <x:c r="S327" s="12" t="n">
        <x:v>3</x:v>
      </x:c>
      <x:c r="T327" s="1" t="str">
        <x:v>No</x:v>
      </x:c>
      <x:c r="U327" s="1" t="n">
        <x:v>0</x:v>
      </x:c>
    </x:row>
    <x:row r="328" ht="23" customHeight="1">
      <x:c r="A328" s="9" t="n">
        <x:v>327</x:v>
      </x:c>
      <x:c r="B328" s="9" t="n">
        <x:v>0</x:v>
      </x:c>
      <x:c r="C328" s="9" t="n">
        <x:v>247</x:v>
      </x:c>
      <x:c r="D328" s="9" t="n">
        <x:v>2</x:v>
      </x:c>
      <x:c r="E328" s="9" t="n">
        <x:v>119474</x:v>
      </x:c>
      <x:c r="F328" s="9" t="n">
        <x:v>34412.99999999255</x:v>
      </x:c>
      <x:c r="G328" s="9" t="n">
        <x:v>37918</x:v>
      </x:c>
      <x:c r="H328" s="9" t="n">
        <x:v>42920</x:v>
      </x:c>
      <x:c r="I328" s="9" t="n">
        <x:v>4117</x:v>
      </x:c>
      <x:c r="J328" s="9" t="n">
        <x:v>106.00000000745058</x:v>
      </x:c>
      <x:c r="K328" s="9" t="n">
        <x:f>F328+G328+I328+J328</x:f>
        <x:v>76554</x:v>
      </x:c>
      <x:c r="L328" s="10" t="n">
        <x:f>K328/Sources!$B$4*1000</x:f>
        <x:v>21.386517001462476</x:v>
      </x:c>
      <x:c r="M328" s="10" t="n">
        <x:f>E328/Sources!$B$4*1000</x:f>
        <x:v>33.3768677303959</x:v>
      </x:c>
      <x:c r="N328" s="9" t="n">
        <x:f>Sources!$B$6-K328</x:f>
        <x:v>-16818</x:v>
      </x:c>
      <x:c r="O328" s="1" t="str">
        <x:v>keyboard_route</x:v>
      </x:c>
      <x:c r="P328" s="12" t="n">
        <x:v>0</x:v>
      </x:c>
      <x:c r="Q328" s="12" t="n">
        <x:v>-4</x:v>
      </x:c>
      <x:c r="R328" s="12" t="n">
        <x:v>0</x:v>
      </x:c>
      <x:c r="S328" s="12" t="n">
        <x:v>7</x:v>
      </x:c>
      <x:c r="T328" s="1" t="str">
        <x:v>Yes</x:v>
      </x:c>
      <x:c r="U328" s="1" t="n">
        <x:v>0</x:v>
      </x:c>
    </x:row>
    <x:row r="329" ht="23" customHeight="1">
      <x:c r="A329" s="9" t="n">
        <x:v>328</x:v>
      </x:c>
      <x:c r="B329" s="9" t="n">
        <x:v>0</x:v>
      </x:c>
      <x:c r="C329" s="9" t="n">
        <x:v>243</x:v>
      </x:c>
      <x:c r="D329" s="9" t="n">
        <x:v>2</x:v>
      </x:c>
      <x:c r="E329" s="9" t="n">
        <x:v>119470.99999999255</x:v>
      </x:c>
      <x:c r="F329" s="9" t="n">
        <x:v>36639.00000000745</x:v>
      </x:c>
      <x:c r="G329" s="9" t="n">
        <x:v>25824.00000000745</x:v>
      </x:c>
      <x:c r="H329" s="9" t="n">
        <x:v>52785.00000000745</x:v>
      </x:c>
      <x:c r="I329" s="9" t="n">
        <x:v>4117.000000007451</x:v>
      </x:c>
      <x:c r="J329" s="9" t="n">
        <x:v>105.9999999627471</x:v>
      </x:c>
      <x:c r="K329" s="9" t="n">
        <x:f>F329+G329+I329+J329</x:f>
        <x:v>66685.9999999851</x:v>
      </x:c>
      <x:c r="L329" s="10" t="n">
        <x:f>K329/Sources!$B$4*1000</x:f>
        <x:v>18.62974204821705</x:v>
      </x:c>
      <x:c r="M329" s="10" t="n">
        <x:f>E329/Sources!$B$4*1000</x:f>
        <x:v>33.3760296350493</x:v>
      </x:c>
      <x:c r="N329" s="9" t="n">
        <x:f>Sources!$B$6-K329</x:f>
        <x:v>-6949.999999985099</x:v>
      </x:c>
      <x:c r="O329" s="1" t="str">
        <x:v>keyboard_route</x:v>
      </x:c>
      <x:c r="P329" s="12" t="n">
        <x:v>0</x:v>
      </x:c>
      <x:c r="Q329" s="12" t="n">
        <x:v>-4</x:v>
      </x:c>
      <x:c r="R329" s="12" t="n">
        <x:v>0</x:v>
      </x:c>
      <x:c r="S329" s="12" t="n">
        <x:v>3</x:v>
      </x:c>
      <x:c r="T329" s="1" t="str">
        <x:v>No</x:v>
      </x:c>
      <x:c r="U329" s="1" t="n">
        <x:v>0</x:v>
      </x:c>
    </x:row>
    <x:row r="330" ht="23" customHeight="1">
      <x:c r="A330" s="9" t="n">
        <x:v>329</x:v>
      </x:c>
      <x:c r="B330" s="9" t="n">
        <x:v>0</x:v>
      </x:c>
      <x:c r="C330" s="9" t="n">
        <x:v>239</x:v>
      </x:c>
      <x:c r="D330" s="9" t="n">
        <x:v>2</x:v>
      </x:c>
      <x:c r="E330" s="9" t="n">
        <x:v>119470</x:v>
      </x:c>
      <x:c r="F330" s="9" t="n">
        <x:v>34429</x:v>
      </x:c>
      <x:c r="G330" s="9" t="n">
        <x:v>37918</x:v>
      </x:c>
      <x:c r="H330" s="9" t="n">
        <x:v>42900</x:v>
      </x:c>
      <x:c r="I330" s="9" t="n">
        <x:v>4116.999999992549</x:v>
      </x:c>
      <x:c r="J330" s="9" t="n">
        <x:v>106.00000000745058</x:v>
      </x:c>
      <x:c r="K330" s="9" t="n">
        <x:f>F330+G330+I330+J330</x:f>
        <x:v>76570</x:v>
      </x:c>
      <x:c r="L330" s="10" t="n">
        <x:f>K330/Sources!$B$4*1000</x:f>
        <x:v>21.390986843299917</x:v>
      </x:c>
      <x:c r="M330" s="10" t="n">
        <x:f>E330/Sources!$B$4*1000</x:f>
        <x:v>33.37575026993654</x:v>
      </x:c>
      <x:c r="N330" s="9" t="n">
        <x:f>Sources!$B$6-K330</x:f>
        <x:v>-16834</x:v>
      </x:c>
      <x:c r="O330" s="1" t="str">
        <x:v>keyboard_route</x:v>
      </x:c>
      <x:c r="P330" s="12" t="n">
        <x:v>0</x:v>
      </x:c>
      <x:c r="Q330" s="12" t="n">
        <x:v>-4</x:v>
      </x:c>
      <x:c r="R330" s="12" t="n">
        <x:v>0</x:v>
      </x:c>
      <x:c r="S330" s="12" t="n">
        <x:v>7</x:v>
      </x:c>
      <x:c r="T330" s="1" t="str">
        <x:v>Yes</x:v>
      </x:c>
      <x:c r="U330" s="1" t="n">
        <x:v>0</x:v>
      </x:c>
    </x:row>
    <x:row r="331" ht="23" customHeight="1">
      <x:c r="A331" s="9" t="n">
        <x:v>330</x:v>
      </x:c>
      <x:c r="B331" s="9" t="n">
        <x:v>0</x:v>
      </x:c>
      <x:c r="C331" s="9" t="n">
        <x:v>235</x:v>
      </x:c>
      <x:c r="D331" s="9" t="n">
        <x:v>2</x:v>
      </x:c>
      <x:c r="E331" s="9" t="n">
        <x:v>119471</x:v>
      </x:c>
      <x:c r="F331" s="9" t="n">
        <x:v>39005</x:v>
      </x:c>
      <x:c r="G331" s="9" t="n">
        <x:v>25818</x:v>
      </x:c>
      <x:c r="H331" s="9" t="n">
        <x:v>50424.99999999255</x:v>
      </x:c>
      <x:c r="I331" s="9" t="n">
        <x:v>4117</x:v>
      </x:c>
      <x:c r="J331" s="9" t="n">
        <x:v>106.00000000745058</x:v>
      </x:c>
      <x:c r="K331" s="9" t="n">
        <x:f>F331+G331+I331+J331</x:f>
        <x:v>69046.00000000745</x:v>
      </x:c>
      <x:c r="L331" s="10" t="n">
        <x:f>K331/Sources!$B$4*1000</x:f>
        <x:v>19.28904371924573</x:v>
      </x:c>
      <x:c r="M331" s="10" t="n">
        <x:f>E331/Sources!$B$4*1000</x:f>
        <x:v>33.37602963505138</x:v>
      </x:c>
      <x:c r="N331" s="9" t="n">
        <x:f>Sources!$B$6-K331</x:f>
        <x:v>-9310.00000000745</x:v>
      </x:c>
      <x:c r="O331" s="1" t="str">
        <x:v>keyboard_route</x:v>
      </x:c>
      <x:c r="P331" s="12" t="n">
        <x:v>0</x:v>
      </x:c>
      <x:c r="Q331" s="12" t="n">
        <x:v>-4</x:v>
      </x:c>
      <x:c r="R331" s="12" t="n">
        <x:v>0</x:v>
      </x:c>
      <x:c r="S331" s="12" t="n">
        <x:v>3</x:v>
      </x:c>
      <x:c r="T331" s="1" t="str">
        <x:v>No</x:v>
      </x:c>
      <x:c r="U331" s="1" t="n">
        <x:v>0</x:v>
      </x:c>
    </x:row>
    <x:row r="332" ht="23" customHeight="1">
      <x:c r="A332" s="9" t="n">
        <x:v>331</x:v>
      </x:c>
      <x:c r="B332" s="9" t="n">
        <x:v>0</x:v>
      </x:c>
      <x:c r="C332" s="9" t="n">
        <x:v>231</x:v>
      </x:c>
      <x:c r="D332" s="9" t="n">
        <x:v>2</x:v>
      </x:c>
      <x:c r="E332" s="9" t="n">
        <x:v>119472.00000000745</x:v>
      </x:c>
      <x:c r="F332" s="9" t="n">
        <x:v>33291.99999999255</x:v>
      </x:c>
      <x:c r="G332" s="9" t="n">
        <x:v>37912</x:v>
      </x:c>
      <x:c r="H332" s="9" t="n">
        <x:v>44045</x:v>
      </x:c>
      <x:c r="I332" s="9" t="n">
        <x:v>4117</x:v>
      </x:c>
      <x:c r="J332" s="9" t="n">
        <x:v>106.00000001490116</x:v>
      </x:c>
      <x:c r="K332" s="9" t="n">
        <x:f>F332+G332+I332+J332</x:f>
        <x:v>75427.00000000745</x:v>
      </x:c>
      <x:c r="L332" s="10" t="n">
        <x:f>K332/Sources!$B$4*1000</x:f>
        <x:v>21.07167251703986</x:v>
      </x:c>
      <x:c r="M332" s="10" t="n">
        <x:f>E332/Sources!$B$4*1000</x:f>
        <x:v>33.376309000168305</x:v>
      </x:c>
      <x:c r="N332" s="9" t="n">
        <x:f>Sources!$B$6-K332</x:f>
        <x:v>-15691.00000000745</x:v>
      </x:c>
      <x:c r="O332" s="1" t="str">
        <x:v>keyboard_route</x:v>
      </x:c>
      <x:c r="P332" s="12" t="n">
        <x:v>0</x:v>
      </x:c>
      <x:c r="Q332" s="12" t="n">
        <x:v>-4</x:v>
      </x:c>
      <x:c r="R332" s="12" t="n">
        <x:v>0</x:v>
      </x:c>
      <x:c r="S332" s="12" t="n">
        <x:v>7</x:v>
      </x:c>
      <x:c r="T332" s="1" t="str">
        <x:v>Yes</x:v>
      </x:c>
      <x:c r="U332" s="1" t="n">
        <x:v>0</x:v>
      </x:c>
    </x:row>
    <x:row r="333" ht="23" customHeight="1">
      <x:c r="A333" s="9" t="n">
        <x:v>332</x:v>
      </x:c>
      <x:c r="B333" s="9" t="n">
        <x:v>0</x:v>
      </x:c>
      <x:c r="C333" s="9" t="n">
        <x:v>227</x:v>
      </x:c>
      <x:c r="D333" s="9" t="n">
        <x:v>2</x:v>
      </x:c>
      <x:c r="E333" s="9" t="n">
        <x:v>119476</x:v>
      </x:c>
      <x:c r="F333" s="9" t="n">
        <x:v>34595.00000000745</x:v>
      </x:c>
      <x:c r="G333" s="9" t="n">
        <x:v>25818</x:v>
      </x:c>
      <x:c r="H333" s="9" t="n">
        <x:v>54840</x:v>
      </x:c>
      <x:c r="I333" s="9" t="n">
        <x:v>4117.000000014901</x:v>
      </x:c>
      <x:c r="J333" s="9" t="n">
        <x:v>105.99999997764826</x:v>
      </x:c>
      <x:c r="K333" s="9" t="n">
        <x:f>F333+G333+I333+J333</x:f>
        <x:v>64636</x:v>
      </x:c>
      <x:c r="L333" s="10" t="n">
        <x:f>K333/Sources!$B$4*1000</x:f>
        <x:v>18.057043562799183</x:v>
      </x:c>
      <x:c r="M333" s="10" t="n">
        <x:f>E333/Sources!$B$4*1000</x:f>
        <x:v>33.37742646062558</x:v>
      </x:c>
      <x:c r="N333" s="9" t="n">
        <x:f>Sources!$B$6-K333</x:f>
        <x:v>-4900</x:v>
      </x:c>
      <x:c r="O333" s="1" t="str">
        <x:v>keyboard_route</x:v>
      </x:c>
      <x:c r="P333" s="12" t="n">
        <x:v>0</x:v>
      </x:c>
      <x:c r="Q333" s="12" t="n">
        <x:v>-4</x:v>
      </x:c>
      <x:c r="R333" s="12" t="n">
        <x:v>0</x:v>
      </x:c>
      <x:c r="S333" s="12" t="n">
        <x:v>3</x:v>
      </x:c>
      <x:c r="T333" s="1" t="str">
        <x:v>No</x:v>
      </x:c>
      <x:c r="U333" s="1" t="n">
        <x:v>0</x:v>
      </x:c>
    </x:row>
    <x:row r="334" ht="23" customHeight="1">
      <x:c r="A334" s="9" t="n">
        <x:v>333</x:v>
      </x:c>
      <x:c r="B334" s="9" t="n">
        <x:v>0</x:v>
      </x:c>
      <x:c r="C334" s="9" t="n">
        <x:v>223</x:v>
      </x:c>
      <x:c r="D334" s="9" t="n">
        <x:v>2</x:v>
      </x:c>
      <x:c r="E334" s="9" t="n">
        <x:v>119469.99999999255</x:v>
      </x:c>
      <x:c r="F334" s="9" t="n">
        <x:v>32590.99999999255</x:v>
      </x:c>
      <x:c r="G334" s="9" t="n">
        <x:v>37886</x:v>
      </x:c>
      <x:c r="H334" s="9" t="n">
        <x:v>44770.00000000745</x:v>
      </x:c>
      <x:c r="I334" s="9" t="n">
        <x:v>4117.000000007451</x:v>
      </x:c>
      <x:c r="J334" s="9" t="n">
        <x:v>105.99999998509884</x:v>
      </x:c>
      <x:c r="K334" s="9" t="n">
        <x:f>F334+G334+I334+J334</x:f>
        <x:v>74699.9999999851</x:v>
      </x:c>
      <x:c r="L334" s="10" t="n">
        <x:f>K334/Sources!$B$4*1000</x:f>
        <x:v>20.868574078544924</x:v>
      </x:c>
      <x:c r="M334" s="10" t="n">
        <x:f>E334/Sources!$B$4*1000</x:f>
        <x:v>33.37575026993446</x:v>
      </x:c>
      <x:c r="N334" s="9" t="n">
        <x:f>Sources!$B$6-K334</x:f>
        <x:v>-14963.999999985099</x:v>
      </x:c>
      <x:c r="O334" s="1" t="str">
        <x:v>keyboard_route</x:v>
      </x:c>
      <x:c r="P334" s="12" t="n">
        <x:v>0</x:v>
      </x:c>
      <x:c r="Q334" s="12" t="n">
        <x:v>-4</x:v>
      </x:c>
      <x:c r="R334" s="12" t="n">
        <x:v>0</x:v>
      </x:c>
      <x:c r="S334" s="12" t="n">
        <x:v>7</x:v>
      </x:c>
      <x:c r="T334" s="1" t="str">
        <x:v>Yes</x:v>
      </x:c>
      <x:c r="U334" s="1" t="n">
        <x:v>0</x:v>
      </x:c>
    </x:row>
    <x:row r="335" ht="23" customHeight="1">
      <x:c r="A335" s="9" t="n">
        <x:v>334</x:v>
      </x:c>
      <x:c r="B335" s="9" t="n">
        <x:v>0</x:v>
      </x:c>
      <x:c r="C335" s="9" t="n">
        <x:v>219</x:v>
      </x:c>
      <x:c r="D335" s="9" t="n">
        <x:v>2</x:v>
      </x:c>
      <x:c r="E335" s="9" t="n">
        <x:v>119473.00000000745</x:v>
      </x:c>
      <x:c r="F335" s="9" t="n">
        <x:v>38877.99999999255</x:v>
      </x:c>
      <x:c r="G335" s="9" t="n">
        <x:v>26887</x:v>
      </x:c>
      <x:c r="H335" s="9" t="n">
        <x:v>49485</x:v>
      </x:c>
      <x:c r="I335" s="9" t="n">
        <x:v>4117</x:v>
      </x:c>
      <x:c r="J335" s="9" t="n">
        <x:v>106.00000001490116</x:v>
      </x:c>
      <x:c r="K335" s="9" t="n">
        <x:f>F335+G335+I335+J335</x:f>
        <x:v>69988.00000000745</x:v>
      </x:c>
      <x:c r="L335" s="10" t="n">
        <x:f>K335/Sources!$B$4*1000</x:f>
        <x:v>19.552205657425024</x:v>
      </x:c>
      <x:c r="M335" s="10" t="n">
        <x:f>E335/Sources!$B$4*1000</x:f>
        <x:v>33.37658836528314</x:v>
      </x:c>
      <x:c r="N335" s="9" t="n">
        <x:f>Sources!$B$6-K335</x:f>
        <x:v>-10252.00000000745</x:v>
      </x:c>
      <x:c r="O335" s="1" t="str">
        <x:v>keyboard_route</x:v>
      </x:c>
      <x:c r="P335" s="12" t="n">
        <x:v>0</x:v>
      </x:c>
      <x:c r="Q335" s="12" t="n">
        <x:v>-4</x:v>
      </x:c>
      <x:c r="R335" s="12" t="n">
        <x:v>0</x:v>
      </x:c>
      <x:c r="S335" s="12" t="n">
        <x:v>3</x:v>
      </x:c>
      <x:c r="T335" s="1" t="str">
        <x:v>No</x:v>
      </x:c>
      <x:c r="U335" s="1" t="n">
        <x:v>0</x:v>
      </x:c>
    </x:row>
    <x:row r="336" ht="23" customHeight="1">
      <x:c r="A336" s="9" t="n">
        <x:v>335</x:v>
      </x:c>
      <x:c r="B336" s="9" t="n">
        <x:v>0</x:v>
      </x:c>
      <x:c r="C336" s="9" t="n">
        <x:v>215</x:v>
      </x:c>
      <x:c r="D336" s="9" t="n">
        <x:v>2</x:v>
      </x:c>
      <x:c r="E336" s="9" t="n">
        <x:v>119471.99999999255</x:v>
      </x:c>
      <x:c r="F336" s="9" t="n">
        <x:v>32422</x:v>
      </x:c>
      <x:c r="G336" s="9" t="n">
        <x:v>37892</x:v>
      </x:c>
      <x:c r="H336" s="9" t="n">
        <x:v>44935.00000000745</x:v>
      </x:c>
      <x:c r="I336" s="9" t="n">
        <x:v>4117</x:v>
      </x:c>
      <x:c r="J336" s="9" t="n">
        <x:v>105.99999998509884</x:v>
      </x:c>
      <x:c r="K336" s="9" t="n">
        <x:f>F336+G336+I336+J336</x:f>
        <x:v>74536.9999999851</x:v>
      </x:c>
      <x:c r="L336" s="10" t="n">
        <x:f>K336/Sources!$B$4*1000</x:f>
        <x:v>20.823037564826006</x:v>
      </x:c>
      <x:c r="M336" s="10" t="n">
        <x:f>E336/Sources!$B$4*1000</x:f>
        <x:v>33.37630900016414</x:v>
      </x:c>
      <x:c r="N336" s="9" t="n">
        <x:f>Sources!$B$6-K336</x:f>
        <x:v>-14800.999999985099</x:v>
      </x:c>
      <x:c r="O336" s="1" t="str">
        <x:v>keyboard_route</x:v>
      </x:c>
      <x:c r="P336" s="12" t="n">
        <x:v>0</x:v>
      </x:c>
      <x:c r="Q336" s="12" t="n">
        <x:v>-4</x:v>
      </x:c>
      <x:c r="R336" s="12" t="n">
        <x:v>0</x:v>
      </x:c>
      <x:c r="S336" s="12" t="n">
        <x:v>7</x:v>
      </x:c>
      <x:c r="T336" s="1" t="str">
        <x:v>Yes</x:v>
      </x:c>
      <x:c r="U336" s="1" t="n">
        <x:v>0</x:v>
      </x:c>
    </x:row>
    <x:row r="337" ht="23" customHeight="1">
      <x:c r="A337" s="9" t="n">
        <x:v>336</x:v>
      </x:c>
      <x:c r="B337" s="9" t="n">
        <x:v>0</x:v>
      </x:c>
      <x:c r="C337" s="9" t="n">
        <x:v>211</x:v>
      </x:c>
      <x:c r="D337" s="9" t="n">
        <x:v>2</x:v>
      </x:c>
      <x:c r="E337" s="9" t="n">
        <x:v>119469.00000000745</x:v>
      </x:c>
      <x:c r="F337" s="9" t="n">
        <x:v>38973</x:v>
      </x:c>
      <x:c r="G337" s="9" t="n">
        <x:v>26018.00000000745</x:v>
      </x:c>
      <x:c r="H337" s="9" t="n">
        <x:v>50254.99999999255</x:v>
      </x:c>
      <x:c r="I337" s="9" t="n">
        <x:v>4117.000000014901</x:v>
      </x:c>
      <x:c r="J337" s="9" t="n">
        <x:v>105.99999999254942</x:v>
      </x:c>
      <x:c r="K337" s="9" t="n">
        <x:f>F337+G337+I337+J337</x:f>
        <x:v>69214.0000000149</x:v>
      </x:c>
      <x:c r="L337" s="10" t="n">
        <x:f>K337/Sources!$B$4*1000</x:f>
        <x:v>19.335977058540934</x:v>
      </x:c>
      <x:c r="M337" s="10" t="n">
        <x:f>E337/Sources!$B$4*1000</x:f>
        <x:v>33.375470904823786</x:v>
      </x:c>
      <x:c r="N337" s="9" t="n">
        <x:f>Sources!$B$6-K337</x:f>
        <x:v>-9478.000000014901</x:v>
      </x:c>
      <x:c r="O337" s="1" t="str">
        <x:v>keyboard_route</x:v>
      </x:c>
      <x:c r="P337" s="12" t="n">
        <x:v>0</x:v>
      </x:c>
      <x:c r="Q337" s="12" t="n">
        <x:v>-4</x:v>
      </x:c>
      <x:c r="R337" s="12" t="n">
        <x:v>0</x:v>
      </x:c>
      <x:c r="S337" s="12" t="n">
        <x:v>3</x:v>
      </x:c>
      <x:c r="T337" s="1" t="str">
        <x:v>No</x:v>
      </x:c>
      <x:c r="U337" s="1" t="n">
        <x:v>0</x:v>
      </x:c>
    </x:row>
    <x:row r="338" ht="23" customHeight="1">
      <x:c r="A338" s="9" t="n">
        <x:v>337</x:v>
      </x:c>
      <x:c r="B338" s="9" t="n">
        <x:v>0</x:v>
      </x:c>
      <x:c r="C338" s="9" t="n">
        <x:v>207</x:v>
      </x:c>
      <x:c r="D338" s="9" t="n">
        <x:v>2</x:v>
      </x:c>
      <x:c r="E338" s="9" t="n">
        <x:v>119474.99999999255</x:v>
      </x:c>
      <x:c r="F338" s="9" t="n">
        <x:v>34336</x:v>
      </x:c>
      <x:c r="G338" s="9" t="n">
        <x:v>37886.00000000745</x:v>
      </x:c>
      <x:c r="H338" s="9" t="n">
        <x:v>43030</x:v>
      </x:c>
      <x:c r="I338" s="9" t="n">
        <x:v>4117.000000007451</x:v>
      </x:c>
      <x:c r="J338" s="9" t="n">
        <x:v>105.99999997764826</x:v>
      </x:c>
      <x:c r="K338" s="9" t="n">
        <x:f>F338+G338+I338+J338</x:f>
        <x:v>76444.99999999255</x:v>
      </x:c>
      <x:c r="L338" s="10" t="n">
        <x:f>K338/Sources!$B$4*1000</x:f>
        <x:v>21.356066203942834</x:v>
      </x:c>
      <x:c r="M338" s="10" t="n">
        <x:f>E338/Sources!$B$4*1000</x:f>
        <x:v>33.37714709550866</x:v>
      </x:c>
      <x:c r="N338" s="9" t="n">
        <x:f>Sources!$B$6-K338</x:f>
        <x:v>-16708.99999999255</x:v>
      </x:c>
      <x:c r="O338" s="1" t="str">
        <x:v>keyboard_route</x:v>
      </x:c>
      <x:c r="P338" s="12" t="n">
        <x:v>0</x:v>
      </x:c>
      <x:c r="Q338" s="12" t="n">
        <x:v>-4</x:v>
      </x:c>
      <x:c r="R338" s="12" t="n">
        <x:v>0</x:v>
      </x:c>
      <x:c r="S338" s="12" t="n">
        <x:v>7</x:v>
      </x:c>
      <x:c r="T338" s="1" t="str">
        <x:v>Yes</x:v>
      </x:c>
      <x:c r="U338" s="1" t="n">
        <x:v>0</x:v>
      </x:c>
    </x:row>
    <x:row r="339" ht="23" customHeight="1">
      <x:c r="A339" s="9" t="n">
        <x:v>338</x:v>
      </x:c>
      <x:c r="B339" s="9" t="n">
        <x:v>0</x:v>
      </x:c>
      <x:c r="C339" s="9" t="n">
        <x:v>203</x:v>
      </x:c>
      <x:c r="D339" s="9" t="n">
        <x:v>2</x:v>
      </x:c>
      <x:c r="E339" s="9" t="n">
        <x:v>119472.00000000745</x:v>
      </x:c>
      <x:c r="F339" s="9" t="n">
        <x:v>36041</x:v>
      </x:c>
      <x:c r="G339" s="9" t="n">
        <x:v>26018</x:v>
      </x:c>
      <x:c r="H339" s="9" t="n">
        <x:v>53190</x:v>
      </x:c>
      <x:c r="I339" s="9" t="n">
        <x:v>4117</x:v>
      </x:c>
      <x:c r="J339" s="9" t="n">
        <x:v>106.00000000745058</x:v>
      </x:c>
      <x:c r="K339" s="9" t="n">
        <x:f>F339+G339+I339+J339</x:f>
        <x:v>66282.00000000745</x:v>
      </x:c>
      <x:c r="L339" s="10" t="n">
        <x:f>K339/Sources!$B$4*1000</x:f>
        <x:v>18.51687854182793</x:v>
      </x:c>
      <x:c r="M339" s="10" t="n">
        <x:f>E339/Sources!$B$4*1000</x:f>
        <x:v>33.376309000168305</x:v>
      </x:c>
      <x:c r="N339" s="9" t="n">
        <x:f>Sources!$B$6-K339</x:f>
        <x:v>-6546.000000007451</x:v>
      </x:c>
      <x:c r="O339" s="1" t="str">
        <x:v>keyboard_route</x:v>
      </x:c>
      <x:c r="P339" s="12" t="n">
        <x:v>0</x:v>
      </x:c>
      <x:c r="Q339" s="12" t="n">
        <x:v>-4</x:v>
      </x:c>
      <x:c r="R339" s="12" t="n">
        <x:v>0</x:v>
      </x:c>
      <x:c r="S339" s="12" t="n">
        <x:v>3</x:v>
      </x:c>
      <x:c r="T339" s="1" t="str">
        <x:v>No</x:v>
      </x:c>
      <x:c r="U339" s="1" t="n">
        <x:v>0</x:v>
      </x:c>
    </x:row>
    <x:row r="340" ht="23" customHeight="1">
      <x:c r="A340" s="9" t="n">
        <x:v>339</x:v>
      </x:c>
      <x:c r="B340" s="9" t="n">
        <x:v>0</x:v>
      </x:c>
      <x:c r="C340" s="9" t="n">
        <x:v>199</x:v>
      </x:c>
      <x:c r="D340" s="9" t="n">
        <x:v>2</x:v>
      </x:c>
      <x:c r="E340" s="9" t="n">
        <x:v>119471</x:v>
      </x:c>
      <x:c r="F340" s="9" t="n">
        <x:v>32472</x:v>
      </x:c>
      <x:c r="G340" s="9" t="n">
        <x:v>37886</x:v>
      </x:c>
      <x:c r="H340" s="9" t="n">
        <x:v>44890</x:v>
      </x:c>
      <x:c r="I340" s="9" t="n">
        <x:v>4117</x:v>
      </x:c>
      <x:c r="J340" s="9" t="n">
        <x:v>106</x:v>
      </x:c>
      <x:c r="K340" s="9" t="n">
        <x:f>F340+G340+I340+J340</x:f>
        <x:v>74581</x:v>
      </x:c>
      <x:c r="L340" s="10" t="n">
        <x:f>K340/Sources!$B$4*1000</x:f>
        <x:v>20.835329629883127</x:v>
      </x:c>
      <x:c r="M340" s="10" t="n">
        <x:f>E340/Sources!$B$4*1000</x:f>
        <x:v>33.37602963505138</x:v>
      </x:c>
      <x:c r="N340" s="9" t="n">
        <x:f>Sources!$B$6-K340</x:f>
        <x:v>-14845</x:v>
      </x:c>
      <x:c r="O340" s="1" t="str">
        <x:v>keyboard_route</x:v>
      </x:c>
      <x:c r="P340" s="12" t="n">
        <x:v>0</x:v>
      </x:c>
      <x:c r="Q340" s="12" t="n">
        <x:v>-4</x:v>
      </x:c>
      <x:c r="R340" s="12" t="n">
        <x:v>0</x:v>
      </x:c>
      <x:c r="S340" s="12" t="n">
        <x:v>7</x:v>
      </x:c>
      <x:c r="T340" s="1" t="str">
        <x:v>Yes</x:v>
      </x:c>
      <x:c r="U340" s="1" t="n">
        <x:v>0</x:v>
      </x:c>
    </x:row>
    <x:row r="341" ht="23" customHeight="1">
      <x:c r="A341" s="9" t="n">
        <x:v>340</x:v>
      </x:c>
      <x:c r="B341" s="9" t="n">
        <x:v>0</x:v>
      </x:c>
      <x:c r="C341" s="9" t="n">
        <x:v>195</x:v>
      </x:c>
      <x:c r="D341" s="9" t="n">
        <x:v>2</x:v>
      </x:c>
      <x:c r="E341" s="9" t="n">
        <x:v>119470</x:v>
      </x:c>
      <x:c r="F341" s="9" t="n">
        <x:v>37398.00000000745</x:v>
      </x:c>
      <x:c r="G341" s="9" t="n">
        <x:v>26024</x:v>
      </x:c>
      <x:c r="H341" s="9" t="n">
        <x:v>51825</x:v>
      </x:c>
      <x:c r="I341" s="9" t="n">
        <x:v>4117</x:v>
      </x:c>
      <x:c r="J341" s="9" t="n">
        <x:v>105.99999999254942</x:v>
      </x:c>
      <x:c r="K341" s="9" t="n">
        <x:f>F341+G341+I341+J341</x:f>
        <x:v>67645</x:v>
      </x:c>
      <x:c r="L341" s="10" t="n">
        <x:f>K341/Sources!$B$4*1000</x:f>
        <x:v>18.897653193352784</x:v>
      </x:c>
      <x:c r="M341" s="10" t="n">
        <x:f>E341/Sources!$B$4*1000</x:f>
        <x:v>33.37575026993654</x:v>
      </x:c>
      <x:c r="N341" s="9" t="n">
        <x:f>Sources!$B$6-K341</x:f>
        <x:v>-7909</x:v>
      </x:c>
      <x:c r="O341" s="1" t="str">
        <x:v>keyboard_route</x:v>
      </x:c>
      <x:c r="P341" s="12" t="n">
        <x:v>0</x:v>
      </x:c>
      <x:c r="Q341" s="12" t="n">
        <x:v>-4</x:v>
      </x:c>
      <x:c r="R341" s="12" t="n">
        <x:v>0</x:v>
      </x:c>
      <x:c r="S341" s="12" t="n">
        <x:v>3</x:v>
      </x:c>
      <x:c r="T341" s="1" t="str">
        <x:v>No</x:v>
      </x:c>
      <x:c r="U341" s="1" t="n">
        <x:v>0</x:v>
      </x:c>
    </x:row>
    <x:row r="342" ht="23" customHeight="1">
      <x:c r="A342" s="9" t="n">
        <x:v>341</x:v>
      </x:c>
      <x:c r="B342" s="9" t="n">
        <x:v>0</x:v>
      </x:c>
      <x:c r="C342" s="9" t="n">
        <x:v>191</x:v>
      </x:c>
      <x:c r="D342" s="9" t="n">
        <x:v>2</x:v>
      </x:c>
      <x:c r="E342" s="9" t="n">
        <x:v>119473.00000000745</x:v>
      </x:c>
      <x:c r="F342" s="9" t="n">
        <x:v>33332.00000000745</x:v>
      </x:c>
      <x:c r="G342" s="9" t="n">
        <x:v>37918</x:v>
      </x:c>
      <x:c r="H342" s="9" t="n">
        <x:v>44000</x:v>
      </x:c>
      <x:c r="I342" s="9" t="n">
        <x:v>4117</x:v>
      </x:c>
      <x:c r="J342" s="9" t="n">
        <x:v>106</x:v>
      </x:c>
      <x:c r="K342" s="9" t="n">
        <x:f>F342+G342+I342+J342</x:f>
        <x:v>75473.00000000745</x:v>
      </x:c>
      <x:c r="L342" s="10" t="n">
        <x:f>K342/Sources!$B$4*1000</x:f>
        <x:v>21.084523312322503</x:v>
      </x:c>
      <x:c r="M342" s="10" t="n">
        <x:f>E342/Sources!$B$4*1000</x:f>
        <x:v>33.37658836528314</x:v>
      </x:c>
      <x:c r="N342" s="9" t="n">
        <x:f>Sources!$B$6-K342</x:f>
        <x:v>-15737.00000000745</x:v>
      </x:c>
      <x:c r="O342" s="1" t="str">
        <x:v>keyboard_route</x:v>
      </x:c>
      <x:c r="P342" s="12" t="n">
        <x:v>0</x:v>
      </x:c>
      <x:c r="Q342" s="12" t="n">
        <x:v>-4</x:v>
      </x:c>
      <x:c r="R342" s="12" t="n">
        <x:v>0</x:v>
      </x:c>
      <x:c r="S342" s="12" t="n">
        <x:v>7</x:v>
      </x:c>
      <x:c r="T342" s="1" t="str">
        <x:v>Yes</x:v>
      </x:c>
      <x:c r="U342" s="1" t="n">
        <x:v>0</x:v>
      </x:c>
    </x:row>
    <x:row r="343" ht="23" customHeight="1">
      <x:c r="A343" s="9" t="n">
        <x:v>342</x:v>
      </x:c>
      <x:c r="B343" s="9" t="n">
        <x:v>0</x:v>
      </x:c>
      <x:c r="C343" s="9" t="n">
        <x:v>187</x:v>
      </x:c>
      <x:c r="D343" s="9" t="n">
        <x:v>2</x:v>
      </x:c>
      <x:c r="E343" s="9" t="n">
        <x:v>119472.9999999851</x:v>
      </x:c>
      <x:c r="F343" s="9" t="n">
        <x:v>37462</x:v>
      </x:c>
      <x:c r="G343" s="9" t="n">
        <x:v>26018</x:v>
      </x:c>
      <x:c r="H343" s="9" t="n">
        <x:v>51770</x:v>
      </x:c>
      <x:c r="I343" s="9" t="n">
        <x:v>4117.000000007451</x:v>
      </x:c>
      <x:c r="J343" s="9" t="n">
        <x:v>105.99999997764826</x:v>
      </x:c>
      <x:c r="K343" s="9" t="n">
        <x:f>F343+G343+I343+J343</x:f>
        <x:v>67702.9999999851</x:v>
      </x:c>
      <x:c r="L343" s="10" t="n">
        <x:f>K343/Sources!$B$4*1000</x:f>
        <x:v>18.913856370009345</x:v>
      </x:c>
      <x:c r="M343" s="10" t="n">
        <x:f>E343/Sources!$B$4*1000</x:f>
        <x:v>33.376588365276895</x:v>
      </x:c>
      <x:c r="N343" s="9" t="n">
        <x:f>Sources!$B$6-K343</x:f>
        <x:v>-7966.999999985099</x:v>
      </x:c>
      <x:c r="O343" s="1" t="str">
        <x:v>keyboard_route</x:v>
      </x:c>
      <x:c r="P343" s="12" t="n">
        <x:v>0</x:v>
      </x:c>
      <x:c r="Q343" s="12" t="n">
        <x:v>-4</x:v>
      </x:c>
      <x:c r="R343" s="12" t="n">
        <x:v>0</x:v>
      </x:c>
      <x:c r="S343" s="12" t="n">
        <x:v>3</x:v>
      </x:c>
      <x:c r="T343" s="1" t="str">
        <x:v>No</x:v>
      </x:c>
      <x:c r="U343" s="1" t="n">
        <x:v>0</x:v>
      </x:c>
    </x:row>
    <x:row r="344" ht="23" customHeight="1">
      <x:c r="A344" s="9" t="n">
        <x:v>343</x:v>
      </x:c>
      <x:c r="B344" s="9" t="n">
        <x:v>0</x:v>
      </x:c>
      <x:c r="C344" s="9" t="n">
        <x:v>183</x:v>
      </x:c>
      <x:c r="D344" s="9" t="n">
        <x:v>2</x:v>
      </x:c>
      <x:c r="E344" s="9" t="n">
        <x:v>119473.00000000745</x:v>
      </x:c>
      <x:c r="F344" s="9" t="n">
        <x:v>36218</x:v>
      </x:c>
      <x:c r="G344" s="9" t="n">
        <x:v>37912.00000000745</x:v>
      </x:c>
      <x:c r="H344" s="9" t="n">
        <x:v>41120</x:v>
      </x:c>
      <x:c r="I344" s="9" t="n">
        <x:v>4117</x:v>
      </x:c>
      <x:c r="J344" s="9" t="n">
        <x:v>106</x:v>
      </x:c>
      <x:c r="K344" s="9" t="n">
        <x:f>F344+G344+I344+J344</x:f>
        <x:v>78353.00000000745</x:v>
      </x:c>
      <x:c r="L344" s="10" t="n">
        <x:f>K344/Sources!$B$4*1000</x:f>
        <x:v>21.889094843061745</x:v>
      </x:c>
      <x:c r="M344" s="10" t="n">
        <x:f>E344/Sources!$B$4*1000</x:f>
        <x:v>33.37658836528314</x:v>
      </x:c>
      <x:c r="N344" s="9" t="n">
        <x:f>Sources!$B$6-K344</x:f>
        <x:v>-18617.00000000745</x:v>
      </x:c>
      <x:c r="O344" s="1" t="str">
        <x:v>keyboard_route</x:v>
      </x:c>
      <x:c r="P344" s="12" t="n">
        <x:v>0</x:v>
      </x:c>
      <x:c r="Q344" s="12" t="n">
        <x:v>-4</x:v>
      </x:c>
      <x:c r="R344" s="12" t="n">
        <x:v>0</x:v>
      </x:c>
      <x:c r="S344" s="12" t="n">
        <x:v>7</x:v>
      </x:c>
      <x:c r="T344" s="1" t="str">
        <x:v>Yes</x:v>
      </x:c>
      <x:c r="U344" s="1" t="n">
        <x:v>0</x:v>
      </x:c>
    </x:row>
    <x:row r="345" ht="23" customHeight="1">
      <x:c r="A345" s="9" t="n">
        <x:v>344</x:v>
      </x:c>
      <x:c r="B345" s="9" t="n">
        <x:v>0</x:v>
      </x:c>
      <x:c r="C345" s="9" t="n">
        <x:v>179</x:v>
      </x:c>
      <x:c r="D345" s="9" t="n">
        <x:v>2</x:v>
      </x:c>
      <x:c r="E345" s="9" t="n">
        <x:v>119472.99999999255</x:v>
      </x:c>
      <x:c r="F345" s="9" t="n">
        <x:v>34587</x:v>
      </x:c>
      <x:c r="G345" s="9" t="n">
        <x:v>26018.00000000745</x:v>
      </x:c>
      <x:c r="H345" s="9" t="n">
        <x:v>54644.99999999255</x:v>
      </x:c>
      <x:c r="I345" s="9" t="n">
        <x:v>4117</x:v>
      </x:c>
      <x:c r="J345" s="9" t="n">
        <x:v>105.99999999254942</x:v>
      </x:c>
      <x:c r="K345" s="9" t="n">
        <x:f>F345+G345+I345+J345</x:f>
        <x:v>64828</x:v>
      </x:c>
      <x:c r="L345" s="10" t="n">
        <x:f>K345/Sources!$B$4*1000</x:f>
        <x:v>18.110681664848464</x:v>
      </x:c>
      <x:c r="M345" s="10" t="n">
        <x:f>E345/Sources!$B$4*1000</x:f>
        <x:v>33.37658836527898</x:v>
      </x:c>
      <x:c r="N345" s="9" t="n">
        <x:f>Sources!$B$6-K345</x:f>
        <x:v>-5092</x:v>
      </x:c>
      <x:c r="O345" s="1" t="str">
        <x:v>keyboard_route</x:v>
      </x:c>
      <x:c r="P345" s="12" t="n">
        <x:v>0</x:v>
      </x:c>
      <x:c r="Q345" s="12" t="n">
        <x:v>-4</x:v>
      </x:c>
      <x:c r="R345" s="12" t="n">
        <x:v>0</x:v>
      </x:c>
      <x:c r="S345" s="12" t="n">
        <x:v>3</x:v>
      </x:c>
      <x:c r="T345" s="1" t="str">
        <x:v>No</x:v>
      </x:c>
      <x:c r="U345" s="1" t="n">
        <x:v>0</x:v>
      </x:c>
    </x:row>
    <x:row r="346" ht="23" customHeight="1">
      <x:c r="A346" s="9" t="n">
        <x:v>345</x:v>
      </x:c>
      <x:c r="B346" s="9" t="n">
        <x:v>0</x:v>
      </x:c>
      <x:c r="C346" s="9" t="n">
        <x:v>175</x:v>
      </x:c>
      <x:c r="D346" s="9" t="n">
        <x:v>2</x:v>
      </x:c>
      <x:c r="E346" s="9" t="n">
        <x:v>119471.00000000745</x:v>
      </x:c>
      <x:c r="F346" s="9" t="n">
        <x:v>32601</x:v>
      </x:c>
      <x:c r="G346" s="9" t="n">
        <x:v>37912.00000000745</x:v>
      </x:c>
      <x:c r="H346" s="9" t="n">
        <x:v>44735.00000000745</x:v>
      </x:c>
      <x:c r="I346" s="9" t="n">
        <x:v>4116.999999992549</x:v>
      </x:c>
      <x:c r="J346" s="9" t="n">
        <x:v>106</x:v>
      </x:c>
      <x:c r="K346" s="9" t="n">
        <x:f>F346+G346+I346+J346</x:f>
        <x:v>74736</x:v>
      </x:c>
      <x:c r="L346" s="10" t="n">
        <x:f>K346/Sources!$B$4*1000</x:f>
        <x:v>20.878631222683328</x:v>
      </x:c>
      <x:c r="M346" s="10" t="n">
        <x:f>E346/Sources!$B$4*1000</x:f>
        <x:v>33.37602963505346</x:v>
      </x:c>
      <x:c r="N346" s="9" t="n">
        <x:f>Sources!$B$6-K346</x:f>
        <x:v>-15000</x:v>
      </x:c>
      <x:c r="O346" s="1" t="str">
        <x:v>keyboard_route</x:v>
      </x:c>
      <x:c r="P346" s="12" t="n">
        <x:v>0</x:v>
      </x:c>
      <x:c r="Q346" s="12" t="n">
        <x:v>-4</x:v>
      </x:c>
      <x:c r="R346" s="12" t="n">
        <x:v>0</x:v>
      </x:c>
      <x:c r="S346" s="12" t="n">
        <x:v>7</x:v>
      </x:c>
      <x:c r="T346" s="1" t="str">
        <x:v>Yes</x:v>
      </x:c>
      <x:c r="U346" s="1" t="n">
        <x:v>0</x:v>
      </x:c>
    </x:row>
    <x:row r="347" ht="23" customHeight="1">
      <x:c r="A347" s="9" t="n">
        <x:v>346</x:v>
      </x:c>
      <x:c r="B347" s="9" t="n">
        <x:v>0</x:v>
      </x:c>
      <x:c r="C347" s="9" t="n">
        <x:v>171</x:v>
      </x:c>
      <x:c r="D347" s="9" t="n">
        <x:v>2</x:v>
      </x:c>
      <x:c r="E347" s="9" t="n">
        <x:v>119470</x:v>
      </x:c>
      <x:c r="F347" s="9" t="n">
        <x:v>37583</x:v>
      </x:c>
      <x:c r="G347" s="9" t="n">
        <x:v>26024</x:v>
      </x:c>
      <x:c r="H347" s="9" t="n">
        <x:v>51640.00000000745</x:v>
      </x:c>
      <x:c r="I347" s="9" t="n">
        <x:v>4116.999999992549</x:v>
      </x:c>
      <x:c r="J347" s="9" t="n">
        <x:v>106</x:v>
      </x:c>
      <x:c r="K347" s="9" t="n">
        <x:f>F347+G347+I347+J347</x:f>
        <x:v>67829.99999999255</x:v>
      </x:c>
      <x:c r="L347" s="10" t="n">
        <x:f>K347/Sources!$B$4*1000</x:f>
        <x:v>18.94933573959611</x:v>
      </x:c>
      <x:c r="M347" s="10" t="n">
        <x:f>E347/Sources!$B$4*1000</x:f>
        <x:v>33.37575026993654</x:v>
      </x:c>
      <x:c r="N347" s="9" t="n">
        <x:f>Sources!$B$6-K347</x:f>
        <x:v>-8093.999999992549</x:v>
      </x:c>
      <x:c r="O347" s="1" t="str">
        <x:v>keyboard_route</x:v>
      </x:c>
      <x:c r="P347" s="12" t="n">
        <x:v>0</x:v>
      </x:c>
      <x:c r="Q347" s="12" t="n">
        <x:v>-4</x:v>
      </x:c>
      <x:c r="R347" s="12" t="n">
        <x:v>0</x:v>
      </x:c>
      <x:c r="S347" s="12" t="n">
        <x:v>3</x:v>
      </x:c>
      <x:c r="T347" s="1" t="str">
        <x:v>No</x:v>
      </x:c>
      <x:c r="U347" s="1" t="n">
        <x:v>0</x:v>
      </x:c>
    </x:row>
    <x:row r="348" ht="23" customHeight="1">
      <x:c r="A348" s="9" t="n">
        <x:v>347</x:v>
      </x:c>
      <x:c r="B348" s="9" t="n">
        <x:v>0</x:v>
      </x:c>
      <x:c r="C348" s="9" t="n">
        <x:v>167</x:v>
      </x:c>
      <x:c r="D348" s="9" t="n">
        <x:v>2</x:v>
      </x:c>
      <x:c r="E348" s="9" t="n">
        <x:v>119475</x:v>
      </x:c>
      <x:c r="F348" s="9" t="n">
        <x:v>34361</x:v>
      </x:c>
      <x:c r="G348" s="9" t="n">
        <x:v>38980.99999999255</x:v>
      </x:c>
      <x:c r="H348" s="9" t="n">
        <x:v>41910</x:v>
      </x:c>
      <x:c r="I348" s="9" t="n">
        <x:v>4117</x:v>
      </x:c>
      <x:c r="J348" s="9" t="n">
        <x:v>106.00000000745058</x:v>
      </x:c>
      <x:c r="K348" s="9" t="n">
        <x:f>F348+G348+I348+J348</x:f>
        <x:v>77565</x:v>
      </x:c>
      <x:c r="L348" s="10" t="n">
        <x:f>K348/Sources!$B$4*1000</x:f>
        <x:v>21.668955132565728</x:v>
      </x:c>
      <x:c r="M348" s="10" t="n">
        <x:f>E348/Sources!$B$4*1000</x:f>
        <x:v>33.37714709551074</x:v>
      </x:c>
      <x:c r="N348" s="9" t="n">
        <x:f>Sources!$B$6-K348</x:f>
        <x:v>-17829</x:v>
      </x:c>
      <x:c r="O348" s="1" t="str">
        <x:v>keyboard_route</x:v>
      </x:c>
      <x:c r="P348" s="12" t="n">
        <x:v>0</x:v>
      </x:c>
      <x:c r="Q348" s="12" t="n">
        <x:v>-4</x:v>
      </x:c>
      <x:c r="R348" s="12" t="n">
        <x:v>0</x:v>
      </x:c>
      <x:c r="S348" s="12" t="n">
        <x:v>7</x:v>
      </x:c>
      <x:c r="T348" s="1" t="str">
        <x:v>Yes</x:v>
      </x:c>
      <x:c r="U348" s="1" t="n">
        <x:v>0</x:v>
      </x:c>
    </x:row>
    <x:row r="349" ht="23" customHeight="1">
      <x:c r="A349" s="9" t="n">
        <x:v>348</x:v>
      </x:c>
      <x:c r="B349" s="9" t="n">
        <x:v>0</x:v>
      </x:c>
      <x:c r="C349" s="9" t="n">
        <x:v>163</x:v>
      </x:c>
      <x:c r="D349" s="9" t="n">
        <x:v>2</x:v>
      </x:c>
      <x:c r="E349" s="9" t="n">
        <x:v>119471.99999999255</x:v>
      </x:c>
      <x:c r="F349" s="9" t="n">
        <x:v>35935.00000000745</x:v>
      </x:c>
      <x:c r="G349" s="9" t="n">
        <x:v>26024</x:v>
      </x:c>
      <x:c r="H349" s="9" t="n">
        <x:v>53290</x:v>
      </x:c>
      <x:c r="I349" s="9" t="n">
        <x:v>4117</x:v>
      </x:c>
      <x:c r="J349" s="9" t="n">
        <x:v>105.99999998509884</x:v>
      </x:c>
      <x:c r="K349" s="9" t="n">
        <x:f>F349+G349+I349+J349</x:f>
        <x:v>66181.99999999255</x:v>
      </x:c>
      <x:c r="L349" s="10" t="n">
        <x:f>K349/Sources!$B$4*1000</x:f>
        <x:v>18.488942030339764</x:v>
      </x:c>
      <x:c r="M349" s="10" t="n">
        <x:f>E349/Sources!$B$4*1000</x:f>
        <x:v>33.37630900016414</x:v>
      </x:c>
      <x:c r="N349" s="9" t="n">
        <x:f>Sources!$B$6-K349</x:f>
        <x:v>-6445.999999992549</x:v>
      </x:c>
      <x:c r="O349" s="1" t="str">
        <x:v>keyboard_route</x:v>
      </x:c>
      <x:c r="P349" s="12" t="n">
        <x:v>0</x:v>
      </x:c>
      <x:c r="Q349" s="12" t="n">
        <x:v>-4</x:v>
      </x:c>
      <x:c r="R349" s="12" t="n">
        <x:v>0</x:v>
      </x:c>
      <x:c r="S349" s="12" t="n">
        <x:v>3</x:v>
      </x:c>
      <x:c r="T349" s="1" t="str">
        <x:v>No</x:v>
      </x:c>
      <x:c r="U349" s="1" t="n">
        <x:v>0</x:v>
      </x:c>
    </x:row>
    <x:row r="350" ht="23" customHeight="1">
      <x:c r="A350" s="9" t="n">
        <x:v>349</x:v>
      </x:c>
      <x:c r="B350" s="9" t="n">
        <x:v>0</x:v>
      </x:c>
      <x:c r="C350" s="9" t="n">
        <x:v>159</x:v>
      </x:c>
      <x:c r="D350" s="9" t="n">
        <x:v>2</x:v>
      </x:c>
      <x:c r="E350" s="9" t="n">
        <x:v>119471</x:v>
      </x:c>
      <x:c r="F350" s="9" t="n">
        <x:v>36406.99999999255</x:v>
      </x:c>
      <x:c r="G350" s="9" t="n">
        <x:v>38085.99999999255</x:v>
      </x:c>
      <x:c r="H350" s="9" t="n">
        <x:v>40754.99999999255</x:v>
      </x:c>
      <x:c r="I350" s="9" t="n">
        <x:v>4117</x:v>
      </x:c>
      <x:c r="J350" s="9" t="n">
        <x:v>106.00000002235174</x:v>
      </x:c>
      <x:c r="K350" s="9" t="n">
        <x:f>F350+G350+I350+J350</x:f>
        <x:v>78716.00000000745</x:v>
      </x:c>
      <x:c r="L350" s="10" t="n">
        <x:f>K350/Sources!$B$4*1000</x:f>
        <x:v>21.99050437974867</x:v>
      </x:c>
      <x:c r="M350" s="10" t="n">
        <x:f>E350/Sources!$B$4*1000</x:f>
        <x:v>33.37602963505138</x:v>
      </x:c>
      <x:c r="N350" s="9" t="n">
        <x:f>Sources!$B$6-K350</x:f>
        <x:v>-18980.00000000745</x:v>
      </x:c>
      <x:c r="O350" s="1" t="str">
        <x:v>keyboard_route</x:v>
      </x:c>
      <x:c r="P350" s="12" t="n">
        <x:v>0</x:v>
      </x:c>
      <x:c r="Q350" s="12" t="n">
        <x:v>-4</x:v>
      </x:c>
      <x:c r="R350" s="12" t="n">
        <x:v>0</x:v>
      </x:c>
      <x:c r="S350" s="12" t="n">
        <x:v>7</x:v>
      </x:c>
      <x:c r="T350" s="1" t="str">
        <x:v>Yes</x:v>
      </x:c>
      <x:c r="U350" s="1" t="n">
        <x:v>0</x:v>
      </x:c>
    </x:row>
    <x:row r="351" ht="23" customHeight="1">
      <x:c r="A351" s="9" t="n">
        <x:v>350</x:v>
      </x:c>
      <x:c r="B351" s="9" t="n">
        <x:v>0</x:v>
      </x:c>
      <x:c r="C351" s="9" t="n">
        <x:v>155</x:v>
      </x:c>
      <x:c r="D351" s="9" t="n">
        <x:v>2</x:v>
      </x:c>
      <x:c r="E351" s="9" t="n">
        <x:v>119469</x:v>
      </x:c>
      <x:c r="F351" s="9" t="n">
        <x:v>36522.99999999255</x:v>
      </x:c>
      <x:c r="G351" s="9" t="n">
        <x:v>26018</x:v>
      </x:c>
      <x:c r="H351" s="9" t="n">
        <x:v>52704.99999999255</x:v>
      </x:c>
      <x:c r="I351" s="9" t="n">
        <x:v>4117</x:v>
      </x:c>
      <x:c r="J351" s="9" t="n">
        <x:v>106.00000001490116</x:v>
      </x:c>
      <x:c r="K351" s="9" t="n">
        <x:f>F351+G351+I351+J351</x:f>
        <x:v>66764.00000000745</x:v>
      </x:c>
      <x:c r="L351" s="10" t="n">
        <x:f>K351/Sources!$B$4*1000</x:f>
        <x:v>18.651532527180816</x:v>
      </x:c>
      <x:c r="M351" s="10" t="n">
        <x:f>E351/Sources!$B$4*1000</x:f>
        <x:v>33.375470904821704</x:v>
      </x:c>
      <x:c r="N351" s="9" t="n">
        <x:f>Sources!$B$6-K351</x:f>
        <x:v>-7028.000000007451</x:v>
      </x:c>
      <x:c r="O351" s="1" t="str">
        <x:v>keyboard_route</x:v>
      </x:c>
      <x:c r="P351" s="12" t="n">
        <x:v>0</x:v>
      </x:c>
      <x:c r="Q351" s="12" t="n">
        <x:v>-4</x:v>
      </x:c>
      <x:c r="R351" s="12" t="n">
        <x:v>0</x:v>
      </x:c>
      <x:c r="S351" s="12" t="n">
        <x:v>3</x:v>
      </x:c>
      <x:c r="T351" s="1" t="str">
        <x:v>No</x:v>
      </x:c>
      <x:c r="U351" s="1" t="n">
        <x:v>0</x:v>
      </x:c>
    </x:row>
    <x:row r="352" ht="23" customHeight="1">
      <x:c r="A352" s="9" t="n">
        <x:v>351</x:v>
      </x:c>
      <x:c r="B352" s="9" t="n">
        <x:v>0</x:v>
      </x:c>
      <x:c r="C352" s="9" t="n">
        <x:v>151</x:v>
      </x:c>
      <x:c r="D352" s="9" t="n">
        <x:v>2</x:v>
      </x:c>
      <x:c r="E352" s="9" t="n">
        <x:v>119474</x:v>
      </x:c>
      <x:c r="F352" s="9" t="n">
        <x:v>33529.99999999255</x:v>
      </x:c>
      <x:c r="G352" s="9" t="n">
        <x:v>38085.99999999255</x:v>
      </x:c>
      <x:c r="H352" s="9" t="n">
        <x:v>43635</x:v>
      </x:c>
      <x:c r="I352" s="9" t="n">
        <x:v>4116.999999992549</x:v>
      </x:c>
      <x:c r="J352" s="9" t="n">
        <x:v>106.00000002235174</x:v>
      </x:c>
      <x:c r="K352" s="9" t="n">
        <x:f>F352+G352+I352+J352</x:f>
        <x:v>75839</x:v>
      </x:c>
      <x:c r="L352" s="10" t="n">
        <x:f>K352/Sources!$B$4*1000</x:f>
        <x:v>21.186770944351863</x:v>
      </x:c>
      <x:c r="M352" s="10" t="n">
        <x:f>E352/Sources!$B$4*1000</x:f>
        <x:v>33.3768677303959</x:v>
      </x:c>
      <x:c r="N352" s="9" t="n">
        <x:f>Sources!$B$6-K352</x:f>
        <x:v>-16103</x:v>
      </x:c>
      <x:c r="O352" s="1" t="str">
        <x:v>keyboard_route</x:v>
      </x:c>
      <x:c r="P352" s="12" t="n">
        <x:v>0</x:v>
      </x:c>
      <x:c r="Q352" s="12" t="n">
        <x:v>-4</x:v>
      </x:c>
      <x:c r="R352" s="12" t="n">
        <x:v>0</x:v>
      </x:c>
      <x:c r="S352" s="12" t="n">
        <x:v>7</x:v>
      </x:c>
      <x:c r="T352" s="1" t="str">
        <x:v>Yes</x:v>
      </x:c>
      <x:c r="U352" s="1" t="n">
        <x:v>0</x:v>
      </x:c>
    </x:row>
    <x:row r="353" ht="23" customHeight="1">
      <x:c r="A353" s="9" t="n">
        <x:v>352</x:v>
      </x:c>
      <x:c r="B353" s="9" t="n">
        <x:v>0</x:v>
      </x:c>
      <x:c r="C353" s="9" t="n">
        <x:v>147</x:v>
      </x:c>
      <x:c r="D353" s="9" t="n">
        <x:v>2</x:v>
      </x:c>
      <x:c r="E353" s="9" t="n">
        <x:v>119471</x:v>
      </x:c>
      <x:c r="F353" s="9" t="n">
        <x:v>39071</x:v>
      </x:c>
      <x:c r="G353" s="9" t="n">
        <x:v>26012</x:v>
      </x:c>
      <x:c r="H353" s="9" t="n">
        <x:v>50165</x:v>
      </x:c>
      <x:c r="I353" s="9" t="n">
        <x:v>4117</x:v>
      </x:c>
      <x:c r="J353" s="9" t="n">
        <x:v>106</x:v>
      </x:c>
      <x:c r="K353" s="9" t="n">
        <x:f>F353+G353+I353+J353</x:f>
        <x:v>69306</x:v>
      </x:c>
      <x:c r="L353" s="10" t="n">
        <x:f>K353/Sources!$B$4*1000</x:f>
        <x:v>19.36167864910205</x:v>
      </x:c>
      <x:c r="M353" s="10" t="n">
        <x:f>E353/Sources!$B$4*1000</x:f>
        <x:v>33.37602963505138</x:v>
      </x:c>
      <x:c r="N353" s="9" t="n">
        <x:f>Sources!$B$6-K353</x:f>
        <x:v>-9570</x:v>
      </x:c>
      <x:c r="O353" s="1" t="str">
        <x:v>keyboard_route</x:v>
      </x:c>
      <x:c r="P353" s="12" t="n">
        <x:v>0</x:v>
      </x:c>
      <x:c r="Q353" s="12" t="n">
        <x:v>-4</x:v>
      </x:c>
      <x:c r="R353" s="12" t="n">
        <x:v>0</x:v>
      </x:c>
      <x:c r="S353" s="12" t="n">
        <x:v>3</x:v>
      </x:c>
      <x:c r="T353" s="1" t="str">
        <x:v>No</x:v>
      </x:c>
      <x:c r="U353" s="1" t="n">
        <x:v>0</x:v>
      </x:c>
    </x:row>
    <x:row r="354" ht="23" customHeight="1">
      <x:c r="A354" s="9" t="n">
        <x:v>353</x:v>
      </x:c>
      <x:c r="B354" s="9" t="n">
        <x:v>0</x:v>
      </x:c>
      <x:c r="C354" s="9" t="n">
        <x:v>143</x:v>
      </x:c>
      <x:c r="D354" s="9" t="n">
        <x:v>2</x:v>
      </x:c>
      <x:c r="E354" s="9" t="n">
        <x:v>119473.00000000745</x:v>
      </x:c>
      <x:c r="F354" s="9" t="n">
        <x:v>34459.99999999255</x:v>
      </x:c>
      <x:c r="G354" s="9" t="n">
        <x:v>38080</x:v>
      </x:c>
      <x:c r="H354" s="9" t="n">
        <x:v>42710.00000000745</x:v>
      </x:c>
      <x:c r="I354" s="9" t="n">
        <x:v>4117</x:v>
      </x:c>
      <x:c r="J354" s="9" t="n">
        <x:v>106.00000000745058</x:v>
      </x:c>
      <x:c r="K354" s="9" t="n">
        <x:f>F354+G354+I354+J354</x:f>
        <x:v>76763</x:v>
      </x:c>
      <x:c r="L354" s="10" t="n">
        <x:f>K354/Sources!$B$4*1000</x:f>
        <x:v>21.44490431046404</x:v>
      </x:c>
      <x:c r="M354" s="10" t="n">
        <x:f>E354/Sources!$B$4*1000</x:f>
        <x:v>33.37658836528314</x:v>
      </x:c>
      <x:c r="N354" s="9" t="n">
        <x:f>Sources!$B$6-K354</x:f>
        <x:v>-17027</x:v>
      </x:c>
      <x:c r="O354" s="1" t="str">
        <x:v>keyboard_route</x:v>
      </x:c>
      <x:c r="P354" s="12" t="n">
        <x:v>0</x:v>
      </x:c>
      <x:c r="Q354" s="12" t="n">
        <x:v>-4</x:v>
      </x:c>
      <x:c r="R354" s="12" t="n">
        <x:v>0</x:v>
      </x:c>
      <x:c r="S354" s="12" t="n">
        <x:v>7</x:v>
      </x:c>
      <x:c r="T354" s="1" t="str">
        <x:v>Yes</x:v>
      </x:c>
      <x:c r="U354" s="1" t="n">
        <x:v>0</x:v>
      </x:c>
    </x:row>
    <x:row r="355" ht="23" customHeight="1">
      <x:c r="A355" s="9" t="n">
        <x:v>354</x:v>
      </x:c>
      <x:c r="B355" s="9" t="n">
        <x:v>0</x:v>
      </x:c>
      <x:c r="C355" s="9" t="n">
        <x:v>139</x:v>
      </x:c>
      <x:c r="D355" s="9" t="n">
        <x:v>2</x:v>
      </x:c>
      <x:c r="E355" s="9" t="n">
        <x:v>119471.99999999255</x:v>
      </x:c>
      <x:c r="F355" s="9" t="n">
        <x:v>36226.99999999255</x:v>
      </x:c>
      <x:c r="G355" s="9" t="n">
        <x:v>26012</x:v>
      </x:c>
      <x:c r="H355" s="9" t="n">
        <x:v>53010</x:v>
      </x:c>
      <x:c r="I355" s="9" t="n">
        <x:v>4117</x:v>
      </x:c>
      <x:c r="J355" s="9" t="n">
        <x:v>106</x:v>
      </x:c>
      <x:c r="K355" s="9" t="n">
        <x:f>F355+G355+I355+J355</x:f>
        <x:v>66461.99999999255</x:v>
      </x:c>
      <x:c r="L355" s="10" t="n">
        <x:f>K355/Sources!$B$4*1000</x:f>
        <x:v>18.567164262494966</x:v>
      </x:c>
      <x:c r="M355" s="10" t="n">
        <x:f>E355/Sources!$B$4*1000</x:f>
        <x:v>33.37630900016414</x:v>
      </x:c>
      <x:c r="N355" s="9" t="n">
        <x:f>Sources!$B$6-K355</x:f>
        <x:v>-6725.999999992549</x:v>
      </x:c>
      <x:c r="O355" s="1" t="str">
        <x:v>keyboard_route</x:v>
      </x:c>
      <x:c r="P355" s="12" t="n">
        <x:v>0</x:v>
      </x:c>
      <x:c r="Q355" s="12" t="n">
        <x:v>-4</x:v>
      </x:c>
      <x:c r="R355" s="12" t="n">
        <x:v>0</x:v>
      </x:c>
      <x:c r="S355" s="12" t="n">
        <x:v>3</x:v>
      </x:c>
      <x:c r="T355" s="1" t="str">
        <x:v>No</x:v>
      </x:c>
      <x:c r="U355" s="1" t="n">
        <x:v>0</x:v>
      </x:c>
    </x:row>
    <x:row r="356" ht="23" customHeight="1">
      <x:c r="A356" s="9" t="n">
        <x:v>355</x:v>
      </x:c>
      <x:c r="B356" s="9" t="n">
        <x:v>0</x:v>
      </x:c>
      <x:c r="C356" s="9" t="n">
        <x:v>135</x:v>
      </x:c>
      <x:c r="D356" s="9" t="n">
        <x:v>2</x:v>
      </x:c>
      <x:c r="E356" s="9" t="n">
        <x:v>119472.00000000745</x:v>
      </x:c>
      <x:c r="F356" s="9" t="n">
        <x:v>35043.99999999255</x:v>
      </x:c>
      <x:c r="G356" s="9" t="n">
        <x:v>38080</x:v>
      </x:c>
      <x:c r="H356" s="9" t="n">
        <x:v>42125.00000000745</x:v>
      </x:c>
      <x:c r="I356" s="9" t="n">
        <x:v>4117</x:v>
      </x:c>
      <x:c r="J356" s="9" t="n">
        <x:v>106.00000000745058</x:v>
      </x:c>
      <x:c r="K356" s="9" t="n">
        <x:f>F356+G356+I356+J356</x:f>
        <x:v>77347</x:v>
      </x:c>
      <x:c r="L356" s="10" t="n">
        <x:f>K356/Sources!$B$4*1000</x:f>
        <x:v>21.60805353753061</x:v>
      </x:c>
      <x:c r="M356" s="10" t="n">
        <x:f>E356/Sources!$B$4*1000</x:f>
        <x:v>33.376309000168305</x:v>
      </x:c>
      <x:c r="N356" s="9" t="n">
        <x:f>Sources!$B$6-K356</x:f>
        <x:v>-17611</x:v>
      </x:c>
      <x:c r="O356" s="1" t="str">
        <x:v>keyboard_route</x:v>
      </x:c>
      <x:c r="P356" s="12" t="n">
        <x:v>0</x:v>
      </x:c>
      <x:c r="Q356" s="12" t="n">
        <x:v>-4</x:v>
      </x:c>
      <x:c r="R356" s="12" t="n">
        <x:v>0</x:v>
      </x:c>
      <x:c r="S356" s="12" t="n">
        <x:v>7</x:v>
      </x:c>
      <x:c r="T356" s="1" t="str">
        <x:v>Yes</x:v>
      </x:c>
      <x:c r="U356" s="1" t="n">
        <x:v>0</x:v>
      </x:c>
    </x:row>
    <x:row r="357" ht="23" customHeight="1">
      <x:c r="A357" s="9" t="n">
        <x:v>356</x:v>
      </x:c>
      <x:c r="B357" s="9" t="n">
        <x:v>0</x:v>
      </x:c>
      <x:c r="C357" s="9" t="n">
        <x:v>131</x:v>
      </x:c>
      <x:c r="D357" s="9" t="n">
        <x:v>2</x:v>
      </x:c>
      <x:c r="E357" s="9" t="n">
        <x:v>119474</x:v>
      </x:c>
      <x:c r="F357" s="9" t="n">
        <x:v>37884.00000000745</x:v>
      </x:c>
      <x:c r="G357" s="9" t="n">
        <x:v>26012.00000000745</x:v>
      </x:c>
      <x:c r="H357" s="9" t="n">
        <x:v>51355.00000000745</x:v>
      </x:c>
      <x:c r="I357" s="9" t="n">
        <x:v>4117</x:v>
      </x:c>
      <x:c r="J357" s="9" t="n">
        <x:v>105.99999997764826</x:v>
      </x:c>
      <x:c r="K357" s="9" t="n">
        <x:f>F357+G357+I357+J357</x:f>
        <x:v>68118.99999999255</x:v>
      </x:c>
      <x:c r="L357" s="10" t="n">
        <x:f>K357/Sources!$B$4*1000</x:f>
        <x:v>19.030072257784873</x:v>
      </x:c>
      <x:c r="M357" s="10" t="n">
        <x:f>E357/Sources!$B$4*1000</x:f>
        <x:v>33.3768677303959</x:v>
      </x:c>
      <x:c r="N357" s="9" t="n">
        <x:f>Sources!$B$6-K357</x:f>
        <x:v>-8382.99999999255</x:v>
      </x:c>
      <x:c r="O357" s="1" t="str">
        <x:v>keyboard_route</x:v>
      </x:c>
      <x:c r="P357" s="12" t="n">
        <x:v>0</x:v>
      </x:c>
      <x:c r="Q357" s="12" t="n">
        <x:v>-4</x:v>
      </x:c>
      <x:c r="R357" s="12" t="n">
        <x:v>0</x:v>
      </x:c>
      <x:c r="S357" s="12" t="n">
        <x:v>3</x:v>
      </x:c>
      <x:c r="T357" s="1" t="str">
        <x:v>No</x:v>
      </x:c>
      <x:c r="U357" s="1" t="n">
        <x:v>0</x:v>
      </x:c>
    </x:row>
    <x:row r="358" ht="23" customHeight="1">
      <x:c r="A358" s="9" t="n">
        <x:v>357</x:v>
      </x:c>
      <x:c r="B358" s="9" t="n">
        <x:v>0</x:v>
      </x:c>
      <x:c r="C358" s="9" t="n">
        <x:v>127</x:v>
      </x:c>
      <x:c r="D358" s="9" t="n">
        <x:v>2</x:v>
      </x:c>
      <x:c r="E358" s="9" t="n">
        <x:v>119471.99999999255</x:v>
      </x:c>
      <x:c r="F358" s="9" t="n">
        <x:v>33813</x:v>
      </x:c>
      <x:c r="G358" s="9" t="n">
        <x:v>38105.99999999255</x:v>
      </x:c>
      <x:c r="H358" s="9" t="n">
        <x:v>43330</x:v>
      </x:c>
      <x:c r="I358" s="9" t="n">
        <x:v>4117</x:v>
      </x:c>
      <x:c r="J358" s="9" t="n">
        <x:v>106</x:v>
      </x:c>
      <x:c r="K358" s="9" t="n">
        <x:f>F358+G358+I358+J358</x:f>
        <x:v>76141.99999999255</x:v>
      </x:c>
      <x:c r="L358" s="10" t="n">
        <x:f>K358/Sources!$B$4*1000</x:f>
        <x:v>21.27141857414631</x:v>
      </x:c>
      <x:c r="M358" s="10" t="n">
        <x:f>E358/Sources!$B$4*1000</x:f>
        <x:v>33.37630900016414</x:v>
      </x:c>
      <x:c r="N358" s="9" t="n">
        <x:f>Sources!$B$6-K358</x:f>
        <x:v>-16405.99999999255</x:v>
      </x:c>
      <x:c r="O358" s="1" t="str">
        <x:v>keyboard_route</x:v>
      </x:c>
      <x:c r="P358" s="12" t="n">
        <x:v>0</x:v>
      </x:c>
      <x:c r="Q358" s="12" t="n">
        <x:v>-4</x:v>
      </x:c>
      <x:c r="R358" s="12" t="n">
        <x:v>0</x:v>
      </x:c>
      <x:c r="S358" s="12" t="n">
        <x:v>7</x:v>
      </x:c>
      <x:c r="T358" s="1" t="str">
        <x:v>Yes</x:v>
      </x:c>
      <x:c r="U358" s="1" t="n">
        <x:v>0</x:v>
      </x:c>
    </x:row>
    <x:row r="359" ht="23" customHeight="1">
      <x:c r="A359" s="9" t="n">
        <x:v>358</x:v>
      </x:c>
      <x:c r="B359" s="9" t="n">
        <x:v>0</x:v>
      </x:c>
      <x:c r="C359" s="9" t="n">
        <x:v>123</x:v>
      </x:c>
      <x:c r="D359" s="9" t="n">
        <x:v>2</x:v>
      </x:c>
      <x:c r="E359" s="9" t="n">
        <x:v>119469.00000000745</x:v>
      </x:c>
      <x:c r="F359" s="9" t="n">
        <x:v>36167.99999999255</x:v>
      </x:c>
      <x:c r="G359" s="9" t="n">
        <x:v>26018</x:v>
      </x:c>
      <x:c r="H359" s="9" t="n">
        <x:v>53060.00000000745</x:v>
      </x:c>
      <x:c r="I359" s="9" t="n">
        <x:v>4117.000000014901</x:v>
      </x:c>
      <x:c r="J359" s="9" t="n">
        <x:v>105.99999999254942</x:v>
      </x:c>
      <x:c r="K359" s="9" t="n">
        <x:f>F359+G359+I359+J359</x:f>
        <x:v>66409</x:v>
      </x:c>
      <x:c r="L359" s="10" t="n">
        <x:f>K359/Sources!$B$4*1000</x:f>
        <x:v>18.552357911410528</x:v>
      </x:c>
      <x:c r="M359" s="10" t="n">
        <x:f>E359/Sources!$B$4*1000</x:f>
        <x:v>33.375470904823786</x:v>
      </x:c>
      <x:c r="N359" s="9" t="n">
        <x:f>Sources!$B$6-K359</x:f>
        <x:v>-6673</x:v>
      </x:c>
      <x:c r="O359" s="1" t="str">
        <x:v>keyboard_route</x:v>
      </x:c>
      <x:c r="P359" s="12" t="n">
        <x:v>0</x:v>
      </x:c>
      <x:c r="Q359" s="12" t="n">
        <x:v>-4</x:v>
      </x:c>
      <x:c r="R359" s="12" t="n">
        <x:v>0</x:v>
      </x:c>
      <x:c r="S359" s="12" t="n">
        <x:v>3</x:v>
      </x:c>
      <x:c r="T359" s="1" t="str">
        <x:v>No</x:v>
      </x:c>
      <x:c r="U359" s="1" t="n">
        <x:v>0</x:v>
      </x:c>
    </x:row>
    <x:row r="360" ht="23" customHeight="1">
      <x:c r="A360" s="9" t="n">
        <x:v>359</x:v>
      </x:c>
      <x:c r="B360" s="9" t="n">
        <x:v>0</x:v>
      </x:c>
      <x:c r="C360" s="9" t="n">
        <x:v>119</x:v>
      </x:c>
      <x:c r="D360" s="9" t="n">
        <x:v>2</x:v>
      </x:c>
      <x:c r="E360" s="9" t="n">
        <x:v>119474</x:v>
      </x:c>
      <x:c r="F360" s="9" t="n">
        <x:v>34748</x:v>
      </x:c>
      <x:c r="G360" s="9" t="n">
        <x:v>38118</x:v>
      </x:c>
      <x:c r="H360" s="9" t="n">
        <x:v>42385.00000000745</x:v>
      </x:c>
      <x:c r="I360" s="9" t="n">
        <x:v>4117</x:v>
      </x:c>
      <x:c r="J360" s="9" t="n">
        <x:v>105.99999999254942</x:v>
      </x:c>
      <x:c r="K360" s="9" t="n">
        <x:f>F360+G360+I360+J360</x:f>
        <x:v>77088.99999999255</x:v>
      </x:c>
      <x:c r="L360" s="10" t="n">
        <x:f>K360/Sources!$B$4*1000</x:f>
        <x:v>21.5359773378998</x:v>
      </x:c>
      <x:c r="M360" s="10" t="n">
        <x:f>E360/Sources!$B$4*1000</x:f>
        <x:v>33.3768677303959</x:v>
      </x:c>
      <x:c r="N360" s="9" t="n">
        <x:f>Sources!$B$6-K360</x:f>
        <x:v>-17352.99999999255</x:v>
      </x:c>
      <x:c r="O360" s="1" t="str">
        <x:v>keyboard_route</x:v>
      </x:c>
      <x:c r="P360" s="12" t="n">
        <x:v>0</x:v>
      </x:c>
      <x:c r="Q360" s="12" t="n">
        <x:v>-4</x:v>
      </x:c>
      <x:c r="R360" s="12" t="n">
        <x:v>0</x:v>
      </x:c>
      <x:c r="S360" s="12" t="n">
        <x:v>7</x:v>
      </x:c>
      <x:c r="T360" s="1" t="str">
        <x:v>Yes</x:v>
      </x:c>
      <x:c r="U360" s="1" t="n">
        <x:v>0</x:v>
      </x:c>
    </x:row>
    <x:row r="361" ht="23" customHeight="1">
      <x:c r="A361" s="9" t="n">
        <x:v>360</x:v>
      </x:c>
      <x:c r="B361" s="9" t="n">
        <x:v>0</x:v>
      </x:c>
      <x:c r="C361" s="9" t="n">
        <x:v>115</x:v>
      </x:c>
      <x:c r="D361" s="9" t="n">
        <x:v>2</x:v>
      </x:c>
      <x:c r="E361" s="9" t="n">
        <x:v>119469</x:v>
      </x:c>
      <x:c r="F361" s="9" t="n">
        <x:v>36252</x:v>
      </x:c>
      <x:c r="G361" s="9" t="n">
        <x:v>26024</x:v>
      </x:c>
      <x:c r="H361" s="9" t="n">
        <x:v>52970.00000000745</x:v>
      </x:c>
      <x:c r="I361" s="9" t="n">
        <x:v>4117</x:v>
      </x:c>
      <x:c r="J361" s="9" t="n">
        <x:v>105.99999999254942</x:v>
      </x:c>
      <x:c r="K361" s="9" t="n">
        <x:f>F361+G361+I361+J361</x:f>
        <x:v>66498.99999999255</x:v>
      </x:c>
      <x:c r="L361" s="10" t="n">
        <x:f>K361/Sources!$B$4*1000</x:f>
        <x:v>18.57750077174405</x:v>
      </x:c>
      <x:c r="M361" s="10" t="n">
        <x:f>E361/Sources!$B$4*1000</x:f>
        <x:v>33.375470904821704</x:v>
      </x:c>
      <x:c r="N361" s="9" t="n">
        <x:f>Sources!$B$6-K361</x:f>
        <x:v>-6762.999999992549</x:v>
      </x:c>
      <x:c r="O361" s="1" t="str">
        <x:v>keyboard_route</x:v>
      </x:c>
      <x:c r="P361" s="12" t="n">
        <x:v>0</x:v>
      </x:c>
      <x:c r="Q361" s="12" t="n">
        <x:v>-4</x:v>
      </x:c>
      <x:c r="R361" s="12" t="n">
        <x:v>0</x:v>
      </x:c>
      <x:c r="S361" s="12" t="n">
        <x:v>3</x:v>
      </x:c>
      <x:c r="T361" s="1" t="str">
        <x:v>No</x:v>
      </x:c>
      <x:c r="U361" s="1" t="n">
        <x:v>0</x:v>
      </x:c>
    </x:row>
    <x:row r="362" ht="23" customHeight="1">
      <x:c r="A362" s="9" t="n">
        <x:v>361</x:v>
      </x:c>
      <x:c r="B362" s="9" t="n">
        <x:v>0</x:v>
      </x:c>
      <x:c r="C362" s="9" t="n">
        <x:v>111</x:v>
      </x:c>
      <x:c r="D362" s="9" t="n">
        <x:v>2</x:v>
      </x:c>
      <x:c r="E362" s="9" t="n">
        <x:v>119471.99999999255</x:v>
      </x:c>
      <x:c r="F362" s="9" t="n">
        <x:v>36382</x:v>
      </x:c>
      <x:c r="G362" s="9" t="n">
        <x:v>38111.99999999255</x:v>
      </x:c>
      <x:c r="H362" s="9" t="n">
        <x:v>40755</x:v>
      </x:c>
      <x:c r="I362" s="9" t="n">
        <x:v>4117</x:v>
      </x:c>
      <x:c r="J362" s="9" t="n">
        <x:v>106</x:v>
      </x:c>
      <x:c r="K362" s="9" t="n">
        <x:f>F362+G362+I362+J362</x:f>
        <x:v>78716.99999999255</x:v>
      </x:c>
      <x:c r="L362" s="10" t="n">
        <x:f>K362/Sources!$B$4*1000</x:f>
        <x:v>21.990783744859346</x:v>
      </x:c>
      <x:c r="M362" s="10" t="n">
        <x:f>E362/Sources!$B$4*1000</x:f>
        <x:v>33.37630900016414</x:v>
      </x:c>
      <x:c r="N362" s="9" t="n">
        <x:f>Sources!$B$6-K362</x:f>
        <x:v>-18980.99999999255</x:v>
      </x:c>
      <x:c r="O362" s="1" t="str">
        <x:v>keyboard_route</x:v>
      </x:c>
      <x:c r="P362" s="12" t="n">
        <x:v>0</x:v>
      </x:c>
      <x:c r="Q362" s="12" t="n">
        <x:v>-4</x:v>
      </x:c>
      <x:c r="R362" s="12" t="n">
        <x:v>0</x:v>
      </x:c>
      <x:c r="S362" s="12" t="n">
        <x:v>7</x:v>
      </x:c>
      <x:c r="T362" s="1" t="str">
        <x:v>Yes</x:v>
      </x:c>
      <x:c r="U362" s="1" t="n">
        <x:v>0</x:v>
      </x:c>
    </x:row>
    <x:row r="363" ht="23" customHeight="1">
      <x:c r="A363" s="9" t="n">
        <x:v>362</x:v>
      </x:c>
      <x:c r="B363" s="9" t="n">
        <x:v>0</x:v>
      </x:c>
      <x:c r="C363" s="9" t="n">
        <x:v>107</x:v>
      </x:c>
      <x:c r="D363" s="9" t="n">
        <x:v>2</x:v>
      </x:c>
      <x:c r="E363" s="9" t="n">
        <x:v>119474.00000000745</x:v>
      </x:c>
      <x:c r="F363" s="9" t="n">
        <x:v>37362.99999999255</x:v>
      </x:c>
      <x:c r="G363" s="9" t="n">
        <x:v>26018</x:v>
      </x:c>
      <x:c r="H363" s="9" t="n">
        <x:v>51870.00000000745</x:v>
      </x:c>
      <x:c r="I363" s="9" t="n">
        <x:v>4117</x:v>
      </x:c>
      <x:c r="J363" s="9" t="n">
        <x:v>106.00000000745058</x:v>
      </x:c>
      <x:c r="K363" s="9" t="n">
        <x:f>F363+G363+I363+J363</x:f>
        <x:v>67604</x:v>
      </x:c>
      <x:c r="L363" s="10" t="n">
        <x:f>K363/Sources!$B$4*1000</x:f>
        <x:v>18.886199223644347</x:v>
      </x:c>
      <x:c r="M363" s="10" t="n">
        <x:f>E363/Sources!$B$4*1000</x:f>
        <x:v>33.37686773039798</x:v>
      </x:c>
      <x:c r="N363" s="9" t="n">
        <x:f>Sources!$B$6-K363</x:f>
        <x:v>-7868</x:v>
      </x:c>
      <x:c r="O363" s="1" t="str">
        <x:v>keyboard_route</x:v>
      </x:c>
      <x:c r="P363" s="12" t="n">
        <x:v>0</x:v>
      </x:c>
      <x:c r="Q363" s="12" t="n">
        <x:v>-4</x:v>
      </x:c>
      <x:c r="R363" s="12" t="n">
        <x:v>0</x:v>
      </x:c>
      <x:c r="S363" s="12" t="n">
        <x:v>3</x:v>
      </x:c>
      <x:c r="T363" s="1" t="str">
        <x:v>No</x:v>
      </x:c>
      <x:c r="U363" s="1" t="n">
        <x:v>0</x:v>
      </x:c>
    </x:row>
    <x:row r="364" ht="23" customHeight="1">
      <x:c r="A364" s="9" t="n">
        <x:v>363</x:v>
      </x:c>
      <x:c r="B364" s="9" t="n">
        <x:v>0</x:v>
      </x:c>
      <x:c r="C364" s="9" t="n">
        <x:v>103</x:v>
      </x:c>
      <x:c r="D364" s="9" t="n">
        <x:v>2</x:v>
      </x:c>
      <x:c r="E364" s="9" t="n">
        <x:v>119471.99999999255</x:v>
      </x:c>
      <x:c r="F364" s="9" t="n">
        <x:v>33231.99999999255</x:v>
      </x:c>
      <x:c r="G364" s="9" t="n">
        <x:v>38111.99999999255</x:v>
      </x:c>
      <x:c r="H364" s="9" t="n">
        <x:v>43904.99999999255</x:v>
      </x:c>
      <x:c r="I364" s="9" t="n">
        <x:v>4117</x:v>
      </x:c>
      <x:c r="J364" s="9" t="n">
        <x:v>106.00000001490116</x:v>
      </x:c>
      <x:c r="K364" s="9" t="n">
        <x:f>F364+G364+I364+J364</x:f>
        <x:v>75567</x:v>
      </x:c>
      <x:c r="L364" s="10" t="n">
        <x:f>K364/Sources!$B$4*1000</x:f>
        <x:v>21.110783633115382</x:v>
      </x:c>
      <x:c r="M364" s="10" t="n">
        <x:f>E364/Sources!$B$4*1000</x:f>
        <x:v>33.37630900016414</x:v>
      </x:c>
      <x:c r="N364" s="9" t="n">
        <x:f>Sources!$B$6-K364</x:f>
        <x:v>-15831</x:v>
      </x:c>
      <x:c r="O364" s="1" t="str">
        <x:v>keyboard_route</x:v>
      </x:c>
      <x:c r="P364" s="12" t="n">
        <x:v>0</x:v>
      </x:c>
      <x:c r="Q364" s="12" t="n">
        <x:v>-4</x:v>
      </x:c>
      <x:c r="R364" s="12" t="n">
        <x:v>0</x:v>
      </x:c>
      <x:c r="S364" s="12" t="n">
        <x:v>7</x:v>
      </x:c>
      <x:c r="T364" s="1" t="str">
        <x:v>Yes</x:v>
      </x:c>
      <x:c r="U364" s="1" t="n">
        <x:v>0</x:v>
      </x:c>
    </x:row>
    <x:row r="365" ht="23" customHeight="1">
      <x:c r="A365" s="9" t="n">
        <x:v>364</x:v>
      </x:c>
      <x:c r="B365" s="9" t="n">
        <x:v>0</x:v>
      </x:c>
      <x:c r="C365" s="9" t="n">
        <x:v>99</x:v>
      </x:c>
      <x:c r="D365" s="9" t="n">
        <x:v>2</x:v>
      </x:c>
      <x:c r="E365" s="9" t="n">
        <x:v>119472.00000000745</x:v>
      </x:c>
      <x:c r="F365" s="9" t="n">
        <x:v>36221</x:v>
      </x:c>
      <x:c r="G365" s="9" t="n">
        <x:v>26018</x:v>
      </x:c>
      <x:c r="H365" s="9" t="n">
        <x:v>53010</x:v>
      </x:c>
      <x:c r="I365" s="9" t="n">
        <x:v>4117</x:v>
      </x:c>
      <x:c r="J365" s="9" t="n">
        <x:v>106.00000000745058</x:v>
      </x:c>
      <x:c r="K365" s="9" t="n">
        <x:f>F365+G365+I365+J365</x:f>
        <x:v>66462.00000000745</x:v>
      </x:c>
      <x:c r="L365" s="10" t="n">
        <x:f>K365/Sources!$B$4*1000</x:f>
        <x:v>18.56716426249913</x:v>
      </x:c>
      <x:c r="M365" s="10" t="n">
        <x:f>E365/Sources!$B$4*1000</x:f>
        <x:v>33.376309000168305</x:v>
      </x:c>
      <x:c r="N365" s="9" t="n">
        <x:f>Sources!$B$6-K365</x:f>
        <x:v>-6726.000000007451</x:v>
      </x:c>
      <x:c r="O365" s="1" t="str">
        <x:v>keyboard_route</x:v>
      </x:c>
      <x:c r="P365" s="12" t="n">
        <x:v>0</x:v>
      </x:c>
      <x:c r="Q365" s="12" t="n">
        <x:v>-4</x:v>
      </x:c>
      <x:c r="R365" s="12" t="n">
        <x:v>0</x:v>
      </x:c>
      <x:c r="S365" s="12" t="n">
        <x:v>3</x:v>
      </x:c>
      <x:c r="T365" s="1" t="str">
        <x:v>No</x:v>
      </x:c>
      <x:c r="U365" s="1" t="n">
        <x:v>0</x:v>
      </x:c>
    </x:row>
    <x:row r="366" ht="23" customHeight="1">
      <x:c r="A366" s="9" t="n">
        <x:v>365</x:v>
      </x:c>
      <x:c r="B366" s="9" t="n">
        <x:v>0</x:v>
      </x:c>
      <x:c r="C366" s="9" t="n">
        <x:v>95</x:v>
      </x:c>
      <x:c r="D366" s="9" t="n">
        <x:v>2</x:v>
      </x:c>
      <x:c r="E366" s="9" t="n">
        <x:v>119473</x:v>
      </x:c>
      <x:c r="F366" s="9" t="n">
        <x:v>36328.00000000745</x:v>
      </x:c>
      <x:c r="G366" s="9" t="n">
        <x:v>38092.00000000745</x:v>
      </x:c>
      <x:c r="H366" s="9" t="n">
        <x:v>40830</x:v>
      </x:c>
      <x:c r="I366" s="9" t="n">
        <x:v>4117</x:v>
      </x:c>
      <x:c r="J366" s="9" t="n">
        <x:v>105.99999998509884</x:v>
      </x:c>
      <x:c r="K366" s="9" t="n">
        <x:f>F366+G366+I366+J366</x:f>
        <x:v>78643</x:v>
      </x:c>
      <x:c r="L366" s="10" t="n">
        <x:f>K366/Sources!$B$4*1000</x:f>
        <x:v>21.970110726363266</x:v>
      </x:c>
      <x:c r="M366" s="10" t="n">
        <x:f>E366/Sources!$B$4*1000</x:f>
        <x:v>33.37658836528106</x:v>
      </x:c>
      <x:c r="N366" s="9" t="n">
        <x:f>Sources!$B$6-K366</x:f>
        <x:v>-18907</x:v>
      </x:c>
      <x:c r="O366" s="1" t="str">
        <x:v>keyboard_route</x:v>
      </x:c>
      <x:c r="P366" s="12" t="n">
        <x:v>0</x:v>
      </x:c>
      <x:c r="Q366" s="12" t="n">
        <x:v>-4</x:v>
      </x:c>
      <x:c r="R366" s="12" t="n">
        <x:v>0</x:v>
      </x:c>
      <x:c r="S366" s="12" t="n">
        <x:v>7</x:v>
      </x:c>
      <x:c r="T366" s="1" t="str">
        <x:v>Yes</x:v>
      </x:c>
      <x:c r="U366" s="1" t="n">
        <x:v>0</x:v>
      </x:c>
    </x:row>
    <x:row r="367" ht="23" customHeight="1">
      <x:c r="A367" s="9" t="n">
        <x:v>366</x:v>
      </x:c>
      <x:c r="B367" s="9" t="n">
        <x:v>0</x:v>
      </x:c>
      <x:c r="C367" s="9" t="n">
        <x:v>91</x:v>
      </x:c>
      <x:c r="D367" s="9" t="n">
        <x:v>2</x:v>
      </x:c>
      <x:c r="E367" s="9" t="n">
        <x:v>119468.99999999255</x:v>
      </x:c>
      <x:c r="F367" s="9" t="n">
        <x:v>37028.99999999255</x:v>
      </x:c>
      <x:c r="G367" s="9" t="n">
        <x:v>26887</x:v>
      </x:c>
      <x:c r="H367" s="9" t="n">
        <x:v>51329.99999999255</x:v>
      </x:c>
      <x:c r="I367" s="9" t="n">
        <x:v>4117</x:v>
      </x:c>
      <x:c r="J367" s="9" t="n">
        <x:v>106.00000000745058</x:v>
      </x:c>
      <x:c r="K367" s="9" t="n">
        <x:f>F367+G367+I367+J367</x:f>
        <x:v>68139</x:v>
      </x:c>
      <x:c r="L367" s="10" t="n">
        <x:f>K367/Sources!$B$4*1000</x:f>
        <x:v>19.035659560083754</x:v>
      </x:c>
      <x:c r="M367" s="10" t="n">
        <x:f>E367/Sources!$B$4*1000</x:f>
        <x:v>33.37547090481962</x:v>
      </x:c>
      <x:c r="N367" s="9" t="n">
        <x:f>Sources!$B$6-K367</x:f>
        <x:v>-8403</x:v>
      </x:c>
      <x:c r="O367" s="1" t="str">
        <x:v>keyboard_route</x:v>
      </x:c>
      <x:c r="P367" s="12" t="n">
        <x:v>0</x:v>
      </x:c>
      <x:c r="Q367" s="12" t="n">
        <x:v>-4</x:v>
      </x:c>
      <x:c r="R367" s="12" t="n">
        <x:v>0</x:v>
      </x:c>
      <x:c r="S367" s="12" t="n">
        <x:v>3</x:v>
      </x:c>
      <x:c r="T367" s="1" t="str">
        <x:v>No</x:v>
      </x:c>
      <x:c r="U367" s="1" t="n">
        <x:v>0</x:v>
      </x:c>
    </x:row>
    <x:row r="368" ht="23" customHeight="1">
      <x:c r="A368" s="9" t="n">
        <x:v>367</x:v>
      </x:c>
      <x:c r="B368" s="9" t="n">
        <x:v>0</x:v>
      </x:c>
      <x:c r="C368" s="9" t="n">
        <x:v>87</x:v>
      </x:c>
      <x:c r="D368" s="9" t="n">
        <x:v>2</x:v>
      </x:c>
      <x:c r="E368" s="9" t="n">
        <x:v>119475</x:v>
      </x:c>
      <x:c r="F368" s="9" t="n">
        <x:v>33239.99999999255</x:v>
      </x:c>
      <x:c r="G368" s="9" t="n">
        <x:v>38091.99999999255</x:v>
      </x:c>
      <x:c r="H368" s="9" t="n">
        <x:v>43919.99999999255</x:v>
      </x:c>
      <x:c r="I368" s="9" t="n">
        <x:v>4117</x:v>
      </x:c>
      <x:c r="J368" s="9" t="n">
        <x:v>106.00000002235174</x:v>
      </x:c>
      <x:c r="K368" s="9" t="n">
        <x:f>F368+G368+I368+J368</x:f>
        <x:v>75555.00000000745</x:v>
      </x:c>
      <x:c r="L368" s="10" t="n">
        <x:f>K368/Sources!$B$4*1000</x:f>
        <x:v>21.10743125173938</x:v>
      </x:c>
      <x:c r="M368" s="10" t="n">
        <x:f>E368/Sources!$B$4*1000</x:f>
        <x:v>33.37714709551074</x:v>
      </x:c>
      <x:c r="N368" s="9" t="n">
        <x:f>Sources!$B$6-K368</x:f>
        <x:v>-15819.00000000745</x:v>
      </x:c>
      <x:c r="O368" s="1" t="str">
        <x:v>keyboard_route</x:v>
      </x:c>
      <x:c r="P368" s="12" t="n">
        <x:v>0</x:v>
      </x:c>
      <x:c r="Q368" s="12" t="n">
        <x:v>-4</x:v>
      </x:c>
      <x:c r="R368" s="12" t="n">
        <x:v>0</x:v>
      </x:c>
      <x:c r="S368" s="12" t="n">
        <x:v>7</x:v>
      </x:c>
      <x:c r="T368" s="1" t="str">
        <x:v>Yes</x:v>
      </x:c>
      <x:c r="U368" s="1" t="n">
        <x:v>0</x:v>
      </x:c>
    </x:row>
    <x:row r="369" ht="23" customHeight="1">
      <x:c r="A369" s="9" t="n">
        <x:v>368</x:v>
      </x:c>
      <x:c r="B369" s="9" t="n">
        <x:v>0</x:v>
      </x:c>
      <x:c r="C369" s="9" t="n">
        <x:v>83</x:v>
      </x:c>
      <x:c r="D369" s="9" t="n">
        <x:v>2</x:v>
      </x:c>
      <x:c r="E369" s="9" t="n">
        <x:v>119473</x:v>
      </x:c>
      <x:c r="F369" s="9" t="n">
        <x:v>37976.99999999255</x:v>
      </x:c>
      <x:c r="G369" s="9" t="n">
        <x:v>26018</x:v>
      </x:c>
      <x:c r="H369" s="9" t="n">
        <x:v>51255.00000000745</x:v>
      </x:c>
      <x:c r="I369" s="9" t="n">
        <x:v>4117.000000007451</x:v>
      </x:c>
      <x:c r="J369" s="9" t="n">
        <x:v>105.99999999254942</x:v>
      </x:c>
      <x:c r="K369" s="9" t="n">
        <x:f>F369+G369+I369+J369</x:f>
        <x:v>68217.99999999255</x:v>
      </x:c>
      <x:c r="L369" s="10" t="n">
        <x:f>K369/Sources!$B$4*1000</x:f>
        <x:v>19.05772940415403</x:v>
      </x:c>
      <x:c r="M369" s="10" t="n">
        <x:f>E369/Sources!$B$4*1000</x:f>
        <x:v>33.37658836528106</x:v>
      </x:c>
      <x:c r="N369" s="9" t="n">
        <x:f>Sources!$B$6-K369</x:f>
        <x:v>-8481.99999999255</x:v>
      </x:c>
      <x:c r="O369" s="1" t="str">
        <x:v>keyboard_route</x:v>
      </x:c>
      <x:c r="P369" s="12" t="n">
        <x:v>0</x:v>
      </x:c>
      <x:c r="Q369" s="12" t="n">
        <x:v>-4</x:v>
      </x:c>
      <x:c r="R369" s="12" t="n">
        <x:v>0</x:v>
      </x:c>
      <x:c r="S369" s="12" t="n">
        <x:v>3</x:v>
      </x:c>
      <x:c r="T369" s="1" t="str">
        <x:v>No</x:v>
      </x:c>
      <x:c r="U369" s="1" t="n">
        <x:v>0</x:v>
      </x:c>
    </x:row>
    <x:row r="370" ht="23" customHeight="1">
      <x:c r="A370" s="9" t="n">
        <x:v>369</x:v>
      </x:c>
      <x:c r="B370" s="9" t="n">
        <x:v>0</x:v>
      </x:c>
      <x:c r="C370" s="9" t="n">
        <x:v>79</x:v>
      </x:c>
      <x:c r="D370" s="9" t="n">
        <x:v>2</x:v>
      </x:c>
      <x:c r="E370" s="9" t="n">
        <x:v>119468.00000000745</x:v>
      </x:c>
      <x:c r="F370" s="9" t="n">
        <x:v>34193.99999999255</x:v>
      </x:c>
      <x:c r="G370" s="9" t="n">
        <x:v>38085.99999999255</x:v>
      </x:c>
      <x:c r="H370" s="9" t="n">
        <x:v>42965</x:v>
      </x:c>
      <x:c r="I370" s="9" t="n">
        <x:v>4117</x:v>
      </x:c>
      <x:c r="J370" s="9" t="n">
        <x:v>106.00000002235174</x:v>
      </x:c>
      <x:c r="K370" s="9" t="n">
        <x:f>F370+G370+I370+J370</x:f>
        <x:v>76503.00000000745</x:v>
      </x:c>
      <x:c r="L370" s="10" t="n">
        <x:f>K370/Sources!$B$4*1000</x:f>
        <x:v>21.37226938060772</x:v>
      </x:c>
      <x:c r="M370" s="10" t="n">
        <x:f>E370/Sources!$B$4*1000</x:f>
        <x:v>33.37519153970894</x:v>
      </x:c>
      <x:c r="N370" s="9" t="n">
        <x:f>Sources!$B$6-K370</x:f>
        <x:v>-16767.00000000745</x:v>
      </x:c>
      <x:c r="O370" s="1" t="str">
        <x:v>keyboard_route</x:v>
      </x:c>
      <x:c r="P370" s="12" t="n">
        <x:v>0</x:v>
      </x:c>
      <x:c r="Q370" s="12" t="n">
        <x:v>-4</x:v>
      </x:c>
      <x:c r="R370" s="12" t="n">
        <x:v>0</x:v>
      </x:c>
      <x:c r="S370" s="12" t="n">
        <x:v>7</x:v>
      </x:c>
      <x:c r="T370" s="1" t="str">
        <x:v>Yes</x:v>
      </x:c>
      <x:c r="U370" s="1" t="n">
        <x:v>0</x:v>
      </x:c>
    </x:row>
    <x:row r="371" ht="23" customHeight="1">
      <x:c r="A371" s="9" t="n">
        <x:v>370</x:v>
      </x:c>
      <x:c r="B371" s="9" t="n">
        <x:v>0</x:v>
      </x:c>
      <x:c r="C371" s="9" t="n">
        <x:v>75</x:v>
      </x:c>
      <x:c r="D371" s="9" t="n">
        <x:v>2</x:v>
      </x:c>
      <x:c r="E371" s="9" t="n">
        <x:v>122294</x:v>
      </x:c>
      <x:c r="F371" s="9" t="n">
        <x:v>40987.00000000745</x:v>
      </x:c>
      <x:c r="G371" s="9" t="n">
        <x:v>26018.00000000745</x:v>
      </x:c>
      <x:c r="H371" s="9" t="n">
        <x:v>48244.9999999851</x:v>
      </x:c>
      <x:c r="I371" s="9" t="n">
        <x:v>6937.999999992549</x:v>
      </x:c>
      <x:c r="J371" s="9" t="n">
        <x:v>106.00000000745058</x:v>
      </x:c>
      <x:c r="K371" s="9" t="n">
        <x:f>F371+G371+I371+J371</x:f>
        <x:v>74049.0000000149</x:v>
      </x:c>
      <x:c r="L371" s="10" t="n">
        <x:f>K371/Sources!$B$4*1000</x:f>
        <x:v>20.686707388792403</x:v>
      </x:c>
      <x:c r="M371" s="10" t="n">
        <x:f>E371/Sources!$B$4*1000</x:f>
        <x:v>34.164677354244745</x:v>
      </x:c>
      <x:c r="N371" s="9" t="n">
        <x:f>Sources!$B$6-K371</x:f>
        <x:v>-14313.000000014901</x:v>
      </x:c>
      <x:c r="O371" s="1" t="str">
        <x:v>keyboard_route</x:v>
      </x:c>
      <x:c r="P371" s="12" t="n">
        <x:v>0</x:v>
      </x:c>
      <x:c r="Q371" s="12" t="n">
        <x:v>-4</x:v>
      </x:c>
      <x:c r="R371" s="12" t="n">
        <x:v>0</x:v>
      </x:c>
      <x:c r="S371" s="12" t="n">
        <x:v>3</x:v>
      </x:c>
      <x:c r="T371" s="1" t="str">
        <x:v>No</x:v>
      </x:c>
      <x:c r="U371" s="1" t="n">
        <x:v>0</x:v>
      </x:c>
    </x:row>
    <x:row r="372" ht="23" customHeight="1">
      <x:c r="A372" s="9" t="n">
        <x:v>371</x:v>
      </x:c>
      <x:c r="B372" s="9" t="n">
        <x:v>0</x:v>
      </x:c>
      <x:c r="C372" s="9" t="n">
        <x:v>71</x:v>
      </x:c>
      <x:c r="D372" s="9" t="n">
        <x:v>2</x:v>
      </x:c>
      <x:c r="E372" s="9" t="n">
        <x:v>116650</x:v>
      </x:c>
      <x:c r="F372" s="9" t="n">
        <x:v>34466.00000000745</x:v>
      </x:c>
      <x:c r="G372" s="9" t="n">
        <x:v>38086.00000000745</x:v>
      </x:c>
      <x:c r="H372" s="9" t="n">
        <x:v>39875.00000000745</x:v>
      </x:c>
      <x:c r="I372" s="9" t="n">
        <x:v>4116.999999992549</x:v>
      </x:c>
      <x:c r="J372" s="9" t="n">
        <x:v>105.99999998509884</x:v>
      </x:c>
      <x:c r="K372" s="9" t="n">
        <x:f>F372+G372+I372+J372</x:f>
        <x:v>76774.99999999255</x:v>
      </x:c>
      <x:c r="L372" s="10" t="n">
        <x:f>K372/Sources!$B$4*1000</x:f>
        <x:v>21.44825669184004</x:v>
      </x:c>
      <x:c r="M372" s="10" t="n">
        <x:f>E372/Sources!$B$4*1000</x:f>
        <x:v>32.5879406460877</x:v>
      </x:c>
      <x:c r="N372" s="9" t="n">
        <x:f>Sources!$B$6-K372</x:f>
        <x:v>-17038.99999999255</x:v>
      </x:c>
      <x:c r="O372" s="1" t="str">
        <x:v>keyboard_route</x:v>
      </x:c>
      <x:c r="P372" s="12" t="n">
        <x:v>0</x:v>
      </x:c>
      <x:c r="Q372" s="12" t="n">
        <x:v>-4</x:v>
      </x:c>
      <x:c r="R372" s="12" t="n">
        <x:v>0</x:v>
      </x:c>
      <x:c r="S372" s="12" t="n">
        <x:v>7</x:v>
      </x:c>
      <x:c r="T372" s="1" t="str">
        <x:v>Yes</x:v>
      </x:c>
      <x:c r="U372" s="1" t="n">
        <x:v>0</x:v>
      </x:c>
    </x:row>
    <x:row r="373" ht="23" customHeight="1">
      <x:c r="A373" s="9" t="n">
        <x:v>372</x:v>
      </x:c>
      <x:c r="B373" s="9" t="n">
        <x:v>0</x:v>
      </x:c>
      <x:c r="C373" s="9" t="n">
        <x:v>67</x:v>
      </x:c>
      <x:c r="D373" s="9" t="n">
        <x:v>2</x:v>
      </x:c>
      <x:c r="E373" s="9" t="n">
        <x:v>119474</x:v>
      </x:c>
      <x:c r="F373" s="9" t="n">
        <x:v>37697</x:v>
      </x:c>
      <x:c r="G373" s="9" t="n">
        <x:v>26024</x:v>
      </x:c>
      <x:c r="H373" s="9" t="n">
        <x:v>51530</x:v>
      </x:c>
      <x:c r="I373" s="9" t="n">
        <x:v>4117</x:v>
      </x:c>
      <x:c r="J373" s="9" t="n">
        <x:v>106</x:v>
      </x:c>
      <x:c r="K373" s="9" t="n">
        <x:f>F373+G373+I373+J373</x:f>
        <x:v>67944</x:v>
      </x:c>
      <x:c r="L373" s="10" t="n">
        <x:f>K373/Sources!$B$4*1000</x:f>
        <x:v>18.98118336268995</x:v>
      </x:c>
      <x:c r="M373" s="10" t="n">
        <x:f>E373/Sources!$B$4*1000</x:f>
        <x:v>33.3768677303959</x:v>
      </x:c>
      <x:c r="N373" s="9" t="n">
        <x:f>Sources!$B$6-K373</x:f>
        <x:v>-8208</x:v>
      </x:c>
      <x:c r="O373" s="1" t="str">
        <x:v>keyboard_route</x:v>
      </x:c>
      <x:c r="P373" s="12" t="n">
        <x:v>0</x:v>
      </x:c>
      <x:c r="Q373" s="12" t="n">
        <x:v>-4</x:v>
      </x:c>
      <x:c r="R373" s="12" t="n">
        <x:v>0</x:v>
      </x:c>
      <x:c r="S373" s="12" t="n">
        <x:v>3</x:v>
      </x:c>
      <x:c r="T373" s="1" t="str">
        <x:v>No</x:v>
      </x:c>
      <x:c r="U373" s="1" t="n">
        <x:v>0</x:v>
      </x:c>
    </x:row>
    <x:row r="374" ht="23" customHeight="1">
      <x:c r="A374" s="9" t="n">
        <x:v>373</x:v>
      </x:c>
      <x:c r="B374" s="9" t="n">
        <x:v>0</x:v>
      </x:c>
      <x:c r="C374" s="9" t="n">
        <x:v>63</x:v>
      </x:c>
      <x:c r="D374" s="9" t="n">
        <x:v>2</x:v>
      </x:c>
      <x:c r="E374" s="9" t="n">
        <x:v>119470</x:v>
      </x:c>
      <x:c r="F374" s="9" t="n">
        <x:v>33329</x:v>
      </x:c>
      <x:c r="G374" s="9" t="n">
        <x:v>38118</x:v>
      </x:c>
      <x:c r="H374" s="9" t="n">
        <x:v>43800</x:v>
      </x:c>
      <x:c r="I374" s="9" t="n">
        <x:v>4117</x:v>
      </x:c>
      <x:c r="J374" s="9" t="n">
        <x:v>106</x:v>
      </x:c>
      <x:c r="K374" s="9" t="n">
        <x:f>F374+G374+I374+J374</x:f>
        <x:v>75670</x:v>
      </x:c>
      <x:c r="L374" s="10" t="n">
        <x:f>K374/Sources!$B$4*1000</x:f>
        <x:v>21.139558239943906</x:v>
      </x:c>
      <x:c r="M374" s="10" t="n">
        <x:f>E374/Sources!$B$4*1000</x:f>
        <x:v>33.37575026993654</x:v>
      </x:c>
      <x:c r="N374" s="9" t="n">
        <x:f>Sources!$B$6-K374</x:f>
        <x:v>-15934</x:v>
      </x:c>
      <x:c r="O374" s="1" t="str">
        <x:v>keyboard_route</x:v>
      </x:c>
      <x:c r="P374" s="12" t="n">
        <x:v>0</x:v>
      </x:c>
      <x:c r="Q374" s="12" t="n">
        <x:v>-4</x:v>
      </x:c>
      <x:c r="R374" s="12" t="n">
        <x:v>0</x:v>
      </x:c>
      <x:c r="S374" s="12" t="n">
        <x:v>7</x:v>
      </x:c>
      <x:c r="T374" s="1" t="str">
        <x:v>Yes</x:v>
      </x:c>
      <x:c r="U374" s="1" t="n">
        <x:v>0</x:v>
      </x:c>
    </x:row>
    <x:row r="375" ht="23" customHeight="1">
      <x:c r="A375" s="9" t="n">
        <x:v>374</x:v>
      </x:c>
      <x:c r="B375" s="9" t="n">
        <x:v>0</x:v>
      </x:c>
      <x:c r="C375" s="9" t="n">
        <x:v>59</x:v>
      </x:c>
      <x:c r="D375" s="9" t="n">
        <x:v>2</x:v>
      </x:c>
      <x:c r="E375" s="9" t="n">
        <x:v>119472</x:v>
      </x:c>
      <x:c r="F375" s="9" t="n">
        <x:v>37805.99999999255</x:v>
      </x:c>
      <x:c r="G375" s="9" t="n">
        <x:v>26018</x:v>
      </x:c>
      <x:c r="H375" s="9" t="n">
        <x:v>51425.00000000745</x:v>
      </x:c>
      <x:c r="I375" s="9" t="n">
        <x:v>4117</x:v>
      </x:c>
      <x:c r="J375" s="9" t="n">
        <x:v>106</x:v>
      </x:c>
      <x:c r="K375" s="9" t="n">
        <x:f>F375+G375+I375+J375</x:f>
        <x:v>68046.99999999255</x:v>
      </x:c>
      <x:c r="L375" s="10" t="n">
        <x:f>K375/Sources!$B$4*1000</x:f>
        <x:v>19.009957969516392</x:v>
      </x:c>
      <x:c r="M375" s="10" t="n">
        <x:f>E375/Sources!$B$4*1000</x:f>
        <x:v>33.37630900016622</x:v>
      </x:c>
      <x:c r="N375" s="9" t="n">
        <x:f>Sources!$B$6-K375</x:f>
        <x:v>-8310.99999999255</x:v>
      </x:c>
      <x:c r="O375" s="1" t="str">
        <x:v>keyboard_route</x:v>
      </x:c>
      <x:c r="P375" s="12" t="n">
        <x:v>0</x:v>
      </x:c>
      <x:c r="Q375" s="12" t="n">
        <x:v>-4</x:v>
      </x:c>
      <x:c r="R375" s="12" t="n">
        <x:v>0</x:v>
      </x:c>
      <x:c r="S375" s="12" t="n">
        <x:v>3</x:v>
      </x:c>
      <x:c r="T375" s="1" t="str">
        <x:v>No</x:v>
      </x:c>
      <x:c r="U375" s="1" t="n">
        <x:v>0</x:v>
      </x:c>
    </x:row>
    <x:row r="376" ht="23" customHeight="1">
      <x:c r="A376" s="9" t="n">
        <x:v>375</x:v>
      </x:c>
      <x:c r="B376" s="9" t="n">
        <x:v>0</x:v>
      </x:c>
      <x:c r="C376" s="9" t="n">
        <x:v>55</x:v>
      </x:c>
      <x:c r="D376" s="9" t="n">
        <x:v>2</x:v>
      </x:c>
      <x:c r="E376" s="9" t="n">
        <x:v>119474</x:v>
      </x:c>
      <x:c r="F376" s="9" t="n">
        <x:v>35174.00000000745</x:v>
      </x:c>
      <x:c r="G376" s="9" t="n">
        <x:v>38112.00000000745</x:v>
      </x:c>
      <x:c r="H376" s="9" t="n">
        <x:v>41965.00000000745</x:v>
      </x:c>
      <x:c r="I376" s="9" t="n">
        <x:v>4117</x:v>
      </x:c>
      <x:c r="J376" s="9" t="n">
        <x:v>105.99999997764826</x:v>
      </x:c>
      <x:c r="K376" s="9" t="n">
        <x:f>F376+G376+I376+J376</x:f>
        <x:v>77508.99999999255</x:v>
      </x:c>
      <x:c r="L376" s="10" t="n">
        <x:f>K376/Sources!$B$4*1000</x:f>
        <x:v>21.653310686132606</x:v>
      </x:c>
      <x:c r="M376" s="10" t="n">
        <x:f>E376/Sources!$B$4*1000</x:f>
        <x:v>33.3768677303959</x:v>
      </x:c>
      <x:c r="N376" s="9" t="n">
        <x:f>Sources!$B$6-K376</x:f>
        <x:v>-17772.99999999255</x:v>
      </x:c>
      <x:c r="O376" s="1" t="str">
        <x:v>keyboard_route</x:v>
      </x:c>
      <x:c r="P376" s="12" t="n">
        <x:v>0</x:v>
      </x:c>
      <x:c r="Q376" s="12" t="n">
        <x:v>-4</x:v>
      </x:c>
      <x:c r="R376" s="12" t="n">
        <x:v>0</x:v>
      </x:c>
      <x:c r="S376" s="12" t="n">
        <x:v>7</x:v>
      </x:c>
      <x:c r="T376" s="1" t="str">
        <x:v>Yes</x:v>
      </x:c>
      <x:c r="U376" s="1" t="n">
        <x:v>0</x:v>
      </x:c>
    </x:row>
    <x:row r="377" ht="23" customHeight="1">
      <x:c r="A377" s="9" t="n">
        <x:v>376</x:v>
      </x:c>
      <x:c r="B377" s="9" t="n">
        <x:v>0</x:v>
      </x:c>
      <x:c r="C377" s="9" t="n">
        <x:v>51</x:v>
      </x:c>
      <x:c r="D377" s="9" t="n">
        <x:v>2</x:v>
      </x:c>
      <x:c r="E377" s="9" t="n">
        <x:v>119474</x:v>
      </x:c>
      <x:c r="F377" s="9" t="n">
        <x:v>36928.00000000745</x:v>
      </x:c>
      <x:c r="G377" s="9" t="n">
        <x:v>26018</x:v>
      </x:c>
      <x:c r="H377" s="9" t="n">
        <x:v>52305</x:v>
      </x:c>
      <x:c r="I377" s="9" t="n">
        <x:v>4116.999999992549</x:v>
      </x:c>
      <x:c r="J377" s="9" t="n">
        <x:v>106</x:v>
      </x:c>
      <x:c r="K377" s="9" t="n">
        <x:f>F377+G377+I377+J377</x:f>
        <x:v>67169</x:v>
      </x:c>
      <x:c r="L377" s="10" t="n">
        <x:f>K377/Sources!$B$4*1000</x:f>
        <x:v>18.76467539868894</x:v>
      </x:c>
      <x:c r="M377" s="10" t="n">
        <x:f>E377/Sources!$B$4*1000</x:f>
        <x:v>33.3768677303959</x:v>
      </x:c>
      <x:c r="N377" s="9" t="n">
        <x:f>Sources!$B$6-K377</x:f>
        <x:v>-7433</x:v>
      </x:c>
      <x:c r="O377" s="1" t="str">
        <x:v>keyboard_route</x:v>
      </x:c>
      <x:c r="P377" s="12" t="n">
        <x:v>0</x:v>
      </x:c>
      <x:c r="Q377" s="12" t="n">
        <x:v>-4</x:v>
      </x:c>
      <x:c r="R377" s="12" t="n">
        <x:v>0</x:v>
      </x:c>
      <x:c r="S377" s="12" t="n">
        <x:v>3</x:v>
      </x:c>
      <x:c r="T377" s="1" t="str">
        <x:v>No</x:v>
      </x:c>
      <x:c r="U377" s="1" t="n">
        <x:v>0</x:v>
      </x:c>
    </x:row>
    <x:row r="378" ht="23" customHeight="1">
      <x:c r="A378" s="9" t="n">
        <x:v>377</x:v>
      </x:c>
      <x:c r="B378" s="9" t="n">
        <x:v>0</x:v>
      </x:c>
      <x:c r="C378" s="9" t="n">
        <x:v>47</x:v>
      </x:c>
      <x:c r="D378" s="9" t="n">
        <x:v>2</x:v>
      </x:c>
      <x:c r="E378" s="9" t="n">
        <x:v>119470</x:v>
      </x:c>
      <x:c r="F378" s="9" t="n">
        <x:v>33050.00000000745</x:v>
      </x:c>
      <x:c r="G378" s="9" t="n">
        <x:v>38112.00000000745</x:v>
      </x:c>
      <x:c r="H378" s="9" t="n">
        <x:v>44085.00000000745</x:v>
      </x:c>
      <x:c r="I378" s="9" t="n">
        <x:v>4116.999999992549</x:v>
      </x:c>
      <x:c r="J378" s="9" t="n">
        <x:v>105.99999998509884</x:v>
      </x:c>
      <x:c r="K378" s="9" t="n">
        <x:f>F378+G378+I378+J378</x:f>
        <x:v>75384.99999999255</x:v>
      </x:c>
      <x:c r="L378" s="10" t="n">
        <x:f>K378/Sources!$B$4*1000</x:f>
        <x:v>21.059939182212418</x:v>
      </x:c>
      <x:c r="M378" s="10" t="n">
        <x:f>E378/Sources!$B$4*1000</x:f>
        <x:v>33.37575026993654</x:v>
      </x:c>
      <x:c r="N378" s="9" t="n">
        <x:f>Sources!$B$6-K378</x:f>
        <x:v>-15648.99999999255</x:v>
      </x:c>
      <x:c r="O378" s="1" t="str">
        <x:v>keyboard_route</x:v>
      </x:c>
      <x:c r="P378" s="12" t="n">
        <x:v>0</x:v>
      </x:c>
      <x:c r="Q378" s="12" t="n">
        <x:v>-4</x:v>
      </x:c>
      <x:c r="R378" s="12" t="n">
        <x:v>0</x:v>
      </x:c>
      <x:c r="S378" s="12" t="n">
        <x:v>7</x:v>
      </x:c>
      <x:c r="T378" s="1" t="str">
        <x:v>Yes</x:v>
      </x:c>
      <x:c r="U378" s="1" t="n">
        <x:v>0</x:v>
      </x:c>
    </x:row>
    <x:row r="379" ht="23" customHeight="1">
      <x:c r="A379" s="9" t="n">
        <x:v>378</x:v>
      </x:c>
      <x:c r="B379" s="9" t="n">
        <x:v>0</x:v>
      </x:c>
      <x:c r="C379" s="9" t="n">
        <x:v>43</x:v>
      </x:c>
      <x:c r="D379" s="9" t="n">
        <x:v>2</x:v>
      </x:c>
      <x:c r="E379" s="9" t="n">
        <x:v>119471</x:v>
      </x:c>
      <x:c r="F379" s="9" t="n">
        <x:v>37759</x:v>
      </x:c>
      <x:c r="G379" s="9" t="n">
        <x:v>26024</x:v>
      </x:c>
      <x:c r="H379" s="9" t="n">
        <x:v>51465.00000000745</x:v>
      </x:c>
      <x:c r="I379" s="9" t="n">
        <x:v>4117</x:v>
      </x:c>
      <x:c r="J379" s="9" t="n">
        <x:v>105.99999999254942</x:v>
      </x:c>
      <x:c r="K379" s="9" t="n">
        <x:f>F379+G379+I379+J379</x:f>
        <x:v>68005.99999999255</x:v>
      </x:c>
      <x:c r="L379" s="10" t="n">
        <x:f>K379/Sources!$B$4*1000</x:f>
        <x:v>18.99850399980795</x:v>
      </x:c>
      <x:c r="M379" s="10" t="n">
        <x:f>E379/Sources!$B$4*1000</x:f>
        <x:v>33.37602963505138</x:v>
      </x:c>
      <x:c r="N379" s="9" t="n">
        <x:f>Sources!$B$6-K379</x:f>
        <x:v>-8269.99999999255</x:v>
      </x:c>
      <x:c r="O379" s="1" t="str">
        <x:v>keyboard_route</x:v>
      </x:c>
      <x:c r="P379" s="12" t="n">
        <x:v>0</x:v>
      </x:c>
      <x:c r="Q379" s="12" t="n">
        <x:v>-4</x:v>
      </x:c>
      <x:c r="R379" s="12" t="n">
        <x:v>0</x:v>
      </x:c>
      <x:c r="S379" s="12" t="n">
        <x:v>3</x:v>
      </x:c>
      <x:c r="T379" s="1" t="str">
        <x:v>No</x:v>
      </x:c>
      <x:c r="U379" s="1" t="n">
        <x:v>0</x:v>
      </x:c>
    </x:row>
    <x:row r="380" ht="23" customHeight="1">
      <x:c r="A380" s="9" t="n">
        <x:v>379</x:v>
      </x:c>
      <x:c r="B380" s="9" t="n">
        <x:v>0</x:v>
      </x:c>
      <x:c r="C380" s="9" t="n">
        <x:v>39</x:v>
      </x:c>
      <x:c r="D380" s="9" t="n">
        <x:v>2</x:v>
      </x:c>
      <x:c r="E380" s="9" t="n">
        <x:v>119473</x:v>
      </x:c>
      <x:c r="F380" s="9" t="n">
        <x:v>35144.00000000745</x:v>
      </x:c>
      <x:c r="G380" s="9" t="n">
        <x:v>38981.00000000745</x:v>
      </x:c>
      <x:c r="H380" s="9" t="n">
        <x:v>41125</x:v>
      </x:c>
      <x:c r="I380" s="9" t="n">
        <x:v>4117</x:v>
      </x:c>
      <x:c r="J380" s="9" t="n">
        <x:v>105.99999998509884</x:v>
      </x:c>
      <x:c r="K380" s="9" t="n">
        <x:f>F380+G380+I380+J380</x:f>
        <x:v>78348</x:v>
      </x:c>
      <x:c r="L380" s="10" t="n">
        <x:f>K380/Sources!$B$4*1000</x:f>
        <x:v>21.887698017485462</x:v>
      </x:c>
      <x:c r="M380" s="10" t="n">
        <x:f>E380/Sources!$B$4*1000</x:f>
        <x:v>33.37658836528106</x:v>
      </x:c>
      <x:c r="N380" s="9" t="n">
        <x:f>Sources!$B$6-K380</x:f>
        <x:v>-18612</x:v>
      </x:c>
      <x:c r="O380" s="1" t="str">
        <x:v>keyboard_route</x:v>
      </x:c>
      <x:c r="P380" s="12" t="n">
        <x:v>0</x:v>
      </x:c>
      <x:c r="Q380" s="12" t="n">
        <x:v>-4</x:v>
      </x:c>
      <x:c r="R380" s="12" t="n">
        <x:v>0</x:v>
      </x:c>
      <x:c r="S380" s="12" t="n">
        <x:v>7</x:v>
      </x:c>
      <x:c r="T380" s="1" t="str">
        <x:v>Yes</x:v>
      </x:c>
      <x:c r="U380" s="1" t="n">
        <x:v>0</x:v>
      </x:c>
    </x:row>
    <x:row r="381" ht="23" customHeight="1">
      <x:c r="A381" s="9" t="n">
        <x:v>380</x:v>
      </x:c>
      <x:c r="B381" s="9" t="n">
        <x:v>0</x:v>
      </x:c>
      <x:c r="C381" s="9" t="n">
        <x:v>35</x:v>
      </x:c>
      <x:c r="D381" s="9" t="n">
        <x:v>2</x:v>
      </x:c>
      <x:c r="E381" s="9" t="n">
        <x:v>122295</x:v>
      </x:c>
      <x:c r="F381" s="9" t="n">
        <x:v>50114</x:v>
      </x:c>
      <x:c r="G381" s="9" t="n">
        <x:v>41972</x:v>
      </x:c>
      <x:c r="H381" s="9" t="n">
        <x:v>23164.99999999255</x:v>
      </x:c>
      <x:c r="I381" s="9" t="n">
        <x:v>6937.999999992549</x:v>
      </x:c>
      <x:c r="J381" s="9" t="n">
        <x:v>106.00000001490116</x:v>
      </x:c>
      <x:c r="K381" s="9" t="n">
        <x:f>F381+G381+I381+J381</x:f>
        <x:v>99130.00000000745</x:v>
      </x:c>
      <x:c r="L381" s="10" t="n">
        <x:f>K381/Sources!$B$4*1000</x:f>
        <x:v>27.69346383409273</x:v>
      </x:c>
      <x:c r="M381" s="10" t="n">
        <x:f>E381/Sources!$B$4*1000</x:f>
        <x:v>34.16495671935958</x:v>
      </x:c>
      <x:c r="N381" s="9" t="n">
        <x:f>Sources!$B$6-K381</x:f>
        <x:v>-39394.00000000745</x:v>
      </x:c>
      <x:c r="O381" s="1" t="str">
        <x:v>keyboard_route</x:v>
      </x:c>
      <x:c r="P381" s="12" t="n">
        <x:v>0</x:v>
      </x:c>
      <x:c r="Q381" s="12" t="n">
        <x:v>-4</x:v>
      </x:c>
      <x:c r="R381" s="12" t="n">
        <x:v>0</x:v>
      </x:c>
      <x:c r="S381" s="12" t="n">
        <x:v>3</x:v>
      </x:c>
      <x:c r="T381" s="1" t="str">
        <x:v>No</x:v>
      </x:c>
      <x:c r="U381" s="1" t="n">
        <x:v>0</x:v>
      </x:c>
    </x:row>
    <x:row r="382" ht="23" customHeight="1">
      <x:c r="A382" s="9" t="n">
        <x:v>381</x:v>
      </x:c>
      <x:c r="B382" s="9" t="n">
        <x:v>0</x:v>
      </x:c>
      <x:c r="C382" s="9" t="n">
        <x:v>31</x:v>
      </x:c>
      <x:c r="D382" s="9" t="n">
        <x:v>2</x:v>
      </x:c>
      <x:c r="E382" s="9" t="n">
        <x:v>116651</x:v>
      </x:c>
      <x:c r="F382" s="9" t="n">
        <x:v>36674.00000000745</x:v>
      </x:c>
      <x:c r="G382" s="9" t="n">
        <x:v>48604</x:v>
      </x:c>
      <x:c r="H382" s="9" t="n">
        <x:v>27150</x:v>
      </x:c>
      <x:c r="I382" s="9" t="n">
        <x:v>4117</x:v>
      </x:c>
      <x:c r="J382" s="9" t="n">
        <x:v>105.99999999254942</x:v>
      </x:c>
      <x:c r="K382" s="9" t="n">
        <x:f>F382+G382+I382+J382</x:f>
        <x:v>89501</x:v>
      </x:c>
      <x:c r="L382" s="10" t="n">
        <x:f>K382/Sources!$B$4*1000</x:f>
        <x:v>25.003457143296146</x:v>
      </x:c>
      <x:c r="M382" s="10" t="n">
        <x:f>E382/Sources!$B$4*1000</x:f>
        <x:v>32.58822001120254</x:v>
      </x:c>
      <x:c r="N382" s="9" t="n">
        <x:f>Sources!$B$6-K382</x:f>
        <x:v>-29765</x:v>
      </x:c>
      <x:c r="O382" s="1" t="str">
        <x:v>keyboard_route</x:v>
      </x:c>
      <x:c r="P382" s="12" t="n">
        <x:v>0</x:v>
      </x:c>
      <x:c r="Q382" s="12" t="n">
        <x:v>-4</x:v>
      </x:c>
      <x:c r="R382" s="12" t="n">
        <x:v>0</x:v>
      </x:c>
      <x:c r="S382" s="12" t="n">
        <x:v>7</x:v>
      </x:c>
      <x:c r="T382" s="1" t="str">
        <x:v>Yes</x:v>
      </x:c>
      <x:c r="U382" s="1" t="n">
        <x:v>0</x:v>
      </x:c>
    </x:row>
    <x:row r="383" ht="23" customHeight="1">
      <x:c r="A383" s="9" t="n">
        <x:v>382</x:v>
      </x:c>
      <x:c r="B383" s="9" t="n">
        <x:v>0</x:v>
      </x:c>
      <x:c r="C383" s="9" t="n">
        <x:v>27</x:v>
      </x:c>
      <x:c r="D383" s="9" t="n">
        <x:v>2</x:v>
      </x:c>
      <x:c r="E383" s="9" t="n">
        <x:v>119469</x:v>
      </x:c>
      <x:c r="F383" s="9" t="n">
        <x:v>37388.00000000745</x:v>
      </x:c>
      <x:c r="G383" s="9" t="n">
        <x:v>25818.00000000745</x:v>
      </x:c>
      <x:c r="H383" s="9" t="n">
        <x:v>52040</x:v>
      </x:c>
      <x:c r="I383" s="9" t="n">
        <x:v>4117</x:v>
      </x:c>
      <x:c r="J383" s="9" t="n">
        <x:v>105.99999998509884</x:v>
      </x:c>
      <x:c r="K383" s="9" t="n">
        <x:f>F383+G383+I383+J383</x:f>
        <x:v>67429</x:v>
      </x:c>
      <x:c r="L383" s="10" t="n">
        <x:f>K383/Sources!$B$4*1000</x:f>
        <x:v>18.837310328547343</x:v>
      </x:c>
      <x:c r="M383" s="10" t="n">
        <x:f>E383/Sources!$B$4*1000</x:f>
        <x:v>33.375470904821704</x:v>
      </x:c>
      <x:c r="N383" s="9" t="n">
        <x:f>Sources!$B$6-K383</x:f>
        <x:v>-7693</x:v>
      </x:c>
      <x:c r="O383" s="1" t="str">
        <x:v>keyboard_route</x:v>
      </x:c>
      <x:c r="P383" s="12" t="n">
        <x:v>0</x:v>
      </x:c>
      <x:c r="Q383" s="12" t="n">
        <x:v>-4</x:v>
      </x:c>
      <x:c r="R383" s="12" t="n">
        <x:v>0</x:v>
      </x:c>
      <x:c r="S383" s="12" t="n">
        <x:v>3</x:v>
      </x:c>
      <x:c r="T383" s="1" t="str">
        <x:v>No</x:v>
      </x:c>
      <x:c r="U383" s="1" t="n">
        <x:v>0</x:v>
      </x:c>
    </x:row>
    <x:row r="384" ht="23" customHeight="1">
      <x:c r="A384" s="9" t="n">
        <x:v>383</x:v>
      </x:c>
      <x:c r="B384" s="9" t="n">
        <x:v>0</x:v>
      </x:c>
      <x:c r="C384" s="9" t="n">
        <x:v>31</x:v>
      </x:c>
      <x:c r="D384" s="9" t="n">
        <x:v>2</x:v>
      </x:c>
      <x:c r="E384" s="9" t="n">
        <x:v>119471.99999999255</x:v>
      </x:c>
      <x:c r="F384" s="9" t="n">
        <x:v>37910.00000000745</x:v>
      </x:c>
      <x:c r="G384" s="9" t="n">
        <x:v>24659</x:v>
      </x:c>
      <x:c r="H384" s="9" t="n">
        <x:v>52680</x:v>
      </x:c>
      <x:c r="I384" s="9" t="n">
        <x:v>4117</x:v>
      </x:c>
      <x:c r="J384" s="9" t="n">
        <x:v>105.99999998509884</x:v>
      </x:c>
      <x:c r="K384" s="9" t="n">
        <x:f>F384+G384+I384+J384</x:f>
        <x:v>66791.99999999255</x:v>
      </x:c>
      <x:c r="L384" s="10" t="n">
        <x:f>K384/Sources!$B$4*1000</x:f>
        <x:v>18.659354750392172</x:v>
      </x:c>
      <x:c r="M384" s="10" t="n">
        <x:f>E384/Sources!$B$4*1000</x:f>
        <x:v>33.37630900016414</x:v>
      </x:c>
      <x:c r="N384" s="9" t="n">
        <x:f>Sources!$B$6-K384</x:f>
        <x:v>-7055.999999992549</x:v>
      </x:c>
      <x:c r="O384" s="1" t="str">
        <x:v>keyboard_route</x:v>
      </x:c>
      <x:c r="P384" s="12" t="n">
        <x:v>0</x:v>
      </x:c>
      <x:c r="Q384" s="12" t="n">
        <x:v>4</x:v>
      </x:c>
      <x:c r="R384" s="12" t="n">
        <x:v>0</x:v>
      </x:c>
      <x:c r="S384" s="12" t="n">
        <x:v>7</x:v>
      </x:c>
      <x:c r="T384" s="1" t="str">
        <x:v>No</x:v>
      </x:c>
      <x:c r="U384" s="1" t="n">
        <x:v>0</x:v>
      </x:c>
    </x:row>
    <x:row r="385" ht="23" customHeight="1">
      <x:c r="A385" s="9" t="n">
        <x:v>384</x:v>
      </x:c>
      <x:c r="B385" s="9" t="n">
        <x:v>0</x:v>
      </x:c>
      <x:c r="C385" s="9" t="n">
        <x:v>35</x:v>
      </x:c>
      <x:c r="D385" s="9" t="n">
        <x:v>2</x:v>
      </x:c>
      <x:c r="E385" s="9" t="n">
        <x:v>119473.00000000745</x:v>
      </x:c>
      <x:c r="F385" s="9" t="n">
        <x:v>36890</x:v>
      </x:c>
      <x:c r="G385" s="9" t="n">
        <x:v>42235.00000000745</x:v>
      </x:c>
      <x:c r="H385" s="9" t="n">
        <x:v>36125.00000000745</x:v>
      </x:c>
      <x:c r="I385" s="9" t="n">
        <x:v>4117</x:v>
      </x:c>
      <x:c r="J385" s="9" t="n">
        <x:v>105.99999999254942</x:v>
      </x:c>
      <x:c r="K385" s="9" t="n">
        <x:f>F385+G385+I385+J385</x:f>
        <x:v>83348</x:v>
      </x:c>
      <x:c r="L385" s="10" t="n">
        <x:f>K385/Sources!$B$4*1000</x:f>
        <x:v>23.284523591685534</x:v>
      </x:c>
      <x:c r="M385" s="10" t="n">
        <x:f>E385/Sources!$B$4*1000</x:f>
        <x:v>33.37658836528314</x:v>
      </x:c>
      <x:c r="N385" s="9" t="n">
        <x:f>Sources!$B$6-K385</x:f>
        <x:v>-23612</x:v>
      </x:c>
      <x:c r="O385" s="1" t="str">
        <x:v>keyboard_route</x:v>
      </x:c>
      <x:c r="P385" s="12" t="n">
        <x:v>0</x:v>
      </x:c>
      <x:c r="Q385" s="12" t="n">
        <x:v>4</x:v>
      </x:c>
      <x:c r="R385" s="12" t="n">
        <x:v>0</x:v>
      </x:c>
      <x:c r="S385" s="12" t="n">
        <x:v>3</x:v>
      </x:c>
      <x:c r="T385" s="1" t="str">
        <x:v>Yes</x:v>
      </x:c>
      <x:c r="U385" s="1" t="n">
        <x:v>0</x:v>
      </x:c>
    </x:row>
    <x:row r="386" ht="23" customHeight="1">
      <x:c r="A386" s="9" t="n">
        <x:v>385</x:v>
      </x:c>
      <x:c r="B386" s="9" t="n">
        <x:v>0</x:v>
      </x:c>
      <x:c r="C386" s="9" t="n">
        <x:v>39</x:v>
      </x:c>
      <x:c r="D386" s="9" t="n">
        <x:v>2</x:v>
      </x:c>
      <x:c r="E386" s="9" t="n">
        <x:v>119472.99999999255</x:v>
      </x:c>
      <x:c r="F386" s="9" t="n">
        <x:v>39584</x:v>
      </x:c>
      <x:c r="G386" s="9" t="n">
        <x:v>25961</x:v>
      </x:c>
      <x:c r="H386" s="9" t="n">
        <x:v>49705</x:v>
      </x:c>
      <x:c r="I386" s="9" t="n">
        <x:v>4117</x:v>
      </x:c>
      <x:c r="J386" s="9" t="n">
        <x:v>105.99999999254942</x:v>
      </x:c>
      <x:c r="K386" s="9" t="n">
        <x:f>F386+G386+I386+J386</x:f>
        <x:v>69767.99999999255</x:v>
      </x:c>
      <x:c r="L386" s="10" t="n">
        <x:f>K386/Sources!$B$4*1000</x:f>
        <x:v>19.490745332156056</x:v>
      </x:c>
      <x:c r="M386" s="10" t="n">
        <x:f>E386/Sources!$B$4*1000</x:f>
        <x:v>33.37658836527898</x:v>
      </x:c>
      <x:c r="N386" s="9" t="n">
        <x:f>Sources!$B$6-K386</x:f>
        <x:v>-10031.99999999255</x:v>
      </x:c>
      <x:c r="O386" s="1" t="str">
        <x:v>keyboard_route</x:v>
      </x:c>
      <x:c r="P386" s="12" t="n">
        <x:v>0</x:v>
      </x:c>
      <x:c r="Q386" s="12" t="n">
        <x:v>4</x:v>
      </x:c>
      <x:c r="R386" s="12" t="n">
        <x:v>0</x:v>
      </x:c>
      <x:c r="S386" s="12" t="n">
        <x:v>7</x:v>
      </x:c>
      <x:c r="T386" s="1" t="str">
        <x:v>No</x:v>
      </x:c>
      <x:c r="U386" s="1" t="n">
        <x:v>0</x:v>
      </x:c>
    </x:row>
    <x:row r="387" ht="23" customHeight="1">
      <x:c r="A387" s="9" t="n">
        <x:v>386</x:v>
      </x:c>
      <x:c r="B387" s="9" t="n">
        <x:v>0</x:v>
      </x:c>
      <x:c r="C387" s="9" t="n">
        <x:v>43</x:v>
      </x:c>
      <x:c r="D387" s="9" t="n">
        <x:v>2</x:v>
      </x:c>
      <x:c r="E387" s="9" t="n">
        <x:v>119471.00000000745</x:v>
      </x:c>
      <x:c r="F387" s="9" t="n">
        <x:v>33817.99999999255</x:v>
      </x:c>
      <x:c r="G387" s="9" t="n">
        <x:v>42234.99999999255</x:v>
      </x:c>
      <x:c r="H387" s="9" t="n">
        <x:v>39195</x:v>
      </x:c>
      <x:c r="I387" s="9" t="n">
        <x:v>4117</x:v>
      </x:c>
      <x:c r="J387" s="9" t="n">
        <x:v>106.00000002235174</x:v>
      </x:c>
      <x:c r="K387" s="9" t="n">
        <x:f>F387+G387+I387+J387</x:f>
        <x:v>80276.00000000745</x:v>
      </x:c>
      <x:c r="L387" s="10" t="n">
        <x:f>K387/Sources!$B$4*1000</x:f>
        <x:v>22.42631395889909</x:v>
      </x:c>
      <x:c r="M387" s="10" t="n">
        <x:f>E387/Sources!$B$4*1000</x:f>
        <x:v>33.37602963505346</x:v>
      </x:c>
      <x:c r="N387" s="9" t="n">
        <x:f>Sources!$B$6-K387</x:f>
        <x:v>-20540.00000000745</x:v>
      </x:c>
      <x:c r="O387" s="1" t="str">
        <x:v>keyboard_route</x:v>
      </x:c>
      <x:c r="P387" s="12" t="n">
        <x:v>0</x:v>
      </x:c>
      <x:c r="Q387" s="12" t="n">
        <x:v>4</x:v>
      </x:c>
      <x:c r="R387" s="12" t="n">
        <x:v>0</x:v>
      </x:c>
      <x:c r="S387" s="12" t="n">
        <x:v>3</x:v>
      </x:c>
      <x:c r="T387" s="1" t="str">
        <x:v>Yes</x:v>
      </x:c>
      <x:c r="U387" s="1" t="n">
        <x:v>0</x:v>
      </x:c>
    </x:row>
    <x:row r="388" ht="23" customHeight="1">
      <x:c r="A388" s="9" t="n">
        <x:v>387</x:v>
      </x:c>
      <x:c r="B388" s="9" t="n">
        <x:v>0</x:v>
      </x:c>
      <x:c r="C388" s="9" t="n">
        <x:v>47</x:v>
      </x:c>
      <x:c r="D388" s="9" t="n">
        <x:v>2</x:v>
      </x:c>
      <x:c r="E388" s="9" t="n">
        <x:v>119472.99999999255</x:v>
      </x:c>
      <x:c r="F388" s="9" t="n">
        <x:v>40355</x:v>
      </x:c>
      <x:c r="G388" s="9" t="n">
        <x:v>25955</x:v>
      </x:c>
      <x:c r="H388" s="9" t="n">
        <x:v>48939.99999999255</x:v>
      </x:c>
      <x:c r="I388" s="9" t="n">
        <x:v>4117</x:v>
      </x:c>
      <x:c r="J388" s="9" t="n">
        <x:v>106</x:v>
      </x:c>
      <x:c r="K388" s="9" t="n">
        <x:f>F388+G388+I388+J388</x:f>
        <x:v>70533</x:v>
      </x:c>
      <x:c r="L388" s="10" t="n">
        <x:f>K388/Sources!$B$4*1000</x:f>
        <x:v>19.70445964501075</x:v>
      </x:c>
      <x:c r="M388" s="10" t="n">
        <x:f>E388/Sources!$B$4*1000</x:f>
        <x:v>33.37658836527898</x:v>
      </x:c>
      <x:c r="N388" s="9" t="n">
        <x:f>Sources!$B$6-K388</x:f>
        <x:v>-10797</x:v>
      </x:c>
      <x:c r="O388" s="1" t="str">
        <x:v>keyboard_route</x:v>
      </x:c>
      <x:c r="P388" s="12" t="n">
        <x:v>0</x:v>
      </x:c>
      <x:c r="Q388" s="12" t="n">
        <x:v>4</x:v>
      </x:c>
      <x:c r="R388" s="12" t="n">
        <x:v>0</x:v>
      </x:c>
      <x:c r="S388" s="12" t="n">
        <x:v>7</x:v>
      </x:c>
      <x:c r="T388" s="1" t="str">
        <x:v>No</x:v>
      </x:c>
      <x:c r="U388" s="1" t="n">
        <x:v>0</x:v>
      </x:c>
    </x:row>
    <x:row r="389" ht="23" customHeight="1">
      <x:c r="A389" s="9" t="n">
        <x:v>388</x:v>
      </x:c>
      <x:c r="B389" s="9" t="n">
        <x:v>0</x:v>
      </x:c>
      <x:c r="C389" s="9" t="n">
        <x:v>51</x:v>
      </x:c>
      <x:c r="D389" s="9" t="n">
        <x:v>2</x:v>
      </x:c>
      <x:c r="E389" s="9" t="n">
        <x:v>119473.00000000745</x:v>
      </x:c>
      <x:c r="F389" s="9" t="n">
        <x:v>38276</x:v>
      </x:c>
      <x:c r="G389" s="9" t="n">
        <x:v>42229.00000000745</x:v>
      </x:c>
      <x:c r="H389" s="9" t="n">
        <x:v>34745.00000000745</x:v>
      </x:c>
      <x:c r="I389" s="9" t="n">
        <x:v>4117</x:v>
      </x:c>
      <x:c r="J389" s="9" t="n">
        <x:v>105.99999999254942</x:v>
      </x:c>
      <x:c r="K389" s="9" t="n">
        <x:f>F389+G389+I389+J389</x:f>
        <x:v>84728</x:v>
      </x:c>
      <x:c r="L389" s="10" t="n">
        <x:f>K389/Sources!$B$4*1000</x:f>
        <x:v>23.670047450164756</x:v>
      </x:c>
      <x:c r="M389" s="10" t="n">
        <x:f>E389/Sources!$B$4*1000</x:f>
        <x:v>33.37658836528314</x:v>
      </x:c>
      <x:c r="N389" s="9" t="n">
        <x:f>Sources!$B$6-K389</x:f>
        <x:v>-24992</x:v>
      </x:c>
      <x:c r="O389" s="1" t="str">
        <x:v>keyboard_route</x:v>
      </x:c>
      <x:c r="P389" s="12" t="n">
        <x:v>0</x:v>
      </x:c>
      <x:c r="Q389" s="12" t="n">
        <x:v>4</x:v>
      </x:c>
      <x:c r="R389" s="12" t="n">
        <x:v>0</x:v>
      </x:c>
      <x:c r="S389" s="12" t="n">
        <x:v>3</x:v>
      </x:c>
      <x:c r="T389" s="1" t="str">
        <x:v>Yes</x:v>
      </x:c>
      <x:c r="U389" s="1" t="n">
        <x:v>0</x:v>
      </x:c>
    </x:row>
    <x:row r="390" ht="23" customHeight="1">
      <x:c r="A390" s="9" t="n">
        <x:v>389</x:v>
      </x:c>
      <x:c r="B390" s="9" t="n">
        <x:v>0</x:v>
      </x:c>
      <x:c r="C390" s="9" t="n">
        <x:v>55</x:v>
      </x:c>
      <x:c r="D390" s="9" t="n">
        <x:v>2</x:v>
      </x:c>
      <x:c r="E390" s="9" t="n">
        <x:v>119470</x:v>
      </x:c>
      <x:c r="F390" s="9" t="n">
        <x:v>38977</x:v>
      </x:c>
      <x:c r="G390" s="9" t="n">
        <x:v>25954.99999999255</x:v>
      </x:c>
      <x:c r="H390" s="9" t="n">
        <x:v>50315</x:v>
      </x:c>
      <x:c r="I390" s="9" t="n">
        <x:v>4117.000000007451</x:v>
      </x:c>
      <x:c r="J390" s="9" t="n">
        <x:v>106</x:v>
      </x:c>
      <x:c r="K390" s="9" t="n">
        <x:f>F390+G390+I390+J390</x:f>
        <x:v>69155</x:v>
      </x:c>
      <x:c r="L390" s="10" t="n">
        <x:f>K390/Sources!$B$4*1000</x:f>
        <x:v>19.31949451676121</x:v>
      </x:c>
      <x:c r="M390" s="10" t="n">
        <x:f>E390/Sources!$B$4*1000</x:f>
        <x:v>33.37575026993654</x:v>
      </x:c>
      <x:c r="N390" s="9" t="n">
        <x:f>Sources!$B$6-K390</x:f>
        <x:v>-9419</x:v>
      </x:c>
      <x:c r="O390" s="1" t="str">
        <x:v>keyboard_route</x:v>
      </x:c>
      <x:c r="P390" s="12" t="n">
        <x:v>0</x:v>
      </x:c>
      <x:c r="Q390" s="12" t="n">
        <x:v>4</x:v>
      </x:c>
      <x:c r="R390" s="12" t="n">
        <x:v>0</x:v>
      </x:c>
      <x:c r="S390" s="12" t="n">
        <x:v>7</x:v>
      </x:c>
      <x:c r="T390" s="1" t="str">
        <x:v>No</x:v>
      </x:c>
      <x:c r="U390" s="1" t="n">
        <x:v>0</x:v>
      </x:c>
    </x:row>
    <x:row r="391" ht="23" customHeight="1">
      <x:c r="A391" s="9" t="n">
        <x:v>390</x:v>
      </x:c>
      <x:c r="B391" s="9" t="n">
        <x:v>0</x:v>
      </x:c>
      <x:c r="C391" s="9" t="n">
        <x:v>59</x:v>
      </x:c>
      <x:c r="D391" s="9" t="n">
        <x:v>2</x:v>
      </x:c>
      <x:c r="E391" s="9" t="n">
        <x:v>119474</x:v>
      </x:c>
      <x:c r="F391" s="9" t="n">
        <x:v>35117</x:v>
      </x:c>
      <x:c r="G391" s="9" t="n">
        <x:v>42229.00000000745</x:v>
      </x:c>
      <x:c r="H391" s="9" t="n">
        <x:v>37905.00000000745</x:v>
      </x:c>
      <x:c r="I391" s="9" t="n">
        <x:v>4117</x:v>
      </x:c>
      <x:c r="J391" s="9" t="n">
        <x:v>105.99999998509884</x:v>
      </x:c>
      <x:c r="K391" s="9" t="n">
        <x:f>F391+G391+I391+J391</x:f>
        <x:v>81568.99999999255</x:v>
      </x:c>
      <x:c r="L391" s="10" t="n">
        <x:f>K391/Sources!$B$4*1000</x:f>
        <x:v>22.78753305238307</x:v>
      </x:c>
      <x:c r="M391" s="10" t="n">
        <x:f>E391/Sources!$B$4*1000</x:f>
        <x:v>33.3768677303959</x:v>
      </x:c>
      <x:c r="N391" s="9" t="n">
        <x:f>Sources!$B$6-K391</x:f>
        <x:v>-21832.99999999255</x:v>
      </x:c>
      <x:c r="O391" s="1" t="str">
        <x:v>keyboard_route</x:v>
      </x:c>
      <x:c r="P391" s="12" t="n">
        <x:v>0</x:v>
      </x:c>
      <x:c r="Q391" s="12" t="n">
        <x:v>4</x:v>
      </x:c>
      <x:c r="R391" s="12" t="n">
        <x:v>0</x:v>
      </x:c>
      <x:c r="S391" s="12" t="n">
        <x:v>3</x:v>
      </x:c>
      <x:c r="T391" s="1" t="str">
        <x:v>Yes</x:v>
      </x:c>
      <x:c r="U391" s="1" t="n">
        <x:v>0</x:v>
      </x:c>
    </x:row>
    <x:row r="392" ht="23" customHeight="1">
      <x:c r="A392" s="9" t="n">
        <x:v>391</x:v>
      </x:c>
      <x:c r="B392" s="9" t="n">
        <x:v>0</x:v>
      </x:c>
      <x:c r="C392" s="9" t="n">
        <x:v>63</x:v>
      </x:c>
      <x:c r="D392" s="9" t="n">
        <x:v>2</x:v>
      </x:c>
      <x:c r="E392" s="9" t="n">
        <x:v>119469</x:v>
      </x:c>
      <x:c r="F392" s="9" t="n">
        <x:v>40265</x:v>
      </x:c>
      <x:c r="G392" s="9" t="n">
        <x:v>25961</x:v>
      </x:c>
      <x:c r="H392" s="9" t="n">
        <x:v>49020</x:v>
      </x:c>
      <x:c r="I392" s="9" t="n">
        <x:v>4117</x:v>
      </x:c>
      <x:c r="J392" s="9" t="n">
        <x:v>106</x:v>
      </x:c>
      <x:c r="K392" s="9" t="n">
        <x:f>F392+G392+I392+J392</x:f>
        <x:v>70449</x:v>
      </x:c>
      <x:c r="L392" s="10" t="n">
        <x:f>K392/Sources!$B$4*1000</x:f>
        <x:v>19.680992975364187</x:v>
      </x:c>
      <x:c r="M392" s="10" t="n">
        <x:f>E392/Sources!$B$4*1000</x:f>
        <x:v>33.375470904821704</x:v>
      </x:c>
      <x:c r="N392" s="9" t="n">
        <x:f>Sources!$B$6-K392</x:f>
        <x:v>-10713</x:v>
      </x:c>
      <x:c r="O392" s="1" t="str">
        <x:v>keyboard_route</x:v>
      </x:c>
      <x:c r="P392" s="12" t="n">
        <x:v>0</x:v>
      </x:c>
      <x:c r="Q392" s="12" t="n">
        <x:v>4</x:v>
      </x:c>
      <x:c r="R392" s="12" t="n">
        <x:v>0</x:v>
      </x:c>
      <x:c r="S392" s="12" t="n">
        <x:v>7</x:v>
      </x:c>
      <x:c r="T392" s="1" t="str">
        <x:v>No</x:v>
      </x:c>
      <x:c r="U392" s="1" t="n">
        <x:v>0</x:v>
      </x:c>
    </x:row>
    <x:row r="393" ht="23" customHeight="1">
      <x:c r="A393" s="9" t="n">
        <x:v>392</x:v>
      </x:c>
      <x:c r="B393" s="9" t="n">
        <x:v>0</x:v>
      </x:c>
      <x:c r="C393" s="9" t="n">
        <x:v>67</x:v>
      </x:c>
      <x:c r="D393" s="9" t="n">
        <x:v>2</x:v>
      </x:c>
      <x:c r="E393" s="9" t="n">
        <x:v>119472.99999999255</x:v>
      </x:c>
      <x:c r="F393" s="9" t="n">
        <x:v>35308.00000000745</x:v>
      </x:c>
      <x:c r="G393" s="9" t="n">
        <x:v>43072</x:v>
      </x:c>
      <x:c r="H393" s="9" t="n">
        <x:v>36869.99999999255</x:v>
      </x:c>
      <x:c r="I393" s="9" t="n">
        <x:v>4117</x:v>
      </x:c>
      <x:c r="J393" s="9" t="n">
        <x:v>105.99999999254942</x:v>
      </x:c>
      <x:c r="K393" s="9" t="n">
        <x:f>F393+G393+I393+J393</x:f>
        <x:v>82603</x:v>
      </x:c>
      <x:c r="L393" s="10" t="n">
        <x:f>K393/Sources!$B$4*1000</x:f>
        <x:v>23.076396581129725</x:v>
      </x:c>
      <x:c r="M393" s="10" t="n">
        <x:f>E393/Sources!$B$4*1000</x:f>
        <x:v>33.37658836527898</x:v>
      </x:c>
      <x:c r="N393" s="9" t="n">
        <x:f>Sources!$B$6-K393</x:f>
        <x:v>-22867</x:v>
      </x:c>
      <x:c r="O393" s="1" t="str">
        <x:v>keyboard_route</x:v>
      </x:c>
      <x:c r="P393" s="12" t="n">
        <x:v>0</x:v>
      </x:c>
      <x:c r="Q393" s="12" t="n">
        <x:v>4</x:v>
      </x:c>
      <x:c r="R393" s="12" t="n">
        <x:v>0</x:v>
      </x:c>
      <x:c r="S393" s="12" t="n">
        <x:v>3</x:v>
      </x:c>
      <x:c r="T393" s="1" t="str">
        <x:v>Yes</x:v>
      </x:c>
      <x:c r="U393" s="1" t="n">
        <x:v>0</x:v>
      </x:c>
    </x:row>
    <x:row r="394" ht="23" customHeight="1">
      <x:c r="A394" s="9" t="n">
        <x:v>393</x:v>
      </x:c>
      <x:c r="B394" s="9" t="n">
        <x:v>0</x:v>
      </x:c>
      <x:c r="C394" s="9" t="n">
        <x:v>71</x:v>
      </x:c>
      <x:c r="D394" s="9" t="n">
        <x:v>2</x:v>
      </x:c>
      <x:c r="E394" s="9" t="n">
        <x:v>119473.00000000745</x:v>
      </x:c>
      <x:c r="F394" s="9" t="n">
        <x:v>40489.99999999255</x:v>
      </x:c>
      <x:c r="G394" s="9" t="n">
        <x:v>25954.99999999255</x:v>
      </x:c>
      <x:c r="H394" s="9" t="n">
        <x:v>48805</x:v>
      </x:c>
      <x:c r="I394" s="9" t="n">
        <x:v>4117</x:v>
      </x:c>
      <x:c r="J394" s="9" t="n">
        <x:v>106.00000002235174</x:v>
      </x:c>
      <x:c r="K394" s="9" t="n">
        <x:f>F394+G394+I394+J394</x:f>
        <x:v>70668.00000000745</x:v>
      </x:c>
      <x:c r="L394" s="10" t="n">
        <x:f>K394/Sources!$B$4*1000</x:f>
        <x:v>19.74217393551623</x:v>
      </x:c>
      <x:c r="M394" s="10" t="n">
        <x:f>E394/Sources!$B$4*1000</x:f>
        <x:v>33.37658836528314</x:v>
      </x:c>
      <x:c r="N394" s="9" t="n">
        <x:f>Sources!$B$6-K394</x:f>
        <x:v>-10932.00000000745</x:v>
      </x:c>
      <x:c r="O394" s="1" t="str">
        <x:v>keyboard_route</x:v>
      </x:c>
      <x:c r="P394" s="12" t="n">
        <x:v>0</x:v>
      </x:c>
      <x:c r="Q394" s="12" t="n">
        <x:v>4</x:v>
      </x:c>
      <x:c r="R394" s="12" t="n">
        <x:v>0</x:v>
      </x:c>
      <x:c r="S394" s="12" t="n">
        <x:v>7</x:v>
      </x:c>
      <x:c r="T394" s="1" t="str">
        <x:v>No</x:v>
      </x:c>
      <x:c r="U394" s="1" t="n">
        <x:v>0</x:v>
      </x:c>
    </x:row>
    <x:row r="395" ht="23" customHeight="1">
      <x:c r="A395" s="9" t="n">
        <x:v>394</x:v>
      </x:c>
      <x:c r="B395" s="9" t="n">
        <x:v>0</x:v>
      </x:c>
      <x:c r="C395" s="9" t="n">
        <x:v>75</x:v>
      </x:c>
      <x:c r="D395" s="9" t="n">
        <x:v>2</x:v>
      </x:c>
      <x:c r="E395" s="9" t="n">
        <x:v>119471</x:v>
      </x:c>
      <x:c r="F395" s="9" t="n">
        <x:v>37570</x:v>
      </x:c>
      <x:c r="G395" s="9" t="n">
        <x:v>42203</x:v>
      </x:c>
      <x:c r="H395" s="9" t="n">
        <x:v>35475</x:v>
      </x:c>
      <x:c r="I395" s="9" t="n">
        <x:v>4117</x:v>
      </x:c>
      <x:c r="J395" s="9" t="n">
        <x:v>106</x:v>
      </x:c>
      <x:c r="K395" s="9" t="n">
        <x:f>F395+G395+I395+J395</x:f>
        <x:v>83996</x:v>
      </x:c>
      <x:c r="L395" s="10" t="n">
        <x:f>K395/Sources!$B$4*1000</x:f>
        <x:v>23.465552186101863</x:v>
      </x:c>
      <x:c r="M395" s="10" t="n">
        <x:f>E395/Sources!$B$4*1000</x:f>
        <x:v>33.37602963505138</x:v>
      </x:c>
      <x:c r="N395" s="9" t="n">
        <x:f>Sources!$B$6-K395</x:f>
        <x:v>-24260</x:v>
      </x:c>
      <x:c r="O395" s="1" t="str">
        <x:v>keyboard_route</x:v>
      </x:c>
      <x:c r="P395" s="12" t="n">
        <x:v>0</x:v>
      </x:c>
      <x:c r="Q395" s="12" t="n">
        <x:v>4</x:v>
      </x:c>
      <x:c r="R395" s="12" t="n">
        <x:v>0</x:v>
      </x:c>
      <x:c r="S395" s="12" t="n">
        <x:v>3</x:v>
      </x:c>
      <x:c r="T395" s="1" t="str">
        <x:v>Yes</x:v>
      </x:c>
      <x:c r="U395" s="1" t="n">
        <x:v>0</x:v>
      </x:c>
    </x:row>
    <x:row r="396" ht="23" customHeight="1">
      <x:c r="A396" s="9" t="n">
        <x:v>395</x:v>
      </x:c>
      <x:c r="B396" s="9" t="n">
        <x:v>0</x:v>
      </x:c>
      <x:c r="C396" s="9" t="n">
        <x:v>79</x:v>
      </x:c>
      <x:c r="D396" s="9" t="n">
        <x:v>2</x:v>
      </x:c>
      <x:c r="E396" s="9" t="n">
        <x:v>119470</x:v>
      </x:c>
      <x:c r="F396" s="9" t="n">
        <x:v>36887</x:v>
      </x:c>
      <x:c r="G396" s="9" t="n">
        <x:v>26155</x:v>
      </x:c>
      <x:c r="H396" s="9" t="n">
        <x:v>52205</x:v>
      </x:c>
      <x:c r="I396" s="9" t="n">
        <x:v>4117</x:v>
      </x:c>
      <x:c r="J396" s="9" t="n">
        <x:v>106</x:v>
      </x:c>
      <x:c r="K396" s="9" t="n">
        <x:f>F396+G396+I396+J396</x:f>
        <x:v>67265</x:v>
      </x:c>
      <x:c r="L396" s="10" t="n">
        <x:f>K396/Sources!$B$4*1000</x:f>
        <x:v>18.791494449713582</x:v>
      </x:c>
      <x:c r="M396" s="10" t="n">
        <x:f>E396/Sources!$B$4*1000</x:f>
        <x:v>33.37575026993654</x:v>
      </x:c>
      <x:c r="N396" s="9" t="n">
        <x:f>Sources!$B$6-K396</x:f>
        <x:v>-7529</x:v>
      </x:c>
      <x:c r="O396" s="1" t="str">
        <x:v>keyboard_route</x:v>
      </x:c>
      <x:c r="P396" s="12" t="n">
        <x:v>0</x:v>
      </x:c>
      <x:c r="Q396" s="12" t="n">
        <x:v>4</x:v>
      </x:c>
      <x:c r="R396" s="12" t="n">
        <x:v>0</x:v>
      </x:c>
      <x:c r="S396" s="12" t="n">
        <x:v>7</x:v>
      </x:c>
      <x:c r="T396" s="1" t="str">
        <x:v>No</x:v>
      </x:c>
      <x:c r="U396" s="1" t="n">
        <x:v>0</x:v>
      </x:c>
    </x:row>
    <x:row r="397" ht="23" customHeight="1">
      <x:c r="A397" s="9" t="n">
        <x:v>396</x:v>
      </x:c>
      <x:c r="B397" s="9" t="n">
        <x:v>0</x:v>
      </x:c>
      <x:c r="C397" s="9" t="n">
        <x:v>83</x:v>
      </x:c>
      <x:c r="D397" s="9" t="n">
        <x:v>2</x:v>
      </x:c>
      <x:c r="E397" s="9" t="n">
        <x:v>119472</x:v>
      </x:c>
      <x:c r="F397" s="9" t="n">
        <x:v>32991</x:v>
      </x:c>
      <x:c r="G397" s="9" t="n">
        <x:v>42203</x:v>
      </x:c>
      <x:c r="H397" s="9" t="n">
        <x:v>40055</x:v>
      </x:c>
      <x:c r="I397" s="9" t="n">
        <x:v>4117</x:v>
      </x:c>
      <x:c r="J397" s="9" t="n">
        <x:v>106</x:v>
      </x:c>
      <x:c r="K397" s="9" t="n">
        <x:f>F397+G397+I397+J397</x:f>
        <x:v>79417</x:v>
      </x:c>
      <x:c r="L397" s="10" t="n">
        <x:f>K397/Sources!$B$4*1000</x:f>
        <x:v>22.18633932524944</x:v>
      </x:c>
      <x:c r="M397" s="10" t="n">
        <x:f>E397/Sources!$B$4*1000</x:f>
        <x:v>33.37630900016622</x:v>
      </x:c>
      <x:c r="N397" s="9" t="n">
        <x:f>Sources!$B$6-K397</x:f>
        <x:v>-19681</x:v>
      </x:c>
      <x:c r="O397" s="1" t="str">
        <x:v>keyboard_route</x:v>
      </x:c>
      <x:c r="P397" s="12" t="n">
        <x:v>0</x:v>
      </x:c>
      <x:c r="Q397" s="12" t="n">
        <x:v>4</x:v>
      </x:c>
      <x:c r="R397" s="12" t="n">
        <x:v>0</x:v>
      </x:c>
      <x:c r="S397" s="12" t="n">
        <x:v>3</x:v>
      </x:c>
      <x:c r="T397" s="1" t="str">
        <x:v>Yes</x:v>
      </x:c>
      <x:c r="U397" s="1" t="n">
        <x:v>0</x:v>
      </x:c>
    </x:row>
    <x:row r="398" ht="23" customHeight="1">
      <x:c r="A398" s="9" t="n">
        <x:v>397</x:v>
      </x:c>
      <x:c r="B398" s="9" t="n">
        <x:v>0</x:v>
      </x:c>
      <x:c r="C398" s="9" t="n">
        <x:v>87</x:v>
      </x:c>
      <x:c r="D398" s="9" t="n">
        <x:v>2</x:v>
      </x:c>
      <x:c r="E398" s="9" t="n">
        <x:v>119475</x:v>
      </x:c>
      <x:c r="F398" s="9" t="n">
        <x:v>39180.9999999851</x:v>
      </x:c>
      <x:c r="G398" s="9" t="n">
        <x:v>26160.9999999851</x:v>
      </x:c>
      <x:c r="H398" s="9" t="n">
        <x:v>49910</x:v>
      </x:c>
      <x:c r="I398" s="9" t="n">
        <x:v>4117</x:v>
      </x:c>
      <x:c r="J398" s="9" t="n">
        <x:v>106.00000002980232</x:v>
      </x:c>
      <x:c r="K398" s="9" t="n">
        <x:f>F398+G398+I398+J398</x:f>
        <x:v>69565</x:v>
      </x:c>
      <x:c r="L398" s="10" t="n">
        <x:f>K398/Sources!$B$4*1000</x:f>
        <x:v>19.434034213845614</x:v>
      </x:c>
      <x:c r="M398" s="10" t="n">
        <x:f>E398/Sources!$B$4*1000</x:f>
        <x:v>33.37714709551074</x:v>
      </x:c>
      <x:c r="N398" s="9" t="n">
        <x:f>Sources!$B$6-K398</x:f>
        <x:v>-9829</x:v>
      </x:c>
      <x:c r="O398" s="1" t="str">
        <x:v>keyboard_route</x:v>
      </x:c>
      <x:c r="P398" s="12" t="n">
        <x:v>0</x:v>
      </x:c>
      <x:c r="Q398" s="12" t="n">
        <x:v>4</x:v>
      </x:c>
      <x:c r="R398" s="12" t="n">
        <x:v>0</x:v>
      </x:c>
      <x:c r="S398" s="12" t="n">
        <x:v>7</x:v>
      </x:c>
      <x:c r="T398" s="1" t="str">
        <x:v>No</x:v>
      </x:c>
      <x:c r="U398" s="1" t="n">
        <x:v>0</x:v>
      </x:c>
    </x:row>
    <x:row r="399" ht="23" customHeight="1">
      <x:c r="A399" s="9" t="n">
        <x:v>398</x:v>
      </x:c>
      <x:c r="B399" s="9" t="n">
        <x:v>0</x:v>
      </x:c>
      <x:c r="C399" s="9" t="n">
        <x:v>91</x:v>
      </x:c>
      <x:c r="D399" s="9" t="n">
        <x:v>2</x:v>
      </x:c>
      <x:c r="E399" s="9" t="n">
        <x:v>119472.9999999851</x:v>
      </x:c>
      <x:c r="F399" s="9" t="n">
        <x:v>32456</x:v>
      </x:c>
      <x:c r="G399" s="9" t="n">
        <x:v>42209</x:v>
      </x:c>
      <x:c r="H399" s="9" t="n">
        <x:v>40585</x:v>
      </x:c>
      <x:c r="I399" s="9" t="n">
        <x:v>4117</x:v>
      </x:c>
      <x:c r="J399" s="9" t="n">
        <x:v>105.99999998509884</x:v>
      </x:c>
      <x:c r="K399" s="9" t="n">
        <x:f>F399+G399+I399+J399</x:f>
        <x:v>78887.9999999851</x:v>
      </x:c>
      <x:c r="L399" s="10" t="n">
        <x:f>K399/Sources!$B$4*1000</x:f>
        <x:v>22.038555179494907</x:v>
      </x:c>
      <x:c r="M399" s="10" t="n">
        <x:f>E399/Sources!$B$4*1000</x:f>
        <x:v>33.376588365276895</x:v>
      </x:c>
      <x:c r="N399" s="9" t="n">
        <x:f>Sources!$B$6-K399</x:f>
        <x:v>-19151.9999999851</x:v>
      </x:c>
      <x:c r="O399" s="1" t="str">
        <x:v>keyboard_route</x:v>
      </x:c>
      <x:c r="P399" s="12" t="n">
        <x:v>0</x:v>
      </x:c>
      <x:c r="Q399" s="12" t="n">
        <x:v>4</x:v>
      </x:c>
      <x:c r="R399" s="12" t="n">
        <x:v>0</x:v>
      </x:c>
      <x:c r="S399" s="12" t="n">
        <x:v>3</x:v>
      </x:c>
      <x:c r="T399" s="1" t="str">
        <x:v>Yes</x:v>
      </x:c>
      <x:c r="U399" s="1" t="n">
        <x:v>0</x:v>
      </x:c>
    </x:row>
    <x:row r="400" ht="23" customHeight="1">
      <x:c r="A400" s="9" t="n">
        <x:v>399</x:v>
      </x:c>
      <x:c r="B400" s="9" t="n">
        <x:v>0</x:v>
      </x:c>
      <x:c r="C400" s="9" t="n">
        <x:v>95</x:v>
      </x:c>
      <x:c r="D400" s="9" t="n">
        <x:v>2</x:v>
      </x:c>
      <x:c r="E400" s="9" t="n">
        <x:v>119472.0000000149</x:v>
      </x:c>
      <x:c r="F400" s="9" t="n">
        <x:v>36073</x:v>
      </x:c>
      <x:c r="G400" s="9" t="n">
        <x:v>26161</x:v>
      </x:c>
      <x:c r="H400" s="9" t="n">
        <x:v>53015</x:v>
      </x:c>
      <x:c r="I400" s="9" t="n">
        <x:v>4117</x:v>
      </x:c>
      <x:c r="J400" s="9" t="n">
        <x:v>106.00000001490116</x:v>
      </x:c>
      <x:c r="K400" s="9" t="n">
        <x:f>F400+G400+I400+J400</x:f>
        <x:v>66457.0000000149</x:v>
      </x:c>
      <x:c r="L400" s="10" t="n">
        <x:f>K400/Sources!$B$4*1000</x:f>
        <x:v>18.56576743692701</x:v>
      </x:c>
      <x:c r="M400" s="10" t="n">
        <x:f>E400/Sources!$B$4*1000</x:f>
        <x:v>33.37630900017039</x:v>
      </x:c>
      <x:c r="N400" s="9" t="n">
        <x:f>Sources!$B$6-K400</x:f>
        <x:v>-6721.000000014901</x:v>
      </x:c>
      <x:c r="O400" s="1" t="str">
        <x:v>keyboard_route</x:v>
      </x:c>
      <x:c r="P400" s="12" t="n">
        <x:v>0</x:v>
      </x:c>
      <x:c r="Q400" s="12" t="n">
        <x:v>4</x:v>
      </x:c>
      <x:c r="R400" s="12" t="n">
        <x:v>0</x:v>
      </x:c>
      <x:c r="S400" s="12" t="n">
        <x:v>7</x:v>
      </x:c>
      <x:c r="T400" s="1" t="str">
        <x:v>No</x:v>
      </x:c>
      <x:c r="U400" s="1" t="n">
        <x:v>0</x:v>
      </x:c>
    </x:row>
    <x:row r="401" ht="23" customHeight="1">
      <x:c r="A401" s="9" t="n">
        <x:v>400</x:v>
      </x:c>
      <x:c r="B401" s="9" t="n">
        <x:v>0</x:v>
      </x:c>
      <x:c r="C401" s="9" t="n">
        <x:v>99</x:v>
      </x:c>
      <x:c r="D401" s="9" t="n">
        <x:v>2</x:v>
      </x:c>
      <x:c r="E401" s="9" t="n">
        <x:v>119472</x:v>
      </x:c>
      <x:c r="F401" s="9" t="n">
        <x:v>34475.0000000149</x:v>
      </x:c>
      <x:c r="G401" s="9" t="n">
        <x:v>42229</x:v>
      </x:c>
      <x:c r="H401" s="9" t="n">
        <x:v>38545</x:v>
      </x:c>
      <x:c r="I401" s="9" t="n">
        <x:v>4117</x:v>
      </x:c>
      <x:c r="J401" s="9" t="n">
        <x:v>105.99999998509884</x:v>
      </x:c>
      <x:c r="K401" s="9" t="n">
        <x:f>F401+G401+I401+J401</x:f>
        <x:v>80927</x:v>
      </x:c>
      <x:c r="L401" s="10" t="n">
        <x:f>K401/Sources!$B$4*1000</x:f>
        <x:v>22.608180648657857</x:v>
      </x:c>
      <x:c r="M401" s="10" t="n">
        <x:f>E401/Sources!$B$4*1000</x:f>
        <x:v>33.37630900016622</x:v>
      </x:c>
      <x:c r="N401" s="9" t="n">
        <x:f>Sources!$B$6-K401</x:f>
        <x:v>-21191</x:v>
      </x:c>
      <x:c r="O401" s="1" t="str">
        <x:v>keyboard_route</x:v>
      </x:c>
      <x:c r="P401" s="12" t="n">
        <x:v>0</x:v>
      </x:c>
      <x:c r="Q401" s="12" t="n">
        <x:v>4</x:v>
      </x:c>
      <x:c r="R401" s="12" t="n">
        <x:v>0</x:v>
      </x:c>
      <x:c r="S401" s="12" t="n">
        <x:v>3</x:v>
      </x:c>
      <x:c r="T401" s="1" t="str">
        <x:v>Yes</x:v>
      </x:c>
      <x:c r="U401" s="1" t="n">
        <x:v>0</x:v>
      </x:c>
    </x:row>
    <x:row r="402" ht="23" customHeight="1">
      <x:c r="A402" s="9" t="n">
        <x:v>401</x:v>
      </x:c>
      <x:c r="B402" s="9" t="n">
        <x:v>0</x:v>
      </x:c>
      <x:c r="C402" s="9" t="n">
        <x:v>103</x:v>
      </x:c>
      <x:c r="D402" s="9" t="n">
        <x:v>2</x:v>
      </x:c>
      <x:c r="E402" s="9" t="n">
        <x:v>119469.9999999851</x:v>
      </x:c>
      <x:c r="F402" s="9" t="n">
        <x:v>39427</x:v>
      </x:c>
      <x:c r="G402" s="9" t="n">
        <x:v>26154.9999999851</x:v>
      </x:c>
      <x:c r="H402" s="9" t="n">
        <x:v>49665</x:v>
      </x:c>
      <x:c r="I402" s="9" t="n">
        <x:v>4117</x:v>
      </x:c>
      <x:c r="J402" s="9" t="n">
        <x:v>106</x:v>
      </x:c>
      <x:c r="K402" s="9" t="n">
        <x:f>F402+G402+I402+J402</x:f>
        <x:v>69804.9999999851</x:v>
      </x:c>
      <x:c r="L402" s="10" t="n">
        <x:f>K402/Sources!$B$4*1000</x:f>
        <x:v>19.501081841403053</x:v>
      </x:c>
      <x:c r="M402" s="10" t="n">
        <x:f>E402/Sources!$B$4*1000</x:f>
        <x:v>33.375750269932375</x:v>
      </x:c>
      <x:c r="N402" s="9" t="n">
        <x:f>Sources!$B$6-K402</x:f>
        <x:v>-10068.999999985099</x:v>
      </x:c>
      <x:c r="O402" s="1" t="str">
        <x:v>keyboard_route</x:v>
      </x:c>
      <x:c r="P402" s="12" t="n">
        <x:v>0</x:v>
      </x:c>
      <x:c r="Q402" s="12" t="n">
        <x:v>4</x:v>
      </x:c>
      <x:c r="R402" s="12" t="n">
        <x:v>0</x:v>
      </x:c>
      <x:c r="S402" s="12" t="n">
        <x:v>7</x:v>
      </x:c>
      <x:c r="T402" s="1" t="str">
        <x:v>No</x:v>
      </x:c>
      <x:c r="U402" s="1" t="n">
        <x:v>0</x:v>
      </x:c>
    </x:row>
    <x:row r="403" ht="23" customHeight="1">
      <x:c r="A403" s="9" t="n">
        <x:v>402</x:v>
      </x:c>
      <x:c r="B403" s="9" t="n">
        <x:v>0</x:v>
      </x:c>
      <x:c r="C403" s="9" t="n">
        <x:v>107</x:v>
      </x:c>
      <x:c r="D403" s="9" t="n">
        <x:v>2</x:v>
      </x:c>
      <x:c r="E403" s="9" t="n">
        <x:v>119473.0000000149</x:v>
      </x:c>
      <x:c r="F403" s="9" t="n">
        <x:v>33011</x:v>
      </x:c>
      <x:c r="G403" s="9" t="n">
        <x:v>42229.0000000149</x:v>
      </x:c>
      <x:c r="H403" s="9" t="n">
        <x:v>40010.0000000149</x:v>
      </x:c>
      <x:c r="I403" s="9" t="n">
        <x:v>4117</x:v>
      </x:c>
      <x:c r="J403" s="9" t="n">
        <x:v>105.99999998509884</x:v>
      </x:c>
      <x:c r="K403" s="9" t="n">
        <x:f>F403+G403+I403+J403</x:f>
        <x:v>79463</x:v>
      </x:c>
      <x:c r="L403" s="10" t="n">
        <x:f>K403/Sources!$B$4*1000</x:f>
        <x:v>22.199190120532077</x:v>
      </x:c>
      <x:c r="M403" s="10" t="n">
        <x:f>E403/Sources!$B$4*1000</x:f>
        <x:v>33.37658836528522</x:v>
      </x:c>
      <x:c r="N403" s="9" t="n">
        <x:f>Sources!$B$6-K403</x:f>
        <x:v>-19727</x:v>
      </x:c>
      <x:c r="O403" s="1" t="str">
        <x:v>keyboard_route</x:v>
      </x:c>
      <x:c r="P403" s="12" t="n">
        <x:v>0</x:v>
      </x:c>
      <x:c r="Q403" s="12" t="n">
        <x:v>4</x:v>
      </x:c>
      <x:c r="R403" s="12" t="n">
        <x:v>0</x:v>
      </x:c>
      <x:c r="S403" s="12" t="n">
        <x:v>3</x:v>
      </x:c>
      <x:c r="T403" s="1" t="str">
        <x:v>Yes</x:v>
      </x:c>
      <x:c r="U403" s="1" t="n">
        <x:v>0</x:v>
      </x:c>
    </x:row>
    <x:row r="404" ht="23" customHeight="1">
      <x:c r="A404" s="9" t="n">
        <x:v>403</x:v>
      </x:c>
      <x:c r="B404" s="9" t="n">
        <x:v>0</x:v>
      </x:c>
      <x:c r="C404" s="9" t="n">
        <x:v>111</x:v>
      </x:c>
      <x:c r="D404" s="9" t="n">
        <x:v>2</x:v>
      </x:c>
      <x:c r="E404" s="9" t="n">
        <x:v>119471</x:v>
      </x:c>
      <x:c r="F404" s="9" t="n">
        <x:v>36048</x:v>
      </x:c>
      <x:c r="G404" s="9" t="n">
        <x:v>26155</x:v>
      </x:c>
      <x:c r="H404" s="9" t="n">
        <x:v>53045</x:v>
      </x:c>
      <x:c r="I404" s="9" t="n">
        <x:v>4117</x:v>
      </x:c>
      <x:c r="J404" s="9" t="n">
        <x:v>106</x:v>
      </x:c>
      <x:c r="K404" s="9" t="n">
        <x:f>F404+G404+I404+J404</x:f>
        <x:v>66426</x:v>
      </x:c>
      <x:c r="L404" s="10" t="n">
        <x:f>K404/Sources!$B$4*1000</x:f>
        <x:v>18.557107118362808</x:v>
      </x:c>
      <x:c r="M404" s="10" t="n">
        <x:f>E404/Sources!$B$4*1000</x:f>
        <x:v>33.37602963505138</x:v>
      </x:c>
      <x:c r="N404" s="9" t="n">
        <x:f>Sources!$B$6-K404</x:f>
        <x:v>-6690</x:v>
      </x:c>
      <x:c r="O404" s="1" t="str">
        <x:v>keyboard_route</x:v>
      </x:c>
      <x:c r="P404" s="12" t="n">
        <x:v>0</x:v>
      </x:c>
      <x:c r="Q404" s="12" t="n">
        <x:v>4</x:v>
      </x:c>
      <x:c r="R404" s="12" t="n">
        <x:v>0</x:v>
      </x:c>
      <x:c r="S404" s="12" t="n">
        <x:v>7</x:v>
      </x:c>
      <x:c r="T404" s="1" t="str">
        <x:v>No</x:v>
      </x:c>
      <x:c r="U404" s="1" t="n">
        <x:v>0</x:v>
      </x:c>
    </x:row>
    <x:row r="405" ht="23" customHeight="1">
      <x:c r="A405" s="9" t="n">
        <x:v>404</x:v>
      </x:c>
      <x:c r="B405" s="9" t="n">
        <x:v>0</x:v>
      </x:c>
      <x:c r="C405" s="9" t="n">
        <x:v>115</x:v>
      </x:c>
      <x:c r="D405" s="9" t="n">
        <x:v>2</x:v>
      </x:c>
      <x:c r="E405" s="9" t="n">
        <x:v>119472</x:v>
      </x:c>
      <x:c r="F405" s="9" t="n">
        <x:v>33234</x:v>
      </x:c>
      <x:c r="G405" s="9" t="n">
        <x:v>42235.0000000149</x:v>
      </x:c>
      <x:c r="H405" s="9" t="n">
        <x:v>39780</x:v>
      </x:c>
      <x:c r="I405" s="9" t="n">
        <x:v>4117</x:v>
      </x:c>
      <x:c r="J405" s="9" t="n">
        <x:v>105.99999998509884</x:v>
      </x:c>
      <x:c r="K405" s="9" t="n">
        <x:f>F405+G405+I405+J405</x:f>
        <x:v>79692</x:v>
      </x:c>
      <x:c r="L405" s="10" t="n">
        <x:f>K405/Sources!$B$4*1000</x:f>
        <x:v>22.263164731830443</x:v>
      </x:c>
      <x:c r="M405" s="10" t="n">
        <x:f>E405/Sources!$B$4*1000</x:f>
        <x:v>33.37630900016622</x:v>
      </x:c>
      <x:c r="N405" s="9" t="n">
        <x:f>Sources!$B$6-K405</x:f>
        <x:v>-19956</x:v>
      </x:c>
      <x:c r="O405" s="1" t="str">
        <x:v>keyboard_route</x:v>
      </x:c>
      <x:c r="P405" s="12" t="n">
        <x:v>0</x:v>
      </x:c>
      <x:c r="Q405" s="12" t="n">
        <x:v>4</x:v>
      </x:c>
      <x:c r="R405" s="12" t="n">
        <x:v>0</x:v>
      </x:c>
      <x:c r="S405" s="12" t="n">
        <x:v>3</x:v>
      </x:c>
      <x:c r="T405" s="1" t="str">
        <x:v>Yes</x:v>
      </x:c>
      <x:c r="U405" s="1" t="n">
        <x:v>0</x:v>
      </x:c>
    </x:row>
    <x:row r="406" ht="23" customHeight="1">
      <x:c r="A406" s="9" t="n">
        <x:v>405</x:v>
      </x:c>
      <x:c r="B406" s="9" t="n">
        <x:v>0</x:v>
      </x:c>
      <x:c r="C406" s="9" t="n">
        <x:v>119</x:v>
      </x:c>
      <x:c r="D406" s="9" t="n">
        <x:v>2</x:v>
      </x:c>
      <x:c r="E406" s="9" t="n">
        <x:v>119474</x:v>
      </x:c>
      <x:c r="F406" s="9" t="n">
        <x:v>36407</x:v>
      </x:c>
      <x:c r="G406" s="9" t="n">
        <x:v>27024.0000000149</x:v>
      </x:c>
      <x:c r="H406" s="9" t="n">
        <x:v>51820</x:v>
      </x:c>
      <x:c r="I406" s="9" t="n">
        <x:v>4117</x:v>
      </x:c>
      <x:c r="J406" s="9" t="n">
        <x:v>105.99999998509884</x:v>
      </x:c>
      <x:c r="K406" s="9" t="n">
        <x:f>F406+G406+I406+J406</x:f>
        <x:v>67654</x:v>
      </x:c>
      <x:c r="L406" s="10" t="n">
        <x:f>K406/Sources!$B$4*1000</x:f>
        <x:v>18.900167479386347</x:v>
      </x:c>
      <x:c r="M406" s="10" t="n">
        <x:f>E406/Sources!$B$4*1000</x:f>
        <x:v>33.3768677303959</x:v>
      </x:c>
      <x:c r="N406" s="9" t="n">
        <x:f>Sources!$B$6-K406</x:f>
        <x:v>-7918</x:v>
      </x:c>
      <x:c r="O406" s="1" t="str">
        <x:v>keyboard_route</x:v>
      </x:c>
      <x:c r="P406" s="12" t="n">
        <x:v>0</x:v>
      </x:c>
      <x:c r="Q406" s="12" t="n">
        <x:v>4</x:v>
      </x:c>
      <x:c r="R406" s="12" t="n">
        <x:v>0</x:v>
      </x:c>
      <x:c r="S406" s="12" t="n">
        <x:v>7</x:v>
      </x:c>
      <x:c r="T406" s="1" t="str">
        <x:v>No</x:v>
      </x:c>
      <x:c r="U406" s="1" t="n">
        <x:v>0</x:v>
      </x:c>
    </x:row>
    <x:row r="407" ht="23" customHeight="1">
      <x:c r="A407" s="9" t="n">
        <x:v>406</x:v>
      </x:c>
      <x:c r="B407" s="9" t="n">
        <x:v>0</x:v>
      </x:c>
      <x:c r="C407" s="9" t="n">
        <x:v>123</x:v>
      </x:c>
      <x:c r="D407" s="9" t="n">
        <x:v>2</x:v>
      </x:c>
      <x:c r="E407" s="9" t="n">
        <x:v>119468.9999999851</x:v>
      </x:c>
      <x:c r="F407" s="9" t="n">
        <x:v>36142</x:v>
      </x:c>
      <x:c r="G407" s="9" t="n">
        <x:v>42429</x:v>
      </x:c>
      <x:c r="H407" s="9" t="n">
        <x:v>36675</x:v>
      </x:c>
      <x:c r="I407" s="9" t="n">
        <x:v>4117</x:v>
      </x:c>
      <x:c r="J407" s="9" t="n">
        <x:v>105.99999998509884</x:v>
      </x:c>
      <x:c r="K407" s="9" t="n">
        <x:f>F407+G407+I407+J407</x:f>
        <x:v>82793.9999999851</x:v>
      </x:c>
      <x:c r="L407" s="10" t="n">
        <x:f>K407/Sources!$B$4*1000</x:f>
        <x:v>23.129755318060003</x:v>
      </x:c>
      <x:c r="M407" s="10" t="n">
        <x:f>E407/Sources!$B$4*1000</x:f>
        <x:v>33.37547090481754</x:v>
      </x:c>
      <x:c r="N407" s="9" t="n">
        <x:f>Sources!$B$6-K407</x:f>
        <x:v>-23057.9999999851</x:v>
      </x:c>
      <x:c r="O407" s="1" t="str">
        <x:v>keyboard_route</x:v>
      </x:c>
      <x:c r="P407" s="12" t="n">
        <x:v>0</x:v>
      </x:c>
      <x:c r="Q407" s="12" t="n">
        <x:v>4</x:v>
      </x:c>
      <x:c r="R407" s="12" t="n">
        <x:v>0</x:v>
      </x:c>
      <x:c r="S407" s="12" t="n">
        <x:v>3</x:v>
      </x:c>
      <x:c r="T407" s="1" t="str">
        <x:v>Yes</x:v>
      </x:c>
      <x:c r="U407" s="1" t="n">
        <x:v>0</x:v>
      </x:c>
    </x:row>
    <x:row r="408" ht="23" customHeight="1">
      <x:c r="A408" s="9" t="n">
        <x:v>407</x:v>
      </x:c>
      <x:c r="B408" s="9" t="n">
        <x:v>0</x:v>
      </x:c>
      <x:c r="C408" s="9" t="n">
        <x:v>127</x:v>
      </x:c>
      <x:c r="D408" s="9" t="n">
        <x:v>2</x:v>
      </x:c>
      <x:c r="E408" s="9" t="n">
        <x:v>119474.0000000149</x:v>
      </x:c>
      <x:c r="F408" s="9" t="n">
        <x:v>38936</x:v>
      </x:c>
      <x:c r="G408" s="9" t="n">
        <x:v>26155</x:v>
      </x:c>
      <x:c r="H408" s="9" t="n">
        <x:v>50160</x:v>
      </x:c>
      <x:c r="I408" s="9" t="n">
        <x:v>4117</x:v>
      </x:c>
      <x:c r="J408" s="9" t="n">
        <x:v>106.00000001490116</x:v>
      </x:c>
      <x:c r="K408" s="9" t="n">
        <x:f>F408+G408+I408+J408</x:f>
        <x:v>69314.0000000149</x:v>
      </x:c>
      <x:c r="L408" s="10" t="n">
        <x:f>K408/Sources!$B$4*1000</x:f>
        <x:v>19.363913570024934</x:v>
      </x:c>
      <x:c r="M408" s="10" t="n">
        <x:f>E408/Sources!$B$4*1000</x:f>
        <x:v>33.376867730400065</x:v>
      </x:c>
      <x:c r="N408" s="9" t="n">
        <x:f>Sources!$B$6-K408</x:f>
        <x:v>-9578.000000014901</x:v>
      </x:c>
      <x:c r="O408" s="1" t="str">
        <x:v>keyboard_route</x:v>
      </x:c>
      <x:c r="P408" s="12" t="n">
        <x:v>0</x:v>
      </x:c>
      <x:c r="Q408" s="12" t="n">
        <x:v>4</x:v>
      </x:c>
      <x:c r="R408" s="12" t="n">
        <x:v>0</x:v>
      </x:c>
      <x:c r="S408" s="12" t="n">
        <x:v>7</x:v>
      </x:c>
      <x:c r="T408" s="1" t="str">
        <x:v>No</x:v>
      </x:c>
      <x:c r="U408" s="1" t="n">
        <x:v>0</x:v>
      </x:c>
    </x:row>
    <x:row r="409" ht="23" customHeight="1">
      <x:c r="A409" s="9" t="n">
        <x:v>408</x:v>
      </x:c>
      <x:c r="B409" s="9" t="n">
        <x:v>0</x:v>
      </x:c>
      <x:c r="C409" s="9" t="n">
        <x:v>131</x:v>
      </x:c>
      <x:c r="D409" s="9" t="n">
        <x:v>2</x:v>
      </x:c>
      <x:c r="E409" s="9" t="n">
        <x:v>119472</x:v>
      </x:c>
      <x:c r="F409" s="9" t="n">
        <x:v>34016</x:v>
      </x:c>
      <x:c r="G409" s="9" t="n">
        <x:v>41758</x:v>
      </x:c>
      <x:c r="H409" s="9" t="n">
        <x:v>39475</x:v>
      </x:c>
      <x:c r="I409" s="9" t="n">
        <x:v>4117</x:v>
      </x:c>
      <x:c r="J409" s="9" t="n">
        <x:v>106</x:v>
      </x:c>
      <x:c r="K409" s="9" t="n">
        <x:f>F409+G409+I409+J409</x:f>
        <x:v>79997</x:v>
      </x:c>
      <x:c r="L409" s="10" t="n">
        <x:f>K409/Sources!$B$4*1000</x:f>
        <x:v>22.348371091856645</x:v>
      </x:c>
      <x:c r="M409" s="10" t="n">
        <x:f>E409/Sources!$B$4*1000</x:f>
        <x:v>33.37630900016622</x:v>
      </x:c>
      <x:c r="N409" s="9" t="n">
        <x:f>Sources!$B$6-K409</x:f>
        <x:v>-20261</x:v>
      </x:c>
      <x:c r="O409" s="1" t="str">
        <x:v>keyboard_route</x:v>
      </x:c>
      <x:c r="P409" s="12" t="n">
        <x:v>0</x:v>
      </x:c>
      <x:c r="Q409" s="12" t="n">
        <x:v>4</x:v>
      </x:c>
      <x:c r="R409" s="12" t="n">
        <x:v>0</x:v>
      </x:c>
      <x:c r="S409" s="12" t="n">
        <x:v>3</x:v>
      </x:c>
      <x:c r="T409" s="1" t="str">
        <x:v>Yes</x:v>
      </x:c>
      <x:c r="U409" s="1" t="n">
        <x:v>0</x:v>
      </x:c>
    </x:row>
    <x:row r="410" ht="23" customHeight="1">
      <x:c r="A410" s="9" t="n">
        <x:v>409</x:v>
      </x:c>
      <x:c r="B410" s="9" t="n">
        <x:v>0</x:v>
      </x:c>
      <x:c r="C410" s="9" t="n">
        <x:v>135</x:v>
      </x:c>
      <x:c r="D410" s="9" t="n">
        <x:v>2</x:v>
      </x:c>
      <x:c r="E410" s="9" t="n">
        <x:v>119471</x:v>
      </x:c>
      <x:c r="F410" s="9" t="n">
        <x:v>45073</x:v>
      </x:c>
      <x:c r="G410" s="9" t="n">
        <x:v>26155</x:v>
      </x:c>
      <x:c r="H410" s="9" t="n">
        <x:v>44020</x:v>
      </x:c>
      <x:c r="I410" s="9" t="n">
        <x:v>4116.999999985099</x:v>
      </x:c>
      <x:c r="J410" s="9" t="n">
        <x:v>106.00000001490116</x:v>
      </x:c>
      <x:c r="K410" s="9" t="n">
        <x:f>F410+G410+I410+J410</x:f>
        <x:v>75451</x:v>
      </x:c>
      <x:c r="L410" s="10" t="n">
        <x:f>K410/Sources!$B$4*1000</x:f>
        <x:v>21.07837727979394</x:v>
      </x:c>
      <x:c r="M410" s="10" t="n">
        <x:f>E410/Sources!$B$4*1000</x:f>
        <x:v>33.37602963505138</x:v>
      </x:c>
      <x:c r="N410" s="9" t="n">
        <x:f>Sources!$B$6-K410</x:f>
        <x:v>-15715</x:v>
      </x:c>
      <x:c r="O410" s="1" t="str">
        <x:v>keyboard_route</x:v>
      </x:c>
      <x:c r="P410" s="12" t="n">
        <x:v>0</x:v>
      </x:c>
      <x:c r="Q410" s="12" t="n">
        <x:v>4</x:v>
      </x:c>
      <x:c r="R410" s="12" t="n">
        <x:v>0</x:v>
      </x:c>
      <x:c r="S410" s="12" t="n">
        <x:v>7</x:v>
      </x:c>
      <x:c r="T410" s="1" t="str">
        <x:v>No</x:v>
      </x:c>
      <x:c r="U410" s="1" t="n">
        <x:v>0</x:v>
      </x:c>
    </x:row>
    <x:row r="411" ht="23" customHeight="1">
      <x:c r="A411" s="9" t="n">
        <x:v>410</x:v>
      </x:c>
      <x:c r="B411" s="9" t="n">
        <x:v>0</x:v>
      </x:c>
      <x:c r="C411" s="9" t="n">
        <x:v>139</x:v>
      </x:c>
      <x:c r="D411" s="9" t="n">
        <x:v>2</x:v>
      </x:c>
      <x:c r="E411" s="9" t="n">
        <x:v>119473</x:v>
      </x:c>
      <x:c r="F411" s="9" t="n">
        <x:v>53641.0000000149</x:v>
      </x:c>
      <x:c r="G411" s="9" t="n">
        <x:v>41119</x:v>
      </x:c>
      <x:c r="H411" s="9" t="n">
        <x:v>20490</x:v>
      </x:c>
      <x:c r="I411" s="9" t="n">
        <x:v>4117</x:v>
      </x:c>
      <x:c r="J411" s="9" t="n">
        <x:v>105.99999998509884</x:v>
      </x:c>
      <x:c r="K411" s="9" t="n">
        <x:f>F411+G411+I411+J411</x:f>
        <x:v>98983</x:v>
      </x:c>
      <x:c r="L411" s="10" t="n">
        <x:f>K411/Sources!$B$4*1000</x:f>
        <x:v>27.652397162209166</x:v>
      </x:c>
      <x:c r="M411" s="10" t="n">
        <x:f>E411/Sources!$B$4*1000</x:f>
        <x:v>33.37658836528106</x:v>
      </x:c>
      <x:c r="N411" s="9" t="n">
        <x:f>Sources!$B$6-K411</x:f>
        <x:v>-39247</x:v>
      </x:c>
      <x:c r="O411" s="1" t="str">
        <x:v>keyboard_route</x:v>
      </x:c>
      <x:c r="P411" s="12" t="n">
        <x:v>0</x:v>
      </x:c>
      <x:c r="Q411" s="12" t="n">
        <x:v>4</x:v>
      </x:c>
      <x:c r="R411" s="12" t="n">
        <x:v>0</x:v>
      </x:c>
      <x:c r="S411" s="12" t="n">
        <x:v>3</x:v>
      </x:c>
      <x:c r="T411" s="1" t="str">
        <x:v>Yes</x:v>
      </x:c>
      <x:c r="U411" s="1" t="n">
        <x:v>0</x:v>
      </x:c>
    </x:row>
    <x:row r="412" ht="23" customHeight="1">
      <x:c r="A412" s="9" t="n">
        <x:v>411</x:v>
      </x:c>
      <x:c r="B412" s="9" t="n">
        <x:v>0</x:v>
      </x:c>
      <x:c r="C412" s="9" t="n">
        <x:v>143</x:v>
      </x:c>
      <x:c r="D412" s="9" t="n">
        <x:v>2</x:v>
      </x:c>
      <x:c r="E412" s="9" t="n">
        <x:v>119468.9999999851</x:v>
      </x:c>
      <x:c r="F412" s="9" t="n">
        <x:v>50150</x:v>
      </x:c>
      <x:c r="G412" s="9" t="n">
        <x:v>26161</x:v>
      </x:c>
      <x:c r="H412" s="9" t="n">
        <x:v>38935</x:v>
      </x:c>
      <x:c r="I412" s="9" t="n">
        <x:v>4117</x:v>
      </x:c>
      <x:c r="J412" s="9" t="n">
        <x:v>105.99999998509884</x:v>
      </x:c>
      <x:c r="K412" s="9" t="n">
        <x:f>F412+G412+I412+J412</x:f>
        <x:v>80533.9999999851</x:v>
      </x:c>
      <x:c r="L412" s="10" t="n">
        <x:f>K412/Sources!$B$4*1000</x:f>
        <x:v>22.49839015852157</x:v>
      </x:c>
      <x:c r="M412" s="10" t="n">
        <x:f>E412/Sources!$B$4*1000</x:f>
        <x:v>33.37547090481754</x:v>
      </x:c>
      <x:c r="N412" s="9" t="n">
        <x:f>Sources!$B$6-K412</x:f>
        <x:v>-20797.9999999851</x:v>
      </x:c>
      <x:c r="O412" s="1" t="str">
        <x:v>keyboard_route</x:v>
      </x:c>
      <x:c r="P412" s="12" t="n">
        <x:v>0</x:v>
      </x:c>
      <x:c r="Q412" s="12" t="n">
        <x:v>4</x:v>
      </x:c>
      <x:c r="R412" s="12" t="n">
        <x:v>0</x:v>
      </x:c>
      <x:c r="S412" s="12" t="n">
        <x:v>7</x:v>
      </x:c>
      <x:c r="T412" s="1" t="str">
        <x:v>No</x:v>
      </x:c>
      <x:c r="U412" s="1" t="n">
        <x:v>0</x:v>
      </x:c>
    </x:row>
    <x:row r="413" ht="23" customHeight="1">
      <x:c r="A413" s="9" t="n">
        <x:v>412</x:v>
      </x:c>
      <x:c r="B413" s="9" t="n">
        <x:v>0</x:v>
      </x:c>
      <x:c r="C413" s="9" t="n">
        <x:v>147</x:v>
      </x:c>
      <x:c r="D413" s="9" t="n">
        <x:v>2</x:v>
      </x:c>
      <x:c r="E413" s="9" t="n">
        <x:v>119473.0000000149</x:v>
      </x:c>
      <x:c r="F413" s="9" t="n">
        <x:v>40748</x:v>
      </x:c>
      <x:c r="G413" s="9" t="n">
        <x:v>38137</x:v>
      </x:c>
      <x:c r="H413" s="9" t="n">
        <x:v>36365</x:v>
      </x:c>
      <x:c r="I413" s="9" t="n">
        <x:v>4117.000000014901</x:v>
      </x:c>
      <x:c r="J413" s="9" t="n">
        <x:v>106</x:v>
      </x:c>
      <x:c r="K413" s="9" t="n">
        <x:f>F413+G413+I413+J413</x:f>
        <x:v>83108.0000000149</x:v>
      </x:c>
      <x:c r="L413" s="10" t="n">
        <x:f>K413/Sources!$B$4*1000</x:f>
        <x:v>23.217475964128095</x:v>
      </x:c>
      <x:c r="M413" s="10" t="n">
        <x:f>E413/Sources!$B$4*1000</x:f>
        <x:v>33.37658836528522</x:v>
      </x:c>
      <x:c r="N413" s="9" t="n">
        <x:f>Sources!$B$6-K413</x:f>
        <x:v>-23372.0000000149</x:v>
      </x:c>
      <x:c r="O413" s="1" t="str">
        <x:v>keyboard_route</x:v>
      </x:c>
      <x:c r="P413" s="12" t="n">
        <x:v>0</x:v>
      </x:c>
      <x:c r="Q413" s="12" t="n">
        <x:v>4</x:v>
      </x:c>
      <x:c r="R413" s="12" t="n">
        <x:v>0</x:v>
      </x:c>
      <x:c r="S413" s="12" t="n">
        <x:v>3</x:v>
      </x:c>
      <x:c r="T413" s="1" t="str">
        <x:v>Yes</x:v>
      </x:c>
      <x:c r="U413" s="1" t="n">
        <x:v>0</x:v>
      </x:c>
    </x:row>
    <x:row r="414" ht="23" customHeight="1">
      <x:c r="A414" s="9" t="n">
        <x:v>413</x:v>
      </x:c>
      <x:c r="B414" s="9" t="n">
        <x:v>0</x:v>
      </x:c>
      <x:c r="C414" s="9" t="n">
        <x:v>147</x:v>
      </x:c>
      <x:c r="D414" s="9" t="n">
        <x:v>2</x:v>
      </x:c>
      <x:c r="E414" s="9" t="n">
        <x:v>117919</x:v>
      </x:c>
      <x:c r="F414" s="9" t="n">
        <x:v>43812</x:v>
      </x:c>
      <x:c r="G414" s="9" t="n">
        <x:v>26321</x:v>
      </x:c>
      <x:c r="H414" s="9" t="n">
        <x:v>45115</x:v>
      </x:c>
      <x:c r="I414" s="9" t="n">
        <x:v>2565</x:v>
      </x:c>
      <x:c r="J414" s="9" t="n">
        <x:v>106</x:v>
      </x:c>
      <x:c r="K414" s="9" t="n">
        <x:f>F414+G414+I414+J414</x:f>
        <x:v>72804</x:v>
      </x:c>
      <x:c r="L414" s="10" t="n">
        <x:f>K414/Sources!$B$4*1000</x:f>
        <x:v>20.338897820812424</x:v>
      </x:c>
      <x:c r="M414" s="10" t="n">
        <x:f>E414/Sources!$B$4*1000</x:f>
        <x:v>32.942454976819675</x:v>
      </x:c>
      <x:c r="N414" s="9" t="n">
        <x:f>Sources!$B$6-K414</x:f>
        <x:v>-13068</x:v>
      </x:c>
      <x:c r="O414" s="1" t="str">
        <x:v>keyboard_route</x:v>
      </x:c>
      <x:c r="P414" s="12" t="n">
        <x:v>0</x:v>
      </x:c>
      <x:c r="Q414" s="12" t="n">
        <x:v>0</x:v>
      </x:c>
      <x:c r="R414" s="12" t="n">
        <x:v>0</x:v>
      </x:c>
      <x:c r="S414" s="12" t="n">
        <x:v>3</x:v>
      </x:c>
      <x:c r="T414" s="1" t="str">
        <x:v>No</x:v>
      </x:c>
      <x:c r="U414" s="1" t="n">
        <x:v>0</x:v>
      </x:c>
    </x:row>
    <x:row r="415" ht="23" customHeight="1">
      <x:c r="A415" s="9" t="n">
        <x:v>414</x:v>
      </x:c>
      <x:c r="B415" s="9" t="n">
        <x:v>0</x:v>
      </x:c>
      <x:c r="C415" s="9" t="n">
        <x:v>147</x:v>
      </x:c>
      <x:c r="D415" s="9" t="n">
        <x:v>2</x:v>
      </x:c>
      <x:c r="E415" s="9" t="n">
        <x:v>119472</x:v>
      </x:c>
      <x:c r="F415" s="9" t="n">
        <x:v>39967</x:v>
      </x:c>
      <x:c r="G415" s="9" t="n">
        <x:v>24724.0000000149</x:v>
      </x:c>
      <x:c r="H415" s="9" t="n">
        <x:v>52110</x:v>
      </x:c>
      <x:c r="I415" s="9" t="n">
        <x:v>2565</x:v>
      </x:c>
      <x:c r="J415" s="9" t="n">
        <x:v>105.99999998509884</x:v>
      </x:c>
      <x:c r="K415" s="9" t="n">
        <x:f>F415+G415+I415+J415</x:f>
        <x:v>67362</x:v>
      </x:c>
      <x:c r="L415" s="10" t="n">
        <x:f>K415/Sources!$B$4*1000</x:f>
        <x:v>18.818592865853063</x:v>
      </x:c>
      <x:c r="M415" s="10" t="n">
        <x:f>E415/Sources!$B$4*1000</x:f>
        <x:v>33.37630900016622</x:v>
      </x:c>
      <x:c r="N415" s="9" t="n">
        <x:f>Sources!$B$6-K415</x:f>
        <x:v>-7626</x:v>
      </x:c>
      <x:c r="O415" s="1" t="str">
        <x:v>keyboard_route</x:v>
      </x:c>
      <x:c r="P415" s="12" t="n">
        <x:v>0</x:v>
      </x:c>
      <x:c r="Q415" s="12" t="n">
        <x:v>0</x:v>
      </x:c>
      <x:c r="R415" s="12" t="n">
        <x:v>0</x:v>
      </x:c>
      <x:c r="S415" s="12" t="n">
        <x:v>3</x:v>
      </x:c>
      <x:c r="T415" s="1" t="str">
        <x:v>No</x:v>
      </x:c>
      <x:c r="U415" s="1" t="n">
        <x:v>0</x:v>
      </x:c>
    </x:row>
    <x:row r="416" ht="23" customHeight="1">
      <x:c r="A416" s="9" t="n">
        <x:v>415</x:v>
      </x:c>
      <x:c r="B416" s="9" t="n">
        <x:v>0</x:v>
      </x:c>
      <x:c r="C416" s="9" t="n">
        <x:v>147</x:v>
      </x:c>
      <x:c r="D416" s="9" t="n">
        <x:v>2</x:v>
      </x:c>
      <x:c r="E416" s="9" t="n">
        <x:v>123849</x:v>
      </x:c>
      <x:c r="F416" s="9" t="n">
        <x:v>40760</x:v>
      </x:c>
      <x:c r="G416" s="9" t="n">
        <x:v>25025</x:v>
      </x:c>
      <x:c r="H416" s="9" t="n">
        <x:v>51020</x:v>
      </x:c>
      <x:c r="I416" s="9" t="n">
        <x:v>6938.000000014901</x:v>
      </x:c>
      <x:c r="J416" s="9" t="n">
        <x:v>105.99999998509884</x:v>
      </x:c>
      <x:c r="K416" s="9" t="n">
        <x:f>F416+G416+I416+J416</x:f>
        <x:v>72829</x:v>
      </x:c>
      <x:c r="L416" s="10" t="n">
        <x:f>K416/Sources!$B$4*1000</x:f>
        <x:v>20.345881948683424</x:v>
      </x:c>
      <x:c r="M416" s="10" t="n">
        <x:f>E416/Sources!$B$4*1000</x:f>
        <x:v>34.59909010782096</x:v>
      </x:c>
      <x:c r="N416" s="9" t="n">
        <x:f>Sources!$B$6-K416</x:f>
        <x:v>-13093</x:v>
      </x:c>
      <x:c r="O416" s="1" t="str">
        <x:v>keyboard_route</x:v>
      </x:c>
      <x:c r="P416" s="12" t="n">
        <x:v>0</x:v>
      </x:c>
      <x:c r="Q416" s="12" t="n">
        <x:v>0</x:v>
      </x:c>
      <x:c r="R416" s="12" t="n">
        <x:v>0</x:v>
      </x:c>
      <x:c r="S416" s="12" t="n">
        <x:v>3</x:v>
      </x:c>
      <x:c r="T416" s="1" t="str">
        <x:v>No</x:v>
      </x:c>
      <x:c r="U416" s="1" t="n">
        <x:v>0</x:v>
      </x:c>
    </x:row>
    <x:row r="417" ht="23" customHeight="1">
      <x:c r="A417" s="9" t="n">
        <x:v>416</x:v>
      </x:c>
      <x:c r="B417" s="9" t="n">
        <x:v>0</x:v>
      </x:c>
      <x:c r="C417" s="9" t="n">
        <x:v>147</x:v>
      </x:c>
      <x:c r="D417" s="9" t="n">
        <x:v>2</x:v>
      </x:c>
      <x:c r="E417" s="9" t="n">
        <x:v>119468</x:v>
      </x:c>
      <x:c r="F417" s="9" t="n">
        <x:v>53427</x:v>
      </x:c>
      <x:c r="G417" s="9" t="n">
        <x:v>42782</x:v>
      </x:c>
      <x:c r="H417" s="9" t="n">
        <x:v>16215</x:v>
      </x:c>
      <x:c r="I417" s="9" t="n">
        <x:v>6938</x:v>
      </x:c>
      <x:c r="J417" s="9" t="n">
        <x:v>106</x:v>
      </x:c>
      <x:c r="K417" s="9" t="n">
        <x:f>F417+G417+I417+J417</x:f>
        <x:v>103253</x:v>
      </x:c>
      <x:c r="L417" s="10" t="n">
        <x:f>K417/Sources!$B$4*1000</x:f>
        <x:v>28.845286202576027</x:v>
      </x:c>
      <x:c r="M417" s="10" t="n">
        <x:f>E417/Sources!$B$4*1000</x:f>
        <x:v>33.37519153970686</x:v>
      </x:c>
      <x:c r="N417" s="9" t="n">
        <x:f>Sources!$B$6-K417</x:f>
        <x:v>-43517</x:v>
      </x:c>
      <x:c r="O417" s="1" t="str">
        <x:v>keyboard_route</x:v>
      </x:c>
      <x:c r="P417" s="12" t="n">
        <x:v>0</x:v>
      </x:c>
      <x:c r="Q417" s="12" t="n">
        <x:v>0</x:v>
      </x:c>
      <x:c r="R417" s="12" t="n">
        <x:v>0</x:v>
      </x:c>
      <x:c r="S417" s="12" t="n">
        <x:v>3</x:v>
      </x:c>
      <x:c r="T417" s="1" t="str">
        <x:v>No</x:v>
      </x:c>
      <x:c r="U417" s="1" t="n">
        <x:v>0</x:v>
      </x:c>
    </x:row>
    <x:row r="418" ht="23" customHeight="1">
      <x:c r="A418" s="9" t="n">
        <x:v>417</x:v>
      </x:c>
      <x:c r="B418" s="9" t="n">
        <x:v>0</x:v>
      </x:c>
      <x:c r="C418" s="9" t="n">
        <x:v>147</x:v>
      </x:c>
      <x:c r="D418" s="9" t="n">
        <x:v>2</x:v>
      </x:c>
      <x:c r="E418" s="9" t="n">
        <x:v>115102</x:v>
      </x:c>
      <x:c r="F418" s="9" t="n">
        <x:v>38087</x:v>
      </x:c>
      <x:c r="G418" s="9" t="n">
        <x:v>32844</x:v>
      </x:c>
      <x:c r="H418" s="9" t="n">
        <x:v>41500</x:v>
      </x:c>
      <x:c r="I418" s="9" t="n">
        <x:v>2565</x:v>
      </x:c>
      <x:c r="J418" s="9" t="n">
        <x:v>106</x:v>
      </x:c>
      <x:c r="K418" s="9" t="n">
        <x:f>F418+G418+I418+J418</x:f>
        <x:v>73602</x:v>
      </x:c>
      <x:c r="L418" s="10" t="n">
        <x:f>K418/Sources!$B$4*1000</x:f>
        <x:v>20.561831182454753</x:v>
      </x:c>
      <x:c r="M418" s="10" t="n">
        <x:f>E418/Sources!$B$4*1000</x:f>
        <x:v>32.15548344831536</x:v>
      </x:c>
      <x:c r="N418" s="9" t="n">
        <x:f>Sources!$B$6-K418</x:f>
        <x:v>-13866</x:v>
      </x:c>
      <x:c r="O418" s="1" t="str">
        <x:v>keyboard_route</x:v>
      </x:c>
      <x:c r="P418" s="12" t="n">
        <x:v>0</x:v>
      </x:c>
      <x:c r="Q418" s="12" t="n">
        <x:v>0</x:v>
      </x:c>
      <x:c r="R418" s="12" t="n">
        <x:v>0</x:v>
      </x:c>
      <x:c r="S418" s="12" t="n">
        <x:v>3</x:v>
      </x:c>
      <x:c r="T418" s="1" t="str">
        <x:v>No</x:v>
      </x:c>
      <x:c r="U418" s="1" t="n">
        <x:v>0</x:v>
      </x:c>
    </x:row>
    <x:row r="419" ht="23" customHeight="1">
      <x:c r="A419" s="9" t="n">
        <x:v>418</x:v>
      </x:c>
      <x:c r="B419" s="9" t="n">
        <x:v>0</x:v>
      </x:c>
      <x:c r="C419" s="9" t="n">
        <x:v>147</x:v>
      </x:c>
      <x:c r="D419" s="9" t="n">
        <x:v>2</x:v>
      </x:c>
      <x:c r="E419" s="9" t="n">
        <x:v>119473</x:v>
      </x:c>
      <x:c r="F419" s="9" t="n">
        <x:v>39366</x:v>
      </x:c>
      <x:c r="G419" s="9" t="n">
        <x:v>24536</x:v>
      </x:c>
      <x:c r="H419" s="9" t="n">
        <x:v>52900</x:v>
      </x:c>
      <x:c r="I419" s="9" t="n">
        <x:v>2565</x:v>
      </x:c>
      <x:c r="J419" s="9" t="n">
        <x:v>106</x:v>
      </x:c>
      <x:c r="K419" s="9" t="n">
        <x:f>F419+G419+I419+J419</x:f>
        <x:v>66573</x:v>
      </x:c>
      <x:c r="L419" s="10" t="n">
        <x:f>K419/Sources!$B$4*1000</x:f>
        <x:v>18.59817379024429</x:v>
      </x:c>
      <x:c r="M419" s="10" t="n">
        <x:f>E419/Sources!$B$4*1000</x:f>
        <x:v>33.37658836528106</x:v>
      </x:c>
      <x:c r="N419" s="9" t="n">
        <x:f>Sources!$B$6-K419</x:f>
        <x:v>-6837</x:v>
      </x:c>
      <x:c r="O419" s="1" t="str">
        <x:v>keyboard_route</x:v>
      </x:c>
      <x:c r="P419" s="12" t="n">
        <x:v>0</x:v>
      </x:c>
      <x:c r="Q419" s="12" t="n">
        <x:v>0</x:v>
      </x:c>
      <x:c r="R419" s="12" t="n">
        <x:v>0</x:v>
      </x:c>
      <x:c r="S419" s="12" t="n">
        <x:v>3</x:v>
      </x:c>
      <x:c r="T419" s="1" t="str">
        <x:v>No</x:v>
      </x:c>
      <x:c r="U419" s="1" t="n">
        <x:v>0</x:v>
      </x:c>
    </x:row>
    <x:row r="420" ht="23" customHeight="1">
      <x:c r="A420" s="9" t="n">
        <x:v>419</x:v>
      </x:c>
      <x:c r="B420" s="9" t="n">
        <x:v>0</x:v>
      </x:c>
      <x:c r="C420" s="9" t="n">
        <x:v>147</x:v>
      </x:c>
      <x:c r="D420" s="9" t="n">
        <x:v>2</x:v>
      </x:c>
      <x:c r="E420" s="9" t="n">
        <x:v>119468</x:v>
      </x:c>
      <x:c r="F420" s="9" t="n">
        <x:v>40519</x:v>
      </x:c>
      <x:c r="G420" s="9" t="n">
        <x:v>23968</x:v>
      </x:c>
      <x:c r="H420" s="9" t="n">
        <x:v>52310</x:v>
      </x:c>
      <x:c r="I420" s="9" t="n">
        <x:v>2565</x:v>
      </x:c>
      <x:c r="J420" s="9" t="n">
        <x:v>106</x:v>
      </x:c>
      <x:c r="K420" s="9" t="n">
        <x:f>F420+G420+I420+J420</x:f>
        <x:v>67158</x:v>
      </x:c>
      <x:c r="L420" s="10" t="n">
        <x:f>K420/Sources!$B$4*1000</x:f>
        <x:v>18.7616023824257</x:v>
      </x:c>
      <x:c r="M420" s="10" t="n">
        <x:f>E420/Sources!$B$4*1000</x:f>
        <x:v>33.37519153970686</x:v>
      </x:c>
      <x:c r="N420" s="9" t="n">
        <x:f>Sources!$B$6-K420</x:f>
        <x:v>-7422</x:v>
      </x:c>
      <x:c r="O420" s="1" t="str">
        <x:v>keyboard_route</x:v>
      </x:c>
      <x:c r="P420" s="12" t="n">
        <x:v>0</x:v>
      </x:c>
      <x:c r="Q420" s="12" t="n">
        <x:v>0</x:v>
      </x:c>
      <x:c r="R420" s="12" t="n">
        <x:v>0</x:v>
      </x:c>
      <x:c r="S420" s="12" t="n">
        <x:v>3</x:v>
      </x:c>
      <x:c r="T420" s="1" t="str">
        <x:v>No</x:v>
      </x:c>
      <x:c r="U420" s="1" t="n">
        <x:v>0</x:v>
      </x:c>
    </x:row>
    <x:row r="421" ht="23" customHeight="1">
      <x:c r="A421" s="9" t="n">
        <x:v>420</x:v>
      </x:c>
      <x:c r="B421" s="9" t="n">
        <x:v>0</x:v>
      </x:c>
      <x:c r="C421" s="9" t="n">
        <x:v>147</x:v>
      </x:c>
      <x:c r="D421" s="9" t="n">
        <x:v>2</x:v>
      </x:c>
      <x:c r="E421" s="9" t="n">
        <x:v>119474</x:v>
      </x:c>
      <x:c r="F421" s="9" t="n">
        <x:v>37506.0000000149</x:v>
      </x:c>
      <x:c r="G421" s="9" t="n">
        <x:v>23666.9999999851</x:v>
      </x:c>
      <x:c r="H421" s="9" t="n">
        <x:v>55630</x:v>
      </x:c>
      <x:c r="I421" s="9" t="n">
        <x:v>2565</x:v>
      </x:c>
      <x:c r="J421" s="9" t="n">
        <x:v>106</x:v>
      </x:c>
      <x:c r="K421" s="9" t="n">
        <x:f>F421+G421+I421+J421</x:f>
        <x:v>63844</x:v>
      </x:c>
      <x:c r="L421" s="10" t="n">
        <x:f>K421/Sources!$B$4*1000</x:f>
        <x:v>17.835786391845893</x:v>
      </x:c>
      <x:c r="M421" s="10" t="n">
        <x:f>E421/Sources!$B$4*1000</x:f>
        <x:v>33.3768677303959</x:v>
      </x:c>
      <x:c r="N421" s="9" t="n">
        <x:f>Sources!$B$6-K421</x:f>
        <x:v>-4108</x:v>
      </x:c>
      <x:c r="O421" s="1" t="str">
        <x:v>keyboard_route</x:v>
      </x:c>
      <x:c r="P421" s="12" t="n">
        <x:v>0</x:v>
      </x:c>
      <x:c r="Q421" s="12" t="n">
        <x:v>0</x:v>
      </x:c>
      <x:c r="R421" s="12" t="n">
        <x:v>0</x:v>
      </x:c>
      <x:c r="S421" s="12" t="n">
        <x:v>3</x:v>
      </x:c>
      <x:c r="T421" s="1" t="str">
        <x:v>No</x:v>
      </x:c>
      <x:c r="U421" s="1" t="n">
        <x:v>0</x:v>
      </x:c>
    </x:row>
    <x:row r="422" ht="23" customHeight="1">
      <x:c r="A422" s="9" t="n">
        <x:v>421</x:v>
      </x:c>
      <x:c r="B422" s="9" t="n">
        <x:v>0</x:v>
      </x:c>
      <x:c r="C422" s="9" t="n">
        <x:v>147</x:v>
      </x:c>
      <x:c r="D422" s="9" t="n">
        <x:v>2</x:v>
      </x:c>
      <x:c r="E422" s="9" t="n">
        <x:v>119472</x:v>
      </x:c>
      <x:c r="F422" s="9" t="n">
        <x:v>40747.9999999851</x:v>
      </x:c>
      <x:c r="G422" s="9" t="n">
        <x:v>23967.9999999851</x:v>
      </x:c>
      <x:c r="H422" s="9" t="n">
        <x:v>52085</x:v>
      </x:c>
      <x:c r="I422" s="9" t="n">
        <x:v>2565</x:v>
      </x:c>
      <x:c r="J422" s="9" t="n">
        <x:v>106.00000002980232</x:v>
      </x:c>
      <x:c r="K422" s="9" t="n">
        <x:f>F422+G422+I422+J422</x:f>
        <x:v>67387</x:v>
      </x:c>
      <x:c r="L422" s="10" t="n">
        <x:f>K422/Sources!$B$4*1000</x:f>
        <x:v>18.825576993724063</x:v>
      </x:c>
      <x:c r="M422" s="10" t="n">
        <x:f>E422/Sources!$B$4*1000</x:f>
        <x:v>33.37630900016622</x:v>
      </x:c>
      <x:c r="N422" s="9" t="n">
        <x:f>Sources!$B$6-K422</x:f>
        <x:v>-7651</x:v>
      </x:c>
      <x:c r="O422" s="1" t="str">
        <x:v>keyboard_route</x:v>
      </x:c>
      <x:c r="P422" s="12" t="n">
        <x:v>0</x:v>
      </x:c>
      <x:c r="Q422" s="12" t="n">
        <x:v>0</x:v>
      </x:c>
      <x:c r="R422" s="12" t="n">
        <x:v>0</x:v>
      </x:c>
      <x:c r="S422" s="12" t="n">
        <x:v>3</x:v>
      </x:c>
      <x:c r="T422" s="1" t="str">
        <x:v>No</x:v>
      </x:c>
      <x:c r="U422" s="1" t="n">
        <x:v>0</x:v>
      </x:c>
    </x:row>
    <x:row r="423" ht="23" customHeight="1">
      <x:c r="A423" s="9" t="n">
        <x:v>422</x:v>
      </x:c>
      <x:c r="B423" s="9" t="n">
        <x:v>0</x:v>
      </x:c>
      <x:c r="C423" s="9" t="n">
        <x:v>147</x:v>
      </x:c>
      <x:c r="D423" s="9" t="n">
        <x:v>2</x:v>
      </x:c>
      <x:c r="E423" s="9" t="n">
        <x:v>119472</x:v>
      </x:c>
      <x:c r="F423" s="9" t="n">
        <x:v>34513.9999999851</x:v>
      </x:c>
      <x:c r="G423" s="9" t="n">
        <x:v>23667</x:v>
      </x:c>
      <x:c r="H423" s="9" t="n">
        <x:v>58620</x:v>
      </x:c>
      <x:c r="I423" s="9" t="n">
        <x:v>2565</x:v>
      </x:c>
      <x:c r="J423" s="9" t="n">
        <x:v>106.00000001490116</x:v>
      </x:c>
      <x:c r="K423" s="9" t="n">
        <x:f>F423+G423+I423+J423</x:f>
        <x:v>60852</x:v>
      </x:c>
      <x:c r="L423" s="10" t="n">
        <x:f>K423/Sources!$B$4*1000</x:f>
        <x:v>16.99992596824457</x:v>
      </x:c>
      <x:c r="M423" s="10" t="n">
        <x:f>E423/Sources!$B$4*1000</x:f>
        <x:v>33.37630900016622</x:v>
      </x:c>
      <x:c r="N423" s="9" t="n">
        <x:f>Sources!$B$6-K423</x:f>
        <x:v>-1116</x:v>
      </x:c>
      <x:c r="O423" s="1" t="str">
        <x:v>keyboard_route</x:v>
      </x:c>
      <x:c r="P423" s="12" t="n">
        <x:v>0</x:v>
      </x:c>
      <x:c r="Q423" s="12" t="n">
        <x:v>0</x:v>
      </x:c>
      <x:c r="R423" s="12" t="n">
        <x:v>0</x:v>
      </x:c>
      <x:c r="S423" s="12" t="n">
        <x:v>3</x:v>
      </x:c>
      <x:c r="T423" s="1" t="str">
        <x:v>No</x:v>
      </x:c>
      <x:c r="U423" s="1" t="n">
        <x:v>0</x:v>
      </x:c>
    </x:row>
    <x:row r="424" ht="23" customHeight="1">
      <x:c r="A424" s="9" t="n">
        <x:v>423</x:v>
      </x:c>
      <x:c r="B424" s="9" t="n">
        <x:v>0</x:v>
      </x:c>
      <x:c r="C424" s="9" t="n">
        <x:v>147</x:v>
      </x:c>
      <x:c r="D424" s="9" t="n">
        <x:v>2</x:v>
      </x:c>
      <x:c r="E424" s="9" t="n">
        <x:v>119472</x:v>
      </x:c>
      <x:c r="F424" s="9" t="n">
        <x:v>41596.9999999851</x:v>
      </x:c>
      <x:c r="G424" s="9" t="n">
        <x:v>23974</x:v>
      </x:c>
      <x:c r="H424" s="9" t="n">
        <x:v>51230</x:v>
      </x:c>
      <x:c r="I424" s="9" t="n">
        <x:v>2565</x:v>
      </x:c>
      <x:c r="J424" s="9" t="n">
        <x:v>106.00000001490116</x:v>
      </x:c>
      <x:c r="K424" s="9" t="n">
        <x:f>F424+G424+I424+J424</x:f>
        <x:v>68242</x:v>
      </x:c>
      <x:c r="L424" s="10" t="n">
        <x:f>K424/Sources!$B$4*1000</x:f>
        <x:v>19.064434166912275</x:v>
      </x:c>
      <x:c r="M424" s="10" t="n">
        <x:f>E424/Sources!$B$4*1000</x:f>
        <x:v>33.37630900016622</x:v>
      </x:c>
      <x:c r="N424" s="9" t="n">
        <x:f>Sources!$B$6-K424</x:f>
        <x:v>-8506</x:v>
      </x:c>
      <x:c r="O424" s="1" t="str">
        <x:v>keyboard_route</x:v>
      </x:c>
      <x:c r="P424" s="12" t="n">
        <x:v>0</x:v>
      </x:c>
      <x:c r="Q424" s="12" t="n">
        <x:v>0</x:v>
      </x:c>
      <x:c r="R424" s="12" t="n">
        <x:v>0</x:v>
      </x:c>
      <x:c r="S424" s="12" t="n">
        <x:v>3</x:v>
      </x:c>
      <x:c r="T424" s="1" t="str">
        <x:v>No</x:v>
      </x:c>
      <x:c r="U424" s="1" t="n">
        <x:v>0</x:v>
      </x:c>
    </x:row>
    <x:row r="425" ht="23" customHeight="1">
      <x:c r="A425" s="9" t="n">
        <x:v>424</x:v>
      </x:c>
      <x:c r="B425" s="9" t="n">
        <x:v>0</x:v>
      </x:c>
      <x:c r="C425" s="9" t="n">
        <x:v>147</x:v>
      </x:c>
      <x:c r="D425" s="9" t="n">
        <x:v>2</x:v>
      </x:c>
      <x:c r="E425" s="9" t="n">
        <x:v>119470.9999999851</x:v>
      </x:c>
      <x:c r="F425" s="9" t="n">
        <x:v>37682</x:v>
      </x:c>
      <x:c r="G425" s="9" t="n">
        <x:v>23673.0000000149</x:v>
      </x:c>
      <x:c r="H425" s="9" t="n">
        <x:v>55445</x:v>
      </x:c>
      <x:c r="I425" s="9" t="n">
        <x:v>2565</x:v>
      </x:c>
      <x:c r="J425" s="9" t="n">
        <x:v>105.99999997019768</x:v>
      </x:c>
      <x:c r="K425" s="9" t="n">
        <x:f>F425+G425+I425+J425</x:f>
        <x:v>64025.9999999851</x:v>
      </x:c>
      <x:c r="L425" s="10" t="n">
        <x:f>K425/Sources!$B$4*1000</x:f>
        <x:v>17.886630842742612</x:v>
      </x:c>
      <x:c r="M425" s="10" t="n">
        <x:f>E425/Sources!$B$4*1000</x:f>
        <x:v>33.37602963504722</x:v>
      </x:c>
      <x:c r="N425" s="9" t="n">
        <x:f>Sources!$B$6-K425</x:f>
        <x:v>-4289.999999985099</x:v>
      </x:c>
      <x:c r="O425" s="1" t="str">
        <x:v>keyboard_route</x:v>
      </x:c>
      <x:c r="P425" s="12" t="n">
        <x:v>0</x:v>
      </x:c>
      <x:c r="Q425" s="12" t="n">
        <x:v>0</x:v>
      </x:c>
      <x:c r="R425" s="12" t="n">
        <x:v>0</x:v>
      </x:c>
      <x:c r="S425" s="12" t="n">
        <x:v>3</x:v>
      </x:c>
      <x:c r="T425" s="1" t="str">
        <x:v>No</x:v>
      </x:c>
      <x:c r="U425" s="1" t="n">
        <x:v>0</x:v>
      </x:c>
    </x:row>
    <x:row r="426" ht="23" customHeight="1">
      <x:c r="A426" s="9" t="n">
        <x:v>425</x:v>
      </x:c>
      <x:c r="B426" s="9" t="n">
        <x:v>0</x:v>
      </x:c>
      <x:c r="C426" s="9" t="n">
        <x:v>151</x:v>
      </x:c>
      <x:c r="D426" s="9" t="n">
        <x:v>2</x:v>
      </x:c>
      <x:c r="E426" s="9" t="n">
        <x:v>121027</x:v>
      </x:c>
      <x:c r="F426" s="9" t="n">
        <x:v>40670</x:v>
      </x:c>
      <x:c r="G426" s="9" t="n">
        <x:v>24659.0000000149</x:v>
      </x:c>
      <x:c r="H426" s="9" t="n">
        <x:v>51475</x:v>
      </x:c>
      <x:c r="I426" s="9" t="n">
        <x:v>4117</x:v>
      </x:c>
      <x:c r="J426" s="9" t="n">
        <x:v>105.99999998509884</x:v>
      </x:c>
      <x:c r="K426" s="9" t="n">
        <x:f>F426+G426+I426+J426</x:f>
        <x:v>69552</x:v>
      </x:c>
      <x:c r="L426" s="10" t="n">
        <x:f>K426/Sources!$B$4*1000</x:f>
        <x:v>19.430402467352692</x:v>
      </x:c>
      <x:c r="M426" s="10" t="n">
        <x:f>E426/Sources!$B$4*1000</x:f>
        <x:v>33.81072175374244</x:v>
      </x:c>
      <x:c r="N426" s="9" t="n">
        <x:f>Sources!$B$6-K426</x:f>
        <x:v>-9816</x:v>
      </x:c>
      <x:c r="O426" s="1" t="str">
        <x:v>keyboard_route</x:v>
      </x:c>
      <x:c r="P426" s="12" t="n">
        <x:v>0</x:v>
      </x:c>
      <x:c r="Q426" s="12" t="n">
        <x:v>4</x:v>
      </x:c>
      <x:c r="R426" s="12" t="n">
        <x:v>0</x:v>
      </x:c>
      <x:c r="S426" s="12" t="n">
        <x:v>7</x:v>
      </x:c>
      <x:c r="T426" s="1" t="str">
        <x:v>No</x:v>
      </x:c>
      <x:c r="U426" s="1" t="n">
        <x:v>0</x:v>
      </x:c>
    </x:row>
    <x:row r="427" ht="23" customHeight="1">
      <x:c r="A427" s="9" t="n">
        <x:v>426</x:v>
      </x:c>
      <x:c r="B427" s="9" t="n">
        <x:v>0</x:v>
      </x:c>
      <x:c r="C427" s="9" t="n">
        <x:v>155</x:v>
      </x:c>
      <x:c r="D427" s="9" t="n">
        <x:v>2</x:v>
      </x:c>
      <x:c r="E427" s="9" t="n">
        <x:v>119468.0000000149</x:v>
      </x:c>
      <x:c r="F427" s="9" t="n">
        <x:v>37760</x:v>
      </x:c>
      <x:c r="G427" s="9" t="n">
        <x:v>41525</x:v>
      </x:c>
      <x:c r="H427" s="9" t="n">
        <x:v>35960</x:v>
      </x:c>
      <x:c r="I427" s="9" t="n">
        <x:v>4117</x:v>
      </x:c>
      <x:c r="J427" s="9" t="n">
        <x:v>106.00000001490116</x:v>
      </x:c>
      <x:c r="K427" s="9" t="n">
        <x:f>F427+G427+I427+J427</x:f>
        <x:v>83508.0000000149</x:v>
      </x:c>
      <x:c r="L427" s="10" t="n">
        <x:f>K427/Sources!$B$4*1000</x:f>
        <x:v>23.3292220100641</x:v>
      </x:c>
      <x:c r="M427" s="10" t="n">
        <x:f>E427/Sources!$B$4*1000</x:f>
        <x:v>33.375191539711025</x:v>
      </x:c>
      <x:c r="N427" s="9" t="n">
        <x:f>Sources!$B$6-K427</x:f>
        <x:v>-23772.0000000149</x:v>
      </x:c>
      <x:c r="O427" s="1" t="str">
        <x:v>keyboard_route</x:v>
      </x:c>
      <x:c r="P427" s="12" t="n">
        <x:v>0</x:v>
      </x:c>
      <x:c r="Q427" s="12" t="n">
        <x:v>4</x:v>
      </x:c>
      <x:c r="R427" s="12" t="n">
        <x:v>0</x:v>
      </x:c>
      <x:c r="S427" s="12" t="n">
        <x:v>3</x:v>
      </x:c>
      <x:c r="T427" s="1" t="str">
        <x:v>Yes</x:v>
      </x:c>
      <x:c r="U427" s="1" t="n">
        <x:v>0</x:v>
      </x:c>
    </x:row>
    <x:row r="428" ht="23" customHeight="1">
      <x:c r="A428" s="9" t="n">
        <x:v>427</x:v>
      </x:c>
      <x:c r="B428" s="9" t="n">
        <x:v>0</x:v>
      </x:c>
      <x:c r="C428" s="9" t="n">
        <x:v>159</x:v>
      </x:c>
      <x:c r="D428" s="9" t="n">
        <x:v>2</x:v>
      </x:c>
      <x:c r="E428" s="9" t="n">
        <x:v>119475</x:v>
      </x:c>
      <x:c r="F428" s="9" t="n">
        <x:v>38966.9999999851</x:v>
      </x:c>
      <x:c r="G428" s="9" t="n">
        <x:v>25955</x:v>
      </x:c>
      <x:c r="H428" s="9" t="n">
        <x:v>50330</x:v>
      </x:c>
      <x:c r="I428" s="9" t="n">
        <x:v>4117</x:v>
      </x:c>
      <x:c r="J428" s="9" t="n">
        <x:v>106.00000001490116</x:v>
      </x:c>
      <x:c r="K428" s="9" t="n">
        <x:f>F428+G428+I428+J428</x:f>
        <x:v>69145</x:v>
      </x:c>
      <x:c r="L428" s="10" t="n">
        <x:f>K428/Sources!$B$4*1000</x:f>
        <x:v>19.31670086561281</x:v>
      </x:c>
      <x:c r="M428" s="10" t="n">
        <x:f>E428/Sources!$B$4*1000</x:f>
        <x:v>33.37714709551074</x:v>
      </x:c>
      <x:c r="N428" s="9" t="n">
        <x:f>Sources!$B$6-K428</x:f>
        <x:v>-9409</x:v>
      </x:c>
      <x:c r="O428" s="1" t="str">
        <x:v>keyboard_route</x:v>
      </x:c>
      <x:c r="P428" s="12" t="n">
        <x:v>0</x:v>
      </x:c>
      <x:c r="Q428" s="12" t="n">
        <x:v>4</x:v>
      </x:c>
      <x:c r="R428" s="12" t="n">
        <x:v>0</x:v>
      </x:c>
      <x:c r="S428" s="12" t="n">
        <x:v>7</x:v>
      </x:c>
      <x:c r="T428" s="1" t="str">
        <x:v>No</x:v>
      </x:c>
      <x:c r="U428" s="1" t="n">
        <x:v>0</x:v>
      </x:c>
    </x:row>
    <x:row r="429" ht="23" customHeight="1">
      <x:c r="A429" s="9" t="n">
        <x:v>428</x:v>
      </x:c>
      <x:c r="B429" s="9" t="n">
        <x:v>0</x:v>
      </x:c>
      <x:c r="C429" s="9" t="n">
        <x:v>163</x:v>
      </x:c>
      <x:c r="D429" s="9" t="n">
        <x:v>2</x:v>
      </x:c>
      <x:c r="E429" s="9" t="n">
        <x:v>119470</x:v>
      </x:c>
      <x:c r="F429" s="9" t="n">
        <x:v>35266</x:v>
      </x:c>
      <x:c r="G429" s="9" t="n">
        <x:v>41551</x:v>
      </x:c>
      <x:c r="H429" s="9" t="n">
        <x:v>38430</x:v>
      </x:c>
      <x:c r="I429" s="9" t="n">
        <x:v>4117</x:v>
      </x:c>
      <x:c r="J429" s="9" t="n">
        <x:v>106</x:v>
      </x:c>
      <x:c r="K429" s="9" t="n">
        <x:f>F429+G429+I429+J429</x:f>
        <x:v>81040</x:v>
      </x:c>
      <x:c r="L429" s="10" t="n">
        <x:f>K429/Sources!$B$4*1000</x:f>
        <x:v>22.639748906634782</x:v>
      </x:c>
      <x:c r="M429" s="10" t="n">
        <x:f>E429/Sources!$B$4*1000</x:f>
        <x:v>33.37575026993654</x:v>
      </x:c>
      <x:c r="N429" s="9" t="n">
        <x:f>Sources!$B$6-K429</x:f>
        <x:v>-21304</x:v>
      </x:c>
      <x:c r="O429" s="1" t="str">
        <x:v>keyboard_route</x:v>
      </x:c>
      <x:c r="P429" s="12" t="n">
        <x:v>0</x:v>
      </x:c>
      <x:c r="Q429" s="12" t="n">
        <x:v>4</x:v>
      </x:c>
      <x:c r="R429" s="12" t="n">
        <x:v>0</x:v>
      </x:c>
      <x:c r="S429" s="12" t="n">
        <x:v>3</x:v>
      </x:c>
      <x:c r="T429" s="1" t="str">
        <x:v>Yes</x:v>
      </x:c>
      <x:c r="U429" s="1" t="n">
        <x:v>0</x:v>
      </x:c>
    </x:row>
    <x:row r="430" ht="23" customHeight="1">
      <x:c r="A430" s="9" t="n">
        <x:v>548</x:v>
      </x:c>
      <x:c r="B430" s="9" t="n">
        <x:v>292</x:v>
      </x:c>
      <x:c r="C430" s="9" t="n">
        <x:v>1123</x:v>
      </x:c>
      <x:c r="D430" s="9" t="n">
        <x:v>4</x:v>
      </x:c>
      <x:c r="E430" s="9" t="n">
        <x:v>176386.9999999851</x:v>
      </x:c>
      <x:c r="F430" s="9" t="n">
        <x:v>63926</x:v>
      </x:c>
      <x:c r="G430" s="9" t="n">
        <x:v>93153</x:v>
      </x:c>
      <x:c r="H430" s="9" t="n">
        <x:v>15085.000000014901</x:v>
      </x:c>
      <x:c r="I430" s="9" t="n">
        <x:v>4117</x:v>
      </x:c>
      <x:c r="J430" s="9" t="n">
        <x:v>105.99999997019768</x:v>
      </x:c>
      <x:c r="K430" s="9" t="n">
        <x:f>F430+G430+I430+J430</x:f>
        <x:v>161301.9999999702</x:v>
      </x:c>
      <x:c r="L430" s="10" t="n">
        <x:f>K430/Sources!$B$4*1000</x:f>
        <x:v>45.06215175391571</x:v>
      </x:c>
      <x:c r="M430" s="10" t="n">
        <x:f>E430/Sources!$B$4*1000</x:f>
        <x:v>49.27637451128149</x:v>
      </x:c>
      <x:c r="N430" s="9" t="n">
        <x:f>Sources!$B$6-K430</x:f>
        <x:v>-101565.9999999702</x:v>
      </x:c>
      <x:c r="O430" s="1" t="str">
        <x:v>keyboard_route</x:v>
      </x:c>
      <x:c r="P430" s="12" t="n">
        <x:v>0</x:v>
      </x:c>
      <x:c r="Q430" s="12" t="n">
        <x:v>-8</x:v>
      </x:c>
      <x:c r="R430" s="12" t="n">
        <x:v>4</x:v>
      </x:c>
      <x:c r="S430" s="12" t="n">
        <x:v>3</x:v>
      </x:c>
      <x:c r="T430" s="1" t="str">
        <x:v>Yes</x:v>
      </x:c>
      <x:c r="U430" s="1" t="n">
        <x:v>0</x:v>
      </x:c>
    </x:row>
    <x:row r="431" ht="23" customHeight="1">
      <x:c r="A431" s="9" t="n">
        <x:v>549</x:v>
      </x:c>
      <x:c r="B431" s="9" t="n">
        <x:v>292</x:v>
      </x:c>
      <x:c r="C431" s="9" t="n">
        <x:v>1119</x:v>
      </x:c>
      <x:c r="D431" s="9" t="n">
        <x:v>3</x:v>
      </x:c>
      <x:c r="E431" s="9" t="n">
        <x:v>119471.0000000149</x:v>
      </x:c>
      <x:c r="F431" s="9" t="n">
        <x:v>39715.9999999851</x:v>
      </x:c>
      <x:c r="G431" s="9" t="n">
        <x:v>70677</x:v>
      </x:c>
      <x:c r="H431" s="9" t="n">
        <x:v>4855</x:v>
      </x:c>
      <x:c r="I431" s="9" t="n">
        <x:v>4117</x:v>
      </x:c>
      <x:c r="J431" s="9" t="n">
        <x:v>106.00000002980232</x:v>
      </x:c>
      <x:c r="K431" s="9" t="n">
        <x:f>F431+G431+I431+J431</x:f>
        <x:v>114616.0000000149</x:v>
      </x:c>
      <x:c r="L431" s="10" t="n">
        <x:f>K431/Sources!$B$4*1000</x:f>
        <x:v>32.01971200250727</x:v>
      </x:c>
      <x:c r="M431" s="10" t="n">
        <x:f>E431/Sources!$B$4*1000</x:f>
        <x:v>33.376029635055545</x:v>
      </x:c>
      <x:c r="N431" s="9" t="n">
        <x:f>Sources!$B$6-K431</x:f>
        <x:v>-54880.0000000149</x:v>
      </x:c>
      <x:c r="O431" s="1" t="str">
        <x:v>keyboard_route</x:v>
      </x:c>
      <x:c r="P431" s="12" t="n">
        <x:v>0</x:v>
      </x:c>
      <x:c r="Q431" s="12" t="n">
        <x:v>-4</x:v>
      </x:c>
      <x:c r="R431" s="12" t="n">
        <x:v>4</x:v>
      </x:c>
      <x:c r="S431" s="12" t="n">
        <x:v>7</x:v>
      </x:c>
      <x:c r="T431" s="1" t="str">
        <x:v>Yes</x:v>
      </x:c>
      <x:c r="U431" s="1" t="n">
        <x:v>0</x:v>
      </x:c>
    </x:row>
    <x:row r="432" ht="23" customHeight="1">
      <x:c r="A432" s="9" t="n">
        <x:v>550</x:v>
      </x:c>
      <x:c r="B432" s="9" t="n">
        <x:v>292</x:v>
      </x:c>
      <x:c r="C432" s="9" t="n">
        <x:v>1115</x:v>
      </x:c>
      <x:c r="D432" s="9" t="n">
        <x:v>2</x:v>
      </x:c>
      <x:c r="E432" s="9" t="n">
        <x:v>119472</x:v>
      </x:c>
      <x:c r="F432" s="9" t="n">
        <x:v>39033</x:v>
      </x:c>
      <x:c r="G432" s="9" t="n">
        <x:v>27531</x:v>
      </x:c>
      <x:c r="H432" s="9" t="n">
        <x:v>48685</x:v>
      </x:c>
      <x:c r="I432" s="9" t="n">
        <x:v>4117.000000014901</x:v>
      </x:c>
      <x:c r="J432" s="9" t="n">
        <x:v>105.99999998509884</x:v>
      </x:c>
      <x:c r="K432" s="9" t="n">
        <x:f>F432+G432+I432+J432</x:f>
        <x:v>70787</x:v>
      </x:c>
      <x:c r="L432" s="10" t="n">
        <x:f>K432/Sources!$B$4*1000</x:f>
        <x:v>19.77541838418011</x:v>
      </x:c>
      <x:c r="M432" s="10" t="n">
        <x:f>E432/Sources!$B$4*1000</x:f>
        <x:v>33.37630900016622</x:v>
      </x:c>
      <x:c r="N432" s="9" t="n">
        <x:f>Sources!$B$6-K432</x:f>
        <x:v>-11051</x:v>
      </x:c>
      <x:c r="O432" s="1" t="str">
        <x:v>keyboard_route</x:v>
      </x:c>
      <x:c r="P432" s="12" t="n">
        <x:v>0</x:v>
      </x:c>
      <x:c r="Q432" s="12" t="n">
        <x:v>-4</x:v>
      </x:c>
      <x:c r="R432" s="12" t="n">
        <x:v>4</x:v>
      </x:c>
      <x:c r="S432" s="12" t="n">
        <x:v>3</x:v>
      </x:c>
      <x:c r="T432" s="1" t="str">
        <x:v>No</x:v>
      </x:c>
      <x:c r="U432" s="1" t="n">
        <x:v>0</x:v>
      </x:c>
    </x:row>
    <x:row r="433" ht="23" customHeight="1">
      <x:c r="A433" s="9" t="n">
        <x:v>551</x:v>
      </x:c>
      <x:c r="B433" s="9" t="n">
        <x:v>292</x:v>
      </x:c>
      <x:c r="C433" s="9" t="n">
        <x:v>1111</x:v>
      </x:c>
      <x:c r="D433" s="9" t="n">
        <x:v>2</x:v>
      </x:c>
      <x:c r="E433" s="9" t="n">
        <x:v>122294.9999999851</x:v>
      </x:c>
      <x:c r="F433" s="9" t="n">
        <x:v>41416</x:v>
      </x:c>
      <x:c r="G433" s="9" t="n">
        <x:v>39860.0000000149</x:v>
      </x:c>
      <x:c r="H433" s="9" t="n">
        <x:v>33975</x:v>
      </x:c>
      <x:c r="I433" s="9" t="n">
        <x:v>6938</x:v>
      </x:c>
      <x:c r="J433" s="9" t="n">
        <x:v>105.99999997019768</x:v>
      </x:c>
      <x:c r="K433" s="9" t="n">
        <x:f>F433+G433+I433+J433</x:f>
        <x:v>88319.9999999851</x:v>
      </x:c>
      <x:c r="L433" s="10" t="n">
        <x:f>K433/Sources!$B$4*1000</x:f>
        <x:v>24.673526942665926</x:v>
      </x:c>
      <x:c r="M433" s="10" t="n">
        <x:f>E433/Sources!$B$4*1000</x:f>
        <x:v>34.164956719355416</x:v>
      </x:c>
      <x:c r="N433" s="9" t="n">
        <x:f>Sources!$B$6-K433</x:f>
        <x:v>-28583.9999999851</x:v>
      </x:c>
      <x:c r="O433" s="1" t="str">
        <x:v>keyboard_route</x:v>
      </x:c>
      <x:c r="P433" s="12" t="n">
        <x:v>0</x:v>
      </x:c>
      <x:c r="Q433" s="12" t="n">
        <x:v>-4</x:v>
      </x:c>
      <x:c r="R433" s="12" t="n">
        <x:v>4</x:v>
      </x:c>
      <x:c r="S433" s="12" t="n">
        <x:v>7</x:v>
      </x:c>
      <x:c r="T433" s="1" t="str">
        <x:v>Yes</x:v>
      </x:c>
      <x:c r="U433" s="1" t="n">
        <x:v>0</x:v>
      </x:c>
    </x:row>
    <x:row r="434" ht="23" customHeight="1">
      <x:c r="A434" s="9" t="n">
        <x:v>552</x:v>
      </x:c>
      <x:c r="B434" s="9" t="n">
        <x:v>292</x:v>
      </x:c>
      <x:c r="C434" s="9" t="n">
        <x:v>1107</x:v>
      </x:c>
      <x:c r="D434" s="9" t="n">
        <x:v>2</x:v>
      </x:c>
      <x:c r="E434" s="9" t="n">
        <x:v>116649.0000000149</x:v>
      </x:c>
      <x:c r="F434" s="9" t="n">
        <x:v>39010</x:v>
      </x:c>
      <x:c r="G434" s="9" t="n">
        <x:v>27531.0000000149</x:v>
      </x:c>
      <x:c r="H434" s="9" t="n">
        <x:v>45885.0000000149</x:v>
      </x:c>
      <x:c r="I434" s="9" t="n">
        <x:v>4117</x:v>
      </x:c>
      <x:c r="J434" s="9" t="n">
        <x:v>105.99999998509884</x:v>
      </x:c>
      <x:c r="K434" s="9" t="n">
        <x:f>F434+G434+I434+J434</x:f>
        <x:v>70764</x:v>
      </x:c>
      <x:c r="L434" s="10" t="n">
        <x:f>K434/Sources!$B$4*1000</x:f>
        <x:v>19.76899298653879</x:v>
      </x:c>
      <x:c r="M434" s="10" t="n">
        <x:f>E434/Sources!$B$4*1000</x:f>
        <x:v>32.587661280977024</x:v>
      </x:c>
      <x:c r="N434" s="9" t="n">
        <x:f>Sources!$B$6-K434</x:f>
        <x:v>-11028</x:v>
      </x:c>
      <x:c r="O434" s="1" t="str">
        <x:v>keyboard_route</x:v>
      </x:c>
      <x:c r="P434" s="12" t="n">
        <x:v>0</x:v>
      </x:c>
      <x:c r="Q434" s="12" t="n">
        <x:v>-4</x:v>
      </x:c>
      <x:c r="R434" s="12" t="n">
        <x:v>4</x:v>
      </x:c>
      <x:c r="S434" s="12" t="n">
        <x:v>3</x:v>
      </x:c>
      <x:c r="T434" s="1" t="str">
        <x:v>No</x:v>
      </x:c>
      <x:c r="U434" s="1" t="n">
        <x:v>0</x:v>
      </x:c>
    </x:row>
    <x:row r="435" ht="23" customHeight="1">
      <x:c r="A435" s="9" t="n">
        <x:v>553</x:v>
      </x:c>
      <x:c r="B435" s="9" t="n">
        <x:v>292</x:v>
      </x:c>
      <x:c r="C435" s="9" t="n">
        <x:v>1103</x:v>
      </x:c>
      <x:c r="D435" s="9" t="n">
        <x:v>2</x:v>
      </x:c>
      <x:c r="E435" s="9" t="n">
        <x:v>119474</x:v>
      </x:c>
      <x:c r="F435" s="9" t="n">
        <x:v>35316.0000000149</x:v>
      </x:c>
      <x:c r="G435" s="9" t="n">
        <x:v>39860</x:v>
      </x:c>
      <x:c r="H435" s="9" t="n">
        <x:v>40075</x:v>
      </x:c>
      <x:c r="I435" s="9" t="n">
        <x:v>4117</x:v>
      </x:c>
      <x:c r="J435" s="9" t="n">
        <x:v>105.99999998509884</x:v>
      </x:c>
      <x:c r="K435" s="9" t="n">
        <x:f>F435+G435+I435+J435</x:f>
        <x:v>79399</x:v>
      </x:c>
      <x:c r="L435" s="10" t="n">
        <x:f>K435/Sources!$B$4*1000</x:f>
        <x:v>22.181310753182316</x:v>
      </x:c>
      <x:c r="M435" s="10" t="n">
        <x:f>E435/Sources!$B$4*1000</x:f>
        <x:v>33.3768677303959</x:v>
      </x:c>
      <x:c r="N435" s="9" t="n">
        <x:f>Sources!$B$6-K435</x:f>
        <x:v>-19663</x:v>
      </x:c>
      <x:c r="O435" s="1" t="str">
        <x:v>keyboard_route</x:v>
      </x:c>
      <x:c r="P435" s="12" t="n">
        <x:v>0</x:v>
      </x:c>
      <x:c r="Q435" s="12" t="n">
        <x:v>-4</x:v>
      </x:c>
      <x:c r="R435" s="12" t="n">
        <x:v>4</x:v>
      </x:c>
      <x:c r="S435" s="12" t="n">
        <x:v>7</x:v>
      </x:c>
      <x:c r="T435" s="1" t="str">
        <x:v>Yes</x:v>
      </x:c>
      <x:c r="U435" s="1" t="n">
        <x:v>0</x:v>
      </x:c>
    </x:row>
    <x:row r="436" ht="23" customHeight="1">
      <x:c r="A436" s="9" t="n">
        <x:v>554</x:v>
      </x:c>
      <x:c r="B436" s="9" t="n">
        <x:v>292</x:v>
      </x:c>
      <x:c r="C436" s="9" t="n">
        <x:v>1099</x:v>
      </x:c>
      <x:c r="D436" s="9" t="n">
        <x:v>2</x:v>
      </x:c>
      <x:c r="E436" s="9" t="n">
        <x:v>119471</x:v>
      </x:c>
      <x:c r="F436" s="9" t="n">
        <x:v>36037</x:v>
      </x:c>
      <x:c r="G436" s="9" t="n">
        <x:v>27530.9999999851</x:v>
      </x:c>
      <x:c r="H436" s="9" t="n">
        <x:v>51680</x:v>
      </x:c>
      <x:c r="I436" s="9" t="n">
        <x:v>4117.000000014901</x:v>
      </x:c>
      <x:c r="J436" s="9" t="n">
        <x:v>106</x:v>
      </x:c>
      <x:c r="K436" s="9" t="n">
        <x:f>F436+G436+I436+J436</x:f>
        <x:v>67791</x:v>
      </x:c>
      <x:c r="L436" s="10" t="n">
        <x:f>K436/Sources!$B$4*1000</x:f>
        <x:v>18.93844050011943</x:v>
      </x:c>
      <x:c r="M436" s="10" t="n">
        <x:f>E436/Sources!$B$4*1000</x:f>
        <x:v>33.37602963505138</x:v>
      </x:c>
      <x:c r="N436" s="9" t="n">
        <x:f>Sources!$B$6-K436</x:f>
        <x:v>-8055</x:v>
      </x:c>
      <x:c r="O436" s="1" t="str">
        <x:v>keyboard_route</x:v>
      </x:c>
      <x:c r="P436" s="12" t="n">
        <x:v>0</x:v>
      </x:c>
      <x:c r="Q436" s="12" t="n">
        <x:v>-4</x:v>
      </x:c>
      <x:c r="R436" s="12" t="n">
        <x:v>4</x:v>
      </x:c>
      <x:c r="S436" s="12" t="n">
        <x:v>3</x:v>
      </x:c>
      <x:c r="T436" s="1" t="str">
        <x:v>No</x:v>
      </x:c>
      <x:c r="U436" s="1" t="n">
        <x:v>0</x:v>
      </x:c>
    </x:row>
    <x:row r="437" ht="23" customHeight="1">
      <x:c r="A437" s="9" t="n">
        <x:v>555</x:v>
      </x:c>
      <x:c r="B437" s="9" t="n">
        <x:v>292</x:v>
      </x:c>
      <x:c r="C437" s="9" t="n">
        <x:v>1095</x:v>
      </x:c>
      <x:c r="D437" s="9" t="n">
        <x:v>2</x:v>
      </x:c>
      <x:c r="E437" s="9" t="n">
        <x:v>119473</x:v>
      </x:c>
      <x:c r="F437" s="9" t="n">
        <x:v>33860</x:v>
      </x:c>
      <x:c r="G437" s="9" t="n">
        <x:v>39860</x:v>
      </x:c>
      <x:c r="H437" s="9" t="n">
        <x:v>41530</x:v>
      </x:c>
      <x:c r="I437" s="9" t="n">
        <x:v>4117</x:v>
      </x:c>
      <x:c r="J437" s="9" t="n">
        <x:v>106</x:v>
      </x:c>
      <x:c r="K437" s="9" t="n">
        <x:f>F437+G437+I437+J437</x:f>
        <x:v>77943</x:v>
      </x:c>
      <x:c r="L437" s="10" t="n">
        <x:f>K437/Sources!$B$4*1000</x:f>
        <x:v>21.774555145975256</x:v>
      </x:c>
      <x:c r="M437" s="10" t="n">
        <x:f>E437/Sources!$B$4*1000</x:f>
        <x:v>33.37658836528106</x:v>
      </x:c>
      <x:c r="N437" s="9" t="n">
        <x:f>Sources!$B$6-K437</x:f>
        <x:v>-18207</x:v>
      </x:c>
      <x:c r="O437" s="1" t="str">
        <x:v>keyboard_route</x:v>
      </x:c>
      <x:c r="P437" s="12" t="n">
        <x:v>0</x:v>
      </x:c>
      <x:c r="Q437" s="12" t="n">
        <x:v>-4</x:v>
      </x:c>
      <x:c r="R437" s="12" t="n">
        <x:v>4</x:v>
      </x:c>
      <x:c r="S437" s="12" t="n">
        <x:v>7</x:v>
      </x:c>
      <x:c r="T437" s="1" t="str">
        <x:v>Yes</x:v>
      </x:c>
      <x:c r="U437" s="1" t="n">
        <x:v>0</x:v>
      </x:c>
    </x:row>
    <x:row r="438" ht="23" customHeight="1">
      <x:c r="A438" s="9" t="n">
        <x:v>556</x:v>
      </x:c>
      <x:c r="B438" s="9" t="n">
        <x:v>292</x:v>
      </x:c>
      <x:c r="C438" s="9" t="n">
        <x:v>1091</x:v>
      </x:c>
      <x:c r="D438" s="9" t="n">
        <x:v>2</x:v>
      </x:c>
      <x:c r="E438" s="9" t="n">
        <x:v>119467.9999999851</x:v>
      </x:c>
      <x:c r="F438" s="9" t="n">
        <x:v>36858.9999999851</x:v>
      </x:c>
      <x:c r="G438" s="9" t="n">
        <x:v>27531</x:v>
      </x:c>
      <x:c r="H438" s="9" t="n">
        <x:v>50855</x:v>
      </x:c>
      <x:c r="I438" s="9" t="n">
        <x:v>4117</x:v>
      </x:c>
      <x:c r="J438" s="9" t="n">
        <x:v>106</x:v>
      </x:c>
      <x:c r="K438" s="9" t="n">
        <x:f>F438+G438+I438+J438</x:f>
        <x:v>68612.9999999851</x:v>
      </x:c>
      <x:c r="L438" s="10" t="n">
        <x:f>K438/Sources!$B$4*1000</x:f>
        <x:v>19.168078624513758</x:v>
      </x:c>
      <x:c r="M438" s="10" t="n">
        <x:f>E438/Sources!$B$4*1000</x:f>
        <x:v>33.3751915397027</x:v>
      </x:c>
      <x:c r="N438" s="9" t="n">
        <x:f>Sources!$B$6-K438</x:f>
        <x:v>-8876.999999985099</x:v>
      </x:c>
      <x:c r="O438" s="1" t="str">
        <x:v>keyboard_route</x:v>
      </x:c>
      <x:c r="P438" s="12" t="n">
        <x:v>0</x:v>
      </x:c>
      <x:c r="Q438" s="12" t="n">
        <x:v>-4</x:v>
      </x:c>
      <x:c r="R438" s="12" t="n">
        <x:v>4</x:v>
      </x:c>
      <x:c r="S438" s="12" t="n">
        <x:v>3</x:v>
      </x:c>
      <x:c r="T438" s="1" t="str">
        <x:v>No</x:v>
      </x:c>
      <x:c r="U438" s="1" t="n">
        <x:v>0</x:v>
      </x:c>
    </x:row>
    <x:row r="439" ht="23" customHeight="1">
      <x:c r="A439" s="9" t="n">
        <x:v>557</x:v>
      </x:c>
      <x:c r="B439" s="9" t="n">
        <x:v>292</x:v>
      </x:c>
      <x:c r="C439" s="9" t="n">
        <x:v>1087</x:v>
      </x:c>
      <x:c r="D439" s="9" t="n">
        <x:v>2</x:v>
      </x:c>
      <x:c r="E439" s="9" t="n">
        <x:v>119475</x:v>
      </x:c>
      <x:c r="F439" s="9" t="n">
        <x:v>33700.9999999851</x:v>
      </x:c>
      <x:c r="G439" s="9" t="n">
        <x:v>39885.9999999851</x:v>
      </x:c>
      <x:c r="H439" s="9" t="n">
        <x:v>41665</x:v>
      </x:c>
      <x:c r="I439" s="9" t="n">
        <x:v>4117</x:v>
      </x:c>
      <x:c r="J439" s="9" t="n">
        <x:v>106.00000002980232</x:v>
      </x:c>
      <x:c r="K439" s="9" t="n">
        <x:f>F439+G439+I439+J439</x:f>
        <x:v>77810</x:v>
      </x:c>
      <x:c r="L439" s="10" t="n">
        <x:f>K439/Sources!$B$4*1000</x:f>
        <x:v>21.73739958570153</x:v>
      </x:c>
      <x:c r="M439" s="10" t="n">
        <x:f>E439/Sources!$B$4*1000</x:f>
        <x:v>33.37714709551074</x:v>
      </x:c>
      <x:c r="N439" s="9" t="n">
        <x:f>Sources!$B$6-K439</x:f>
        <x:v>-18074</x:v>
      </x:c>
      <x:c r="O439" s="1" t="str">
        <x:v>keyboard_route</x:v>
      </x:c>
      <x:c r="P439" s="12" t="n">
        <x:v>0</x:v>
      </x:c>
      <x:c r="Q439" s="12" t="n">
        <x:v>-4</x:v>
      </x:c>
      <x:c r="R439" s="12" t="n">
        <x:v>4</x:v>
      </x:c>
      <x:c r="S439" s="12" t="n">
        <x:v>7</x:v>
      </x:c>
      <x:c r="T439" s="1" t="str">
        <x:v>Yes</x:v>
      </x:c>
      <x:c r="U439" s="1" t="n">
        <x:v>0</x:v>
      </x:c>
    </x:row>
    <x:row r="440" ht="23" customHeight="1">
      <x:c r="A440" s="9" t="n">
        <x:v>558</x:v>
      </x:c>
      <x:c r="B440" s="9" t="n">
        <x:v>292</x:v>
      </x:c>
      <x:c r="C440" s="9" t="n">
        <x:v>1083</x:v>
      </x:c>
      <x:c r="D440" s="9" t="n">
        <x:v>2</x:v>
      </x:c>
      <x:c r="E440" s="9" t="n">
        <x:v>119471.0000000149</x:v>
      </x:c>
      <x:c r="F440" s="9" t="n">
        <x:v>37143</x:v>
      </x:c>
      <x:c r="G440" s="9" t="n">
        <x:v>27525.0000000149</x:v>
      </x:c>
      <x:c r="H440" s="9" t="n">
        <x:v>50580</x:v>
      </x:c>
      <x:c r="I440" s="9" t="n">
        <x:v>4117</x:v>
      </x:c>
      <x:c r="J440" s="9" t="n">
        <x:v>106</x:v>
      </x:c>
      <x:c r="K440" s="9" t="n">
        <x:f>F440+G440+I440+J440</x:f>
        <x:v>68891.0000000149</x:v>
      </x:c>
      <x:c r="L440" s="10" t="n">
        <x:f>K440/Sources!$B$4*1000</x:f>
        <x:v>19.24574212644761</x:v>
      </x:c>
      <x:c r="M440" s="10" t="n">
        <x:f>E440/Sources!$B$4*1000</x:f>
        <x:v>33.376029635055545</x:v>
      </x:c>
      <x:c r="N440" s="9" t="n">
        <x:f>Sources!$B$6-K440</x:f>
        <x:v>-9155.000000014901</x:v>
      </x:c>
      <x:c r="O440" s="1" t="str">
        <x:v>keyboard_route</x:v>
      </x:c>
      <x:c r="P440" s="12" t="n">
        <x:v>0</x:v>
      </x:c>
      <x:c r="Q440" s="12" t="n">
        <x:v>-4</x:v>
      </x:c>
      <x:c r="R440" s="12" t="n">
        <x:v>4</x:v>
      </x:c>
      <x:c r="S440" s="12" t="n">
        <x:v>3</x:v>
      </x:c>
      <x:c r="T440" s="1" t="str">
        <x:v>No</x:v>
      </x:c>
      <x:c r="U440" s="1" t="n">
        <x:v>0</x:v>
      </x:c>
    </x:row>
    <x:row r="441" ht="23" customHeight="1">
      <x:c r="A441" s="9" t="n">
        <x:v>559</x:v>
      </x:c>
      <x:c r="B441" s="9" t="n">
        <x:v>292</x:v>
      </x:c>
      <x:c r="C441" s="9" t="n">
        <x:v>1079</x:v>
      </x:c>
      <x:c r="D441" s="9" t="n">
        <x:v>2</x:v>
      </x:c>
      <x:c r="E441" s="9" t="n">
        <x:v>119473</x:v>
      </x:c>
      <x:c r="F441" s="9" t="n">
        <x:v>43675</x:v>
      </x:c>
      <x:c r="G441" s="9" t="n">
        <x:v>39880</x:v>
      </x:c>
      <x:c r="H441" s="9" t="n">
        <x:v>31695</x:v>
      </x:c>
      <x:c r="I441" s="9" t="n">
        <x:v>4117</x:v>
      </x:c>
      <x:c r="J441" s="9" t="n">
        <x:v>106</x:v>
      </x:c>
      <x:c r="K441" s="9" t="n">
        <x:f>F441+G441+I441+J441</x:f>
        <x:v>87778</x:v>
      </x:c>
      <x:c r="L441" s="10" t="n">
        <x:f>K441/Sources!$B$4*1000</x:f>
        <x:v>24.5221110504268</x:v>
      </x:c>
      <x:c r="M441" s="10" t="n">
        <x:f>E441/Sources!$B$4*1000</x:f>
        <x:v>33.37658836528106</x:v>
      </x:c>
      <x:c r="N441" s="9" t="n">
        <x:f>Sources!$B$6-K441</x:f>
        <x:v>-28042</x:v>
      </x:c>
      <x:c r="O441" s="1" t="str">
        <x:v>keyboard_route</x:v>
      </x:c>
      <x:c r="P441" s="12" t="n">
        <x:v>0</x:v>
      </x:c>
      <x:c r="Q441" s="12" t="n">
        <x:v>-4</x:v>
      </x:c>
      <x:c r="R441" s="12" t="n">
        <x:v>4</x:v>
      </x:c>
      <x:c r="S441" s="12" t="n">
        <x:v>7</x:v>
      </x:c>
      <x:c r="T441" s="1" t="str">
        <x:v>Yes</x:v>
      </x:c>
      <x:c r="U441" s="1" t="n">
        <x:v>0</x:v>
      </x:c>
    </x:row>
    <x:row r="442" ht="23" customHeight="1">
      <x:c r="A442" s="9" t="n">
        <x:v>560</x:v>
      </x:c>
      <x:c r="B442" s="9" t="n">
        <x:v>292</x:v>
      </x:c>
      <x:c r="C442" s="9" t="n">
        <x:v>1075</x:v>
      </x:c>
      <x:c r="D442" s="9" t="n">
        <x:v>2</x:v>
      </x:c>
      <x:c r="E442" s="9" t="n">
        <x:v>119471</x:v>
      </x:c>
      <x:c r="F442" s="9" t="n">
        <x:v>47928</x:v>
      </x:c>
      <x:c r="G442" s="9" t="n">
        <x:v>27525</x:v>
      </x:c>
      <x:c r="H442" s="9" t="n">
        <x:v>39794.9999999851</x:v>
      </x:c>
      <x:c r="I442" s="9" t="n">
        <x:v>4117</x:v>
      </x:c>
      <x:c r="J442" s="9" t="n">
        <x:v>106.00000001490116</x:v>
      </x:c>
      <x:c r="K442" s="9" t="n">
        <x:f>F442+G442+I442+J442</x:f>
        <x:v>79676.0000000149</x:v>
      </x:c>
      <x:c r="L442" s="10" t="n">
        <x:f>K442/Sources!$B$4*1000</x:f>
        <x:v>22.258694889997166</x:v>
      </x:c>
      <x:c r="M442" s="10" t="n">
        <x:f>E442/Sources!$B$4*1000</x:f>
        <x:v>33.37602963505138</x:v>
      </x:c>
      <x:c r="N442" s="9" t="n">
        <x:f>Sources!$B$6-K442</x:f>
        <x:v>-19940.0000000149</x:v>
      </x:c>
      <x:c r="O442" s="1" t="str">
        <x:v>keyboard_route</x:v>
      </x:c>
      <x:c r="P442" s="12" t="n">
        <x:v>0</x:v>
      </x:c>
      <x:c r="Q442" s="12" t="n">
        <x:v>-4</x:v>
      </x:c>
      <x:c r="R442" s="12" t="n">
        <x:v>4</x:v>
      </x:c>
      <x:c r="S442" s="12" t="n">
        <x:v>3</x:v>
      </x:c>
      <x:c r="T442" s="1" t="str">
        <x:v>No</x:v>
      </x:c>
      <x:c r="U442" s="1" t="n">
        <x:v>0</x:v>
      </x:c>
    </x:row>
    <x:row r="443" ht="23" customHeight="1">
      <x:c r="A443" s="9" t="n">
        <x:v>561</x:v>
      </x:c>
      <x:c r="B443" s="9" t="n">
        <x:v>292</x:v>
      </x:c>
      <x:c r="C443" s="9" t="n">
        <x:v>1071</x:v>
      </x:c>
      <x:c r="D443" s="9" t="n">
        <x:v>2</x:v>
      </x:c>
      <x:c r="E443" s="9" t="n">
        <x:v>119471</x:v>
      </x:c>
      <x:c r="F443" s="9" t="n">
        <x:v>44917</x:v>
      </x:c>
      <x:c r="G443" s="9" t="n">
        <x:v>39886</x:v>
      </x:c>
      <x:c r="H443" s="9" t="n">
        <x:v>30445</x:v>
      </x:c>
      <x:c r="I443" s="9" t="n">
        <x:v>4117</x:v>
      </x:c>
      <x:c r="J443" s="9" t="n">
        <x:v>106</x:v>
      </x:c>
      <x:c r="K443" s="9" t="n">
        <x:f>F443+G443+I443+J443</x:f>
        <x:v>89026</x:v>
      </x:c>
      <x:c r="L443" s="10" t="n">
        <x:f>K443/Sources!$B$4*1000</x:f>
        <x:v>24.870758713747136</x:v>
      </x:c>
      <x:c r="M443" s="10" t="n">
        <x:f>E443/Sources!$B$4*1000</x:f>
        <x:v>33.37602963505138</x:v>
      </x:c>
      <x:c r="N443" s="9" t="n">
        <x:f>Sources!$B$6-K443</x:f>
        <x:v>-29290</x:v>
      </x:c>
      <x:c r="O443" s="1" t="str">
        <x:v>keyboard_route</x:v>
      </x:c>
      <x:c r="P443" s="12" t="n">
        <x:v>0</x:v>
      </x:c>
      <x:c r="Q443" s="12" t="n">
        <x:v>-4</x:v>
      </x:c>
      <x:c r="R443" s="12" t="n">
        <x:v>4</x:v>
      </x:c>
      <x:c r="S443" s="12" t="n">
        <x:v>7</x:v>
      </x:c>
      <x:c r="T443" s="1" t="str">
        <x:v>Yes</x:v>
      </x:c>
      <x:c r="U443" s="1" t="n">
        <x:v>0</x:v>
      </x:c>
    </x:row>
    <x:row r="444" ht="23" customHeight="1">
      <x:c r="A444" s="9" t="n">
        <x:v>562</x:v>
      </x:c>
      <x:c r="B444" s="9" t="n">
        <x:v>292</x:v>
      </x:c>
      <x:c r="C444" s="9" t="n">
        <x:v>1067</x:v>
      </x:c>
      <x:c r="D444" s="9" t="n">
        <x:v>2</x:v>
      </x:c>
      <x:c r="E444" s="9" t="n">
        <x:v>119472.9999999851</x:v>
      </x:c>
      <x:c r="F444" s="9" t="n">
        <x:v>41988.9999999851</x:v>
      </x:c>
      <x:c r="G444" s="9" t="n">
        <x:v>27530.9999999851</x:v>
      </x:c>
      <x:c r="H444" s="9" t="n">
        <x:v>45730</x:v>
      </x:c>
      <x:c r="I444" s="9" t="n">
        <x:v>4117</x:v>
      </x:c>
      <x:c r="J444" s="9" t="n">
        <x:v>106.00000001490116</x:v>
      </x:c>
      <x:c r="K444" s="9" t="n">
        <x:f>F444+G444+I444+J444</x:f>
        <x:v>73742.9999999851</x:v>
      </x:c>
      <x:c r="L444" s="10" t="n">
        <x:f>K444/Sources!$B$4*1000</x:f>
        <x:v>20.60122166364303</x:v>
      </x:c>
      <x:c r="M444" s="10" t="n">
        <x:f>E444/Sources!$B$4*1000</x:f>
        <x:v>33.376588365276895</x:v>
      </x:c>
      <x:c r="N444" s="9" t="n">
        <x:f>Sources!$B$6-K444</x:f>
        <x:v>-14006.999999985099</x:v>
      </x:c>
      <x:c r="O444" s="1" t="str">
        <x:v>keyboard_route</x:v>
      </x:c>
      <x:c r="P444" s="12" t="n">
        <x:v>0</x:v>
      </x:c>
      <x:c r="Q444" s="12" t="n">
        <x:v>-4</x:v>
      </x:c>
      <x:c r="R444" s="12" t="n">
        <x:v>4</x:v>
      </x:c>
      <x:c r="S444" s="12" t="n">
        <x:v>3</x:v>
      </x:c>
      <x:c r="T444" s="1" t="str">
        <x:v>No</x:v>
      </x:c>
      <x:c r="U444" s="1" t="n">
        <x:v>0</x:v>
      </x:c>
    </x:row>
    <x:row r="445" ht="23" customHeight="1">
      <x:c r="A445" s="9" t="n">
        <x:v>563</x:v>
      </x:c>
      <x:c r="B445" s="9" t="n">
        <x:v>292</x:v>
      </x:c>
      <x:c r="C445" s="9" t="n">
        <x:v>1063</x:v>
      </x:c>
      <x:c r="D445" s="9" t="n">
        <x:v>2</x:v>
      </x:c>
      <x:c r="E445" s="9" t="n">
        <x:v>119473.0000000149</x:v>
      </x:c>
      <x:c r="F445" s="9" t="n">
        <x:v>30759</x:v>
      </x:c>
      <x:c r="G445" s="9" t="n">
        <x:v>39886</x:v>
      </x:c>
      <x:c r="H445" s="9" t="n">
        <x:v>44605</x:v>
      </x:c>
      <x:c r="I445" s="9" t="n">
        <x:v>4117.000000014901</x:v>
      </x:c>
      <x:c r="J445" s="9" t="n">
        <x:v>106</x:v>
      </x:c>
      <x:c r="K445" s="9" t="n">
        <x:f>F445+G445+I445+J445</x:f>
        <x:v>74868.0000000149</x:v>
      </x:c>
      <x:c r="L445" s="10" t="n">
        <x:f>K445/Sources!$B$4*1000</x:f>
        <x:v>20.915507417846374</x:v>
      </x:c>
      <x:c r="M445" s="10" t="n">
        <x:f>E445/Sources!$B$4*1000</x:f>
        <x:v>33.37658836528522</x:v>
      </x:c>
      <x:c r="N445" s="9" t="n">
        <x:f>Sources!$B$6-K445</x:f>
        <x:v>-15132.000000014901</x:v>
      </x:c>
      <x:c r="O445" s="1" t="str">
        <x:v>keyboard_route</x:v>
      </x:c>
      <x:c r="P445" s="12" t="n">
        <x:v>0</x:v>
      </x:c>
      <x:c r="Q445" s="12" t="n">
        <x:v>-4</x:v>
      </x:c>
      <x:c r="R445" s="12" t="n">
        <x:v>4</x:v>
      </x:c>
      <x:c r="S445" s="12" t="n">
        <x:v>7</x:v>
      </x:c>
      <x:c r="T445" s="1" t="str">
        <x:v>Yes</x:v>
      </x:c>
      <x:c r="U445" s="1" t="n">
        <x:v>0</x:v>
      </x:c>
    </x:row>
    <x:row r="446" ht="23" customHeight="1">
      <x:c r="A446" s="9" t="n">
        <x:v>564</x:v>
      </x:c>
      <x:c r="B446" s="9" t="n">
        <x:v>292</x:v>
      </x:c>
      <x:c r="C446" s="9" t="n">
        <x:v>1059</x:v>
      </x:c>
      <x:c r="D446" s="9" t="n">
        <x:v>2</x:v>
      </x:c>
      <x:c r="E446" s="9" t="n">
        <x:v>119469</x:v>
      </x:c>
      <x:c r="F446" s="9" t="n">
        <x:v>35014</x:v>
      </x:c>
      <x:c r="G446" s="9" t="n">
        <x:v>27537.0000000149</x:v>
      </x:c>
      <x:c r="H446" s="9" t="n">
        <x:v>52695</x:v>
      </x:c>
      <x:c r="I446" s="9" t="n">
        <x:v>4116.999999985099</x:v>
      </x:c>
      <x:c r="J446" s="9" t="n">
        <x:v>106</x:v>
      </x:c>
      <x:c r="K446" s="9" t="n">
        <x:f>F446+G446+I446+J446</x:f>
        <x:v>66774</x:v>
      </x:c>
      <x:c r="L446" s="10" t="n">
        <x:f>K446/Sources!$B$4*1000</x:f>
        <x:v>18.654326178327132</x:v>
      </x:c>
      <x:c r="M446" s="10" t="n">
        <x:f>E446/Sources!$B$4*1000</x:f>
        <x:v>33.375470904821704</x:v>
      </x:c>
      <x:c r="N446" s="9" t="n">
        <x:f>Sources!$B$6-K446</x:f>
        <x:v>-7038</x:v>
      </x:c>
      <x:c r="O446" s="1" t="str">
        <x:v>keyboard_route</x:v>
      </x:c>
      <x:c r="P446" s="12" t="n">
        <x:v>0</x:v>
      </x:c>
      <x:c r="Q446" s="12" t="n">
        <x:v>-4</x:v>
      </x:c>
      <x:c r="R446" s="12" t="n">
        <x:v>4</x:v>
      </x:c>
      <x:c r="S446" s="12" t="n">
        <x:v>3</x:v>
      </x:c>
      <x:c r="T446" s="1" t="str">
        <x:v>No</x:v>
      </x:c>
      <x:c r="U446" s="1" t="n">
        <x:v>0</x:v>
      </x:c>
    </x:row>
    <x:row r="447" ht="23" customHeight="1">
      <x:c r="A447" s="9" t="n">
        <x:v>565</x:v>
      </x:c>
      <x:c r="B447" s="9" t="n">
        <x:v>292</x:v>
      </x:c>
      <x:c r="C447" s="9" t="n">
        <x:v>1055</x:v>
      </x:c>
      <x:c r="D447" s="9" t="n">
        <x:v>2</x:v>
      </x:c>
      <x:c r="E447" s="9" t="n">
        <x:v>119473</x:v>
      </x:c>
      <x:c r="F447" s="9" t="n">
        <x:v>30889.0000000149</x:v>
      </x:c>
      <x:c r="G447" s="9" t="n">
        <x:v>39866</x:v>
      </x:c>
      <x:c r="H447" s="9" t="n">
        <x:v>44494.9999999851</x:v>
      </x:c>
      <x:c r="I447" s="9" t="n">
        <x:v>4117</x:v>
      </x:c>
      <x:c r="J447" s="9" t="n">
        <x:v>106</x:v>
      </x:c>
      <x:c r="K447" s="9" t="n">
        <x:f>F447+G447+I447+J447</x:f>
        <x:v>74978.0000000149</x:v>
      </x:c>
      <x:c r="L447" s="10" t="n">
        <x:f>K447/Sources!$B$4*1000</x:f>
        <x:v>20.946237580478776</x:v>
      </x:c>
      <x:c r="M447" s="10" t="n">
        <x:f>E447/Sources!$B$4*1000</x:f>
        <x:v>33.37658836528106</x:v>
      </x:c>
      <x:c r="N447" s="9" t="n">
        <x:f>Sources!$B$6-K447</x:f>
        <x:v>-15242.000000014901</x:v>
      </x:c>
      <x:c r="O447" s="1" t="str">
        <x:v>keyboard_route</x:v>
      </x:c>
      <x:c r="P447" s="12" t="n">
        <x:v>0</x:v>
      </x:c>
      <x:c r="Q447" s="12" t="n">
        <x:v>-4</x:v>
      </x:c>
      <x:c r="R447" s="12" t="n">
        <x:v>4</x:v>
      </x:c>
      <x:c r="S447" s="12" t="n">
        <x:v>7</x:v>
      </x:c>
      <x:c r="T447" s="1" t="str">
        <x:v>Yes</x:v>
      </x:c>
      <x:c r="U447" s="1" t="n">
        <x:v>0</x:v>
      </x:c>
    </x:row>
    <x:row r="448" ht="23" customHeight="1">
      <x:c r="A448" s="9" t="n">
        <x:v>566</x:v>
      </x:c>
      <x:c r="B448" s="9" t="n">
        <x:v>292</x:v>
      </x:c>
      <x:c r="C448" s="9" t="n">
        <x:v>1051</x:v>
      </x:c>
      <x:c r="D448" s="9" t="n">
        <x:v>2</x:v>
      </x:c>
      <x:c r="E448" s="9" t="n">
        <x:v>122296</x:v>
      </x:c>
      <x:c r="F448" s="9" t="n">
        <x:v>41994.9999999851</x:v>
      </x:c>
      <x:c r="G448" s="9" t="n">
        <x:v>27536.9999999851</x:v>
      </x:c>
      <x:c r="H448" s="9" t="n">
        <x:v>45719.9999999851</x:v>
      </x:c>
      <x:c r="I448" s="9" t="n">
        <x:v>6938</x:v>
      </x:c>
      <x:c r="J448" s="9" t="n">
        <x:v>106.00000004470348</x:v>
      </x:c>
      <x:c r="K448" s="9" t="n">
        <x:f>F448+G448+I448+J448</x:f>
        <x:v>76576.0000000149</x:v>
      </x:c>
      <x:c r="L448" s="10" t="n">
        <x:f>K448/Sources!$B$4*1000</x:f>
        <x:v>21.39266303399312</x:v>
      </x:c>
      <x:c r="M448" s="10" t="n">
        <x:f>E448/Sources!$B$4*1000</x:f>
        <x:v>34.16523608447442</x:v>
      </x:c>
      <x:c r="N448" s="9" t="n">
        <x:f>Sources!$B$6-K448</x:f>
        <x:v>-16840.0000000149</x:v>
      </x:c>
      <x:c r="O448" s="1" t="str">
        <x:v>keyboard_route</x:v>
      </x:c>
      <x:c r="P448" s="12" t="n">
        <x:v>0</x:v>
      </x:c>
      <x:c r="Q448" s="12" t="n">
        <x:v>-4</x:v>
      </x:c>
      <x:c r="R448" s="12" t="n">
        <x:v>4</x:v>
      </x:c>
      <x:c r="S448" s="12" t="n">
        <x:v>3</x:v>
      </x:c>
      <x:c r="T448" s="1" t="str">
        <x:v>No</x:v>
      </x:c>
      <x:c r="U448" s="1" t="n">
        <x:v>0</x:v>
      </x:c>
    </x:row>
    <x:row r="449" ht="23" customHeight="1">
      <x:c r="A449" s="9" t="n">
        <x:v>567</x:v>
      </x:c>
      <x:c r="B449" s="9" t="n">
        <x:v>292</x:v>
      </x:c>
      <x:c r="C449" s="9" t="n">
        <x:v>1047</x:v>
      </x:c>
      <x:c r="D449" s="9" t="n">
        <x:v>2</x:v>
      </x:c>
      <x:c r="E449" s="9" t="n">
        <x:v>116649</x:v>
      </x:c>
      <x:c r="F449" s="9" t="n">
        <x:v>38505</x:v>
      </x:c>
      <x:c r="G449" s="9" t="n">
        <x:v>39866.0000000149</x:v>
      </x:c>
      <x:c r="H449" s="9" t="n">
        <x:v>34055</x:v>
      </x:c>
      <x:c r="I449" s="9" t="n">
        <x:v>4117</x:v>
      </x:c>
      <x:c r="J449" s="9" t="n">
        <x:v>105.99999998509884</x:v>
      </x:c>
      <x:c r="K449" s="9" t="n">
        <x:f>F449+G449+I449+J449</x:f>
        <x:v>82594</x:v>
      </x:c>
      <x:c r="L449" s="10" t="n">
        <x:f>K449/Sources!$B$4*1000</x:f>
        <x:v>23.073882295096162</x:v>
      </x:c>
      <x:c r="M449" s="10" t="n">
        <x:f>E449/Sources!$B$4*1000</x:f>
        <x:v>32.58766128097286</x:v>
      </x:c>
      <x:c r="N449" s="9" t="n">
        <x:f>Sources!$B$6-K449</x:f>
        <x:v>-22858</x:v>
      </x:c>
      <x:c r="O449" s="1" t="str">
        <x:v>keyboard_route</x:v>
      </x:c>
      <x:c r="P449" s="12" t="n">
        <x:v>0</x:v>
      </x:c>
      <x:c r="Q449" s="12" t="n">
        <x:v>-4</x:v>
      </x:c>
      <x:c r="R449" s="12" t="n">
        <x:v>4</x:v>
      </x:c>
      <x:c r="S449" s="12" t="n">
        <x:v>7</x:v>
      </x:c>
      <x:c r="T449" s="1" t="str">
        <x:v>Yes</x:v>
      </x:c>
      <x:c r="U449" s="1" t="n">
        <x:v>0</x:v>
      </x:c>
    </x:row>
    <x:row r="450" ht="23" customHeight="1">
      <x:c r="A450" s="9" t="n">
        <x:v>568</x:v>
      </x:c>
      <x:c r="B450" s="9" t="n">
        <x:v>292</x:v>
      </x:c>
      <x:c r="C450" s="9" t="n">
        <x:v>1043</x:v>
      </x:c>
      <x:c r="D450" s="9" t="n">
        <x:v>2</x:v>
      </x:c>
      <x:c r="E450" s="9" t="n">
        <x:v>119473</x:v>
      </x:c>
      <x:c r="F450" s="9" t="n">
        <x:v>44983</x:v>
      </x:c>
      <x:c r="G450" s="9" t="n">
        <x:v>27537</x:v>
      </x:c>
      <x:c r="H450" s="9" t="n">
        <x:v>42730</x:v>
      </x:c>
      <x:c r="I450" s="9" t="n">
        <x:v>4117</x:v>
      </x:c>
      <x:c r="J450" s="9" t="n">
        <x:v>106</x:v>
      </x:c>
      <x:c r="K450" s="9" t="n">
        <x:f>F450+G450+I450+J450</x:f>
        <x:v>76743</x:v>
      </x:c>
      <x:c r="L450" s="10" t="n">
        <x:f>K450/Sources!$B$4*1000</x:f>
        <x:v>21.43931700816724</x:v>
      </x:c>
      <x:c r="M450" s="10" t="n">
        <x:f>E450/Sources!$B$4*1000</x:f>
        <x:v>33.37658836528106</x:v>
      </x:c>
      <x:c r="N450" s="9" t="n">
        <x:f>Sources!$B$6-K450</x:f>
        <x:v>-17007</x:v>
      </x:c>
      <x:c r="O450" s="1" t="str">
        <x:v>keyboard_route</x:v>
      </x:c>
      <x:c r="P450" s="12" t="n">
        <x:v>0</x:v>
      </x:c>
      <x:c r="Q450" s="12" t="n">
        <x:v>-4</x:v>
      </x:c>
      <x:c r="R450" s="12" t="n">
        <x:v>4</x:v>
      </x:c>
      <x:c r="S450" s="12" t="n">
        <x:v>3</x:v>
      </x:c>
      <x:c r="T450" s="1" t="str">
        <x:v>No</x:v>
      </x:c>
      <x:c r="U450" s="1" t="n">
        <x:v>0</x:v>
      </x:c>
    </x:row>
    <x:row r="451" ht="23" customHeight="1">
      <x:c r="A451" s="9" t="n">
        <x:v>569</x:v>
      </x:c>
      <x:c r="B451" s="9" t="n">
        <x:v>292</x:v>
      </x:c>
      <x:c r="C451" s="9" t="n">
        <x:v>1039</x:v>
      </x:c>
      <x:c r="D451" s="9" t="n">
        <x:v>2</x:v>
      </x:c>
      <x:c r="E451" s="9" t="n">
        <x:v>119473</x:v>
      </x:c>
      <x:c r="F451" s="9" t="n">
        <x:v>49274</x:v>
      </x:c>
      <x:c r="G451" s="9" t="n">
        <x:v>39866</x:v>
      </x:c>
      <x:c r="H451" s="9" t="n">
        <x:v>26110</x:v>
      </x:c>
      <x:c r="I451" s="9" t="n">
        <x:v>4116.999999985099</x:v>
      </x:c>
      <x:c r="J451" s="9" t="n">
        <x:v>106.00000001490116</x:v>
      </x:c>
      <x:c r="K451" s="9" t="n">
        <x:f>F451+G451+I451+J451</x:f>
        <x:v>93363</x:v>
      </x:c>
      <x:c r="L451" s="10" t="n">
        <x:f>K451/Sources!$B$4*1000</x:f>
        <x:v>26.082365216808284</x:v>
      </x:c>
      <x:c r="M451" s="10" t="n">
        <x:f>E451/Sources!$B$4*1000</x:f>
        <x:v>33.37658836528106</x:v>
      </x:c>
      <x:c r="N451" s="9" t="n">
        <x:f>Sources!$B$6-K451</x:f>
        <x:v>-33627</x:v>
      </x:c>
      <x:c r="O451" s="1" t="str">
        <x:v>keyboard_route</x:v>
      </x:c>
      <x:c r="P451" s="12" t="n">
        <x:v>0</x:v>
      </x:c>
      <x:c r="Q451" s="12" t="n">
        <x:v>-4</x:v>
      </x:c>
      <x:c r="R451" s="12" t="n">
        <x:v>4</x:v>
      </x:c>
      <x:c r="S451" s="12" t="n">
        <x:v>7</x:v>
      </x:c>
      <x:c r="T451" s="1" t="str">
        <x:v>Yes</x:v>
      </x:c>
      <x:c r="U451" s="1" t="n">
        <x:v>0</x:v>
      </x:c>
    </x:row>
    <x:row r="452" ht="23" customHeight="1">
      <x:c r="A452" s="9" t="n">
        <x:v>570</x:v>
      </x:c>
      <x:c r="B452" s="9" t="n">
        <x:v>292</x:v>
      </x:c>
      <x:c r="C452" s="9" t="n">
        <x:v>1035</x:v>
      </x:c>
      <x:c r="D452" s="9" t="n">
        <x:v>2</x:v>
      </x:c>
      <x:c r="E452" s="9" t="n">
        <x:v>119468</x:v>
      </x:c>
      <x:c r="F452" s="9" t="n">
        <x:v>56478.0000000149</x:v>
      </x:c>
      <x:c r="G452" s="9" t="n">
        <x:v>55137</x:v>
      </x:c>
      <x:c r="H452" s="9" t="n">
        <x:v>3629.999999985099</x:v>
      </x:c>
      <x:c r="I452" s="9" t="n">
        <x:v>4117</x:v>
      </x:c>
      <x:c r="J452" s="9" t="n">
        <x:v>106</x:v>
      </x:c>
      <x:c r="K452" s="9" t="n">
        <x:f>F452+G452+I452+J452</x:f>
        <x:v>115838.0000000149</x:v>
      </x:c>
      <x:c r="L452" s="10" t="n">
        <x:f>K452/Sources!$B$4*1000</x:f>
        <x:v>32.361096172841776</x:v>
      </x:c>
      <x:c r="M452" s="10" t="n">
        <x:f>E452/Sources!$B$4*1000</x:f>
        <x:v>33.37519153970686</x:v>
      </x:c>
      <x:c r="N452" s="9" t="n">
        <x:f>Sources!$B$6-K452</x:f>
        <x:v>-56102.0000000149</x:v>
      </x:c>
      <x:c r="O452" s="1" t="str">
        <x:v>keyboard_route</x:v>
      </x:c>
      <x:c r="P452" s="12" t="n">
        <x:v>0</x:v>
      </x:c>
      <x:c r="Q452" s="12" t="n">
        <x:v>-4</x:v>
      </x:c>
      <x:c r="R452" s="12" t="n">
        <x:v>4</x:v>
      </x:c>
      <x:c r="S452" s="12" t="n">
        <x:v>3</x:v>
      </x:c>
      <x:c r="T452" s="1" t="str">
        <x:v>No</x:v>
      </x:c>
      <x:c r="U452" s="1" t="n">
        <x:v>0</x:v>
      </x:c>
    </x:row>
    <x:row r="453" ht="23" customHeight="1">
      <x:c r="A453" s="9" t="n">
        <x:v>571</x:v>
      </x:c>
      <x:c r="B453" s="9" t="n">
        <x:v>292</x:v>
      </x:c>
      <x:c r="C453" s="9" t="n">
        <x:v>1031</x:v>
      </x:c>
      <x:c r="D453" s="9" t="n">
        <x:v>2</x:v>
      </x:c>
      <x:c r="E453" s="9" t="n">
        <x:v>119473.9999999851</x:v>
      </x:c>
      <x:c r="F453" s="9" t="n">
        <x:v>36476</x:v>
      </x:c>
      <x:c r="G453" s="9" t="n">
        <x:v>49505</x:v>
      </x:c>
      <x:c r="H453" s="9" t="n">
        <x:v>29270</x:v>
      </x:c>
      <x:c r="I453" s="9" t="n">
        <x:v>4117</x:v>
      </x:c>
      <x:c r="J453" s="9" t="n">
        <x:v>105.99999998509884</x:v>
      </x:c>
      <x:c r="K453" s="9" t="n">
        <x:f>F453+G453+I453+J453</x:f>
        <x:v>90203.9999999851</x:v>
      </x:c>
      <x:c r="L453" s="10" t="n">
        <x:f>K453/Sources!$B$4*1000</x:f>
        <x:v>25.199850819024515</x:v>
      </x:c>
      <x:c r="M453" s="10" t="n">
        <x:f>E453/Sources!$B$4*1000</x:f>
        <x:v>33.37686773039174</x:v>
      </x:c>
      <x:c r="N453" s="9" t="n">
        <x:f>Sources!$B$6-K453</x:f>
        <x:v>-30467.9999999851</x:v>
      </x:c>
      <x:c r="O453" s="1" t="str">
        <x:v>keyboard_route</x:v>
      </x:c>
      <x:c r="P453" s="12" t="n">
        <x:v>0</x:v>
      </x:c>
      <x:c r="Q453" s="12" t="n">
        <x:v>-4</x:v>
      </x:c>
      <x:c r="R453" s="12" t="n">
        <x:v>4</x:v>
      </x:c>
      <x:c r="S453" s="12" t="n">
        <x:v>7</x:v>
      </x:c>
      <x:c r="T453" s="1" t="str">
        <x:v>Yes</x:v>
      </x:c>
      <x:c r="U453" s="1" t="n">
        <x:v>0</x:v>
      </x:c>
    </x:row>
    <x:row r="454" ht="23" customHeight="1">
      <x:c r="A454" s="9" t="n">
        <x:v>572</x:v>
      </x:c>
      <x:c r="B454" s="9" t="n">
        <x:v>292</x:v>
      </x:c>
      <x:c r="C454" s="9" t="n">
        <x:v>1027</x:v>
      </x:c>
      <x:c r="D454" s="9" t="n">
        <x:v>2</x:v>
      </x:c>
      <x:c r="E454" s="9" t="n">
        <x:v>119474.0000000149</x:v>
      </x:c>
      <x:c r="F454" s="9" t="n">
        <x:v>41633.9999999851</x:v>
      </x:c>
      <x:c r="G454" s="9" t="n">
        <x:v>27537</x:v>
      </x:c>
      <x:c r="H454" s="9" t="n">
        <x:v>46080</x:v>
      </x:c>
      <x:c r="I454" s="9" t="n">
        <x:v>4117</x:v>
      </x:c>
      <x:c r="J454" s="9" t="n">
        <x:v>106.00000002980232</x:v>
      </x:c>
      <x:c r="K454" s="9" t="n">
        <x:f>F454+G454+I454+J454</x:f>
        <x:v>73394.0000000149</x:v>
      </x:c>
      <x:c r="L454" s="10" t="n">
        <x:f>K454/Sources!$B$4*1000</x:f>
        <x:v>20.503723238572196</x:v>
      </x:c>
      <x:c r="M454" s="10" t="n">
        <x:f>E454/Sources!$B$4*1000</x:f>
        <x:v>33.376867730400065</x:v>
      </x:c>
      <x:c r="N454" s="9" t="n">
        <x:f>Sources!$B$6-K454</x:f>
        <x:v>-13658.000000014901</x:v>
      </x:c>
      <x:c r="O454" s="1" t="str">
        <x:v>keyboard_route</x:v>
      </x:c>
      <x:c r="P454" s="12" t="n">
        <x:v>0</x:v>
      </x:c>
      <x:c r="Q454" s="12" t="n">
        <x:v>-4</x:v>
      </x:c>
      <x:c r="R454" s="12" t="n">
        <x:v>4</x:v>
      </x:c>
      <x:c r="S454" s="12" t="n">
        <x:v>3</x:v>
      </x:c>
      <x:c r="T454" s="1" t="str">
        <x:v>No</x:v>
      </x:c>
      <x:c r="U454" s="1" t="n">
        <x:v>0</x:v>
      </x:c>
    </x:row>
    <x:row r="455" ht="23" customHeight="1">
      <x:c r="A455" s="9" t="n">
        <x:v>573</x:v>
      </x:c>
      <x:c r="B455" s="9" t="n">
        <x:v>292</x:v>
      </x:c>
      <x:c r="C455" s="9" t="n">
        <x:v>1023</x:v>
      </x:c>
      <x:c r="D455" s="9" t="n">
        <x:v>2</x:v>
      </x:c>
      <x:c r="E455" s="9" t="n">
        <x:v>119472</x:v>
      </x:c>
      <x:c r="F455" s="9" t="n">
        <x:v>40598</x:v>
      </x:c>
      <x:c r="G455" s="9" t="n">
        <x:v>44356.0000000149</x:v>
      </x:c>
      <x:c r="H455" s="9" t="n">
        <x:v>30295</x:v>
      </x:c>
      <x:c r="I455" s="9" t="n">
        <x:v>4117</x:v>
      </x:c>
      <x:c r="J455" s="9" t="n">
        <x:v>105.99999998509884</x:v>
      </x:c>
      <x:c r="K455" s="9" t="n">
        <x:f>F455+G455+I455+J455</x:f>
        <x:v>89177</x:v>
      </x:c>
      <x:c r="L455" s="10" t="n">
        <x:f>K455/Sources!$B$4*1000</x:f>
        <x:v>24.912942846087983</x:v>
      </x:c>
      <x:c r="M455" s="10" t="n">
        <x:f>E455/Sources!$B$4*1000</x:f>
        <x:v>33.37630900016622</x:v>
      </x:c>
      <x:c r="N455" s="9" t="n">
        <x:f>Sources!$B$6-K455</x:f>
        <x:v>-29441</x:v>
      </x:c>
      <x:c r="O455" s="1" t="str">
        <x:v>keyboard_route</x:v>
      </x:c>
      <x:c r="P455" s="12" t="n">
        <x:v>0</x:v>
      </x:c>
      <x:c r="Q455" s="12" t="n">
        <x:v>-4</x:v>
      </x:c>
      <x:c r="R455" s="12" t="n">
        <x:v>4</x:v>
      </x:c>
      <x:c r="S455" s="12" t="n">
        <x:v>7</x:v>
      </x:c>
      <x:c r="T455" s="1" t="str">
        <x:v>Yes</x:v>
      </x:c>
      <x:c r="U455" s="1" t="n">
        <x:v>0</x:v>
      </x:c>
    </x:row>
    <x:row r="456" ht="23" customHeight="1">
      <x:c r="A456" s="9" t="n">
        <x:v>574</x:v>
      </x:c>
      <x:c r="B456" s="9" t="n">
        <x:v>292</x:v>
      </x:c>
      <x:c r="C456" s="9" t="n">
        <x:v>1019</x:v>
      </x:c>
      <x:c r="D456" s="9" t="n">
        <x:v>2</x:v>
      </x:c>
      <x:c r="E456" s="9" t="n">
        <x:v>119472</x:v>
      </x:c>
      <x:c r="F456" s="9" t="n">
        <x:v>43072</x:v>
      </x:c>
      <x:c r="G456" s="9" t="n">
        <x:v>27537</x:v>
      </x:c>
      <x:c r="H456" s="9" t="n">
        <x:v>44640.0000000149</x:v>
      </x:c>
      <x:c r="I456" s="9" t="n">
        <x:v>4117</x:v>
      </x:c>
      <x:c r="J456" s="9" t="n">
        <x:v>105.99999998509884</x:v>
      </x:c>
      <x:c r="K456" s="9" t="n">
        <x:f>F456+G456+I456+J456</x:f>
        <x:v>74831.9999999851</x:v>
      </x:c>
      <x:c r="L456" s="10" t="n">
        <x:f>K456/Sources!$B$4*1000</x:f>
        <x:v>20.90545027370381</x:v>
      </x:c>
      <x:c r="M456" s="10" t="n">
        <x:f>E456/Sources!$B$4*1000</x:f>
        <x:v>33.37630900016622</x:v>
      </x:c>
      <x:c r="N456" s="9" t="n">
        <x:f>Sources!$B$6-K456</x:f>
        <x:v>-15095.999999985099</x:v>
      </x:c>
      <x:c r="O456" s="1" t="str">
        <x:v>keyboard_route</x:v>
      </x:c>
      <x:c r="P456" s="12" t="n">
        <x:v>0</x:v>
      </x:c>
      <x:c r="Q456" s="12" t="n">
        <x:v>-4</x:v>
      </x:c>
      <x:c r="R456" s="12" t="n">
        <x:v>4</x:v>
      </x:c>
      <x:c r="S456" s="12" t="n">
        <x:v>3</x:v>
      </x:c>
      <x:c r="T456" s="1" t="str">
        <x:v>No</x:v>
      </x:c>
      <x:c r="U456" s="1" t="n">
        <x:v>0</x:v>
      </x:c>
    </x:row>
    <x:row r="457" ht="23" customHeight="1">
      <x:c r="A457" s="9" t="n">
        <x:v>575</x:v>
      </x:c>
      <x:c r="B457" s="9" t="n">
        <x:v>292</x:v>
      </x:c>
      <x:c r="C457" s="9" t="n">
        <x:v>1015</x:v>
      </x:c>
      <x:c r="D457" s="9" t="n">
        <x:v>2</x:v>
      </x:c>
      <x:c r="E457" s="9" t="n">
        <x:v>119472</x:v>
      </x:c>
      <x:c r="F457" s="9" t="n">
        <x:v>37393</x:v>
      </x:c>
      <x:c r="G457" s="9" t="n">
        <x:v>44355.9999999851</x:v>
      </x:c>
      <x:c r="H457" s="9" t="n">
        <x:v>33499.9999999851</x:v>
      </x:c>
      <x:c r="I457" s="9" t="n">
        <x:v>4117</x:v>
      </x:c>
      <x:c r="J457" s="9" t="n">
        <x:v>106.00000002980232</x:v>
      </x:c>
      <x:c r="K457" s="9" t="n">
        <x:f>F457+G457+I457+J457</x:f>
        <x:v>85972.0000000149</x:v>
      </x:c>
      <x:c r="L457" s="10" t="n">
        <x:f>K457/Sources!$B$4*1000</x:f>
        <x:v>24.017577653029896</x:v>
      </x:c>
      <x:c r="M457" s="10" t="n">
        <x:f>E457/Sources!$B$4*1000</x:f>
        <x:v>33.37630900016622</x:v>
      </x:c>
      <x:c r="N457" s="9" t="n">
        <x:f>Sources!$B$6-K457</x:f>
        <x:v>-26236.0000000149</x:v>
      </x:c>
      <x:c r="O457" s="1" t="str">
        <x:v>keyboard_route</x:v>
      </x:c>
      <x:c r="P457" s="12" t="n">
        <x:v>0</x:v>
      </x:c>
      <x:c r="Q457" s="12" t="n">
        <x:v>-4</x:v>
      </x:c>
      <x:c r="R457" s="12" t="n">
        <x:v>4</x:v>
      </x:c>
      <x:c r="S457" s="12" t="n">
        <x:v>7</x:v>
      </x:c>
      <x:c r="T457" s="1" t="str">
        <x:v>Yes</x:v>
      </x:c>
      <x:c r="U457" s="1" t="n">
        <x:v>0</x:v>
      </x:c>
    </x:row>
    <x:row r="458" ht="23" customHeight="1">
      <x:c r="A458" s="9" t="n">
        <x:v>576</x:v>
      </x:c>
      <x:c r="B458" s="9" t="n">
        <x:v>292</x:v>
      </x:c>
      <x:c r="C458" s="9" t="n">
        <x:v>1011</x:v>
      </x:c>
      <x:c r="D458" s="9" t="n">
        <x:v>2</x:v>
      </x:c>
      <x:c r="E458" s="9" t="n">
        <x:v>179205.9999999851</x:v>
      </x:c>
      <x:c r="F458" s="9" t="n">
        <x:v>46731.9999999851</x:v>
      </x:c>
      <x:c r="G458" s="9" t="n">
        <x:v>74220.9999999851</x:v>
      </x:c>
      <x:c r="H458" s="9" t="n">
        <x:v>54030</x:v>
      </x:c>
      <x:c r="I458" s="9" t="n">
        <x:v>4117</x:v>
      </x:c>
      <x:c r="J458" s="9" t="n">
        <x:v>106.00000001490116</x:v>
      </x:c>
      <x:c r="K458" s="9" t="n">
        <x:f>F458+G458+I458+J458</x:f>
        <x:v>125175.9999999851</x:v>
      </x:c>
      <x:c r="L458" s="10" t="n">
        <x:f>K458/Sources!$B$4*1000</x:f>
        <x:v>34.9698076152095</x:v>
      </x:c>
      <x:c r="M458" s="10" t="n">
        <x:f>E458/Sources!$B$4*1000</x:f>
        <x:v>50.06390477001549</x:v>
      </x:c>
      <x:c r="N458" s="9" t="n">
        <x:f>Sources!$B$6-K458</x:f>
        <x:v>-65439.9999999851</x:v>
      </x:c>
      <x:c r="O458" s="1" t="str">
        <x:v>keyboard_route</x:v>
      </x:c>
      <x:c r="P458" s="12" t="n">
        <x:v>0</x:v>
      </x:c>
      <x:c r="Q458" s="12" t="n">
        <x:v>-4</x:v>
      </x:c>
      <x:c r="R458" s="12" t="n">
        <x:v>4</x:v>
      </x:c>
      <x:c r="S458" s="12" t="n">
        <x:v>3</x:v>
      </x:c>
      <x:c r="T458" s="1" t="str">
        <x:v>No</x:v>
      </x:c>
      <x:c r="U458" s="1" t="n">
        <x:v>0</x:v>
      </x:c>
    </x:row>
    <x:row r="459" ht="23" customHeight="1">
      <x:c r="A459" s="9" t="n">
        <x:v>577</x:v>
      </x:c>
      <x:c r="B459" s="9" t="n">
        <x:v>284</x:v>
      </x:c>
      <x:c r="C459" s="9" t="n">
        <x:v>1011</x:v>
      </x:c>
      <x:c r="D459" s="9" t="n">
        <x:v>3</x:v>
      </x:c>
      <x:c r="E459" s="9" t="n">
        <x:v>177654.0000000149</x:v>
      </x:c>
      <x:c r="F459" s="9" t="n">
        <x:v>53964</x:v>
      </x:c>
      <x:c r="G459" s="9" t="n">
        <x:v>63279</x:v>
      </x:c>
      <x:c r="H459" s="9" t="n">
        <x:v>57740</x:v>
      </x:c>
      <x:c r="I459" s="9" t="n">
        <x:v>2565</x:v>
      </x:c>
      <x:c r="J459" s="9" t="n">
        <x:v>106.00000001490116</x:v>
      </x:c>
      <x:c r="K459" s="9" t="n">
        <x:f>F459+G459+I459+J459</x:f>
        <x:v>119914.0000000149</x:v>
      </x:c>
      <x:c r="L459" s="10" t="n">
        <x:f>K459/Sources!$B$4*1000</x:f>
        <x:v>33.49978838092967</x:v>
      </x:c>
      <x:c r="M459" s="10" t="n">
        <x:f>E459/Sources!$B$4*1000</x:f>
        <x:v>49.63033011179211</x:v>
      </x:c>
      <x:c r="N459" s="9" t="n">
        <x:f>Sources!$B$6-K459</x:f>
        <x:v>-60178.0000000149</x:v>
      </x:c>
      <x:c r="O459" s="1" t="str">
        <x:v>keyboard_route</x:v>
      </x:c>
      <x:c r="P459" s="12" t="n">
        <x:v>-8</x:v>
      </x:c>
      <x:c r="Q459" s="12" t="n">
        <x:v>0</x:v>
      </x:c>
      <x:c r="R459" s="12" t="n">
        <x:v>4</x:v>
      </x:c>
      <x:c r="S459" s="12" t="n">
        <x:v>3</x:v>
      </x:c>
      <x:c r="T459" s="1" t="str">
        <x:v>Yes</x:v>
      </x:c>
      <x:c r="U459" s="1" t="n">
        <x:v>0</x:v>
      </x:c>
    </x:row>
    <x:row r="460" ht="23" customHeight="1">
      <x:c r="A460" s="9" t="n">
        <x:v>578</x:v>
      </x:c>
      <x:c r="B460" s="9" t="n">
        <x:v>280</x:v>
      </x:c>
      <x:c r="C460" s="9" t="n">
        <x:v>1011</x:v>
      </x:c>
      <x:c r="D460" s="9" t="n">
        <x:v>3</x:v>
      </x:c>
      <x:c r="E460" s="9" t="n">
        <x:v>119472</x:v>
      </x:c>
      <x:c r="F460" s="9" t="n">
        <x:v>45575</x:v>
      </x:c>
      <x:c r="G460" s="9" t="n">
        <x:v>42786</x:v>
      </x:c>
      <x:c r="H460" s="9" t="n">
        <x:v>28440</x:v>
      </x:c>
      <x:c r="I460" s="9" t="n">
        <x:v>2565</x:v>
      </x:c>
      <x:c r="J460" s="9" t="n">
        <x:v>106</x:v>
      </x:c>
      <x:c r="K460" s="9" t="n">
        <x:f>F460+G460+I460+J460</x:f>
        <x:v>91032</x:v>
      </x:c>
      <x:c r="L460" s="10" t="n">
        <x:f>K460/Sources!$B$4*1000</x:f>
        <x:v>25.431165134116206</x:v>
      </x:c>
      <x:c r="M460" s="10" t="n">
        <x:f>E460/Sources!$B$4*1000</x:f>
        <x:v>33.37630900016622</x:v>
      </x:c>
      <x:c r="N460" s="9" t="n">
        <x:f>Sources!$B$6-K460</x:f>
        <x:v>-31296</x:v>
      </x:c>
      <x:c r="O460" s="1" t="str">
        <x:v>keyboard_route</x:v>
      </x:c>
      <x:c r="P460" s="12" t="n">
        <x:v>-4</x:v>
      </x:c>
      <x:c r="Q460" s="12" t="n">
        <x:v>0</x:v>
      </x:c>
      <x:c r="R460" s="12" t="n">
        <x:v>0</x:v>
      </x:c>
      <x:c r="S460" s="12" t="n">
        <x:v>3</x:v>
      </x:c>
      <x:c r="T460" s="1" t="str">
        <x:v>No</x:v>
      </x:c>
      <x:c r="U460" s="1" t="n">
        <x:v>0</x:v>
      </x:c>
    </x:row>
    <x:row r="461" ht="23" customHeight="1">
      <x:c r="A461" s="9" t="n">
        <x:v>579</x:v>
      </x:c>
      <x:c r="B461" s="9" t="n">
        <x:v>276</x:v>
      </x:c>
      <x:c r="C461" s="9" t="n">
        <x:v>1011</x:v>
      </x:c>
      <x:c r="D461" s="9" t="n">
        <x:v>2</x:v>
      </x:c>
      <x:c r="E461" s="9" t="n">
        <x:v>119473.9999999851</x:v>
      </x:c>
      <x:c r="F461" s="9" t="n">
        <x:v>41100.9999999851</x:v>
      </x:c>
      <x:c r="G461" s="9" t="n">
        <x:v>57686.9999999851</x:v>
      </x:c>
      <x:c r="H461" s="9" t="n">
        <x:v>18014.9999999851</x:v>
      </x:c>
      <x:c r="I461" s="9" t="n">
        <x:v>2565</x:v>
      </x:c>
      <x:c r="J461" s="9" t="n">
        <x:v>106.00000002980232</x:v>
      </x:c>
      <x:c r="K461" s="9" t="n">
        <x:f>F461+G461+I461+J461</x:f>
        <x:v>101459</x:v>
      </x:c>
      <x:c r="L461" s="10" t="n">
        <x:f>K461/Sources!$B$4*1000</x:f>
        <x:v>28.344105186553037</x:v>
      </x:c>
      <x:c r="M461" s="10" t="n">
        <x:f>E461/Sources!$B$4*1000</x:f>
        <x:v>33.37686773039174</x:v>
      </x:c>
      <x:c r="N461" s="9" t="n">
        <x:f>Sources!$B$6-K461</x:f>
        <x:v>-41723</x:v>
      </x:c>
      <x:c r="O461" s="1" t="str">
        <x:v>keyboard_route</x:v>
      </x:c>
      <x:c r="P461" s="12" t="n">
        <x:v>-4</x:v>
      </x:c>
      <x:c r="Q461" s="12" t="n">
        <x:v>0</x:v>
      </x:c>
      <x:c r="R461" s="12" t="n">
        <x:v>4</x:v>
      </x:c>
      <x:c r="S461" s="12" t="n">
        <x:v>3</x:v>
      </x:c>
      <x:c r="T461" s="1" t="str">
        <x:v>Yes</x:v>
      </x:c>
      <x:c r="U461" s="1" t="n">
        <x:v>0</x:v>
      </x:c>
    </x:row>
    <x:row r="462" ht="23" customHeight="1">
      <x:c r="A462" s="9" t="n">
        <x:v>580</x:v>
      </x:c>
      <x:c r="B462" s="9" t="n">
        <x:v>272</x:v>
      </x:c>
      <x:c r="C462" s="9" t="n">
        <x:v>1011</x:v>
      </x:c>
      <x:c r="D462" s="9" t="n">
        <x:v>2</x:v>
      </x:c>
      <x:c r="E462" s="9" t="n">
        <x:v>179208.0000000149</x:v>
      </x:c>
      <x:c r="F462" s="9" t="n">
        <x:v>43509</x:v>
      </x:c>
      <x:c r="G462" s="9" t="n">
        <x:v>95028.0000000149</x:v>
      </x:c>
      <x:c r="H462" s="9" t="n">
        <x:v>38000</x:v>
      </x:c>
      <x:c r="I462" s="9" t="n">
        <x:v>2565</x:v>
      </x:c>
      <x:c r="J462" s="9" t="n">
        <x:v>106</x:v>
      </x:c>
      <x:c r="K462" s="9" t="n">
        <x:f>F462+G462+I462+J462</x:f>
        <x:v>141208.0000000149</x:v>
      </x:c>
      <x:c r="L462" s="10" t="n">
        <x:f>K462/Sources!$B$4*1000</x:f>
        <x:v>39.44858913633294</x:v>
      </x:c>
      <x:c r="M462" s="10" t="n">
        <x:f>E462/Sources!$B$4*1000</x:f>
        <x:v>50.064463500253495</x:v>
      </x:c>
      <x:c r="N462" s="9" t="n">
        <x:f>Sources!$B$6-K462</x:f>
        <x:v>-81472.0000000149</x:v>
      </x:c>
      <x:c r="O462" s="1" t="str">
        <x:v>keyboard_route</x:v>
      </x:c>
      <x:c r="P462" s="12" t="n">
        <x:v>-4</x:v>
      </x:c>
      <x:c r="Q462" s="12" t="n">
        <x:v>0</x:v>
      </x:c>
      <x:c r="R462" s="12" t="n">
        <x:v>0</x:v>
      </x:c>
      <x:c r="S462" s="12" t="n">
        <x:v>3</x:v>
      </x:c>
      <x:c r="T462" s="1" t="str">
        <x:v>No</x:v>
      </x:c>
      <x:c r="U462" s="1" t="n">
        <x:v>0</x:v>
      </x:c>
    </x:row>
    <x:row r="463" ht="23" customHeight="1">
      <x:c r="A463" s="9" t="n">
        <x:v>581</x:v>
      </x:c>
      <x:c r="B463" s="9" t="n">
        <x:v>264</x:v>
      </x:c>
      <x:c r="C463" s="9" t="n">
        <x:v>1011</x:v>
      </x:c>
      <x:c r="D463" s="9" t="n">
        <x:v>3</x:v>
      </x:c>
      <x:c r="E463" s="9" t="n">
        <x:v>179209</x:v>
      </x:c>
      <x:c r="F463" s="9" t="n">
        <x:v>54271</x:v>
      </x:c>
      <x:c r="G463" s="9" t="n">
        <x:v>92487.0000000149</x:v>
      </x:c>
      <x:c r="H463" s="9" t="n">
        <x:v>29780</x:v>
      </x:c>
      <x:c r="I463" s="9" t="n">
        <x:v>2565.000000014901</x:v>
      </x:c>
      <x:c r="J463" s="9" t="n">
        <x:v>105.99999997019768</x:v>
      </x:c>
      <x:c r="K463" s="9" t="n">
        <x:f>F463+G463+I463+J463</x:f>
        <x:v>149429</x:v>
      </x:c>
      <x:c r="L463" s="10" t="n">
        <x:f>K463/Sources!$B$4*1000</x:f>
        <x:v>41.74524974542854</x:v>
      </x:c>
      <x:c r="M463" s="10" t="n">
        <x:f>E463/Sources!$B$4*1000</x:f>
        <x:v>50.064742865364174</x:v>
      </x:c>
      <x:c r="N463" s="9" t="n">
        <x:f>Sources!$B$6-K463</x:f>
        <x:v>-89693</x:v>
      </x:c>
      <x:c r="O463" s="1" t="str">
        <x:v>keyboard_route</x:v>
      </x:c>
      <x:c r="P463" s="12" t="n">
        <x:v>-8</x:v>
      </x:c>
      <x:c r="Q463" s="12" t="n">
        <x:v>0</x:v>
      </x:c>
      <x:c r="R463" s="12" t="n">
        <x:v>0</x:v>
      </x:c>
      <x:c r="S463" s="12" t="n">
        <x:v>3</x:v>
      </x:c>
      <x:c r="T463" s="1" t="str">
        <x:v>Yes</x:v>
      </x:c>
      <x:c r="U463" s="1" t="n">
        <x:v>0</x:v>
      </x:c>
    </x:row>
    <x:row r="464" ht="23" customHeight="1">
      <x:c r="A464" s="9" t="n">
        <x:v>582</x:v>
      </x:c>
      <x:c r="B464" s="9" t="n">
        <x:v>260</x:v>
      </x:c>
      <x:c r="C464" s="9" t="n">
        <x:v>1011</x:v>
      </x:c>
      <x:c r="D464" s="9" t="n">
        <x:v>3</x:v>
      </x:c>
      <x:c r="E464" s="9" t="n">
        <x:v>119473</x:v>
      </x:c>
      <x:c r="F464" s="9" t="n">
        <x:v>40587</x:v>
      </x:c>
      <x:c r="G464" s="9" t="n">
        <x:v>63840</x:v>
      </x:c>
      <x:c r="H464" s="9" t="n">
        <x:v>12375</x:v>
      </x:c>
      <x:c r="I464" s="9" t="n">
        <x:v>2565</x:v>
      </x:c>
      <x:c r="J464" s="9" t="n">
        <x:v>106</x:v>
      </x:c>
      <x:c r="K464" s="9" t="n">
        <x:f>F464+G464+I464+J464</x:f>
        <x:v>107098</x:v>
      </x:c>
      <x:c r="L464" s="10" t="n">
        <x:f>K464/Sources!$B$4*1000</x:f>
        <x:v>29.91944506913588</x:v>
      </x:c>
      <x:c r="M464" s="10" t="n">
        <x:f>E464/Sources!$B$4*1000</x:f>
        <x:v>33.37658836528106</x:v>
      </x:c>
      <x:c r="N464" s="9" t="n">
        <x:f>Sources!$B$6-K464</x:f>
        <x:v>-47362</x:v>
      </x:c>
      <x:c r="O464" s="1" t="str">
        <x:v>keyboard_route</x:v>
      </x:c>
      <x:c r="P464" s="12" t="n">
        <x:v>-4</x:v>
      </x:c>
      <x:c r="Q464" s="12" t="n">
        <x:v>0</x:v>
      </x:c>
      <x:c r="R464" s="12" t="n">
        <x:v>4</x:v>
      </x:c>
      <x:c r="S464" s="12" t="n">
        <x:v>3</x:v>
      </x:c>
      <x:c r="T464" s="1" t="str">
        <x:v>Yes</x:v>
      </x:c>
      <x:c r="U464" s="1" t="n">
        <x:v>0</x:v>
      </x:c>
    </x:row>
    <x:row r="465" ht="23" customHeight="1">
      <x:c r="A465" s="9" t="n">
        <x:v>583</x:v>
      </x:c>
      <x:c r="B465" s="9" t="n">
        <x:v>256</x:v>
      </x:c>
      <x:c r="C465" s="9" t="n">
        <x:v>1011</x:v>
      </x:c>
      <x:c r="D465" s="9" t="n">
        <x:v>2</x:v>
      </x:c>
      <x:c r="E465" s="9" t="n">
        <x:v>119470</x:v>
      </x:c>
      <x:c r="F465" s="9" t="n">
        <x:v>36901.9999999851</x:v>
      </x:c>
      <x:c r="G465" s="9" t="n">
        <x:v>28807</x:v>
      </x:c>
      <x:c r="H465" s="9" t="n">
        <x:v>51090</x:v>
      </x:c>
      <x:c r="I465" s="9" t="n">
        <x:v>2565</x:v>
      </x:c>
      <x:c r="J465" s="9" t="n">
        <x:v>106.00000001490116</x:v>
      </x:c>
      <x:c r="K465" s="9" t="n">
        <x:f>F465+G465+I465+J465</x:f>
        <x:v>68380</x:v>
      </x:c>
      <x:c r="L465" s="10" t="n">
        <x:f>K465/Sources!$B$4*1000</x:f>
        <x:v>19.102986552760196</x:v>
      </x:c>
      <x:c r="M465" s="10" t="n">
        <x:f>E465/Sources!$B$4*1000</x:f>
        <x:v>33.37575026993654</x:v>
      </x:c>
      <x:c r="N465" s="9" t="n">
        <x:f>Sources!$B$6-K465</x:f>
        <x:v>-8644</x:v>
      </x:c>
      <x:c r="O465" s="1" t="str">
        <x:v>keyboard_route</x:v>
      </x:c>
      <x:c r="P465" s="12" t="n">
        <x:v>-4</x:v>
      </x:c>
      <x:c r="Q465" s="12" t="n">
        <x:v>0</x:v>
      </x:c>
      <x:c r="R465" s="12" t="n">
        <x:v>0</x:v>
      </x:c>
      <x:c r="S465" s="12" t="n">
        <x:v>3</x:v>
      </x:c>
      <x:c r="T465" s="1" t="str">
        <x:v>No</x:v>
      </x:c>
      <x:c r="U465" s="1" t="n">
        <x:v>0</x:v>
      </x:c>
    </x:row>
    <x:row r="466" ht="23" customHeight="1">
      <x:c r="A466" s="9" t="n">
        <x:v>584</x:v>
      </x:c>
      <x:c r="B466" s="9" t="n">
        <x:v>252</x:v>
      </x:c>
      <x:c r="C466" s="9" t="n">
        <x:v>1011</x:v>
      </x:c>
      <x:c r="D466" s="9" t="n">
        <x:v>2</x:v>
      </x:c>
      <x:c r="E466" s="9" t="n">
        <x:v>119471</x:v>
      </x:c>
      <x:c r="F466" s="9" t="n">
        <x:v>37249</x:v>
      </x:c>
      <x:c r="G466" s="9" t="n">
        <x:v>61116</x:v>
      </x:c>
      <x:c r="H466" s="9" t="n">
        <x:v>18435</x:v>
      </x:c>
      <x:c r="I466" s="9" t="n">
        <x:v>2565</x:v>
      </x:c>
      <x:c r="J466" s="9" t="n">
        <x:v>106</x:v>
      </x:c>
      <x:c r="K466" s="9" t="n">
        <x:f>F466+G466+I466+J466</x:f>
        <x:v>101036</x:v>
      </x:c>
      <x:c r="L466" s="10" t="n">
        <x:f>K466/Sources!$B$4*1000</x:f>
        <x:v>28.225933742975712</x:v>
      </x:c>
      <x:c r="M466" s="10" t="n">
        <x:f>E466/Sources!$B$4*1000</x:f>
        <x:v>33.37602963505138</x:v>
      </x:c>
      <x:c r="N466" s="9" t="n">
        <x:f>Sources!$B$6-K466</x:f>
        <x:v>-41300</x:v>
      </x:c>
      <x:c r="O466" s="1" t="str">
        <x:v>keyboard_route</x:v>
      </x:c>
      <x:c r="P466" s="12" t="n">
        <x:v>-4</x:v>
      </x:c>
      <x:c r="Q466" s="12" t="n">
        <x:v>0</x:v>
      </x:c>
      <x:c r="R466" s="12" t="n">
        <x:v>4</x:v>
      </x:c>
      <x:c r="S466" s="12" t="n">
        <x:v>3</x:v>
      </x:c>
      <x:c r="T466" s="1" t="str">
        <x:v>Yes</x:v>
      </x:c>
      <x:c r="U466" s="1" t="n">
        <x:v>0</x:v>
      </x:c>
    </x:row>
    <x:row r="467" ht="23" customHeight="1">
      <x:c r="A467" s="9" t="n">
        <x:v>585</x:v>
      </x:c>
      <x:c r="B467" s="9" t="n">
        <x:v>248</x:v>
      </x:c>
      <x:c r="C467" s="9" t="n">
        <x:v>1011</x:v>
      </x:c>
      <x:c r="D467" s="9" t="n">
        <x:v>2</x:v>
      </x:c>
      <x:c r="E467" s="9" t="n">
        <x:v>119475</x:v>
      </x:c>
      <x:c r="F467" s="9" t="n">
        <x:v>38203</x:v>
      </x:c>
      <x:c r="G467" s="9" t="n">
        <x:v>28816</x:v>
      </x:c>
      <x:c r="H467" s="9" t="n">
        <x:v>49785</x:v>
      </x:c>
      <x:c r="I467" s="9" t="n">
        <x:v>2565</x:v>
      </x:c>
      <x:c r="J467" s="9" t="n">
        <x:v>106</x:v>
      </x:c>
      <x:c r="K467" s="9" t="n">
        <x:f>F467+G467+I467+J467</x:f>
        <x:v>69690</x:v>
      </x:c>
      <x:c r="L467" s="10" t="n">
        <x:f>K467/Sources!$B$4*1000</x:f>
        <x:v>19.468954853200618</x:v>
      </x:c>
      <x:c r="M467" s="10" t="n">
        <x:f>E467/Sources!$B$4*1000</x:f>
        <x:v>33.37714709551074</x:v>
      </x:c>
      <x:c r="N467" s="9" t="n">
        <x:f>Sources!$B$6-K467</x:f>
        <x:v>-9954</x:v>
      </x:c>
      <x:c r="O467" s="1" t="str">
        <x:v>keyboard_route</x:v>
      </x:c>
      <x:c r="P467" s="12" t="n">
        <x:v>-4</x:v>
      </x:c>
      <x:c r="Q467" s="12" t="n">
        <x:v>0</x:v>
      </x:c>
      <x:c r="R467" s="12" t="n">
        <x:v>0</x:v>
      </x:c>
      <x:c r="S467" s="12" t="n">
        <x:v>3</x:v>
      </x:c>
      <x:c r="T467" s="1" t="str">
        <x:v>No</x:v>
      </x:c>
      <x:c r="U467" s="1" t="n">
        <x:v>0</x:v>
      </x:c>
    </x:row>
    <x:row r="468" ht="23" customHeight="1">
      <x:c r="A468" s="9" t="n">
        <x:v>586</x:v>
      </x:c>
      <x:c r="B468" s="9" t="n">
        <x:v>244</x:v>
      </x:c>
      <x:c r="C468" s="9" t="n">
        <x:v>1011</x:v>
      </x:c>
      <x:c r="D468" s="9" t="n">
        <x:v>2</x:v>
      </x:c>
      <x:c r="E468" s="9" t="n">
        <x:v>119472</x:v>
      </x:c>
      <x:c r="F468" s="9" t="n">
        <x:v>34996.0000000149</x:v>
      </x:c>
      <x:c r="G468" s="9" t="n">
        <x:v>59525</x:v>
      </x:c>
      <x:c r="H468" s="9" t="n">
        <x:v>22280</x:v>
      </x:c>
      <x:c r="I468" s="9" t="n">
        <x:v>2565</x:v>
      </x:c>
      <x:c r="J468" s="9" t="n">
        <x:v>105.99999998509884</x:v>
      </x:c>
      <x:c r="K468" s="9" t="n">
        <x:f>F468+G468+I468+J468</x:f>
        <x:v>97192</x:v>
      </x:c>
      <x:c r="L468" s="10" t="n">
        <x:f>K468/Sources!$B$4*1000</x:f>
        <x:v>27.152054241530696</x:v>
      </x:c>
      <x:c r="M468" s="10" t="n">
        <x:f>E468/Sources!$B$4*1000</x:f>
        <x:v>33.37630900016622</x:v>
      </x:c>
      <x:c r="N468" s="9" t="n">
        <x:f>Sources!$B$6-K468</x:f>
        <x:v>-37456</x:v>
      </x:c>
      <x:c r="O468" s="1" t="str">
        <x:v>keyboard_route</x:v>
      </x:c>
      <x:c r="P468" s="12" t="n">
        <x:v>-4</x:v>
      </x:c>
      <x:c r="Q468" s="12" t="n">
        <x:v>0</x:v>
      </x:c>
      <x:c r="R468" s="12" t="n">
        <x:v>4</x:v>
      </x:c>
      <x:c r="S468" s="12" t="n">
        <x:v>3</x:v>
      </x:c>
      <x:c r="T468" s="1" t="str">
        <x:v>Yes</x:v>
      </x:c>
      <x:c r="U468" s="1" t="n">
        <x:v>0</x:v>
      </x:c>
    </x:row>
    <x:row r="469" ht="23" customHeight="1">
      <x:c r="A469" s="9" t="n">
        <x:v>587</x:v>
      </x:c>
      <x:c r="B469" s="9" t="n">
        <x:v>240</x:v>
      </x:c>
      <x:c r="C469" s="9" t="n">
        <x:v>1011</x:v>
      </x:c>
      <x:c r="D469" s="9" t="n">
        <x:v>2</x:v>
      </x:c>
      <x:c r="E469" s="9" t="n">
        <x:v>119468</x:v>
      </x:c>
      <x:c r="F469" s="9" t="n">
        <x:v>35896</x:v>
      </x:c>
      <x:c r="G469" s="9" t="n">
        <x:v>28816</x:v>
      </x:c>
      <x:c r="H469" s="9" t="n">
        <x:v>52085</x:v>
      </x:c>
      <x:c r="I469" s="9" t="n">
        <x:v>2565</x:v>
      </x:c>
      <x:c r="J469" s="9" t="n">
        <x:v>106</x:v>
      </x:c>
      <x:c r="K469" s="9" t="n">
        <x:f>F469+G469+I469+J469</x:f>
        <x:v>67383</x:v>
      </x:c>
      <x:c r="L469" s="10" t="n">
        <x:f>K469/Sources!$B$4*1000</x:f>
        <x:v>18.8244595332647</x:v>
      </x:c>
      <x:c r="M469" s="10" t="n">
        <x:f>E469/Sources!$B$4*1000</x:f>
        <x:v>33.37519153970686</x:v>
      </x:c>
      <x:c r="N469" s="9" t="n">
        <x:f>Sources!$B$6-K469</x:f>
        <x:v>-7647</x:v>
      </x:c>
      <x:c r="O469" s="1" t="str">
        <x:v>keyboard_route</x:v>
      </x:c>
      <x:c r="P469" s="12" t="n">
        <x:v>-4</x:v>
      </x:c>
      <x:c r="Q469" s="12" t="n">
        <x:v>0</x:v>
      </x:c>
      <x:c r="R469" s="12" t="n">
        <x:v>0</x:v>
      </x:c>
      <x:c r="S469" s="12" t="n">
        <x:v>3</x:v>
      </x:c>
      <x:c r="T469" s="1" t="str">
        <x:v>No</x:v>
      </x:c>
      <x:c r="U469" s="1" t="n">
        <x:v>0</x:v>
      </x:c>
    </x:row>
    <x:row r="470" ht="23" customHeight="1">
      <x:c r="A470" s="9" t="n">
        <x:v>588</x:v>
      </x:c>
      <x:c r="B470" s="9" t="n">
        <x:v>236</x:v>
      </x:c>
      <x:c r="C470" s="9" t="n">
        <x:v>1011</x:v>
      </x:c>
      <x:c r="D470" s="9" t="n">
        <x:v>2</x:v>
      </x:c>
      <x:c r="E470" s="9" t="n">
        <x:v>119476</x:v>
      </x:c>
      <x:c r="F470" s="9" t="n">
        <x:v>33975.0000000149</x:v>
      </x:c>
      <x:c r="G470" s="9" t="n">
        <x:v>59525</x:v>
      </x:c>
      <x:c r="H470" s="9" t="n">
        <x:v>23305</x:v>
      </x:c>
      <x:c r="I470" s="9" t="n">
        <x:v>2565</x:v>
      </x:c>
      <x:c r="J470" s="9" t="n">
        <x:v>105.99999998509884</x:v>
      </x:c>
      <x:c r="K470" s="9" t="n">
        <x:f>F470+G470+I470+J470</x:f>
        <x:v>96171</x:v>
      </x:c>
      <x:c r="L470" s="10" t="n">
        <x:f>K470/Sources!$B$4*1000</x:f>
        <x:v>26.866822459279042</x:v>
      </x:c>
      <x:c r="M470" s="10" t="n">
        <x:f>E470/Sources!$B$4*1000</x:f>
        <x:v>33.37742646062558</x:v>
      </x:c>
      <x:c r="N470" s="9" t="n">
        <x:f>Sources!$B$6-K470</x:f>
        <x:v>-36435</x:v>
      </x:c>
      <x:c r="O470" s="1" t="str">
        <x:v>keyboard_route</x:v>
      </x:c>
      <x:c r="P470" s="12" t="n">
        <x:v>-4</x:v>
      </x:c>
      <x:c r="Q470" s="12" t="n">
        <x:v>0</x:v>
      </x:c>
      <x:c r="R470" s="12" t="n">
        <x:v>4</x:v>
      </x:c>
      <x:c r="S470" s="12" t="n">
        <x:v>3</x:v>
      </x:c>
      <x:c r="T470" s="1" t="str">
        <x:v>Yes</x:v>
      </x:c>
      <x:c r="U470" s="1" t="n">
        <x:v>0</x:v>
      </x:c>
    </x:row>
    <x:row r="471" ht="23" customHeight="1">
      <x:c r="A471" s="9" t="n">
        <x:v>589</x:v>
      </x:c>
      <x:c r="B471" s="9" t="n">
        <x:v>232</x:v>
      </x:c>
      <x:c r="C471" s="9" t="n">
        <x:v>1011</x:v>
      </x:c>
      <x:c r="D471" s="9" t="n">
        <x:v>2</x:v>
      </x:c>
      <x:c r="E471" s="9" t="n">
        <x:v>119472</x:v>
      </x:c>
      <x:c r="F471" s="9" t="n">
        <x:v>37375</x:v>
      </x:c>
      <x:c r="G471" s="9" t="n">
        <x:v>28816</x:v>
      </x:c>
      <x:c r="H471" s="9" t="n">
        <x:v>50610</x:v>
      </x:c>
      <x:c r="I471" s="9" t="n">
        <x:v>2565</x:v>
      </x:c>
      <x:c r="J471" s="9" t="n">
        <x:v>106</x:v>
      </x:c>
      <x:c r="K471" s="9" t="n">
        <x:f>F471+G471+I471+J471</x:f>
        <x:v>68862</x:v>
      </x:c>
      <x:c r="L471" s="10" t="n">
        <x:f>K471/Sources!$B$4*1000</x:f>
        <x:v>19.237640538113087</x:v>
      </x:c>
      <x:c r="M471" s="10" t="n">
        <x:f>E471/Sources!$B$4*1000</x:f>
        <x:v>33.37630900016622</x:v>
      </x:c>
      <x:c r="N471" s="9" t="n">
        <x:f>Sources!$B$6-K471</x:f>
        <x:v>-9126</x:v>
      </x:c>
      <x:c r="O471" s="1" t="str">
        <x:v>keyboard_route</x:v>
      </x:c>
      <x:c r="P471" s="12" t="n">
        <x:v>-4</x:v>
      </x:c>
      <x:c r="Q471" s="12" t="n">
        <x:v>0</x:v>
      </x:c>
      <x:c r="R471" s="12" t="n">
        <x:v>0</x:v>
      </x:c>
      <x:c r="S471" s="12" t="n">
        <x:v>3</x:v>
      </x:c>
      <x:c r="T471" s="1" t="str">
        <x:v>No</x:v>
      </x:c>
      <x:c r="U471" s="1" t="n">
        <x:v>0</x:v>
      </x:c>
    </x:row>
    <x:row r="472" ht="23" customHeight="1">
      <x:c r="A472" s="9" t="n">
        <x:v>590</x:v>
      </x:c>
      <x:c r="B472" s="9" t="n">
        <x:v>228</x:v>
      </x:c>
      <x:c r="C472" s="9" t="n">
        <x:v>1011</x:v>
      </x:c>
      <x:c r="D472" s="9" t="n">
        <x:v>2</x:v>
      </x:c>
      <x:c r="E472" s="9" t="n">
        <x:v>119472</x:v>
      </x:c>
      <x:c r="F472" s="9" t="n">
        <x:v>34991</x:v>
      </x:c>
      <x:c r="G472" s="9" t="n">
        <x:v>59524.9999999851</x:v>
      </x:c>
      <x:c r="H472" s="9" t="n">
        <x:v>22285</x:v>
      </x:c>
      <x:c r="I472" s="9" t="n">
        <x:v>2565</x:v>
      </x:c>
      <x:c r="J472" s="9" t="n">
        <x:v>106.00000001490116</x:v>
      </x:c>
      <x:c r="K472" s="9" t="n">
        <x:f>F472+G472+I472+J472</x:f>
        <x:v>97187</x:v>
      </x:c>
      <x:c r="L472" s="10" t="n">
        <x:f>K472/Sources!$B$4*1000</x:f>
        <x:v>27.150657415956495</x:v>
      </x:c>
      <x:c r="M472" s="10" t="n">
        <x:f>E472/Sources!$B$4*1000</x:f>
        <x:v>33.37630900016622</x:v>
      </x:c>
      <x:c r="N472" s="9" t="n">
        <x:f>Sources!$B$6-K472</x:f>
        <x:v>-37451</x:v>
      </x:c>
      <x:c r="O472" s="1" t="str">
        <x:v>keyboard_route</x:v>
      </x:c>
      <x:c r="P472" s="12" t="n">
        <x:v>-4</x:v>
      </x:c>
      <x:c r="Q472" s="12" t="n">
        <x:v>0</x:v>
      </x:c>
      <x:c r="R472" s="12" t="n">
        <x:v>4</x:v>
      </x:c>
      <x:c r="S472" s="12" t="n">
        <x:v>3</x:v>
      </x:c>
      <x:c r="T472" s="1" t="str">
        <x:v>Yes</x:v>
      </x:c>
      <x:c r="U472" s="1" t="n">
        <x:v>0</x:v>
      </x:c>
    </x:row>
    <x:row r="473" ht="23" customHeight="1">
      <x:c r="A473" s="9" t="n">
        <x:v>591</x:v>
      </x:c>
      <x:c r="B473" s="9" t="n">
        <x:v>224</x:v>
      </x:c>
      <x:c r="C473" s="9" t="n">
        <x:v>1011</x:v>
      </x:c>
      <x:c r="D473" s="9" t="n">
        <x:v>2</x:v>
      </x:c>
      <x:c r="E473" s="9" t="n">
        <x:v>119472</x:v>
      </x:c>
      <x:c r="F473" s="9" t="n">
        <x:v>37860</x:v>
      </x:c>
      <x:c r="G473" s="9" t="n">
        <x:v>28816</x:v>
      </x:c>
      <x:c r="H473" s="9" t="n">
        <x:v>50125</x:v>
      </x:c>
      <x:c r="I473" s="9" t="n">
        <x:v>2565</x:v>
      </x:c>
      <x:c r="J473" s="9" t="n">
        <x:v>106</x:v>
      </x:c>
      <x:c r="K473" s="9" t="n">
        <x:f>F473+G473+I473+J473</x:f>
        <x:v>69347</x:v>
      </x:c>
      <x:c r="L473" s="10" t="n">
        <x:f>K473/Sources!$B$4*1000</x:f>
        <x:v>19.37313261881049</x:v>
      </x:c>
      <x:c r="M473" s="10" t="n">
        <x:f>E473/Sources!$B$4*1000</x:f>
        <x:v>33.37630900016622</x:v>
      </x:c>
      <x:c r="N473" s="9" t="n">
        <x:f>Sources!$B$6-K473</x:f>
        <x:v>-9611</x:v>
      </x:c>
      <x:c r="O473" s="1" t="str">
        <x:v>keyboard_route</x:v>
      </x:c>
      <x:c r="P473" s="12" t="n">
        <x:v>-4</x:v>
      </x:c>
      <x:c r="Q473" s="12" t="n">
        <x:v>0</x:v>
      </x:c>
      <x:c r="R473" s="12" t="n">
        <x:v>0</x:v>
      </x:c>
      <x:c r="S473" s="12" t="n">
        <x:v>3</x:v>
      </x:c>
      <x:c r="T473" s="1" t="str">
        <x:v>No</x:v>
      </x:c>
      <x:c r="U473" s="1" t="n">
        <x:v>0</x:v>
      </x:c>
    </x:row>
    <x:row r="474" ht="23" customHeight="1">
      <x:c r="A474" s="9" t="n">
        <x:v>592</x:v>
      </x:c>
      <x:c r="B474" s="9" t="n">
        <x:v>220</x:v>
      </x:c>
      <x:c r="C474" s="9" t="n">
        <x:v>1011</x:v>
      </x:c>
      <x:c r="D474" s="9" t="n">
        <x:v>2</x:v>
      </x:c>
      <x:c r="E474" s="9" t="n">
        <x:v>119470</x:v>
      </x:c>
      <x:c r="F474" s="9" t="n">
        <x:v>35044</x:v>
      </x:c>
      <x:c r="G474" s="9" t="n">
        <x:v>59525</x:v>
      </x:c>
      <x:c r="H474" s="9" t="n">
        <x:v>22230</x:v>
      </x:c>
      <x:c r="I474" s="9" t="n">
        <x:v>2565</x:v>
      </x:c>
      <x:c r="J474" s="9" t="n">
        <x:v>106</x:v>
      </x:c>
      <x:c r="K474" s="9" t="n">
        <x:f>F474+G474+I474+J474</x:f>
        <x:v>97240</x:v>
      </x:c>
      <x:c r="L474" s="10" t="n">
        <x:f>K474/Sources!$B$4*1000</x:f>
        <x:v>27.16546376704302</x:v>
      </x:c>
      <x:c r="M474" s="10" t="n">
        <x:f>E474/Sources!$B$4*1000</x:f>
        <x:v>33.37575026993654</x:v>
      </x:c>
      <x:c r="N474" s="9" t="n">
        <x:f>Sources!$B$6-K474</x:f>
        <x:v>-37504</x:v>
      </x:c>
      <x:c r="O474" s="1" t="str">
        <x:v>keyboard_route</x:v>
      </x:c>
      <x:c r="P474" s="12" t="n">
        <x:v>-4</x:v>
      </x:c>
      <x:c r="Q474" s="12" t="n">
        <x:v>0</x:v>
      </x:c>
      <x:c r="R474" s="12" t="n">
        <x:v>4</x:v>
      </x:c>
      <x:c r="S474" s="12" t="n">
        <x:v>3</x:v>
      </x:c>
      <x:c r="T474" s="1" t="str">
        <x:v>Yes</x:v>
      </x:c>
      <x:c r="U474" s="1" t="n">
        <x:v>0</x:v>
      </x:c>
    </x:row>
    <x:row r="475" ht="23" customHeight="1">
      <x:c r="A475" s="9" t="n">
        <x:v>593</x:v>
      </x:c>
      <x:c r="B475" s="9" t="n">
        <x:v>216</x:v>
      </x:c>
      <x:c r="C475" s="9" t="n">
        <x:v>1011</x:v>
      </x:c>
      <x:c r="D475" s="9" t="n">
        <x:v>2</x:v>
      </x:c>
      <x:c r="E475" s="9" t="n">
        <x:v>119471</x:v>
      </x:c>
      <x:c r="F475" s="9" t="n">
        <x:v>35069</x:v>
      </x:c>
      <x:c r="G475" s="9" t="n">
        <x:v>28816</x:v>
      </x:c>
      <x:c r="H475" s="9" t="n">
        <x:v>52915</x:v>
      </x:c>
      <x:c r="I475" s="9" t="n">
        <x:v>2565</x:v>
      </x:c>
      <x:c r="J475" s="9" t="n">
        <x:v>106</x:v>
      </x:c>
      <x:c r="K475" s="9" t="n">
        <x:f>F475+G475+I475+J475</x:f>
        <x:v>66556</x:v>
      </x:c>
      <x:c r="L475" s="10" t="n">
        <x:f>K475/Sources!$B$4*1000</x:f>
        <x:v>18.59342458329201</x:v>
      </x:c>
      <x:c r="M475" s="10" t="n">
        <x:f>E475/Sources!$B$4*1000</x:f>
        <x:v>33.37602963505138</x:v>
      </x:c>
      <x:c r="N475" s="9" t="n">
        <x:f>Sources!$B$6-K475</x:f>
        <x:v>-6820</x:v>
      </x:c>
      <x:c r="O475" s="1" t="str">
        <x:v>keyboard_route</x:v>
      </x:c>
      <x:c r="P475" s="12" t="n">
        <x:v>-4</x:v>
      </x:c>
      <x:c r="Q475" s="12" t="n">
        <x:v>0</x:v>
      </x:c>
      <x:c r="R475" s="12" t="n">
        <x:v>0</x:v>
      </x:c>
      <x:c r="S475" s="12" t="n">
        <x:v>3</x:v>
      </x:c>
      <x:c r="T475" s="1" t="str">
        <x:v>No</x:v>
      </x:c>
      <x:c r="U475" s="1" t="n">
        <x:v>0</x:v>
      </x:c>
    </x:row>
    <x:row r="476" ht="23" customHeight="1">
      <x:c r="A476" s="9" t="n">
        <x:v>594</x:v>
      </x:c>
      <x:c r="B476" s="9" t="n">
        <x:v>212</x:v>
      </x:c>
      <x:c r="C476" s="9" t="n">
        <x:v>1011</x:v>
      </x:c>
      <x:c r="D476" s="9" t="n">
        <x:v>2</x:v>
      </x:c>
      <x:c r="E476" s="9" t="n">
        <x:v>123845</x:v>
      </x:c>
      <x:c r="F476" s="9" t="n">
        <x:v>37819.0000000149</x:v>
      </x:c>
      <x:c r="G476" s="9" t="n">
        <x:v>60227</x:v>
      </x:c>
      <x:c r="H476" s="9" t="n">
        <x:v>18755</x:v>
      </x:c>
      <x:c r="I476" s="9" t="n">
        <x:v>6938</x:v>
      </x:c>
      <x:c r="J476" s="9" t="n">
        <x:v>105.99999998509884</x:v>
      </x:c>
      <x:c r="K476" s="9" t="n">
        <x:f>F476+G476+I476+J476</x:f>
        <x:v>105090</x:v>
      </x:c>
      <x:c r="L476" s="10" t="n">
        <x:f>K476/Sources!$B$4*1000</x:f>
        <x:v>29.35847991853713</x:v>
      </x:c>
      <x:c r="M476" s="10" t="n">
        <x:f>E476/Sources!$B$4*1000</x:f>
        <x:v>34.59797264736161</x:v>
      </x:c>
      <x:c r="N476" s="9" t="n">
        <x:f>Sources!$B$6-K476</x:f>
        <x:v>-45354</x:v>
      </x:c>
      <x:c r="O476" s="1" t="str">
        <x:v>keyboard_route</x:v>
      </x:c>
      <x:c r="P476" s="12" t="n">
        <x:v>-4</x:v>
      </x:c>
      <x:c r="Q476" s="12" t="n">
        <x:v>0</x:v>
      </x:c>
      <x:c r="R476" s="12" t="n">
        <x:v>4</x:v>
      </x:c>
      <x:c r="S476" s="12" t="n">
        <x:v>3</x:v>
      </x:c>
      <x:c r="T476" s="1" t="str">
        <x:v>Yes</x:v>
      </x:c>
      <x:c r="U476" s="1" t="n">
        <x:v>0</x:v>
      </x:c>
    </x:row>
    <x:row r="477" ht="23" customHeight="1">
      <x:c r="A477" s="9" t="n">
        <x:v>595</x:v>
      </x:c>
      <x:c r="B477" s="9" t="n">
        <x:v>208</x:v>
      </x:c>
      <x:c r="C477" s="9" t="n">
        <x:v>1011</x:v>
      </x:c>
      <x:c r="D477" s="9" t="n">
        <x:v>2</x:v>
      </x:c>
      <x:c r="E477" s="9" t="n">
        <x:v>115099</x:v>
      </x:c>
      <x:c r="F477" s="9" t="n">
        <x:v>35107.0000000149</x:v>
      </x:c>
      <x:c r="G477" s="9" t="n">
        <x:v>28816</x:v>
      </x:c>
      <x:c r="H477" s="9" t="n">
        <x:v>48505</x:v>
      </x:c>
      <x:c r="I477" s="9" t="n">
        <x:v>2565</x:v>
      </x:c>
      <x:c r="J477" s="9" t="n">
        <x:v>105.99999998509884</x:v>
      </x:c>
      <x:c r="K477" s="9" t="n">
        <x:f>F477+G477+I477+J477</x:f>
        <x:v>66594</x:v>
      </x:c>
      <x:c r="L477" s="10" t="n">
        <x:f>K477/Sources!$B$4*1000</x:f>
        <x:v>18.604040457655934</x:v>
      </x:c>
      <x:c r="M477" s="10" t="n">
        <x:f>E477/Sources!$B$4*1000</x:f>
        <x:v>32.15464535297084</x:v>
      </x:c>
      <x:c r="N477" s="9" t="n">
        <x:f>Sources!$B$6-K477</x:f>
        <x:v>-6858</x:v>
      </x:c>
      <x:c r="O477" s="1" t="str">
        <x:v>keyboard_route</x:v>
      </x:c>
      <x:c r="P477" s="12" t="n">
        <x:v>-4</x:v>
      </x:c>
      <x:c r="Q477" s="12" t="n">
        <x:v>0</x:v>
      </x:c>
      <x:c r="R477" s="12" t="n">
        <x:v>0</x:v>
      </x:c>
      <x:c r="S477" s="12" t="n">
        <x:v>3</x:v>
      </x:c>
      <x:c r="T477" s="1" t="str">
        <x:v>No</x:v>
      </x:c>
      <x:c r="U477" s="1" t="n">
        <x:v>0</x:v>
      </x:c>
    </x:row>
    <x:row r="478" ht="23" customHeight="1">
      <x:c r="A478" s="9" t="n">
        <x:v>596</x:v>
      </x:c>
      <x:c r="B478" s="9" t="n">
        <x:v>204</x:v>
      </x:c>
      <x:c r="C478" s="9" t="n">
        <x:v>1011</x:v>
      </x:c>
      <x:c r="D478" s="9" t="n">
        <x:v>2</x:v>
      </x:c>
      <x:c r="E478" s="9" t="n">
        <x:v>119474</x:v>
      </x:c>
      <x:c r="F478" s="9" t="n">
        <x:v>34394</x:v>
      </x:c>
      <x:c r="G478" s="9" t="n">
        <x:v>60929</x:v>
      </x:c>
      <x:c r="H478" s="9" t="n">
        <x:v>21480</x:v>
      </x:c>
      <x:c r="I478" s="9" t="n">
        <x:v>2565</x:v>
      </x:c>
      <x:c r="J478" s="9" t="n">
        <x:v>106</x:v>
      </x:c>
      <x:c r="K478" s="9" t="n">
        <x:f>F478+G478+I478+J478</x:f>
        <x:v>97994</x:v>
      </x:c>
      <x:c r="L478" s="10" t="n">
        <x:f>K478/Sources!$B$4*1000</x:f>
        <x:v>27.376105063632387</x:v>
      </x:c>
      <x:c r="M478" s="10" t="n">
        <x:f>E478/Sources!$B$4*1000</x:f>
        <x:v>33.3768677303959</x:v>
      </x:c>
      <x:c r="N478" s="9" t="n">
        <x:f>Sources!$B$6-K478</x:f>
        <x:v>-38258</x:v>
      </x:c>
      <x:c r="O478" s="1" t="str">
        <x:v>keyboard_route</x:v>
      </x:c>
      <x:c r="P478" s="12" t="n">
        <x:v>-4</x:v>
      </x:c>
      <x:c r="Q478" s="12" t="n">
        <x:v>0</x:v>
      </x:c>
      <x:c r="R478" s="12" t="n">
        <x:v>4</x:v>
      </x:c>
      <x:c r="S478" s="12" t="n">
        <x:v>3</x:v>
      </x:c>
      <x:c r="T478" s="1" t="str">
        <x:v>Yes</x:v>
      </x:c>
      <x:c r="U478" s="1" t="n">
        <x:v>0</x:v>
      </x:c>
    </x:row>
    <x:row r="479" ht="23" customHeight="1">
      <x:c r="A479" s="9" t="n">
        <x:v>597</x:v>
      </x:c>
      <x:c r="B479" s="9" t="n">
        <x:v>200</x:v>
      </x:c>
      <x:c r="C479" s="9" t="n">
        <x:v>1011</x:v>
      </x:c>
      <x:c r="D479" s="9" t="n">
        <x:v>2</x:v>
      </x:c>
      <x:c r="E479" s="9" t="n">
        <x:v>119473</x:v>
      </x:c>
      <x:c r="F479" s="9" t="n">
        <x:v>41523</x:v>
      </x:c>
      <x:c r="G479" s="9" t="n">
        <x:v>29879</x:v>
      </x:c>
      <x:c r="H479" s="9" t="n">
        <x:v>45400</x:v>
      </x:c>
      <x:c r="I479" s="9" t="n">
        <x:v>2565</x:v>
      </x:c>
      <x:c r="J479" s="9" t="n">
        <x:v>106</x:v>
      </x:c>
      <x:c r="K479" s="9" t="n">
        <x:f>F479+G479+I479+J479</x:f>
        <x:v>74073</x:v>
      </x:c>
      <x:c r="L479" s="10" t="n">
        <x:f>K479/Sources!$B$4*1000</x:f>
        <x:v>20.6934121515444</x:v>
      </x:c>
      <x:c r="M479" s="10" t="n">
        <x:f>E479/Sources!$B$4*1000</x:f>
        <x:v>33.37658836528106</x:v>
      </x:c>
      <x:c r="N479" s="9" t="n">
        <x:f>Sources!$B$6-K479</x:f>
        <x:v>-14337</x:v>
      </x:c>
      <x:c r="O479" s="1" t="str">
        <x:v>keyboard_route</x:v>
      </x:c>
      <x:c r="P479" s="12" t="n">
        <x:v>-4</x:v>
      </x:c>
      <x:c r="Q479" s="12" t="n">
        <x:v>0</x:v>
      </x:c>
      <x:c r="R479" s="12" t="n">
        <x:v>0</x:v>
      </x:c>
      <x:c r="S479" s="12" t="n">
        <x:v>3</x:v>
      </x:c>
      <x:c r="T479" s="1" t="str">
        <x:v>No</x:v>
      </x:c>
      <x:c r="U479" s="1" t="n">
        <x:v>0</x:v>
      </x:c>
    </x:row>
    <x:row r="480" ht="23" customHeight="1">
      <x:c r="A480" s="9" t="n">
        <x:v>598</x:v>
      </x:c>
      <x:c r="B480" s="9" t="n">
        <x:v>196</x:v>
      </x:c>
      <x:c r="C480" s="9" t="n">
        <x:v>1011</x:v>
      </x:c>
      <x:c r="D480" s="9" t="n">
        <x:v>2</x:v>
      </x:c>
      <x:c r="E480" s="9" t="n">
        <x:v>119472</x:v>
      </x:c>
      <x:c r="F480" s="9" t="n">
        <x:v>40949</x:v>
      </x:c>
      <x:c r="G480" s="9" t="n">
        <x:v>61992</x:v>
      </x:c>
      <x:c r="H480" s="9" t="n">
        <x:v>13860</x:v>
      </x:c>
      <x:c r="I480" s="9" t="n">
        <x:v>2565</x:v>
      </x:c>
      <x:c r="J480" s="9" t="n">
        <x:v>106</x:v>
      </x:c>
      <x:c r="K480" s="9" t="n">
        <x:f>F480+G480+I480+J480</x:f>
        <x:v>105612</x:v>
      </x:c>
      <x:c r="L480" s="10" t="n">
        <x:f>K480/Sources!$B$4*1000</x:f>
        <x:v>29.50430850848362</x:v>
      </x:c>
      <x:c r="M480" s="10" t="n">
        <x:f>E480/Sources!$B$4*1000</x:f>
        <x:v>33.37630900016622</x:v>
      </x:c>
      <x:c r="N480" s="9" t="n">
        <x:f>Sources!$B$6-K480</x:f>
        <x:v>-45876</x:v>
      </x:c>
      <x:c r="O480" s="1" t="str">
        <x:v>keyboard_route</x:v>
      </x:c>
      <x:c r="P480" s="12" t="n">
        <x:v>-4</x:v>
      </x:c>
      <x:c r="Q480" s="12" t="n">
        <x:v>0</x:v>
      </x:c>
      <x:c r="R480" s="12" t="n">
        <x:v>4</x:v>
      </x:c>
      <x:c r="S480" s="12" t="n">
        <x:v>3</x:v>
      </x:c>
      <x:c r="T480" s="1" t="str">
        <x:v>Yes</x:v>
      </x:c>
      <x:c r="U480" s="1" t="n">
        <x:v>0</x:v>
      </x:c>
    </x:row>
    <x:row r="481" ht="23" customHeight="1">
      <x:c r="A481" s="9" t="n">
        <x:v>599</x:v>
      </x:c>
      <x:c r="B481" s="9" t="n">
        <x:v>192</x:v>
      </x:c>
      <x:c r="C481" s="9" t="n">
        <x:v>1011</x:v>
      </x:c>
      <x:c r="D481" s="9" t="n">
        <x:v>2</x:v>
      </x:c>
      <x:c r="E481" s="9" t="n">
        <x:v>119469</x:v>
      </x:c>
      <x:c r="F481" s="9" t="n">
        <x:v>38938.9999999851</x:v>
      </x:c>
      <x:c r="G481" s="9" t="n">
        <x:v>29878.9999999851</x:v>
      </x:c>
      <x:c r="H481" s="9" t="n">
        <x:v>47979.9999999851</x:v>
      </x:c>
      <x:c r="I481" s="9" t="n">
        <x:v>2565</x:v>
      </x:c>
      <x:c r="J481" s="9" t="n">
        <x:v>106.00000004470348</x:v>
      </x:c>
      <x:c r="K481" s="9" t="n">
        <x:f>F481+G481+I481+J481</x:f>
        <x:v>71489.0000000149</x:v>
      </x:c>
      <x:c r="L481" s="10" t="n">
        <x:f>K481/Sources!$B$4*1000</x:f>
        <x:v>19.971532694801965</x:v>
      </x:c>
      <x:c r="M481" s="10" t="n">
        <x:f>E481/Sources!$B$4*1000</x:f>
        <x:v>33.375470904821704</x:v>
      </x:c>
      <x:c r="N481" s="9" t="n">
        <x:f>Sources!$B$6-K481</x:f>
        <x:v>-11753.000000014901</x:v>
      </x:c>
      <x:c r="O481" s="1" t="str">
        <x:v>keyboard_route</x:v>
      </x:c>
      <x:c r="P481" s="12" t="n">
        <x:v>-4</x:v>
      </x:c>
      <x:c r="Q481" s="12" t="n">
        <x:v>0</x:v>
      </x:c>
      <x:c r="R481" s="12" t="n">
        <x:v>0</x:v>
      </x:c>
      <x:c r="S481" s="12" t="n">
        <x:v>3</x:v>
      </x:c>
      <x:c r="T481" s="1" t="str">
        <x:v>No</x:v>
      </x:c>
      <x:c r="U481" s="1" t="n">
        <x:v>0</x:v>
      </x:c>
    </x:row>
    <x:row r="482" ht="23" customHeight="1">
      <x:c r="A482" s="9" t="n">
        <x:v>600</x:v>
      </x:c>
      <x:c r="B482" s="9" t="n">
        <x:v>188</x:v>
      </x:c>
      <x:c r="C482" s="9" t="n">
        <x:v>1011</x:v>
      </x:c>
      <x:c r="D482" s="9" t="n">
        <x:v>2</x:v>
      </x:c>
      <x:c r="E482" s="9" t="n">
        <x:v>119472</x:v>
      </x:c>
      <x:c r="F482" s="9" t="n">
        <x:v>30796</x:v>
      </x:c>
      <x:c r="G482" s="9" t="n">
        <x:v>61289.9999999851</x:v>
      </x:c>
      <x:c r="H482" s="9" t="n">
        <x:v>24715</x:v>
      </x:c>
      <x:c r="I482" s="9" t="n">
        <x:v>2565</x:v>
      </x:c>
      <x:c r="J482" s="9" t="n">
        <x:v>106.00000001490116</x:v>
      </x:c>
      <x:c r="K482" s="9" t="n">
        <x:f>F482+G482+I482+J482</x:f>
        <x:v>94757</x:v>
      </x:c>
      <x:c r="L482" s="10" t="n">
        <x:f>K482/Sources!$B$4*1000</x:f>
        <x:v>26.471800186895262</x:v>
      </x:c>
      <x:c r="M482" s="10" t="n">
        <x:f>E482/Sources!$B$4*1000</x:f>
        <x:v>33.37630900016622</x:v>
      </x:c>
      <x:c r="N482" s="9" t="n">
        <x:f>Sources!$B$6-K482</x:f>
        <x:v>-35021</x:v>
      </x:c>
      <x:c r="O482" s="1" t="str">
        <x:v>keyboard_route</x:v>
      </x:c>
      <x:c r="P482" s="12" t="n">
        <x:v>-4</x:v>
      </x:c>
      <x:c r="Q482" s="12" t="n">
        <x:v>0</x:v>
      </x:c>
      <x:c r="R482" s="12" t="n">
        <x:v>4</x:v>
      </x:c>
      <x:c r="S482" s="12" t="n">
        <x:v>3</x:v>
      </x:c>
      <x:c r="T482" s="1" t="str">
        <x:v>Yes</x:v>
      </x:c>
      <x:c r="U482" s="1" t="n">
        <x:v>0</x:v>
      </x:c>
    </x:row>
    <x:row r="483" ht="23" customHeight="1">
      <x:c r="A483" s="9" t="n">
        <x:v>601</x:v>
      </x:c>
      <x:c r="B483" s="9" t="n">
        <x:v>184</x:v>
      </x:c>
      <x:c r="C483" s="9" t="n">
        <x:v>1011</x:v>
      </x:c>
      <x:c r="D483" s="9" t="n">
        <x:v>2</x:v>
      </x:c>
      <x:c r="E483" s="9" t="n">
        <x:v>119473</x:v>
      </x:c>
      <x:c r="F483" s="9" t="n">
        <x:v>32178</x:v>
      </x:c>
      <x:c r="G483" s="9" t="n">
        <x:v>29878.9999999851</x:v>
      </x:c>
      <x:c r="H483" s="9" t="n">
        <x:v>54745</x:v>
      </x:c>
      <x:c r="I483" s="9" t="n">
        <x:v>2565</x:v>
      </x:c>
      <x:c r="J483" s="9" t="n">
        <x:v>106.00000001490116</x:v>
      </x:c>
      <x:c r="K483" s="9" t="n">
        <x:f>F483+G483+I483+J483</x:f>
        <x:v>64728</x:v>
      </x:c>
      <x:c r="L483" s="10" t="n">
        <x:f>K483/Sources!$B$4*1000</x:f>
        <x:v>18.082745153364463</x:v>
      </x:c>
      <x:c r="M483" s="10" t="n">
        <x:f>E483/Sources!$B$4*1000</x:f>
        <x:v>33.37658836528106</x:v>
      </x:c>
      <x:c r="N483" s="9" t="n">
        <x:f>Sources!$B$6-K483</x:f>
        <x:v>-4992</x:v>
      </x:c>
      <x:c r="O483" s="1" t="str">
        <x:v>keyboard_route</x:v>
      </x:c>
      <x:c r="P483" s="12" t="n">
        <x:v>-4</x:v>
      </x:c>
      <x:c r="Q483" s="12" t="n">
        <x:v>0</x:v>
      </x:c>
      <x:c r="R483" s="12" t="n">
        <x:v>0</x:v>
      </x:c>
      <x:c r="S483" s="12" t="n">
        <x:v>3</x:v>
      </x:c>
      <x:c r="T483" s="1" t="str">
        <x:v>No</x:v>
      </x:c>
      <x:c r="U483" s="1" t="n">
        <x:v>0</x:v>
      </x:c>
    </x:row>
    <x:row r="484" ht="23" customHeight="1">
      <x:c r="A484" s="9" t="n">
        <x:v>602</x:v>
      </x:c>
      <x:c r="B484" s="9" t="n">
        <x:v>180</x:v>
      </x:c>
      <x:c r="C484" s="9" t="n">
        <x:v>1011</x:v>
      </x:c>
      <x:c r="D484" s="9" t="n">
        <x:v>2</x:v>
      </x:c>
      <x:c r="E484" s="9" t="n">
        <x:v>119473.9999999851</x:v>
      </x:c>
      <x:c r="F484" s="9" t="n">
        <x:v>31965</x:v>
      </x:c>
      <x:c r="G484" s="9" t="n">
        <x:v>60588.0000000149</x:v>
      </x:c>
      <x:c r="H484" s="9" t="n">
        <x:v>24250</x:v>
      </x:c>
      <x:c r="I484" s="9" t="n">
        <x:v>2565</x:v>
      </x:c>
      <x:c r="J484" s="9" t="n">
        <x:v>105.99999997019768</x:v>
      </x:c>
      <x:c r="K484" s="9" t="n">
        <x:f>F484+G484+I484+J484</x:f>
        <x:v>95223.9999999851</x:v>
      </x:c>
      <x:c r="L484" s="10" t="n">
        <x:f>K484/Sources!$B$4*1000</x:f>
        <x:v>26.602263695521383</x:v>
      </x:c>
      <x:c r="M484" s="10" t="n">
        <x:f>E484/Sources!$B$4*1000</x:f>
        <x:v>33.37686773039174</x:v>
      </x:c>
      <x:c r="N484" s="9" t="n">
        <x:f>Sources!$B$6-K484</x:f>
        <x:v>-35487.9999999851</x:v>
      </x:c>
      <x:c r="O484" s="1" t="str">
        <x:v>keyboard_route</x:v>
      </x:c>
      <x:c r="P484" s="12" t="n">
        <x:v>-4</x:v>
      </x:c>
      <x:c r="Q484" s="12" t="n">
        <x:v>0</x:v>
      </x:c>
      <x:c r="R484" s="12" t="n">
        <x:v>4</x:v>
      </x:c>
      <x:c r="S484" s="12" t="n">
        <x:v>3</x:v>
      </x:c>
      <x:c r="T484" s="1" t="str">
        <x:v>Yes</x:v>
      </x:c>
      <x:c r="U484" s="1" t="n">
        <x:v>0</x:v>
      </x:c>
    </x:row>
    <x:row r="485" ht="23" customHeight="1">
      <x:c r="A485" s="9" t="n">
        <x:v>603</x:v>
      </x:c>
      <x:c r="B485" s="9" t="n">
        <x:v>176</x:v>
      </x:c>
      <x:c r="C485" s="9" t="n">
        <x:v>1011</x:v>
      </x:c>
      <x:c r="D485" s="9" t="n">
        <x:v>2</x:v>
      </x:c>
      <x:c r="E485" s="9" t="n">
        <x:v>119470</x:v>
      </x:c>
      <x:c r="F485" s="9" t="n">
        <x:v>33710</x:v>
      </x:c>
      <x:c r="G485" s="9" t="n">
        <x:v>29879</x:v>
      </x:c>
      <x:c r="H485" s="9" t="n">
        <x:v>53209.9999999851</x:v>
      </x:c>
      <x:c r="I485" s="9" t="n">
        <x:v>2565</x:v>
      </x:c>
      <x:c r="J485" s="9" t="n">
        <x:v>106.00000001490116</x:v>
      </x:c>
      <x:c r="K485" s="9" t="n">
        <x:f>F485+G485+I485+J485</x:f>
        <x:v>66260.0000000149</x:v>
      </x:c>
      <x:c r="L485" s="10" t="n">
        <x:f>K485/Sources!$B$4*1000</x:f>
        <x:v>18.51073250930353</x:v>
      </x:c>
      <x:c r="M485" s="10" t="n">
        <x:f>E485/Sources!$B$4*1000</x:f>
        <x:v>33.37575026993654</x:v>
      </x:c>
      <x:c r="N485" s="9" t="n">
        <x:f>Sources!$B$6-K485</x:f>
        <x:v>-6524.000000014901</x:v>
      </x:c>
      <x:c r="O485" s="1" t="str">
        <x:v>keyboard_route</x:v>
      </x:c>
      <x:c r="P485" s="12" t="n">
        <x:v>-4</x:v>
      </x:c>
      <x:c r="Q485" s="12" t="n">
        <x:v>0</x:v>
      </x:c>
      <x:c r="R485" s="12" t="n">
        <x:v>0</x:v>
      </x:c>
      <x:c r="S485" s="12" t="n">
        <x:v>3</x:v>
      </x:c>
      <x:c r="T485" s="1" t="str">
        <x:v>No</x:v>
      </x:c>
      <x:c r="U485" s="1" t="n">
        <x:v>0</x:v>
      </x:c>
    </x:row>
    <x:row r="486" ht="23" customHeight="1">
      <x:c r="A486" s="9" t="n">
        <x:v>604</x:v>
      </x:c>
      <x:c r="B486" s="9" t="n">
        <x:v>172</x:v>
      </x:c>
      <x:c r="C486" s="9" t="n">
        <x:v>1011</x:v>
      </x:c>
      <x:c r="D486" s="9" t="n">
        <x:v>2</x:v>
      </x:c>
      <x:c r="E486" s="9" t="n">
        <x:v>119470.0000000149</x:v>
      </x:c>
      <x:c r="F486" s="9" t="n">
        <x:v>37316</x:v>
      </x:c>
      <x:c r="G486" s="9" t="n">
        <x:v>60587.9999999851</x:v>
      </x:c>
      <x:c r="H486" s="9" t="n">
        <x:v>18895</x:v>
      </x:c>
      <x:c r="I486" s="9" t="n">
        <x:v>2565</x:v>
      </x:c>
      <x:c r="J486" s="9" t="n">
        <x:v>106.00000002980232</x:v>
      </x:c>
      <x:c r="K486" s="9" t="n">
        <x:f>F486+G486+I486+J486</x:f>
        <x:v>100575.0000000149</x:v>
      </x:c>
      <x:c r="L486" s="10" t="n">
        <x:f>K486/Sources!$B$4*1000</x:f>
        <x:v>28.09714642503863</x:v>
      </x:c>
      <x:c r="M486" s="10" t="n">
        <x:f>E486/Sources!$B$4*1000</x:f>
        <x:v>33.3757502699407</x:v>
      </x:c>
      <x:c r="N486" s="9" t="n">
        <x:f>Sources!$B$6-K486</x:f>
        <x:v>-40839.0000000149</x:v>
      </x:c>
      <x:c r="O486" s="1" t="str">
        <x:v>keyboard_route</x:v>
      </x:c>
      <x:c r="P486" s="12" t="n">
        <x:v>-4</x:v>
      </x:c>
      <x:c r="Q486" s="12" t="n">
        <x:v>0</x:v>
      </x:c>
      <x:c r="R486" s="12" t="n">
        <x:v>4</x:v>
      </x:c>
      <x:c r="S486" s="12" t="n">
        <x:v>3</x:v>
      </x:c>
      <x:c r="T486" s="1" t="str">
        <x:v>Yes</x:v>
      </x:c>
      <x:c r="U486" s="1" t="n">
        <x:v>0</x:v>
      </x:c>
    </x:row>
    <x:row r="487" ht="23" customHeight="1">
      <x:c r="A487" s="9" t="n">
        <x:v>605</x:v>
      </x:c>
      <x:c r="B487" s="9" t="n">
        <x:v>172</x:v>
      </x:c>
      <x:c r="C487" s="9" t="n">
        <x:v>1007</x:v>
      </x:c>
      <x:c r="D487" s="9" t="n">
        <x:v>2</x:v>
      </x:c>
      <x:c r="E487" s="9" t="n">
        <x:v>121027</x:v>
      </x:c>
      <x:c r="F487" s="9" t="n">
        <x:v>37815</x:v>
      </x:c>
      <x:c r="G487" s="9" t="n">
        <x:v>56498.9999999851</x:v>
      </x:c>
      <x:c r="H487" s="9" t="n">
        <x:v>22490</x:v>
      </x:c>
      <x:c r="I487" s="9" t="n">
        <x:v>4117</x:v>
      </x:c>
      <x:c r="J487" s="9" t="n">
        <x:v>106.00000001490116</x:v>
      </x:c>
      <x:c r="K487" s="9" t="n">
        <x:f>F487+G487+I487+J487</x:f>
        <x:v>98537</x:v>
      </x:c>
      <x:c r="L487" s="10" t="n">
        <x:f>K487/Sources!$B$4*1000</x:f>
        <x:v>27.52780032099052</x:v>
      </x:c>
      <x:c r="M487" s="10" t="n">
        <x:f>E487/Sources!$B$4*1000</x:f>
        <x:v>33.81072175374244</x:v>
      </x:c>
      <x:c r="N487" s="9" t="n">
        <x:f>Sources!$B$6-K487</x:f>
        <x:v>-38801</x:v>
      </x:c>
      <x:c r="O487" s="1" t="str">
        <x:v>keyboard_route</x:v>
      </x:c>
      <x:c r="P487" s="12" t="n">
        <x:v>0</x:v>
      </x:c>
      <x:c r="Q487" s="12" t="n">
        <x:v>-4</x:v>
      </x:c>
      <x:c r="R487" s="12" t="n">
        <x:v>4</x:v>
      </x:c>
      <x:c r="S487" s="12" t="n">
        <x:v>7</x:v>
      </x:c>
      <x:c r="T487" s="1" t="str">
        <x:v>Yes</x:v>
      </x:c>
      <x:c r="U487" s="1" t="n">
        <x:v>0</x:v>
      </x:c>
    </x:row>
    <x:row r="488" ht="23" customHeight="1">
      <x:c r="A488" s="9" t="n">
        <x:v>606</x:v>
      </x:c>
      <x:c r="B488" s="9" t="n">
        <x:v>172</x:v>
      </x:c>
      <x:c r="C488" s="9" t="n">
        <x:v>1003</x:v>
      </x:c>
      <x:c r="D488" s="9" t="n">
        <x:v>2</x:v>
      </x:c>
      <x:c r="E488" s="9" t="n">
        <x:v>119469</x:v>
      </x:c>
      <x:c r="F488" s="9" t="n">
        <x:v>37636</x:v>
      </x:c>
      <x:c r="G488" s="9" t="n">
        <x:v>26890</x:v>
      </x:c>
      <x:c r="H488" s="9" t="n">
        <x:v>50719.9999999851</x:v>
      </x:c>
      <x:c r="I488" s="9" t="n">
        <x:v>4117</x:v>
      </x:c>
      <x:c r="J488" s="9" t="n">
        <x:v>106.00000001490116</x:v>
      </x:c>
      <x:c r="K488" s="9" t="n">
        <x:f>F488+G488+I488+J488</x:f>
        <x:v>68749.0000000149</x:v>
      </x:c>
      <x:c r="L488" s="10" t="n">
        <x:f>K488/Sources!$B$4*1000</x:f>
        <x:v>19.206072280140326</x:v>
      </x:c>
      <x:c r="M488" s="10" t="n">
        <x:f>E488/Sources!$B$4*1000</x:f>
        <x:v>33.375470904821704</x:v>
      </x:c>
      <x:c r="N488" s="9" t="n">
        <x:f>Sources!$B$6-K488</x:f>
        <x:v>-9013.000000014901</x:v>
      </x:c>
      <x:c r="O488" s="1" t="str">
        <x:v>keyboard_route</x:v>
      </x:c>
      <x:c r="P488" s="12" t="n">
        <x:v>0</x:v>
      </x:c>
      <x:c r="Q488" s="12" t="n">
        <x:v>-4</x:v>
      </x:c>
      <x:c r="R488" s="12" t="n">
        <x:v>4</x:v>
      </x:c>
      <x:c r="S488" s="12" t="n">
        <x:v>3</x:v>
      </x:c>
      <x:c r="T488" s="1" t="str">
        <x:v>No</x:v>
      </x:c>
      <x:c r="U488" s="1" t="n">
        <x:v>0</x:v>
      </x:c>
    </x:row>
    <x:row r="489" ht="23" customHeight="1">
      <x:c r="A489" s="9" t="n">
        <x:v>607</x:v>
      </x:c>
      <x:c r="B489" s="9" t="n">
        <x:v>172</x:v>
      </x:c>
      <x:c r="C489" s="9" t="n">
        <x:v>999</x:v>
      </x:c>
      <x:c r="D489" s="9" t="n">
        <x:v>2</x:v>
      </x:c>
      <x:c r="E489" s="9" t="n">
        <x:v>119475</x:v>
      </x:c>
      <x:c r="F489" s="9" t="n">
        <x:v>34330</x:v>
      </x:c>
      <x:c r="G489" s="9" t="n">
        <x:v>52437</x:v>
      </x:c>
      <x:c r="H489" s="9" t="n">
        <x:v>28484.9999999851</x:v>
      </x:c>
      <x:c r="I489" s="9" t="n">
        <x:v>4117</x:v>
      </x:c>
      <x:c r="J489" s="9" t="n">
        <x:v>106.00000001490116</x:v>
      </x:c>
      <x:c r="K489" s="9" t="n">
        <x:f>F489+G489+I489+J489</x:f>
        <x:v>90990.0000000149</x:v>
      </x:c>
      <x:c r="L489" s="10" t="n">
        <x:f>K489/Sources!$B$4*1000</x:f>
        <x:v>25.41943179929709</x:v>
      </x:c>
      <x:c r="M489" s="10" t="n">
        <x:f>E489/Sources!$B$4*1000</x:f>
        <x:v>33.37714709551074</x:v>
      </x:c>
      <x:c r="N489" s="9" t="n">
        <x:f>Sources!$B$6-K489</x:f>
        <x:v>-31254.0000000149</x:v>
      </x:c>
      <x:c r="O489" s="1" t="str">
        <x:v>keyboard_route</x:v>
      </x:c>
      <x:c r="P489" s="12" t="n">
        <x:v>0</x:v>
      </x:c>
      <x:c r="Q489" s="12" t="n">
        <x:v>-4</x:v>
      </x:c>
      <x:c r="R489" s="12" t="n">
        <x:v>4</x:v>
      </x:c>
      <x:c r="S489" s="12" t="n">
        <x:v>7</x:v>
      </x:c>
      <x:c r="T489" s="1" t="str">
        <x:v>Yes</x:v>
      </x:c>
      <x:c r="U489" s="1" t="n">
        <x:v>0</x:v>
      </x:c>
    </x:row>
    <x:row r="490" ht="23" customHeight="1">
      <x:c r="A490" s="9" t="n">
        <x:v>608</x:v>
      </x:c>
      <x:c r="B490" s="9" t="n">
        <x:v>172</x:v>
      </x:c>
      <x:c r="C490" s="9" t="n">
        <x:v>995</x:v>
      </x:c>
      <x:c r="D490" s="9" t="n">
        <x:v>2</x:v>
      </x:c>
      <x:c r="E490" s="9" t="n">
        <x:v>119471</x:v>
      </x:c>
      <x:c r="F490" s="9" t="n">
        <x:v>39133</x:v>
      </x:c>
      <x:c r="G490" s="9" t="n">
        <x:v>26890.0000000149</x:v>
      </x:c>
      <x:c r="H490" s="9" t="n">
        <x:v>49225.0000000149</x:v>
      </x:c>
      <x:c r="I490" s="9" t="n">
        <x:v>4117</x:v>
      </x:c>
      <x:c r="J490" s="9" t="n">
        <x:v>105.99999997019768</x:v>
      </x:c>
      <x:c r="K490" s="9" t="n">
        <x:f>F490+G490+I490+J490</x:f>
        <x:v>70245.9999999851</x:v>
      </x:c>
      <x:c r="L490" s="10" t="n">
        <x:f>K490/Sources!$B$4*1000</x:f>
        <x:v>19.624281857047503</x:v>
      </x:c>
      <x:c r="M490" s="10" t="n">
        <x:f>E490/Sources!$B$4*1000</x:f>
        <x:v>33.37602963505138</x:v>
      </x:c>
      <x:c r="N490" s="9" t="n">
        <x:f>Sources!$B$6-K490</x:f>
        <x:v>-10509.999999985099</x:v>
      </x:c>
      <x:c r="O490" s="1" t="str">
        <x:v>keyboard_route</x:v>
      </x:c>
      <x:c r="P490" s="12" t="n">
        <x:v>0</x:v>
      </x:c>
      <x:c r="Q490" s="12" t="n">
        <x:v>-4</x:v>
      </x:c>
      <x:c r="R490" s="12" t="n">
        <x:v>4</x:v>
      </x:c>
      <x:c r="S490" s="12" t="n">
        <x:v>3</x:v>
      </x:c>
      <x:c r="T490" s="1" t="str">
        <x:v>No</x:v>
      </x:c>
      <x:c r="U490" s="1" t="n">
        <x:v>0</x:v>
      </x:c>
    </x:row>
    <x:row r="491" ht="23" customHeight="1">
      <x:c r="A491" s="9" t="n">
        <x:v>609</x:v>
      </x:c>
      <x:c r="B491" s="9" t="n">
        <x:v>172</x:v>
      </x:c>
      <x:c r="C491" s="9" t="n">
        <x:v>991</x:v>
      </x:c>
      <x:c r="D491" s="9" t="n">
        <x:v>2</x:v>
      </x:c>
      <x:c r="E491" s="9" t="n">
        <x:v>119471</x:v>
      </x:c>
      <x:c r="F491" s="9" t="n">
        <x:v>32977</x:v>
      </x:c>
      <x:c r="G491" s="9" t="n">
        <x:v>52411</x:v>
      </x:c>
      <x:c r="H491" s="9" t="n">
        <x:v>29860</x:v>
      </x:c>
      <x:c r="I491" s="9" t="n">
        <x:v>4117.000000014901</x:v>
      </x:c>
      <x:c r="J491" s="9" t="n">
        <x:v>105.99999998509884</x:v>
      </x:c>
      <x:c r="K491" s="9" t="n">
        <x:f>F491+G491+I491+J491</x:f>
        <x:v>89611</x:v>
      </x:c>
      <x:c r="L491" s="10" t="n">
        <x:f>K491/Sources!$B$4*1000</x:f>
        <x:v>25.034187305928548</x:v>
      </x:c>
      <x:c r="M491" s="10" t="n">
        <x:f>E491/Sources!$B$4*1000</x:f>
        <x:v>33.37602963505138</x:v>
      </x:c>
      <x:c r="N491" s="9" t="n">
        <x:f>Sources!$B$6-K491</x:f>
        <x:v>-29875</x:v>
      </x:c>
      <x:c r="O491" s="1" t="str">
        <x:v>keyboard_route</x:v>
      </x:c>
      <x:c r="P491" s="12" t="n">
        <x:v>0</x:v>
      </x:c>
      <x:c r="Q491" s="12" t="n">
        <x:v>-4</x:v>
      </x:c>
      <x:c r="R491" s="12" t="n">
        <x:v>4</x:v>
      </x:c>
      <x:c r="S491" s="12" t="n">
        <x:v>7</x:v>
      </x:c>
      <x:c r="T491" s="1" t="str">
        <x:v>Yes</x:v>
      </x:c>
      <x:c r="U491" s="1" t="n">
        <x:v>0</x:v>
      </x:c>
    </x:row>
    <x:row r="492" ht="23" customHeight="1">
      <x:c r="A492" s="9" t="n">
        <x:v>610</x:v>
      </x:c>
      <x:c r="B492" s="9" t="n">
        <x:v>172</x:v>
      </x:c>
      <x:c r="C492" s="9" t="n">
        <x:v>987</x:v>
      </x:c>
      <x:c r="D492" s="9" t="n">
        <x:v>2</x:v>
      </x:c>
      <x:c r="E492" s="9" t="n">
        <x:v>119472</x:v>
      </x:c>
      <x:c r="F492" s="9" t="n">
        <x:v>36519</x:v>
      </x:c>
      <x:c r="G492" s="9" t="n">
        <x:v>26890.0000000149</x:v>
      </x:c>
      <x:c r="H492" s="9" t="n">
        <x:v>51840</x:v>
      </x:c>
      <x:c r="I492" s="9" t="n">
        <x:v>4117</x:v>
      </x:c>
      <x:c r="J492" s="9" t="n">
        <x:v>105.99999998509884</x:v>
      </x:c>
      <x:c r="K492" s="9" t="n">
        <x:f>F492+G492+I492+J492</x:f>
        <x:v>67632</x:v>
      </x:c>
      <x:c r="L492" s="10" t="n">
        <x:f>K492/Sources!$B$4*1000</x:f>
        <x:v>18.894021446859867</x:v>
      </x:c>
      <x:c r="M492" s="10" t="n">
        <x:f>E492/Sources!$B$4*1000</x:f>
        <x:v>33.37630900016622</x:v>
      </x:c>
      <x:c r="N492" s="9" t="n">
        <x:f>Sources!$B$6-K492</x:f>
        <x:v>-7896</x:v>
      </x:c>
      <x:c r="O492" s="1" t="str">
        <x:v>keyboard_route</x:v>
      </x:c>
      <x:c r="P492" s="12" t="n">
        <x:v>0</x:v>
      </x:c>
      <x:c r="Q492" s="12" t="n">
        <x:v>-4</x:v>
      </x:c>
      <x:c r="R492" s="12" t="n">
        <x:v>4</x:v>
      </x:c>
      <x:c r="S492" s="12" t="n">
        <x:v>3</x:v>
      </x:c>
      <x:c r="T492" s="1" t="str">
        <x:v>No</x:v>
      </x:c>
      <x:c r="U492" s="1" t="n">
        <x:v>0</x:v>
      </x:c>
    </x:row>
    <x:row r="493" ht="23" customHeight="1">
      <x:c r="A493" s="9" t="n">
        <x:v>611</x:v>
      </x:c>
      <x:c r="B493" s="9" t="n">
        <x:v>172</x:v>
      </x:c>
      <x:c r="C493" s="9" t="n">
        <x:v>983</x:v>
      </x:c>
      <x:c r="D493" s="9" t="n">
        <x:v>2</x:v>
      </x:c>
      <x:c r="E493" s="9" t="n">
        <x:v>119472</x:v>
      </x:c>
      <x:c r="F493" s="9" t="n">
        <x:v>34048</x:v>
      </x:c>
      <x:c r="G493" s="9" t="n">
        <x:v>52410.9999999851</x:v>
      </x:c>
      <x:c r="H493" s="9" t="n">
        <x:v>28790</x:v>
      </x:c>
      <x:c r="I493" s="9" t="n">
        <x:v>4117</x:v>
      </x:c>
      <x:c r="J493" s="9" t="n">
        <x:v>106.00000001490116</x:v>
      </x:c>
      <x:c r="K493" s="9" t="n">
        <x:f>F493+G493+I493+J493</x:f>
        <x:v>90682</x:v>
      </x:c>
      <x:c r="L493" s="10" t="n">
        <x:f>K493/Sources!$B$4*1000</x:f>
        <x:v>25.3333873439222</x:v>
      </x:c>
      <x:c r="M493" s="10" t="n">
        <x:f>E493/Sources!$B$4*1000</x:f>
        <x:v>33.37630900016622</x:v>
      </x:c>
      <x:c r="N493" s="9" t="n">
        <x:f>Sources!$B$6-K493</x:f>
        <x:v>-30946</x:v>
      </x:c>
      <x:c r="O493" s="1" t="str">
        <x:v>keyboard_route</x:v>
      </x:c>
      <x:c r="P493" s="12" t="n">
        <x:v>0</x:v>
      </x:c>
      <x:c r="Q493" s="12" t="n">
        <x:v>-4</x:v>
      </x:c>
      <x:c r="R493" s="12" t="n">
        <x:v>4</x:v>
      </x:c>
      <x:c r="S493" s="12" t="n">
        <x:v>7</x:v>
      </x:c>
      <x:c r="T493" s="1" t="str">
        <x:v>Yes</x:v>
      </x:c>
      <x:c r="U493" s="1" t="n">
        <x:v>0</x:v>
      </x:c>
    </x:row>
    <x:row r="494" ht="23" customHeight="1">
      <x:c r="A494" s="9" t="n">
        <x:v>612</x:v>
      </x:c>
      <x:c r="B494" s="9" t="n">
        <x:v>172</x:v>
      </x:c>
      <x:c r="C494" s="9" t="n">
        <x:v>979</x:v>
      </x:c>
      <x:c r="D494" s="9" t="n">
        <x:v>2</x:v>
      </x:c>
      <x:c r="E494" s="9" t="n">
        <x:v>119471</x:v>
      </x:c>
      <x:c r="F494" s="9" t="n">
        <x:v>36878.0000000149</x:v>
      </x:c>
      <x:c r="G494" s="9" t="n">
        <x:v>26890</x:v>
      </x:c>
      <x:c r="H494" s="9" t="n">
        <x:v>51480</x:v>
      </x:c>
      <x:c r="I494" s="9" t="n">
        <x:v>4117</x:v>
      </x:c>
      <x:c r="J494" s="9" t="n">
        <x:v>105.99999998509884</x:v>
      </x:c>
      <x:c r="K494" s="9" t="n">
        <x:f>F494+G494+I494+J494</x:f>
        <x:v>67991</x:v>
      </x:c>
      <x:c r="L494" s="10" t="n">
        <x:f>K494/Sources!$B$4*1000</x:f>
        <x:v>18.99431352308743</x:v>
      </x:c>
      <x:c r="M494" s="10" t="n">
        <x:f>E494/Sources!$B$4*1000</x:f>
        <x:v>33.37602963505138</x:v>
      </x:c>
      <x:c r="N494" s="9" t="n">
        <x:f>Sources!$B$6-K494</x:f>
        <x:v>-8255</x:v>
      </x:c>
      <x:c r="O494" s="1" t="str">
        <x:v>keyboard_route</x:v>
      </x:c>
      <x:c r="P494" s="12" t="n">
        <x:v>0</x:v>
      </x:c>
      <x:c r="Q494" s="12" t="n">
        <x:v>-4</x:v>
      </x:c>
      <x:c r="R494" s="12" t="n">
        <x:v>4</x:v>
      </x:c>
      <x:c r="S494" s="12" t="n">
        <x:v>3</x:v>
      </x:c>
      <x:c r="T494" s="1" t="str">
        <x:v>No</x:v>
      </x:c>
      <x:c r="U494" s="1" t="n">
        <x:v>0</x:v>
      </x:c>
    </x:row>
    <x:row r="495" ht="23" customHeight="1">
      <x:c r="A495" s="9" t="n">
        <x:v>613</x:v>
      </x:c>
      <x:c r="B495" s="9" t="n">
        <x:v>172</x:v>
      </x:c>
      <x:c r="C495" s="9" t="n">
        <x:v>975</x:v>
      </x:c>
      <x:c r="D495" s="9" t="n">
        <x:v>2</x:v>
      </x:c>
      <x:c r="E495" s="9" t="n">
        <x:v>119472</x:v>
      </x:c>
      <x:c r="F495" s="9" t="n">
        <x:v>30993</x:v>
      </x:c>
      <x:c r="G495" s="9" t="n">
        <x:v>52410.9999999851</x:v>
      </x:c>
      <x:c r="H495" s="9" t="n">
        <x:v>31845</x:v>
      </x:c>
      <x:c r="I495" s="9" t="n">
        <x:v>4117</x:v>
      </x:c>
      <x:c r="J495" s="9" t="n">
        <x:v>106.00000001490116</x:v>
      </x:c>
      <x:c r="K495" s="9" t="n">
        <x:f>F495+G495+I495+J495</x:f>
        <x:v>87627</x:v>
      </x:c>
      <x:c r="L495" s="10" t="n">
        <x:f>K495/Sources!$B$4*1000</x:f>
        <x:v>24.479926918085958</x:v>
      </x:c>
      <x:c r="M495" s="10" t="n">
        <x:f>E495/Sources!$B$4*1000</x:f>
        <x:v>33.37630900016622</x:v>
      </x:c>
      <x:c r="N495" s="9" t="n">
        <x:f>Sources!$B$6-K495</x:f>
        <x:v>-27891</x:v>
      </x:c>
      <x:c r="O495" s="1" t="str">
        <x:v>keyboard_route</x:v>
      </x:c>
      <x:c r="P495" s="12" t="n">
        <x:v>0</x:v>
      </x:c>
      <x:c r="Q495" s="12" t="n">
        <x:v>-4</x:v>
      </x:c>
      <x:c r="R495" s="12" t="n">
        <x:v>4</x:v>
      </x:c>
      <x:c r="S495" s="12" t="n">
        <x:v>7</x:v>
      </x:c>
      <x:c r="T495" s="1" t="str">
        <x:v>Yes</x:v>
      </x:c>
      <x:c r="U495" s="1" t="n">
        <x:v>0</x:v>
      </x:c>
    </x:row>
    <x:row r="496" ht="23" customHeight="1">
      <x:c r="A496" s="9" t="n">
        <x:v>614</x:v>
      </x:c>
      <x:c r="B496" s="9" t="n">
        <x:v>172</x:v>
      </x:c>
      <x:c r="C496" s="9" t="n">
        <x:v>971</x:v>
      </x:c>
      <x:c r="D496" s="9" t="n">
        <x:v>2</x:v>
      </x:c>
      <x:c r="E496" s="9" t="n">
        <x:v>119473.9999999851</x:v>
      </x:c>
      <x:c r="F496" s="9" t="n">
        <x:v>36631</x:v>
      </x:c>
      <x:c r="G496" s="9" t="n">
        <x:v>26890</x:v>
      </x:c>
      <x:c r="H496" s="9" t="n">
        <x:v>51729.9999999851</x:v>
      </x:c>
      <x:c r="I496" s="9" t="n">
        <x:v>4117</x:v>
      </x:c>
      <x:c r="J496" s="9" t="n">
        <x:v>106</x:v>
      </x:c>
      <x:c r="K496" s="9" t="n">
        <x:f>F496+G496+I496+J496</x:f>
        <x:v>67744</x:v>
      </x:c>
      <x:c r="L496" s="10" t="n">
        <x:f>K496/Sources!$B$4*1000</x:f>
        <x:v>18.92531033972195</x:v>
      </x:c>
      <x:c r="M496" s="10" t="n">
        <x:f>E496/Sources!$B$4*1000</x:f>
        <x:v>33.37686773039174</x:v>
      </x:c>
      <x:c r="N496" s="9" t="n">
        <x:f>Sources!$B$6-K496</x:f>
        <x:v>-8008</x:v>
      </x:c>
      <x:c r="O496" s="1" t="str">
        <x:v>keyboard_route</x:v>
      </x:c>
      <x:c r="P496" s="12" t="n">
        <x:v>0</x:v>
      </x:c>
      <x:c r="Q496" s="12" t="n">
        <x:v>-4</x:v>
      </x:c>
      <x:c r="R496" s="12" t="n">
        <x:v>4</x:v>
      </x:c>
      <x:c r="S496" s="12" t="n">
        <x:v>3</x:v>
      </x:c>
      <x:c r="T496" s="1" t="str">
        <x:v>No</x:v>
      </x:c>
      <x:c r="U496" s="1" t="n">
        <x:v>0</x:v>
      </x:c>
    </x:row>
    <x:row r="497" ht="23" customHeight="1">
      <x:c r="A497" s="9" t="n">
        <x:v>615</x:v>
      </x:c>
      <x:c r="B497" s="9" t="n">
        <x:v>172</x:v>
      </x:c>
      <x:c r="C497" s="9" t="n">
        <x:v>967</x:v>
      </x:c>
      <x:c r="D497" s="9" t="n">
        <x:v>2</x:v>
      </x:c>
      <x:c r="E497" s="9" t="n">
        <x:v>119472.0000000149</x:v>
      </x:c>
      <x:c r="F497" s="9" t="n">
        <x:v>31153</x:v>
      </x:c>
      <x:c r="G497" s="9" t="n">
        <x:v>52411</x:v>
      </x:c>
      <x:c r="H497" s="9" t="n">
        <x:v>31685</x:v>
      </x:c>
      <x:c r="I497" s="9" t="n">
        <x:v>4116.999999985099</x:v>
      </x:c>
      <x:c r="J497" s="9" t="n">
        <x:v>106.00000002980232</x:v>
      </x:c>
      <x:c r="K497" s="9" t="n">
        <x:f>F497+G497+I497+J497</x:f>
        <x:v>87787.0000000149</x:v>
      </x:c>
      <x:c r="L497" s="10" t="n">
        <x:f>K497/Sources!$B$4*1000</x:f>
        <x:v>24.524625336464524</x:v>
      </x:c>
      <x:c r="M497" s="10" t="n">
        <x:f>E497/Sources!$B$4*1000</x:f>
        <x:v>33.37630900017039</x:v>
      </x:c>
      <x:c r="N497" s="9" t="n">
        <x:f>Sources!$B$6-K497</x:f>
        <x:v>-28051.0000000149</x:v>
      </x:c>
      <x:c r="O497" s="1" t="str">
        <x:v>keyboard_route</x:v>
      </x:c>
      <x:c r="P497" s="12" t="n">
        <x:v>0</x:v>
      </x:c>
      <x:c r="Q497" s="12" t="n">
        <x:v>-4</x:v>
      </x:c>
      <x:c r="R497" s="12" t="n">
        <x:v>4</x:v>
      </x:c>
      <x:c r="S497" s="12" t="n">
        <x:v>7</x:v>
      </x:c>
      <x:c r="T497" s="1" t="str">
        <x:v>Yes</x:v>
      </x:c>
      <x:c r="U497" s="1" t="n">
        <x:v>0</x:v>
      </x:c>
    </x:row>
    <x:row r="498" ht="23" customHeight="1">
      <x:c r="A498" s="9" t="n">
        <x:v>616</x:v>
      </x:c>
      <x:c r="B498" s="9" t="n">
        <x:v>172</x:v>
      </x:c>
      <x:c r="C498" s="9" t="n">
        <x:v>963</x:v>
      </x:c>
      <x:c r="D498" s="9" t="n">
        <x:v>2</x:v>
      </x:c>
      <x:c r="E498" s="9" t="n">
        <x:v>119473</x:v>
      </x:c>
      <x:c r="F498" s="9" t="n">
        <x:v>38090.0000000149</x:v>
      </x:c>
      <x:c r="G498" s="9" t="n">
        <x:v>26890</x:v>
      </x:c>
      <x:c r="H498" s="9" t="n">
        <x:v>50269.9999999851</x:v>
      </x:c>
      <x:c r="I498" s="9" t="n">
        <x:v>4117</x:v>
      </x:c>
      <x:c r="J498" s="9" t="n">
        <x:v>106</x:v>
      </x:c>
      <x:c r="K498" s="9" t="n">
        <x:f>F498+G498+I498+J498</x:f>
        <x:v>69203.0000000149</x:v>
      </x:c>
      <x:c r="L498" s="10" t="n">
        <x:f>K498/Sources!$B$4*1000</x:f>
        <x:v>19.332904042277693</x:v>
      </x:c>
      <x:c r="M498" s="10" t="n">
        <x:f>E498/Sources!$B$4*1000</x:f>
        <x:v>33.37658836528106</x:v>
      </x:c>
      <x:c r="N498" s="9" t="n">
        <x:f>Sources!$B$6-K498</x:f>
        <x:v>-9467.000000014901</x:v>
      </x:c>
      <x:c r="O498" s="1" t="str">
        <x:v>keyboard_route</x:v>
      </x:c>
      <x:c r="P498" s="12" t="n">
        <x:v>0</x:v>
      </x:c>
      <x:c r="Q498" s="12" t="n">
        <x:v>-4</x:v>
      </x:c>
      <x:c r="R498" s="12" t="n">
        <x:v>4</x:v>
      </x:c>
      <x:c r="S498" s="12" t="n">
        <x:v>3</x:v>
      </x:c>
      <x:c r="T498" s="1" t="str">
        <x:v>No</x:v>
      </x:c>
      <x:c r="U498" s="1" t="n">
        <x:v>0</x:v>
      </x:c>
    </x:row>
    <x:row r="499" ht="23" customHeight="1">
      <x:c r="A499" s="9" t="n">
        <x:v>617</x:v>
      </x:c>
      <x:c r="B499" s="9" t="n">
        <x:v>172</x:v>
      </x:c>
      <x:c r="C499" s="9" t="n">
        <x:v>959</x:v>
      </x:c>
      <x:c r="D499" s="9" t="n">
        <x:v>2</x:v>
      </x:c>
      <x:c r="E499" s="9" t="n">
        <x:v>119470</x:v>
      </x:c>
      <x:c r="F499" s="9" t="n">
        <x:v>33539.9999999851</x:v>
      </x:c>
      <x:c r="G499" s="9" t="n">
        <x:v>52437</x:v>
      </x:c>
      <x:c r="H499" s="9" t="n">
        <x:v>29270</x:v>
      </x:c>
      <x:c r="I499" s="9" t="n">
        <x:v>4117</x:v>
      </x:c>
      <x:c r="J499" s="9" t="n">
        <x:v>106.00000001490116</x:v>
      </x:c>
      <x:c r="K499" s="9" t="n">
        <x:f>F499+G499+I499+J499</x:f>
        <x:v>90200</x:v>
      </x:c>
      <x:c r="L499" s="10" t="n">
        <x:f>K499/Sources!$B$4*1000</x:f>
        <x:v>25.198733358569314</x:v>
      </x:c>
      <x:c r="M499" s="10" t="n">
        <x:f>E499/Sources!$B$4*1000</x:f>
        <x:v>33.37575026993654</x:v>
      </x:c>
      <x:c r="N499" s="9" t="n">
        <x:f>Sources!$B$6-K499</x:f>
        <x:v>-30464</x:v>
      </x:c>
      <x:c r="O499" s="1" t="str">
        <x:v>keyboard_route</x:v>
      </x:c>
      <x:c r="P499" s="12" t="n">
        <x:v>0</x:v>
      </x:c>
      <x:c r="Q499" s="12" t="n">
        <x:v>-4</x:v>
      </x:c>
      <x:c r="R499" s="12" t="n">
        <x:v>4</x:v>
      </x:c>
      <x:c r="S499" s="12" t="n">
        <x:v>7</x:v>
      </x:c>
      <x:c r="T499" s="1" t="str">
        <x:v>Yes</x:v>
      </x:c>
      <x:c r="U499" s="1" t="n">
        <x:v>0</x:v>
      </x:c>
    </x:row>
    <x:row r="500" ht="23" customHeight="1">
      <x:c r="A500" s="9" t="n">
        <x:v>618</x:v>
      </x:c>
      <x:c r="B500" s="9" t="n">
        <x:v>172</x:v>
      </x:c>
      <x:c r="C500" s="9" t="n">
        <x:v>955</x:v>
      </x:c>
      <x:c r="D500" s="9" t="n">
        <x:v>2</x:v>
      </x:c>
      <x:c r="E500" s="9" t="n">
        <x:v>119473</x:v>
      </x:c>
      <x:c r="F500" s="9" t="n">
        <x:v>36202.9999999851</x:v>
      </x:c>
      <x:c r="G500" s="9" t="n">
        <x:v>26027</x:v>
      </x:c>
      <x:c r="H500" s="9" t="n">
        <x:v>53020</x:v>
      </x:c>
      <x:c r="I500" s="9" t="n">
        <x:v>4117</x:v>
      </x:c>
      <x:c r="J500" s="9" t="n">
        <x:v>106.00000001490116</x:v>
      </x:c>
      <x:c r="K500" s="9" t="n">
        <x:f>F500+G500+I500+J500</x:f>
        <x:v>66453</x:v>
      </x:c>
      <x:c r="L500" s="10" t="n">
        <x:f>K500/Sources!$B$4*1000</x:f>
        <x:v>18.56464997646349</x:v>
      </x:c>
      <x:c r="M500" s="10" t="n">
        <x:f>E500/Sources!$B$4*1000</x:f>
        <x:v>33.37658836528106</x:v>
      </x:c>
      <x:c r="N500" s="9" t="n">
        <x:f>Sources!$B$6-K500</x:f>
        <x:v>-6717</x:v>
      </x:c>
      <x:c r="O500" s="1" t="str">
        <x:v>keyboard_route</x:v>
      </x:c>
      <x:c r="P500" s="12" t="n">
        <x:v>0</x:v>
      </x:c>
      <x:c r="Q500" s="12" t="n">
        <x:v>-4</x:v>
      </x:c>
      <x:c r="R500" s="12" t="n">
        <x:v>4</x:v>
      </x:c>
      <x:c r="S500" s="12" t="n">
        <x:v>3</x:v>
      </x:c>
      <x:c r="T500" s="1" t="str">
        <x:v>No</x:v>
      </x:c>
      <x:c r="U500" s="1" t="n">
        <x:v>0</x:v>
      </x:c>
    </x:row>
    <x:row r="501" ht="23" customHeight="1">
      <x:c r="A501" s="9" t="n">
        <x:v>619</x:v>
      </x:c>
      <x:c r="B501" s="9" t="n">
        <x:v>172</x:v>
      </x:c>
      <x:c r="C501" s="9" t="n">
        <x:v>951</x:v>
      </x:c>
      <x:c r="D501" s="9" t="n">
        <x:v>2</x:v>
      </x:c>
      <x:c r="E501" s="9" t="n">
        <x:v>119469.9999999851</x:v>
      </x:c>
      <x:c r="F501" s="9" t="n">
        <x:v>30272</x:v>
      </x:c>
      <x:c r="G501" s="9" t="n">
        <x:v>52334.9999999851</x:v>
      </x:c>
      <x:c r="H501" s="9" t="n">
        <x:v>32640</x:v>
      </x:c>
      <x:c r="I501" s="9" t="n">
        <x:v>4117</x:v>
      </x:c>
      <x:c r="J501" s="9" t="n">
        <x:v>106</x:v>
      </x:c>
      <x:c r="K501" s="9" t="n">
        <x:f>F501+G501+I501+J501</x:f>
        <x:v>86829.9999999851</x:v>
      </x:c>
      <x:c r="L501" s="10" t="n">
        <x:f>K501/Sources!$B$4*1000</x:f>
        <x:v>24.257272921554303</x:v>
      </x:c>
      <x:c r="M501" s="10" t="n">
        <x:f>E501/Sources!$B$4*1000</x:f>
        <x:v>33.375750269932375</x:v>
      </x:c>
      <x:c r="N501" s="9" t="n">
        <x:f>Sources!$B$6-K501</x:f>
        <x:v>-27093.9999999851</x:v>
      </x:c>
      <x:c r="O501" s="1" t="str">
        <x:v>keyboard_route</x:v>
      </x:c>
      <x:c r="P501" s="12" t="n">
        <x:v>0</x:v>
      </x:c>
      <x:c r="Q501" s="12" t="n">
        <x:v>-4</x:v>
      </x:c>
      <x:c r="R501" s="12" t="n">
        <x:v>4</x:v>
      </x:c>
      <x:c r="S501" s="12" t="n">
        <x:v>7</x:v>
      </x:c>
      <x:c r="T501" s="1" t="str">
        <x:v>Yes</x:v>
      </x:c>
      <x:c r="U501" s="1" t="n">
        <x:v>0</x:v>
      </x:c>
    </x:row>
    <x:row r="502" ht="23" customHeight="1">
      <x:c r="A502" s="9" t="n">
        <x:v>620</x:v>
      </x:c>
      <x:c r="B502" s="9" t="n">
        <x:v>172</x:v>
      </x:c>
      <x:c r="C502" s="9" t="n">
        <x:v>947</x:v>
      </x:c>
      <x:c r="D502" s="9" t="n">
        <x:v>2</x:v>
      </x:c>
      <x:c r="E502" s="9" t="n">
        <x:v>119473.0000000149</x:v>
      </x:c>
      <x:c r="F502" s="9" t="n">
        <x:v>35893</x:v>
      </x:c>
      <x:c r="G502" s="9" t="n">
        <x:v>26026.9999999851</x:v>
      </x:c>
      <x:c r="H502" s="9" t="n">
        <x:v>53330</x:v>
      </x:c>
      <x:c r="I502" s="9" t="n">
        <x:v>4117</x:v>
      </x:c>
      <x:c r="J502" s="9" t="n">
        <x:v>106.00000002980232</x:v>
      </x:c>
      <x:c r="K502" s="9" t="n">
        <x:f>F502+G502+I502+J502</x:f>
        <x:v>66143.0000000149</x:v>
      </x:c>
      <x:c r="L502" s="10" t="n">
        <x:f>K502/Sources!$B$4*1000</x:f>
        <x:v>18.47804679086725</x:v>
      </x:c>
      <x:c r="M502" s="10" t="n">
        <x:f>E502/Sources!$B$4*1000</x:f>
        <x:v>33.37658836528522</x:v>
      </x:c>
      <x:c r="N502" s="9" t="n">
        <x:f>Sources!$B$6-K502</x:f>
        <x:v>-6407.000000014901</x:v>
      </x:c>
      <x:c r="O502" s="1" t="str">
        <x:v>keyboard_route</x:v>
      </x:c>
      <x:c r="P502" s="12" t="n">
        <x:v>0</x:v>
      </x:c>
      <x:c r="Q502" s="12" t="n">
        <x:v>-4</x:v>
      </x:c>
      <x:c r="R502" s="12" t="n">
        <x:v>4</x:v>
      </x:c>
      <x:c r="S502" s="12" t="n">
        <x:v>3</x:v>
      </x:c>
      <x:c r="T502" s="1" t="str">
        <x:v>No</x:v>
      </x:c>
      <x:c r="U502" s="1" t="n">
        <x:v>0</x:v>
      </x:c>
    </x:row>
    <x:row r="503" ht="23" customHeight="1">
      <x:c r="A503" s="9" t="n">
        <x:v>621</x:v>
      </x:c>
      <x:c r="B503" s="9" t="n">
        <x:v>172</x:v>
      </x:c>
      <x:c r="C503" s="9" t="n">
        <x:v>943</x:v>
      </x:c>
      <x:c r="D503" s="9" t="n">
        <x:v>2</x:v>
      </x:c>
      <x:c r="E503" s="9" t="n">
        <x:v>119471</x:v>
      </x:c>
      <x:c r="F503" s="9" t="n">
        <x:v>31755.0000000149</x:v>
      </x:c>
      <x:c r="G503" s="9" t="n">
        <x:v>52233</x:v>
      </x:c>
      <x:c r="H503" s="9" t="n">
        <x:v>31260</x:v>
      </x:c>
      <x:c r="I503" s="9" t="n">
        <x:v>4117</x:v>
      </x:c>
      <x:c r="J503" s="9" t="n">
        <x:v>105.99999998509884</x:v>
      </x:c>
      <x:c r="K503" s="9" t="n">
        <x:f>F503+G503+I503+J503</x:f>
        <x:v>88211</x:v>
      </x:c>
      <x:c r="L503" s="10" t="n">
        <x:f>K503/Sources!$B$4*1000</x:f>
        <x:v>24.643076145152524</x:v>
      </x:c>
      <x:c r="M503" s="10" t="n">
        <x:f>E503/Sources!$B$4*1000</x:f>
        <x:v>33.37602963505138</x:v>
      </x:c>
      <x:c r="N503" s="9" t="n">
        <x:f>Sources!$B$6-K503</x:f>
        <x:v>-28475</x:v>
      </x:c>
      <x:c r="O503" s="1" t="str">
        <x:v>keyboard_route</x:v>
      </x:c>
      <x:c r="P503" s="12" t="n">
        <x:v>0</x:v>
      </x:c>
      <x:c r="Q503" s="12" t="n">
        <x:v>-4</x:v>
      </x:c>
      <x:c r="R503" s="12" t="n">
        <x:v>4</x:v>
      </x:c>
      <x:c r="S503" s="12" t="n">
        <x:v>7</x:v>
      </x:c>
      <x:c r="T503" s="1" t="str">
        <x:v>Yes</x:v>
      </x:c>
      <x:c r="U503" s="1" t="n">
        <x:v>0</x:v>
      </x:c>
    </x:row>
    <x:row r="504" ht="23" customHeight="1">
      <x:c r="A504" s="9" t="n">
        <x:v>622</x:v>
      </x:c>
      <x:c r="B504" s="9" t="n">
        <x:v>172</x:v>
      </x:c>
      <x:c r="C504" s="9" t="n">
        <x:v>939</x:v>
      </x:c>
      <x:c r="D504" s="9" t="n">
        <x:v>2</x:v>
      </x:c>
      <x:c r="E504" s="9" t="n">
        <x:v>119473</x:v>
      </x:c>
      <x:c r="F504" s="9" t="n">
        <x:v>39028</x:v>
      </x:c>
      <x:c r="G504" s="9" t="n">
        <x:v>26026.9999999851</x:v>
      </x:c>
      <x:c r="H504" s="9" t="n">
        <x:v>50195</x:v>
      </x:c>
      <x:c r="I504" s="9" t="n">
        <x:v>4117</x:v>
      </x:c>
      <x:c r="J504" s="9" t="n">
        <x:v>106.00000001490116</x:v>
      </x:c>
      <x:c r="K504" s="9" t="n">
        <x:f>F504+G504+I504+J504</x:f>
        <x:v>69278</x:v>
      </x:c>
      <x:c r="L504" s="10" t="n">
        <x:f>K504/Sources!$B$4*1000</x:f>
        <x:v>19.35385642588653</x:v>
      </x:c>
      <x:c r="M504" s="10" t="n">
        <x:f>E504/Sources!$B$4*1000</x:f>
        <x:v>33.37658836528106</x:v>
      </x:c>
      <x:c r="N504" s="9" t="n">
        <x:f>Sources!$B$6-K504</x:f>
        <x:v>-9542</x:v>
      </x:c>
      <x:c r="O504" s="1" t="str">
        <x:v>keyboard_route</x:v>
      </x:c>
      <x:c r="P504" s="12" t="n">
        <x:v>0</x:v>
      </x:c>
      <x:c r="Q504" s="12" t="n">
        <x:v>-4</x:v>
      </x:c>
      <x:c r="R504" s="12" t="n">
        <x:v>4</x:v>
      </x:c>
      <x:c r="S504" s="12" t="n">
        <x:v>3</x:v>
      </x:c>
      <x:c r="T504" s="1" t="str">
        <x:v>No</x:v>
      </x:c>
      <x:c r="U504" s="1" t="n">
        <x:v>0</x:v>
      </x:c>
    </x:row>
    <x:row r="505" ht="23" customHeight="1">
      <x:c r="A505" s="9" t="n">
        <x:v>623</x:v>
      </x:c>
      <x:c r="B505" s="9" t="n">
        <x:v>168</x:v>
      </x:c>
      <x:c r="C505" s="9" t="n">
        <x:v>939</x:v>
      </x:c>
      <x:c r="D505" s="9" t="n">
        <x:v>2</x:v>
      </x:c>
      <x:c r="E505" s="9" t="n">
        <x:v>117919</x:v>
      </x:c>
      <x:c r="F505" s="9" t="n">
        <x:v>33449.0000000149</x:v>
      </x:c>
      <x:c r="G505" s="9" t="n">
        <x:v>24954</x:v>
      </x:c>
      <x:c r="H505" s="9" t="n">
        <x:v>56845</x:v>
      </x:c>
      <x:c r="I505" s="9" t="n">
        <x:v>2565</x:v>
      </x:c>
      <x:c r="J505" s="9" t="n">
        <x:v>105.99999998509884</x:v>
      </x:c>
      <x:c r="K505" s="9" t="n">
        <x:f>F505+G505+I505+J505</x:f>
        <x:v>61074</x:v>
      </x:c>
      <x:c r="L505" s="10" t="n">
        <x:f>K505/Sources!$B$4*1000</x:f>
        <x:v>17.06194502373905</x:v>
      </x:c>
      <x:c r="M505" s="10" t="n">
        <x:f>E505/Sources!$B$4*1000</x:f>
        <x:v>32.942454976819675</x:v>
      </x:c>
      <x:c r="N505" s="9" t="n">
        <x:f>Sources!$B$6-K505</x:f>
        <x:v>-1338</x:v>
      </x:c>
      <x:c r="O505" s="1" t="str">
        <x:v>keyboard_route</x:v>
      </x:c>
      <x:c r="P505" s="12" t="n">
        <x:v>-4</x:v>
      </x:c>
      <x:c r="Q505" s="12" t="n">
        <x:v>0</x:v>
      </x:c>
      <x:c r="R505" s="12" t="n">
        <x:v>0</x:v>
      </x:c>
      <x:c r="S505" s="12" t="n">
        <x:v>3</x:v>
      </x:c>
      <x:c r="T505" s="1" t="str">
        <x:v>No</x:v>
      </x:c>
      <x:c r="U505" s="1" t="n">
        <x:v>0</x:v>
      </x:c>
    </x:row>
    <x:row r="506" ht="23" customHeight="1">
      <x:c r="A506" s="9" t="n">
        <x:v>624</x:v>
      </x:c>
      <x:c r="B506" s="9" t="n">
        <x:v>164</x:v>
      </x:c>
      <x:c r="C506" s="9" t="n">
        <x:v>939</x:v>
      </x:c>
      <x:c r="D506" s="9" t="n">
        <x:v>2</x:v>
      </x:c>
      <x:c r="E506" s="9" t="n">
        <x:v>119476</x:v>
      </x:c>
      <x:c r="F506" s="9" t="n">
        <x:v>36309.0000000149</x:v>
      </x:c>
      <x:c r="G506" s="9" t="n">
        <x:v>59521</x:v>
      </x:c>
      <x:c r="H506" s="9" t="n">
        <x:v>20975.0000000149</x:v>
      </x:c>
      <x:c r="I506" s="9" t="n">
        <x:v>2565</x:v>
      </x:c>
      <x:c r="J506" s="9" t="n">
        <x:v>105.99999997019768</x:v>
      </x:c>
      <x:c r="K506" s="9" t="n">
        <x:f>F506+G506+I506+J506</x:f>
        <x:v>98500.9999999851</x:v>
      </x:c>
      <x:c r="L506" s="10" t="n">
        <x:f>K506/Sources!$B$4*1000</x:f>
        <x:v>27.517743176852115</x:v>
      </x:c>
      <x:c r="M506" s="10" t="n">
        <x:f>E506/Sources!$B$4*1000</x:f>
        <x:v>33.37742646062558</x:v>
      </x:c>
      <x:c r="N506" s="9" t="n">
        <x:f>Sources!$B$6-K506</x:f>
        <x:v>-38764.9999999851</x:v>
      </x:c>
      <x:c r="O506" s="1" t="str">
        <x:v>keyboard_route</x:v>
      </x:c>
      <x:c r="P506" s="12" t="n">
        <x:v>-4</x:v>
      </x:c>
      <x:c r="Q506" s="12" t="n">
        <x:v>0</x:v>
      </x:c>
      <x:c r="R506" s="12" t="n">
        <x:v>4</x:v>
      </x:c>
      <x:c r="S506" s="12" t="n">
        <x:v>3</x:v>
      </x:c>
      <x:c r="T506" s="1" t="str">
        <x:v>Yes</x:v>
      </x:c>
      <x:c r="U506" s="1" t="n">
        <x:v>0</x:v>
      </x:c>
    </x:row>
    <x:row r="507" ht="23" customHeight="1">
      <x:c r="A507" s="9" t="n">
        <x:v>625</x:v>
      </x:c>
      <x:c r="B507" s="9" t="n">
        <x:v>160</x:v>
      </x:c>
      <x:c r="C507" s="9" t="n">
        <x:v>939</x:v>
      </x:c>
      <x:c r="D507" s="9" t="n">
        <x:v>2</x:v>
      </x:c>
      <x:c r="E507" s="9" t="n">
        <x:v>119469</x:v>
      </x:c>
      <x:c r="F507" s="9" t="n">
        <x:v>36622</x:v>
      </x:c>
      <x:c r="G507" s="9" t="n">
        <x:v>29016</x:v>
      </x:c>
      <x:c r="H507" s="9" t="n">
        <x:v>51160</x:v>
      </x:c>
      <x:c r="I507" s="9" t="n">
        <x:v>2565</x:v>
      </x:c>
      <x:c r="J507" s="9" t="n">
        <x:v>106</x:v>
      </x:c>
      <x:c r="K507" s="9" t="n">
        <x:f>F507+G507+I507+J507</x:f>
        <x:v>68309</x:v>
      </x:c>
      <x:c r="L507" s="10" t="n">
        <x:f>K507/Sources!$B$4*1000</x:f>
        <x:v>19.083151629606558</x:v>
      </x:c>
      <x:c r="M507" s="10" t="n">
        <x:f>E507/Sources!$B$4*1000</x:f>
        <x:v>33.375470904821704</x:v>
      </x:c>
      <x:c r="N507" s="9" t="n">
        <x:f>Sources!$B$6-K507</x:f>
        <x:v>-8573</x:v>
      </x:c>
      <x:c r="O507" s="1" t="str">
        <x:v>keyboard_route</x:v>
      </x:c>
      <x:c r="P507" s="12" t="n">
        <x:v>-4</x:v>
      </x:c>
      <x:c r="Q507" s="12" t="n">
        <x:v>0</x:v>
      </x:c>
      <x:c r="R507" s="12" t="n">
        <x:v>0</x:v>
      </x:c>
      <x:c r="S507" s="12" t="n">
        <x:v>3</x:v>
      </x:c>
      <x:c r="T507" s="1" t="str">
        <x:v>No</x:v>
      </x:c>
      <x:c r="U507" s="1" t="n">
        <x:v>0</x:v>
      </x:c>
    </x:row>
    <x:row r="508" ht="23" customHeight="1">
      <x:c r="A508" s="9" t="n">
        <x:v>626</x:v>
      </x:c>
      <x:c r="B508" s="9" t="n">
        <x:v>156</x:v>
      </x:c>
      <x:c r="C508" s="9" t="n">
        <x:v>939</x:v>
      </x:c>
      <x:c r="D508" s="9" t="n">
        <x:v>2</x:v>
      </x:c>
      <x:c r="E508" s="9" t="n">
        <x:v>119472</x:v>
      </x:c>
      <x:c r="F508" s="9" t="n">
        <x:v>35190</x:v>
      </x:c>
      <x:c r="G508" s="9" t="n">
        <x:v>59521.0000000149</x:v>
      </x:c>
      <x:c r="H508" s="9" t="n">
        <x:v>22090</x:v>
      </x:c>
      <x:c r="I508" s="9" t="n">
        <x:v>2565</x:v>
      </x:c>
      <x:c r="J508" s="9" t="n">
        <x:v>105.99999998509884</x:v>
      </x:c>
      <x:c r="K508" s="9" t="n">
        <x:f>F508+G508+I508+J508</x:f>
        <x:v>97382</x:v>
      </x:c>
      <x:c r="L508" s="10" t="n">
        <x:f>K508/Sources!$B$4*1000</x:f>
        <x:v>27.205133613350302</x:v>
      </x:c>
      <x:c r="M508" s="10" t="n">
        <x:f>E508/Sources!$B$4*1000</x:f>
        <x:v>33.37630900016622</x:v>
      </x:c>
      <x:c r="N508" s="9" t="n">
        <x:f>Sources!$B$6-K508</x:f>
        <x:v>-37646</x:v>
      </x:c>
      <x:c r="O508" s="1" t="str">
        <x:v>keyboard_route</x:v>
      </x:c>
      <x:c r="P508" s="12" t="n">
        <x:v>-4</x:v>
      </x:c>
      <x:c r="Q508" s="12" t="n">
        <x:v>0</x:v>
      </x:c>
      <x:c r="R508" s="12" t="n">
        <x:v>4</x:v>
      </x:c>
      <x:c r="S508" s="12" t="n">
        <x:v>3</x:v>
      </x:c>
      <x:c r="T508" s="1" t="str">
        <x:v>Yes</x:v>
      </x:c>
      <x:c r="U508" s="1" t="n">
        <x:v>0</x:v>
      </x:c>
    </x:row>
    <x:row r="509" ht="23" customHeight="1">
      <x:c r="A509" s="9" t="n">
        <x:v>627</x:v>
      </x:c>
      <x:c r="B509" s="9" t="n">
        <x:v>152</x:v>
      </x:c>
      <x:c r="C509" s="9" t="n">
        <x:v>939</x:v>
      </x:c>
      <x:c r="D509" s="9" t="n">
        <x:v>2</x:v>
      </x:c>
      <x:c r="E509" s="9" t="n">
        <x:v>119473</x:v>
      </x:c>
      <x:c r="F509" s="9" t="n">
        <x:v>35311</x:v>
      </x:c>
      <x:c r="G509" s="9" t="n">
        <x:v>29016.0000000149</x:v>
      </x:c>
      <x:c r="H509" s="9" t="n">
        <x:v>52475.0000000149</x:v>
      </x:c>
      <x:c r="I509" s="9" t="n">
        <x:v>2565</x:v>
      </x:c>
      <x:c r="J509" s="9" t="n">
        <x:v>105.99999997019768</x:v>
      </x:c>
      <x:c r="K509" s="9" t="n">
        <x:f>F509+G509+I509+J509</x:f>
        <x:v>66997.9999999851</x:v>
      </x:c>
      <x:c r="L509" s="10" t="n">
        <x:f>K509/Sources!$B$4*1000</x:f>
        <x:v>18.716903964047134</x:v>
      </x:c>
      <x:c r="M509" s="10" t="n">
        <x:f>E509/Sources!$B$4*1000</x:f>
        <x:v>33.37658836528106</x:v>
      </x:c>
      <x:c r="N509" s="9" t="n">
        <x:f>Sources!$B$6-K509</x:f>
        <x:v>-7261.999999985099</x:v>
      </x:c>
      <x:c r="O509" s="1" t="str">
        <x:v>keyboard_route</x:v>
      </x:c>
      <x:c r="P509" s="12" t="n">
        <x:v>-4</x:v>
      </x:c>
      <x:c r="Q509" s="12" t="n">
        <x:v>0</x:v>
      </x:c>
      <x:c r="R509" s="12" t="n">
        <x:v>0</x:v>
      </x:c>
      <x:c r="S509" s="12" t="n">
        <x:v>3</x:v>
      </x:c>
      <x:c r="T509" s="1" t="str">
        <x:v>No</x:v>
      </x:c>
      <x:c r="U509" s="1" t="n">
        <x:v>0</x:v>
      </x:c>
    </x:row>
    <x:row r="510" ht="23" customHeight="1">
      <x:c r="A510" s="9" t="n">
        <x:v>628</x:v>
      </x:c>
      <x:c r="B510" s="9" t="n">
        <x:v>148</x:v>
      </x:c>
      <x:c r="C510" s="9" t="n">
        <x:v>939</x:v>
      </x:c>
      <x:c r="D510" s="9" t="n">
        <x:v>2</x:v>
      </x:c>
      <x:c r="E510" s="9" t="n">
        <x:v>119474</x:v>
      </x:c>
      <x:c r="F510" s="9" t="n">
        <x:v>33121</x:v>
      </x:c>
      <x:c r="G510" s="9" t="n">
        <x:v>57222</x:v>
      </x:c>
      <x:c r="H510" s="9" t="n">
        <x:v>26460</x:v>
      </x:c>
      <x:c r="I510" s="9" t="n">
        <x:v>2565</x:v>
      </x:c>
      <x:c r="J510" s="9" t="n">
        <x:v>106</x:v>
      </x:c>
      <x:c r="K510" s="9" t="n">
        <x:f>F510+G510+I510+J510</x:f>
        <x:v>93014</x:v>
      </x:c>
      <x:c r="L510" s="10" t="n">
        <x:f>K510/Sources!$B$4*1000</x:f>
        <x:v>25.984866791729115</x:v>
      </x:c>
      <x:c r="M510" s="10" t="n">
        <x:f>E510/Sources!$B$4*1000</x:f>
        <x:v>33.3768677303959</x:v>
      </x:c>
      <x:c r="N510" s="9" t="n">
        <x:f>Sources!$B$6-K510</x:f>
        <x:v>-33278</x:v>
      </x:c>
      <x:c r="O510" s="1" t="str">
        <x:v>keyboard_route</x:v>
      </x:c>
      <x:c r="P510" s="12" t="n">
        <x:v>-4</x:v>
      </x:c>
      <x:c r="Q510" s="12" t="n">
        <x:v>0</x:v>
      </x:c>
      <x:c r="R510" s="12" t="n">
        <x:v>4</x:v>
      </x:c>
      <x:c r="S510" s="12" t="n">
        <x:v>3</x:v>
      </x:c>
      <x:c r="T510" s="1" t="str">
        <x:v>Yes</x:v>
      </x:c>
      <x:c r="U510" s="1" t="n">
        <x:v>0</x:v>
      </x:c>
    </x:row>
    <x:row r="511" ht="23" customHeight="1">
      <x:c r="A511" s="9" t="n">
        <x:v>629</x:v>
      </x:c>
      <x:c r="B511" s="9" t="n">
        <x:v>144</x:v>
      </x:c>
      <x:c r="C511" s="9" t="n">
        <x:v>939</x:v>
      </x:c>
      <x:c r="D511" s="9" t="n">
        <x:v>2</x:v>
      </x:c>
      <x:c r="E511" s="9" t="n">
        <x:v>179207</x:v>
      </x:c>
      <x:c r="F511" s="9" t="n">
        <x:v>37218.0000000149</x:v>
      </x:c>
      <x:c r="G511" s="9" t="n">
        <x:v>82468</x:v>
      </x:c>
      <x:c r="H511" s="9" t="n">
        <x:v>56850</x:v>
      </x:c>
      <x:c r="I511" s="9" t="n">
        <x:v>2565</x:v>
      </x:c>
      <x:c r="J511" s="9" t="n">
        <x:v>105.99999998509884</x:v>
      </x:c>
      <x:c r="K511" s="9" t="n">
        <x:f>F511+G511+I511+J511</x:f>
        <x:v>122357</x:v>
      </x:c>
      <x:c r="L511" s="10" t="n">
        <x:f>K511/Sources!$B$4*1000</x:f>
        <x:v>34.18227735647966</x:v>
      </x:c>
      <x:c r="M511" s="10" t="n">
        <x:f>E511/Sources!$B$4*1000</x:f>
        <x:v>50.06418413513449</x:v>
      </x:c>
      <x:c r="N511" s="9" t="n">
        <x:f>Sources!$B$6-K511</x:f>
        <x:v>-62621</x:v>
      </x:c>
      <x:c r="O511" s="1" t="str">
        <x:v>keyboard_route</x:v>
      </x:c>
      <x:c r="P511" s="12" t="n">
        <x:v>-4</x:v>
      </x:c>
      <x:c r="Q511" s="12" t="n">
        <x:v>0</x:v>
      </x:c>
      <x:c r="R511" s="12" t="n">
        <x:v>0</x:v>
      </x:c>
      <x:c r="S511" s="12" t="n">
        <x:v>3</x:v>
      </x:c>
      <x:c r="T511" s="1" t="str">
        <x:v>No</x:v>
      </x:c>
      <x:c r="U511" s="1" t="n">
        <x:v>0</x:v>
      </x:c>
    </x:row>
    <x:row r="512" ht="23" customHeight="1">
      <x:c r="A512" s="9" t="n">
        <x:v>630</x:v>
      </x:c>
      <x:c r="B512" s="9" t="n">
        <x:v>136</x:v>
      </x:c>
      <x:c r="C512" s="9" t="n">
        <x:v>939</x:v>
      </x:c>
      <x:c r="D512" s="9" t="n">
        <x:v>3</x:v>
      </x:c>
      <x:c r="E512" s="9" t="n">
        <x:v>179206</x:v>
      </x:c>
      <x:c r="F512" s="9" t="n">
        <x:v>60335.0000000149</x:v>
      </x:c>
      <x:c r="G512" s="9" t="n">
        <x:v>87295.0000000149</x:v>
      </x:c>
      <x:c r="H512" s="9" t="n">
        <x:v>28905</x:v>
      </x:c>
      <x:c r="I512" s="9" t="n">
        <x:v>2565</x:v>
      </x:c>
      <x:c r="J512" s="9" t="n">
        <x:v>105.99999997019768</x:v>
      </x:c>
      <x:c r="K512" s="9" t="n">
        <x:f>F512+G512+I512+J512</x:f>
        <x:v>150301</x:v>
      </x:c>
      <x:c r="L512" s="10" t="n">
        <x:f>K512/Sources!$B$4*1000</x:f>
        <x:v>41.98885612556903</x:v>
      </x:c>
      <x:c r="M512" s="10" t="n">
        <x:f>E512/Sources!$B$4*1000</x:f>
        <x:v>50.063904770019654</x:v>
      </x:c>
      <x:c r="N512" s="9" t="n">
        <x:f>Sources!$B$6-K512</x:f>
        <x:v>-90565</x:v>
      </x:c>
      <x:c r="O512" s="1" t="str">
        <x:v>keyboard_route</x:v>
      </x:c>
      <x:c r="P512" s="12" t="n">
        <x:v>-8</x:v>
      </x:c>
      <x:c r="Q512" s="12" t="n">
        <x:v>0</x:v>
      </x:c>
      <x:c r="R512" s="12" t="n">
        <x:v>0</x:v>
      </x:c>
      <x:c r="S512" s="12" t="n">
        <x:v>3</x:v>
      </x:c>
      <x:c r="T512" s="1" t="str">
        <x:v>Yes</x:v>
      </x:c>
      <x:c r="U512" s="1" t="n">
        <x:v>0</x:v>
      </x:c>
    </x:row>
    <x:row r="513" ht="23" customHeight="1">
      <x:c r="A513" s="9" t="n">
        <x:v>631</x:v>
      </x:c>
      <x:c r="B513" s="9" t="n">
        <x:v>132</x:v>
      </x:c>
      <x:c r="C513" s="9" t="n">
        <x:v>939</x:v>
      </x:c>
      <x:c r="D513" s="9" t="n">
        <x:v>3</x:v>
      </x:c>
      <x:c r="E513" s="9" t="n">
        <x:v>119472.9999999851</x:v>
      </x:c>
      <x:c r="F513" s="9" t="n">
        <x:v>37770</x:v>
      </x:c>
      <x:c r="G513" s="9" t="n">
        <x:v>52607</x:v>
      </x:c>
      <x:c r="H513" s="9" t="n">
        <x:v>26424.9999999851</x:v>
      </x:c>
      <x:c r="I513" s="9" t="n">
        <x:v>2565</x:v>
      </x:c>
      <x:c r="J513" s="9" t="n">
        <x:v>106</x:v>
      </x:c>
      <x:c r="K513" s="9" t="n">
        <x:f>F513+G513+I513+J513</x:f>
        <x:v>93048</x:v>
      </x:c>
      <x:c r="L513" s="10" t="n">
        <x:f>K513/Sources!$B$4*1000</x:f>
        <x:v>25.994365205633674</x:v>
      </x:c>
      <x:c r="M513" s="10" t="n">
        <x:f>E513/Sources!$B$4*1000</x:f>
        <x:v>33.376588365276895</x:v>
      </x:c>
      <x:c r="N513" s="9" t="n">
        <x:f>Sources!$B$6-K513</x:f>
        <x:v>-33312</x:v>
      </x:c>
      <x:c r="O513" s="1" t="str">
        <x:v>keyboard_route</x:v>
      </x:c>
      <x:c r="P513" s="12" t="n">
        <x:v>-4</x:v>
      </x:c>
      <x:c r="Q513" s="12" t="n">
        <x:v>0</x:v>
      </x:c>
      <x:c r="R513" s="12" t="n">
        <x:v>4</x:v>
      </x:c>
      <x:c r="S513" s="12" t="n">
        <x:v>3</x:v>
      </x:c>
      <x:c r="T513" s="1" t="str">
        <x:v>Yes</x:v>
      </x:c>
      <x:c r="U513" s="1" t="n">
        <x:v>0</x:v>
      </x:c>
    </x:row>
    <x:row r="514" ht="23" customHeight="1">
      <x:c r="A514" s="9" t="n">
        <x:v>632</x:v>
      </x:c>
      <x:c r="B514" s="9" t="n">
        <x:v>128</x:v>
      </x:c>
      <x:c r="C514" s="9" t="n">
        <x:v>939</x:v>
      </x:c>
      <x:c r="D514" s="9" t="n">
        <x:v>2</x:v>
      </x:c>
      <x:c r="E514" s="9" t="n">
        <x:v>119470</x:v>
      </x:c>
      <x:c r="F514" s="9" t="n">
        <x:v>37200</x:v>
      </x:c>
      <x:c r="G514" s="9" t="n">
        <x:v>61029.0000000149</x:v>
      </x:c>
      <x:c r="H514" s="9" t="n">
        <x:v>18569.9999999851</x:v>
      </x:c>
      <x:c r="I514" s="9" t="n">
        <x:v>2565</x:v>
      </x:c>
      <x:c r="J514" s="9" t="n">
        <x:v>106</x:v>
      </x:c>
      <x:c r="K514" s="9" t="n">
        <x:f>F514+G514+I514+J514</x:f>
        <x:v>100900.0000000149</x:v>
      </x:c>
      <x:c r="L514" s="10" t="n">
        <x:f>K514/Sources!$B$4*1000</x:f>
        <x:v>28.187940087361632</x:v>
      </x:c>
      <x:c r="M514" s="10" t="n">
        <x:f>E514/Sources!$B$4*1000</x:f>
        <x:v>33.37575026993654</x:v>
      </x:c>
      <x:c r="N514" s="9" t="n">
        <x:f>Sources!$B$6-K514</x:f>
        <x:v>-41164.0000000149</x:v>
      </x:c>
      <x:c r="O514" s="1" t="str">
        <x:v>keyboard_route</x:v>
      </x:c>
      <x:c r="P514" s="12" t="n">
        <x:v>-4</x:v>
      </x:c>
      <x:c r="Q514" s="12" t="n">
        <x:v>0</x:v>
      </x:c>
      <x:c r="R514" s="12" t="n">
        <x:v>0</x:v>
      </x:c>
      <x:c r="S514" s="12" t="n">
        <x:v>3</x:v>
      </x:c>
      <x:c r="T514" s="1" t="str">
        <x:v>No</x:v>
      </x:c>
      <x:c r="U514" s="1" t="n">
        <x:v>0</x:v>
      </x:c>
    </x:row>
    <x:row r="515" ht="23" customHeight="1">
      <x:c r="A515" s="9" t="n">
        <x:v>633</x:v>
      </x:c>
      <x:c r="B515" s="9" t="n">
        <x:v>124</x:v>
      </x:c>
      <x:c r="C515" s="9" t="n">
        <x:v>939</x:v>
      </x:c>
      <x:c r="D515" s="9" t="n">
        <x:v>2</x:v>
      </x:c>
      <x:c r="E515" s="9" t="n">
        <x:v>119476.0000000149</x:v>
      </x:c>
      <x:c r="F515" s="9" t="n">
        <x:v>36704</x:v>
      </x:c>
      <x:c r="G515" s="9" t="n">
        <x:v>46186</x:v>
      </x:c>
      <x:c r="H515" s="9" t="n">
        <x:v>33915</x:v>
      </x:c>
      <x:c r="I515" s="9" t="n">
        <x:v>2565</x:v>
      </x:c>
      <x:c r="J515" s="9" t="n">
        <x:v>106.00000001490116</x:v>
      </x:c>
      <x:c r="K515" s="9" t="n">
        <x:f>F515+G515+I515+J515</x:f>
        <x:v>85561.0000000149</x:v>
      </x:c>
      <x:c r="L515" s="10" t="n">
        <x:f>K515/Sources!$B$4*1000</x:f>
        <x:v>23.90275859083065</x:v>
      </x:c>
      <x:c r="M515" s="10" t="n">
        <x:f>E515/Sources!$B$4*1000</x:f>
        <x:v>33.37742646062974</x:v>
      </x:c>
      <x:c r="N515" s="9" t="n">
        <x:f>Sources!$B$6-K515</x:f>
        <x:v>-25825.0000000149</x:v>
      </x:c>
      <x:c r="O515" s="1" t="str">
        <x:v>keyboard_route</x:v>
      </x:c>
      <x:c r="P515" s="12" t="n">
        <x:v>-4</x:v>
      </x:c>
      <x:c r="Q515" s="12" t="n">
        <x:v>0</x:v>
      </x:c>
      <x:c r="R515" s="12" t="n">
        <x:v>4</x:v>
      </x:c>
      <x:c r="S515" s="12" t="n">
        <x:v>3</x:v>
      </x:c>
      <x:c r="T515" s="1" t="str">
        <x:v>Yes</x:v>
      </x:c>
      <x:c r="U515" s="1" t="n">
        <x:v>0</x:v>
      </x:c>
    </x:row>
    <x:row r="516" ht="23" customHeight="1">
      <x:c r="A516" s="9" t="n">
        <x:v>634</x:v>
      </x:c>
      <x:c r="B516" s="9" t="n">
        <x:v>124</x:v>
      </x:c>
      <x:c r="C516" s="9" t="n">
        <x:v>935</x:v>
      </x:c>
      <x:c r="D516" s="9" t="n">
        <x:v>2</x:v>
      </x:c>
      <x:c r="E516" s="9" t="n">
        <x:v>121021</x:v>
      </x:c>
      <x:c r="F516" s="9" t="n">
        <x:v>36379</x:v>
      </x:c>
      <x:c r="G516" s="9" t="n">
        <x:v>42174</x:v>
      </x:c>
      <x:c r="H516" s="9" t="n">
        <x:v>38245.0000000149</x:v>
      </x:c>
      <x:c r="I516" s="9" t="n">
        <x:v>4117</x:v>
      </x:c>
      <x:c r="J516" s="9" t="n">
        <x:v>105.99999998509884</x:v>
      </x:c>
      <x:c r="K516" s="9" t="n">
        <x:f>F516+G516+I516+J516</x:f>
        <x:v>82775.9999999851</x:v>
      </x:c>
      <x:c r="L516" s="10" t="n">
        <x:f>K516/Sources!$B$4*1000</x:f>
        <x:v>23.124726745992884</x:v>
      </x:c>
      <x:c r="M516" s="10" t="n">
        <x:f>E516/Sources!$B$4*1000</x:f>
        <x:v>33.8090455630534</x:v>
      </x:c>
      <x:c r="N516" s="9" t="n">
        <x:f>Sources!$B$6-K516</x:f>
        <x:v>-23039.9999999851</x:v>
      </x:c>
      <x:c r="O516" s="1" t="str">
        <x:v>keyboard_route</x:v>
      </x:c>
      <x:c r="P516" s="12" t="n">
        <x:v>0</x:v>
      </x:c>
      <x:c r="Q516" s="12" t="n">
        <x:v>-4</x:v>
      </x:c>
      <x:c r="R516" s="12" t="n">
        <x:v>4</x:v>
      </x:c>
      <x:c r="S516" s="12" t="n">
        <x:v>7</x:v>
      </x:c>
      <x:c r="T516" s="1" t="str">
        <x:v>Yes</x:v>
      </x:c>
      <x:c r="U516" s="1" t="n">
        <x:v>0</x:v>
      </x:c>
    </x:row>
    <x:row r="517" ht="23" customHeight="1">
      <x:c r="A517" s="9" t="n">
        <x:v>635</x:v>
      </x:c>
      <x:c r="B517" s="9" t="n">
        <x:v>124</x:v>
      </x:c>
      <x:c r="C517" s="9" t="n">
        <x:v>931</x:v>
      </x:c>
      <x:c r="D517" s="9" t="n">
        <x:v>2</x:v>
      </x:c>
      <x:c r="E517" s="9" t="n">
        <x:v>119471</x:v>
      </x:c>
      <x:c r="F517" s="9" t="n">
        <x:v>40538</x:v>
      </x:c>
      <x:c r="G517" s="9" t="n">
        <x:v>25884.9999999851</x:v>
      </x:c>
      <x:c r="H517" s="9" t="n">
        <x:v>48825</x:v>
      </x:c>
      <x:c r="I517" s="9" t="n">
        <x:v>4116.999999985099</x:v>
      </x:c>
      <x:c r="J517" s="9" t="n">
        <x:v>106.00000002980232</x:v>
      </x:c>
      <x:c r="K517" s="9" t="n">
        <x:f>F517+G517+I517+J517</x:f>
        <x:v>70646</x:v>
      </x:c>
      <x:c r="L517" s="10" t="n">
        <x:f>K517/Sources!$B$4*1000</x:f>
        <x:v>19.736027902987672</x:v>
      </x:c>
      <x:c r="M517" s="10" t="n">
        <x:f>E517/Sources!$B$4*1000</x:f>
        <x:v>33.37602963505138</x:v>
      </x:c>
      <x:c r="N517" s="9" t="n">
        <x:f>Sources!$B$6-K517</x:f>
        <x:v>-10910</x:v>
      </x:c>
      <x:c r="O517" s="1" t="str">
        <x:v>keyboard_route</x:v>
      </x:c>
      <x:c r="P517" s="12" t="n">
        <x:v>0</x:v>
      </x:c>
      <x:c r="Q517" s="12" t="n">
        <x:v>-4</x:v>
      </x:c>
      <x:c r="R517" s="12" t="n">
        <x:v>4</x:v>
      </x:c>
      <x:c r="S517" s="12" t="n">
        <x:v>3</x:v>
      </x:c>
      <x:c r="T517" s="1" t="str">
        <x:v>No</x:v>
      </x:c>
      <x:c r="U517" s="1" t="n">
        <x:v>0</x:v>
      </x:c>
    </x:row>
    <x:row r="518" ht="23" customHeight="1">
      <x:c r="A518" s="9" t="n">
        <x:v>636</x:v>
      </x:c>
      <x:c r="B518" s="9" t="n">
        <x:v>124</x:v>
      </x:c>
      <x:c r="C518" s="9" t="n">
        <x:v>927</x:v>
      </x:c>
      <x:c r="D518" s="9" t="n">
        <x:v>2</x:v>
      </x:c>
      <x:c r="E518" s="9" t="n">
        <x:v>119471.9999999851</x:v>
      </x:c>
      <x:c r="F518" s="9" t="n">
        <x:v>35363.0000000149</x:v>
      </x:c>
      <x:c r="G518" s="9" t="n">
        <x:v>38086</x:v>
      </x:c>
      <x:c r="H518" s="9" t="n">
        <x:v>41800</x:v>
      </x:c>
      <x:c r="I518" s="9" t="n">
        <x:v>4117</x:v>
      </x:c>
      <x:c r="J518" s="9" t="n">
        <x:v>105.99999997019768</x:v>
      </x:c>
      <x:c r="K518" s="9" t="n">
        <x:f>F518+G518+I518+J518</x:f>
        <x:v>77671.9999999851</x:v>
      </x:c>
      <x:c r="L518" s="10" t="n">
        <x:f>K518/Sources!$B$4*1000</x:f>
        <x:v>21.69884719984945</x:v>
      </x:c>
      <x:c r="M518" s="10" t="n">
        <x:f>E518/Sources!$B$4*1000</x:f>
        <x:v>33.37630900016206</x:v>
      </x:c>
      <x:c r="N518" s="9" t="n">
        <x:f>Sources!$B$6-K518</x:f>
        <x:v>-17935.9999999851</x:v>
      </x:c>
      <x:c r="O518" s="1" t="str">
        <x:v>keyboard_route</x:v>
      </x:c>
      <x:c r="P518" s="12" t="n">
        <x:v>0</x:v>
      </x:c>
      <x:c r="Q518" s="12" t="n">
        <x:v>-4</x:v>
      </x:c>
      <x:c r="R518" s="12" t="n">
        <x:v>4</x:v>
      </x:c>
      <x:c r="S518" s="12" t="n">
        <x:v>7</x:v>
      </x:c>
      <x:c r="T518" s="1" t="str">
        <x:v>Yes</x:v>
      </x:c>
      <x:c r="U518" s="1" t="n">
        <x:v>0</x:v>
      </x:c>
    </x:row>
    <x:row r="519" ht="23" customHeight="1">
      <x:c r="A519" s="9" t="n">
        <x:v>637</x:v>
      </x:c>
      <x:c r="B519" s="9" t="n">
        <x:v>124</x:v>
      </x:c>
      <x:c r="C519" s="9" t="n">
        <x:v>923</x:v>
      </x:c>
      <x:c r="D519" s="9" t="n">
        <x:v>2</x:v>
      </x:c>
      <x:c r="E519" s="9" t="n">
        <x:v>119476.0000000149</x:v>
      </x:c>
      <x:c r="F519" s="9" t="n">
        <x:v>39393</x:v>
      </x:c>
      <x:c r="G519" s="9" t="n">
        <x:v>25885.0000000149</x:v>
      </x:c>
      <x:c r="H519" s="9" t="n">
        <x:v>49974.9999999851</x:v>
      </x:c>
      <x:c r="I519" s="9" t="n">
        <x:v>4117</x:v>
      </x:c>
      <x:c r="J519" s="9" t="n">
        <x:v>106.00000001490116</x:v>
      </x:c>
      <x:c r="K519" s="9" t="n">
        <x:f>F519+G519+I519+J519</x:f>
        <x:v>69501.0000000298</x:v>
      </x:c>
      <x:c r="L519" s="10" t="n">
        <x:f>K519/Sources!$B$4*1000</x:f>
        <x:v>19.41615484650418</x:v>
      </x:c>
      <x:c r="M519" s="10" t="n">
        <x:f>E519/Sources!$B$4*1000</x:f>
        <x:v>33.37742646062974</x:v>
      </x:c>
      <x:c r="N519" s="9" t="n">
        <x:f>Sources!$B$6-K519</x:f>
        <x:v>-9765.000000029802</x:v>
      </x:c>
      <x:c r="O519" s="1" t="str">
        <x:v>keyboard_route</x:v>
      </x:c>
      <x:c r="P519" s="12" t="n">
        <x:v>0</x:v>
      </x:c>
      <x:c r="Q519" s="12" t="n">
        <x:v>-4</x:v>
      </x:c>
      <x:c r="R519" s="12" t="n">
        <x:v>4</x:v>
      </x:c>
      <x:c r="S519" s="12" t="n">
        <x:v>3</x:v>
      </x:c>
      <x:c r="T519" s="1" t="str">
        <x:v>No</x:v>
      </x:c>
      <x:c r="U519" s="1" t="n">
        <x:v>0</x:v>
      </x:c>
    </x:row>
    <x:row r="520" ht="23" customHeight="1">
      <x:c r="A520" s="9" t="n">
        <x:v>638</x:v>
      </x:c>
      <x:c r="B520" s="9" t="n">
        <x:v>124</x:v>
      </x:c>
      <x:c r="C520" s="9" t="n">
        <x:v>919</x:v>
      </x:c>
      <x:c r="D520" s="9" t="n">
        <x:v>2</x:v>
      </x:c>
      <x:c r="E520" s="9" t="n">
        <x:v>119468.9999999851</x:v>
      </x:c>
      <x:c r="F520" s="9" t="n">
        <x:v>37224</x:v>
      </x:c>
      <x:c r="G520" s="9" t="n">
        <x:v>38092</x:v>
      </x:c>
      <x:c r="H520" s="9" t="n">
        <x:v>39930</x:v>
      </x:c>
      <x:c r="I520" s="9" t="n">
        <x:v>4117</x:v>
      </x:c>
      <x:c r="J520" s="9" t="n">
        <x:v>105.99999998509884</x:v>
      </x:c>
      <x:c r="K520" s="9" t="n">
        <x:f>F520+G520+I520+J520</x:f>
        <x:v>79538.9999999851</x:v>
      </x:c>
      <x:c r="L520" s="10" t="n">
        <x:f>K520/Sources!$B$4*1000</x:f>
        <x:v>22.22042186925576</x:v>
      </x:c>
      <x:c r="M520" s="10" t="n">
        <x:f>E520/Sources!$B$4*1000</x:f>
        <x:v>33.37547090481754</x:v>
      </x:c>
      <x:c r="N520" s="9" t="n">
        <x:f>Sources!$B$6-K520</x:f>
        <x:v>-19802.9999999851</x:v>
      </x:c>
      <x:c r="O520" s="1" t="str">
        <x:v>keyboard_route</x:v>
      </x:c>
      <x:c r="P520" s="12" t="n">
        <x:v>0</x:v>
      </x:c>
      <x:c r="Q520" s="12" t="n">
        <x:v>-4</x:v>
      </x:c>
      <x:c r="R520" s="12" t="n">
        <x:v>4</x:v>
      </x:c>
      <x:c r="S520" s="12" t="n">
        <x:v>7</x:v>
      </x:c>
      <x:c r="T520" s="1" t="str">
        <x:v>Yes</x:v>
      </x:c>
      <x:c r="U520" s="1" t="n">
        <x:v>0</x:v>
      </x:c>
    </x:row>
    <x:row r="521" ht="23" customHeight="1">
      <x:c r="A521" s="9" t="n">
        <x:v>639</x:v>
      </x:c>
      <x:c r="B521" s="9" t="n">
        <x:v>124</x:v>
      </x:c>
      <x:c r="C521" s="9" t="n">
        <x:v>915</x:v>
      </x:c>
      <x:c r="D521" s="9" t="n">
        <x:v>2</x:v>
      </x:c>
      <x:c r="E521" s="9" t="n">
        <x:v>119471.0000000149</x:v>
      </x:c>
      <x:c r="F521" s="9" t="n">
        <x:v>37132</x:v>
      </x:c>
      <x:c r="G521" s="9" t="n">
        <x:v>26091</x:v>
      </x:c>
      <x:c r="H521" s="9" t="n">
        <x:v>52025</x:v>
      </x:c>
      <x:c r="I521" s="9" t="n">
        <x:v>4117</x:v>
      </x:c>
      <x:c r="J521" s="9" t="n">
        <x:v>106.00000001490116</x:v>
      </x:c>
      <x:c r="K521" s="9" t="n">
        <x:f>F521+G521+I521+J521</x:f>
        <x:v>67446.0000000149</x:v>
      </x:c>
      <x:c r="L521" s="10" t="n">
        <x:f>K521/Sources!$B$4*1000</x:f>
        <x:v>18.842059535503786</x:v>
      </x:c>
      <x:c r="M521" s="10" t="n">
        <x:f>E521/Sources!$B$4*1000</x:f>
        <x:v>33.376029635055545</x:v>
      </x:c>
      <x:c r="N521" s="9" t="n">
        <x:f>Sources!$B$6-K521</x:f>
        <x:v>-7710.000000014901</x:v>
      </x:c>
      <x:c r="O521" s="1" t="str">
        <x:v>keyboard_route</x:v>
      </x:c>
      <x:c r="P521" s="12" t="n">
        <x:v>0</x:v>
      </x:c>
      <x:c r="Q521" s="12" t="n">
        <x:v>-4</x:v>
      </x:c>
      <x:c r="R521" s="12" t="n">
        <x:v>4</x:v>
      </x:c>
      <x:c r="S521" s="12" t="n">
        <x:v>3</x:v>
      </x:c>
      <x:c r="T521" s="1" t="str">
        <x:v>No</x:v>
      </x:c>
      <x:c r="U521" s="1" t="n">
        <x:v>0</x:v>
      </x:c>
    </x:row>
    <x:row r="522" ht="23" customHeight="1">
      <x:c r="A522" s="9" t="n">
        <x:v>640</x:v>
      </x:c>
      <x:c r="B522" s="9" t="n">
        <x:v>124</x:v>
      </x:c>
      <x:c r="C522" s="9" t="n">
        <x:v>911</x:v>
      </x:c>
      <x:c r="D522" s="9" t="n">
        <x:v>2</x:v>
      </x:c>
      <x:c r="E522" s="9" t="n">
        <x:v>119476</x:v>
      </x:c>
      <x:c r="F522" s="9" t="n">
        <x:v>30781</x:v>
      </x:c>
      <x:c r="G522" s="9" t="n">
        <x:v>38092</x:v>
      </x:c>
      <x:c r="H522" s="9" t="n">
        <x:v>46380</x:v>
      </x:c>
      <x:c r="I522" s="9" t="n">
        <x:v>4116.999999985099</x:v>
      </x:c>
      <x:c r="J522" s="9" t="n">
        <x:v>106.00000001490116</x:v>
      </x:c>
      <x:c r="K522" s="9" t="n">
        <x:f>F522+G522+I522+J522</x:f>
        <x:v>73096</x:v>
      </x:c>
      <x:c r="L522" s="10" t="n">
        <x:f>K522/Sources!$B$4*1000</x:f>
        <x:v>20.420472434345708</x:v>
      </x:c>
      <x:c r="M522" s="10" t="n">
        <x:f>E522/Sources!$B$4*1000</x:f>
        <x:v>33.37742646062558</x:v>
      </x:c>
      <x:c r="N522" s="9" t="n">
        <x:f>Sources!$B$6-K522</x:f>
        <x:v>-13360</x:v>
      </x:c>
      <x:c r="O522" s="1" t="str">
        <x:v>keyboard_route</x:v>
      </x:c>
      <x:c r="P522" s="12" t="n">
        <x:v>0</x:v>
      </x:c>
      <x:c r="Q522" s="12" t="n">
        <x:v>-4</x:v>
      </x:c>
      <x:c r="R522" s="12" t="n">
        <x:v>4</x:v>
      </x:c>
      <x:c r="S522" s="12" t="n">
        <x:v>7</x:v>
      </x:c>
      <x:c r="T522" s="1" t="str">
        <x:v>Yes</x:v>
      </x:c>
      <x:c r="U522" s="1" t="n">
        <x:v>0</x:v>
      </x:c>
    </x:row>
    <x:row r="523" ht="23" customHeight="1">
      <x:c r="A523" s="9" t="n">
        <x:v>641</x:v>
      </x:c>
      <x:c r="B523" s="9" t="n">
        <x:v>124</x:v>
      </x:c>
      <x:c r="C523" s="9" t="n">
        <x:v>907</x:v>
      </x:c>
      <x:c r="D523" s="9" t="n">
        <x:v>2</x:v>
      </x:c>
      <x:c r="E523" s="9" t="n">
        <x:v>119471</x:v>
      </x:c>
      <x:c r="F523" s="9" t="n">
        <x:v>35182.0000000149</x:v>
      </x:c>
      <x:c r="G523" s="9" t="n">
        <x:v>26091</x:v>
      </x:c>
      <x:c r="H523" s="9" t="n">
        <x:v>53975</x:v>
      </x:c>
      <x:c r="I523" s="9" t="n">
        <x:v>4117</x:v>
      </x:c>
      <x:c r="J523" s="9" t="n">
        <x:v>105.99999998509884</x:v>
      </x:c>
      <x:c r="K523" s="9" t="n">
        <x:f>F523+G523+I523+J523</x:f>
        <x:v>65496</x:v>
      </x:c>
      <x:c r="L523" s="10" t="n">
        <x:f>K523/Sources!$B$4*1000</x:f>
        <x:v>18.297297561561596</x:v>
      </x:c>
      <x:c r="M523" s="10" t="n">
        <x:f>E523/Sources!$B$4*1000</x:f>
        <x:v>33.37602963505138</x:v>
      </x:c>
      <x:c r="N523" s="9" t="n">
        <x:f>Sources!$B$6-K523</x:f>
        <x:v>-5760</x:v>
      </x:c>
      <x:c r="O523" s="1" t="str">
        <x:v>keyboard_route</x:v>
      </x:c>
      <x:c r="P523" s="12" t="n">
        <x:v>0</x:v>
      </x:c>
      <x:c r="Q523" s="12" t="n">
        <x:v>-4</x:v>
      </x:c>
      <x:c r="R523" s="12" t="n">
        <x:v>4</x:v>
      </x:c>
      <x:c r="S523" s="12" t="n">
        <x:v>3</x:v>
      </x:c>
      <x:c r="T523" s="1" t="str">
        <x:v>No</x:v>
      </x:c>
      <x:c r="U523" s="1" t="n">
        <x:v>0</x:v>
      </x:c>
    </x:row>
    <x:row r="524" ht="23" customHeight="1">
      <x:c r="A524" s="9" t="n">
        <x:v>642</x:v>
      </x:c>
      <x:c r="B524" s="9" t="n">
        <x:v>124</x:v>
      </x:c>
      <x:c r="C524" s="9" t="n">
        <x:v>903</x:v>
      </x:c>
      <x:c r="D524" s="9" t="n">
        <x:v>2</x:v>
      </x:c>
      <x:c r="E524" s="9" t="n">
        <x:v>119472</x:v>
      </x:c>
      <x:c r="F524" s="9" t="n">
        <x:v>35553.9999999851</x:v>
      </x:c>
      <x:c r="G524" s="9" t="n">
        <x:v>38954.9999999851</x:v>
      </x:c>
      <x:c r="H524" s="9" t="n">
        <x:v>40739.9999999851</x:v>
      </x:c>
      <x:c r="I524" s="9" t="n">
        <x:v>4117</x:v>
      </x:c>
      <x:c r="J524" s="9" t="n">
        <x:v>106.00000004470348</x:v>
      </x:c>
      <x:c r="K524" s="9" t="n">
        <x:f>F524+G524+I524+J524</x:f>
        <x:v>78732.0000000149</x:v>
      </x:c>
      <x:c r="L524" s="10" t="n">
        <x:f>K524/Sources!$B$4*1000</x:f>
        <x:v>21.994974221588194</x:v>
      </x:c>
      <x:c r="M524" s="10" t="n">
        <x:f>E524/Sources!$B$4*1000</x:f>
        <x:v>33.37630900016622</x:v>
      </x:c>
      <x:c r="N524" s="9" t="n">
        <x:f>Sources!$B$6-K524</x:f>
        <x:v>-18996.0000000149</x:v>
      </x:c>
      <x:c r="O524" s="1" t="str">
        <x:v>keyboard_route</x:v>
      </x:c>
      <x:c r="P524" s="12" t="n">
        <x:v>0</x:v>
      </x:c>
      <x:c r="Q524" s="12" t="n">
        <x:v>-4</x:v>
      </x:c>
      <x:c r="R524" s="12" t="n">
        <x:v>4</x:v>
      </x:c>
      <x:c r="S524" s="12" t="n">
        <x:v>7</x:v>
      </x:c>
      <x:c r="T524" s="1" t="str">
        <x:v>Yes</x:v>
      </x:c>
      <x:c r="U524" s="1" t="n">
        <x:v>0</x:v>
      </x:c>
    </x:row>
    <x:row r="525" ht="23" customHeight="1">
      <x:c r="A525" s="9" t="n">
        <x:v>643</x:v>
      </x:c>
      <x:c r="B525" s="9" t="n">
        <x:v>124</x:v>
      </x:c>
      <x:c r="C525" s="9" t="n">
        <x:v>899</x:v>
      </x:c>
      <x:c r="D525" s="9" t="n">
        <x:v>2</x:v>
      </x:c>
      <x:c r="E525" s="9" t="n">
        <x:v>119472</x:v>
      </x:c>
      <x:c r="F525" s="9" t="n">
        <x:v>37375</x:v>
      </x:c>
      <x:c r="G525" s="9" t="n">
        <x:v>26954</x:v>
      </x:c>
      <x:c r="H525" s="9" t="n">
        <x:v>50920</x:v>
      </x:c>
      <x:c r="I525" s="9" t="n">
        <x:v>4117</x:v>
      </x:c>
      <x:c r="J525" s="9" t="n">
        <x:v>106</x:v>
      </x:c>
      <x:c r="K525" s="9" t="n">
        <x:f>F525+G525+I525+J525</x:f>
        <x:v>68552</x:v>
      </x:c>
      <x:c r="L525" s="10" t="n">
        <x:f>K525/Sources!$B$4*1000</x:f>
        <x:v>19.151037352512677</x:v>
      </x:c>
      <x:c r="M525" s="10" t="n">
        <x:f>E525/Sources!$B$4*1000</x:f>
        <x:v>33.37630900016622</x:v>
      </x:c>
      <x:c r="N525" s="9" t="n">
        <x:f>Sources!$B$6-K525</x:f>
        <x:v>-8816</x:v>
      </x:c>
      <x:c r="O525" s="1" t="str">
        <x:v>keyboard_route</x:v>
      </x:c>
      <x:c r="P525" s="12" t="n">
        <x:v>0</x:v>
      </x:c>
      <x:c r="Q525" s="12" t="n">
        <x:v>-4</x:v>
      </x:c>
      <x:c r="R525" s="12" t="n">
        <x:v>4</x:v>
      </x:c>
      <x:c r="S525" s="12" t="n">
        <x:v>3</x:v>
      </x:c>
      <x:c r="T525" s="1" t="str">
        <x:v>No</x:v>
      </x:c>
      <x:c r="U525" s="1" t="n">
        <x:v>0</x:v>
      </x:c>
    </x:row>
    <x:row r="526" ht="23" customHeight="1">
      <x:c r="A526" s="9" t="n">
        <x:v>644</x:v>
      </x:c>
      <x:c r="B526" s="9" t="n">
        <x:v>124</x:v>
      </x:c>
      <x:c r="C526" s="9" t="n">
        <x:v>895</x:v>
      </x:c>
      <x:c r="D526" s="9" t="n">
        <x:v>2</x:v>
      </x:c>
      <x:c r="E526" s="9" t="n">
        <x:v>119469</x:v>
      </x:c>
      <x:c r="F526" s="9" t="n">
        <x:v>33650</x:v>
      </x:c>
      <x:c r="G526" s="9" t="n">
        <x:v>38981</x:v>
      </x:c>
      <x:c r="H526" s="9" t="n">
        <x:v>42615</x:v>
      </x:c>
      <x:c r="I526" s="9" t="n">
        <x:v>4116.999999985099</x:v>
      </x:c>
      <x:c r="J526" s="9" t="n">
        <x:v>106.00000001490116</x:v>
      </x:c>
      <x:c r="K526" s="9" t="n">
        <x:f>F526+G526+I526+J526</x:f>
        <x:v>76854</x:v>
      </x:c>
      <x:c r="L526" s="10" t="n">
        <x:f>K526/Sources!$B$4*1000</x:f>
        <x:v>21.47032653591448</x:v>
      </x:c>
      <x:c r="M526" s="10" t="n">
        <x:f>E526/Sources!$B$4*1000</x:f>
        <x:v>33.375470904821704</x:v>
      </x:c>
      <x:c r="N526" s="9" t="n">
        <x:f>Sources!$B$6-K526</x:f>
        <x:v>-17118</x:v>
      </x:c>
      <x:c r="O526" s="1" t="str">
        <x:v>keyboard_route</x:v>
      </x:c>
      <x:c r="P526" s="12" t="n">
        <x:v>0</x:v>
      </x:c>
      <x:c r="Q526" s="12" t="n">
        <x:v>-4</x:v>
      </x:c>
      <x:c r="R526" s="12" t="n">
        <x:v>4</x:v>
      </x:c>
      <x:c r="S526" s="12" t="n">
        <x:v>7</x:v>
      </x:c>
      <x:c r="T526" s="1" t="str">
        <x:v>Yes</x:v>
      </x:c>
      <x:c r="U526" s="1" t="n">
        <x:v>0</x:v>
      </x:c>
    </x:row>
    <x:row r="527" ht="23" customHeight="1">
      <x:c r="A527" s="9" t="n">
        <x:v>645</x:v>
      </x:c>
      <x:c r="B527" s="9" t="n">
        <x:v>124</x:v>
      </x:c>
      <x:c r="C527" s="9" t="n">
        <x:v>891</x:v>
      </x:c>
      <x:c r="D527" s="9" t="n">
        <x:v>2</x:v>
      </x:c>
      <x:c r="E527" s="9" t="n">
        <x:v>119476</x:v>
      </x:c>
      <x:c r="F527" s="9" t="n">
        <x:v>37354.0000000149</x:v>
      </x:c>
      <x:c r="G527" s="9" t="n">
        <x:v>26954</x:v>
      </x:c>
      <x:c r="H527" s="9" t="n">
        <x:v>50945</x:v>
      </x:c>
      <x:c r="I527" s="9" t="n">
        <x:v>4117.000000014901</x:v>
      </x:c>
      <x:c r="J527" s="9" t="n">
        <x:v>105.99999997019768</x:v>
      </x:c>
      <x:c r="K527" s="9" t="n">
        <x:f>F527+G527+I527+J527</x:f>
        <x:v>68531</x:v>
      </x:c>
      <x:c r="L527" s="10" t="n">
        <x:f>K527/Sources!$B$4*1000</x:f>
        <x:v>19.14517068510104</x:v>
      </x:c>
      <x:c r="M527" s="10" t="n">
        <x:f>E527/Sources!$B$4*1000</x:f>
        <x:v>33.37742646062558</x:v>
      </x:c>
      <x:c r="N527" s="9" t="n">
        <x:f>Sources!$B$6-K527</x:f>
        <x:v>-8795</x:v>
      </x:c>
      <x:c r="O527" s="1" t="str">
        <x:v>keyboard_route</x:v>
      </x:c>
      <x:c r="P527" s="12" t="n">
        <x:v>0</x:v>
      </x:c>
      <x:c r="Q527" s="12" t="n">
        <x:v>-4</x:v>
      </x:c>
      <x:c r="R527" s="12" t="n">
        <x:v>4</x:v>
      </x:c>
      <x:c r="S527" s="12" t="n">
        <x:v>3</x:v>
      </x:c>
      <x:c r="T527" s="1" t="str">
        <x:v>No</x:v>
      </x:c>
      <x:c r="U527" s="1" t="n">
        <x:v>0</x:v>
      </x:c>
    </x:row>
    <x:row r="528" ht="23" customHeight="1">
      <x:c r="A528" s="9" t="n">
        <x:v>646</x:v>
      </x:c>
      <x:c r="B528" s="9" t="n">
        <x:v>124</x:v>
      </x:c>
      <x:c r="C528" s="9" t="n">
        <x:v>887</x:v>
      </x:c>
      <x:c r="D528" s="9" t="n">
        <x:v>2</x:v>
      </x:c>
      <x:c r="E528" s="9" t="n">
        <x:v>119470</x:v>
      </x:c>
      <x:c r="F528" s="9" t="n">
        <x:v>30726</x:v>
      </x:c>
      <x:c r="G528" s="9" t="n">
        <x:v>38981.0000000149</x:v>
      </x:c>
      <x:c r="H528" s="9" t="n">
        <x:v>45540.0000000149</x:v>
      </x:c>
      <x:c r="I528" s="9" t="n">
        <x:v>4117</x:v>
      </x:c>
      <x:c r="J528" s="9" t="n">
        <x:v>105.99999997019768</x:v>
      </x:c>
      <x:c r="K528" s="9" t="n">
        <x:f>F528+G528+I528+J528</x:f>
        <x:v>73929.9999999851</x:v>
      </x:c>
      <x:c r="L528" s="10" t="n">
        <x:f>K528/Sources!$B$4*1000</x:f>
        <x:v>20.653462940118118</x:v>
      </x:c>
      <x:c r="M528" s="10" t="n">
        <x:f>E528/Sources!$B$4*1000</x:f>
        <x:v>33.37575026993654</x:v>
      </x:c>
      <x:c r="N528" s="9" t="n">
        <x:f>Sources!$B$6-K528</x:f>
        <x:v>-14193.999999985099</x:v>
      </x:c>
      <x:c r="O528" s="1" t="str">
        <x:v>keyboard_route</x:v>
      </x:c>
      <x:c r="P528" s="12" t="n">
        <x:v>0</x:v>
      </x:c>
      <x:c r="Q528" s="12" t="n">
        <x:v>-4</x:v>
      </x:c>
      <x:c r="R528" s="12" t="n">
        <x:v>4</x:v>
      </x:c>
      <x:c r="S528" s="12" t="n">
        <x:v>7</x:v>
      </x:c>
      <x:c r="T528" s="1" t="str">
        <x:v>Yes</x:v>
      </x:c>
      <x:c r="U528" s="1" t="n">
        <x:v>0</x:v>
      </x:c>
    </x:row>
    <x:row r="529" ht="23" customHeight="1">
      <x:c r="A529" s="9" t="n">
        <x:v>647</x:v>
      </x:c>
      <x:c r="B529" s="9" t="n">
        <x:v>124</x:v>
      </x:c>
      <x:c r="C529" s="9" t="n">
        <x:v>883</x:v>
      </x:c>
      <x:c r="D529" s="9" t="n">
        <x:v>2</x:v>
      </x:c>
      <x:c r="E529" s="9" t="n">
        <x:v>119474</x:v>
      </x:c>
      <x:c r="F529" s="9" t="n">
        <x:v>36807</x:v>
      </x:c>
      <x:c r="G529" s="9" t="n">
        <x:v>26954</x:v>
      </x:c>
      <x:c r="H529" s="9" t="n">
        <x:v>51490</x:v>
      </x:c>
      <x:c r="I529" s="9" t="n">
        <x:v>4117</x:v>
      </x:c>
      <x:c r="J529" s="9" t="n">
        <x:v>106</x:v>
      </x:c>
      <x:c r="K529" s="9" t="n">
        <x:f>F529+G529+I529+J529</x:f>
        <x:v>67984</x:v>
      </x:c>
      <x:c r="L529" s="10" t="n">
        <x:f>K529/Sources!$B$4*1000</x:f>
        <x:v>18.99235796728355</x:v>
      </x:c>
      <x:c r="M529" s="10" t="n">
        <x:f>E529/Sources!$B$4*1000</x:f>
        <x:v>33.3768677303959</x:v>
      </x:c>
      <x:c r="N529" s="9" t="n">
        <x:f>Sources!$B$6-K529</x:f>
        <x:v>-8248</x:v>
      </x:c>
      <x:c r="O529" s="1" t="str">
        <x:v>keyboard_route</x:v>
      </x:c>
      <x:c r="P529" s="12" t="n">
        <x:v>0</x:v>
      </x:c>
      <x:c r="Q529" s="12" t="n">
        <x:v>-4</x:v>
      </x:c>
      <x:c r="R529" s="12" t="n">
        <x:v>4</x:v>
      </x:c>
      <x:c r="S529" s="12" t="n">
        <x:v>3</x:v>
      </x:c>
      <x:c r="T529" s="1" t="str">
        <x:v>No</x:v>
      </x:c>
      <x:c r="U529" s="1" t="n">
        <x:v>0</x:v>
      </x:c>
    </x:row>
    <x:row r="530" ht="23" customHeight="1">
      <x:c r="A530" s="9" t="n">
        <x:v>648</x:v>
      </x:c>
      <x:c r="B530" s="9" t="n">
        <x:v>124</x:v>
      </x:c>
      <x:c r="C530" s="9" t="n">
        <x:v>879</x:v>
      </x:c>
      <x:c r="D530" s="9" t="n">
        <x:v>2</x:v>
      </x:c>
      <x:c r="E530" s="9" t="n">
        <x:v>119470</x:v>
      </x:c>
      <x:c r="F530" s="9" t="n">
        <x:v>34166</x:v>
      </x:c>
      <x:c r="G530" s="9" t="n">
        <x:v>38981.0000000149</x:v>
      </x:c>
      <x:c r="H530" s="9" t="n">
        <x:v>42100.0000000149</x:v>
      </x:c>
      <x:c r="I530" s="9" t="n">
        <x:v>4117.000000014901</x:v>
      </x:c>
      <x:c r="J530" s="9" t="n">
        <x:v>105.99999995529652</x:v>
      </x:c>
      <x:c r="K530" s="9" t="n">
        <x:f>F530+G530+I530+J530</x:f>
        <x:v>77369.9999999851</x:v>
      </x:c>
      <x:c r="L530" s="10" t="n">
        <x:f>K530/Sources!$B$4*1000</x:f>
        <x:v>21.614478935167767</x:v>
      </x:c>
      <x:c r="M530" s="10" t="n">
        <x:f>E530/Sources!$B$4*1000</x:f>
        <x:v>33.37575026993654</x:v>
      </x:c>
      <x:c r="N530" s="9" t="n">
        <x:f>Sources!$B$6-K530</x:f>
        <x:v>-17633.9999999851</x:v>
      </x:c>
      <x:c r="O530" s="1" t="str">
        <x:v>keyboard_route</x:v>
      </x:c>
      <x:c r="P530" s="12" t="n">
        <x:v>0</x:v>
      </x:c>
      <x:c r="Q530" s="12" t="n">
        <x:v>-4</x:v>
      </x:c>
      <x:c r="R530" s="12" t="n">
        <x:v>4</x:v>
      </x:c>
      <x:c r="S530" s="12" t="n">
        <x:v>7</x:v>
      </x:c>
      <x:c r="T530" s="1" t="str">
        <x:v>Yes</x:v>
      </x:c>
      <x:c r="U530" s="1" t="n">
        <x:v>0</x:v>
      </x:c>
    </x:row>
    <x:row r="531" ht="23" customHeight="1">
      <x:c r="A531" s="9" t="n">
        <x:v>649</x:v>
      </x:c>
      <x:c r="B531" s="9" t="n">
        <x:v>124</x:v>
      </x:c>
      <x:c r="C531" s="9" t="n">
        <x:v>875</x:v>
      </x:c>
      <x:c r="D531" s="9" t="n">
        <x:v>2</x:v>
      </x:c>
      <x:c r="E531" s="9" t="n">
        <x:v>119470.9999999851</x:v>
      </x:c>
      <x:c r="F531" s="9" t="n">
        <x:v>38799</x:v>
      </x:c>
      <x:c r="G531" s="9" t="n">
        <x:v>26954.0000000149</x:v>
      </x:c>
      <x:c r="H531" s="9" t="n">
        <x:v>49495</x:v>
      </x:c>
      <x:c r="I531" s="9" t="n">
        <x:v>4117</x:v>
      </x:c>
      <x:c r="J531" s="9" t="n">
        <x:v>105.99999997019768</x:v>
      </x:c>
      <x:c r="K531" s="9" t="n">
        <x:f>F531+G531+I531+J531</x:f>
        <x:v>69975.9999999851</x:v>
      </x:c>
      <x:c r="L531" s="10" t="n">
        <x:f>K531/Sources!$B$4*1000</x:f>
        <x:v>19.5488532760407</x:v>
      </x:c>
      <x:c r="M531" s="10" t="n">
        <x:f>E531/Sources!$B$4*1000</x:f>
        <x:v>33.37602963504722</x:v>
      </x:c>
      <x:c r="N531" s="9" t="n">
        <x:f>Sources!$B$6-K531</x:f>
        <x:v>-10239.999999985099</x:v>
      </x:c>
      <x:c r="O531" s="1" t="str">
        <x:v>keyboard_route</x:v>
      </x:c>
      <x:c r="P531" s="12" t="n">
        <x:v>0</x:v>
      </x:c>
      <x:c r="Q531" s="12" t="n">
        <x:v>-4</x:v>
      </x:c>
      <x:c r="R531" s="12" t="n">
        <x:v>4</x:v>
      </x:c>
      <x:c r="S531" s="12" t="n">
        <x:v>3</x:v>
      </x:c>
      <x:c r="T531" s="1" t="str">
        <x:v>No</x:v>
      </x:c>
      <x:c r="U531" s="1" t="n">
        <x:v>0</x:v>
      </x:c>
    </x:row>
    <x:row r="532" ht="23" customHeight="1">
      <x:c r="A532" s="9" t="n">
        <x:v>650</x:v>
      </x:c>
      <x:c r="B532" s="9" t="n">
        <x:v>124</x:v>
      </x:c>
      <x:c r="C532" s="9" t="n">
        <x:v>871</x:v>
      </x:c>
      <x:c r="D532" s="9" t="n">
        <x:v>2</x:v>
      </x:c>
      <x:c r="E532" s="9" t="n">
        <x:v>119472.0000000149</x:v>
      </x:c>
      <x:c r="F532" s="9" t="n">
        <x:v>30933</x:v>
      </x:c>
      <x:c r="G532" s="9" t="n">
        <x:v>38981</x:v>
      </x:c>
      <x:c r="H532" s="9" t="n">
        <x:v>45335</x:v>
      </x:c>
      <x:c r="I532" s="9" t="n">
        <x:v>4117</x:v>
      </x:c>
      <x:c r="J532" s="9" t="n">
        <x:v>106.00000001490116</x:v>
      </x:c>
      <x:c r="K532" s="9" t="n">
        <x:f>F532+G532+I532+J532</x:f>
        <x:v>74137.0000000149</x:v>
      </x:c>
      <x:c r="L532" s="10" t="n">
        <x:f>K532/Sources!$B$4*1000</x:f>
        <x:v>20.711291518898324</x:v>
      </x:c>
      <x:c r="M532" s="10" t="n">
        <x:f>E532/Sources!$B$4*1000</x:f>
        <x:v>33.37630900017039</x:v>
      </x:c>
      <x:c r="N532" s="9" t="n">
        <x:f>Sources!$B$6-K532</x:f>
        <x:v>-14401.000000014901</x:v>
      </x:c>
      <x:c r="O532" s="1" t="str">
        <x:v>keyboard_route</x:v>
      </x:c>
      <x:c r="P532" s="12" t="n">
        <x:v>0</x:v>
      </x:c>
      <x:c r="Q532" s="12" t="n">
        <x:v>-4</x:v>
      </x:c>
      <x:c r="R532" s="12" t="n">
        <x:v>4</x:v>
      </x:c>
      <x:c r="S532" s="12" t="n">
        <x:v>7</x:v>
      </x:c>
      <x:c r="T532" s="1" t="str">
        <x:v>Yes</x:v>
      </x:c>
      <x:c r="U532" s="1" t="n">
        <x:v>0</x:v>
      </x:c>
    </x:row>
    <x:row r="533" ht="23" customHeight="1">
      <x:c r="A533" s="9" t="n">
        <x:v>651</x:v>
      </x:c>
      <x:c r="B533" s="9" t="n">
        <x:v>124</x:v>
      </x:c>
      <x:c r="C533" s="9" t="n">
        <x:v>867</x:v>
      </x:c>
      <x:c r="D533" s="9" t="n">
        <x:v>2</x:v>
      </x:c>
      <x:c r="E533" s="9" t="n">
        <x:v>119475</x:v>
      </x:c>
      <x:c r="F533" s="9" t="n">
        <x:v>40053</x:v>
      </x:c>
      <x:c r="G533" s="9" t="n">
        <x:v>26954</x:v>
      </x:c>
      <x:c r="H533" s="9" t="n">
        <x:v>48245</x:v>
      </x:c>
      <x:c r="I533" s="9" t="n">
        <x:v>4117</x:v>
      </x:c>
      <x:c r="J533" s="9" t="n">
        <x:v>106</x:v>
      </x:c>
      <x:c r="K533" s="9" t="n">
        <x:f>F533+G533+I533+J533</x:f>
        <x:v>71230</x:v>
      </x:c>
      <x:c r="L533" s="10" t="n">
        <x:f>K533/Sources!$B$4*1000</x:f>
        <x:v>19.899177130054237</x:v>
      </x:c>
      <x:c r="M533" s="10" t="n">
        <x:f>E533/Sources!$B$4*1000</x:f>
        <x:v>33.37714709551074</x:v>
      </x:c>
      <x:c r="N533" s="9" t="n">
        <x:f>Sources!$B$6-K533</x:f>
        <x:v>-11494</x:v>
      </x:c>
      <x:c r="O533" s="1" t="str">
        <x:v>keyboard_route</x:v>
      </x:c>
      <x:c r="P533" s="12" t="n">
        <x:v>0</x:v>
      </x:c>
      <x:c r="Q533" s="12" t="n">
        <x:v>-4</x:v>
      </x:c>
      <x:c r="R533" s="12" t="n">
        <x:v>4</x:v>
      </x:c>
      <x:c r="S533" s="12" t="n">
        <x:v>3</x:v>
      </x:c>
      <x:c r="T533" s="1" t="str">
        <x:v>No</x:v>
      </x:c>
      <x:c r="U533" s="1" t="n">
        <x:v>0</x:v>
      </x:c>
    </x:row>
    <x:row r="534" ht="23" customHeight="1">
      <x:c r="A534" s="9" t="n">
        <x:v>652</x:v>
      </x:c>
      <x:c r="B534" s="9" t="n">
        <x:v>124</x:v>
      </x:c>
      <x:c r="C534" s="9" t="n">
        <x:v>863</x:v>
      </x:c>
      <x:c r="D534" s="9" t="n">
        <x:v>2</x:v>
      </x:c>
      <x:c r="E534" s="9" t="n">
        <x:v>119467.9999999851</x:v>
      </x:c>
      <x:c r="F534" s="9" t="n">
        <x:v>31580</x:v>
      </x:c>
      <x:c r="G534" s="9" t="n">
        <x:v>39155</x:v>
      </x:c>
      <x:c r="H534" s="9" t="n">
        <x:v>44509.9999999851</x:v>
      </x:c>
      <x:c r="I534" s="9" t="n">
        <x:v>4117</x:v>
      </x:c>
      <x:c r="J534" s="9" t="n">
        <x:v>106</x:v>
      </x:c>
      <x:c r="K534" s="9" t="n">
        <x:f>F534+G534+I534+J534</x:f>
        <x:v>74958</x:v>
      </x:c>
      <x:c r="L534" s="10" t="n">
        <x:f>K534/Sources!$B$4*1000</x:f>
        <x:v>20.940650278177813</x:v>
      </x:c>
      <x:c r="M534" s="10" t="n">
        <x:f>E534/Sources!$B$4*1000</x:f>
        <x:v>33.3751915397027</x:v>
      </x:c>
      <x:c r="N534" s="9" t="n">
        <x:f>Sources!$B$6-K534</x:f>
        <x:v>-15222</x:v>
      </x:c>
      <x:c r="O534" s="1" t="str">
        <x:v>keyboard_route</x:v>
      </x:c>
      <x:c r="P534" s="12" t="n">
        <x:v>0</x:v>
      </x:c>
      <x:c r="Q534" s="12" t="n">
        <x:v>-4</x:v>
      </x:c>
      <x:c r="R534" s="12" t="n">
        <x:v>4</x:v>
      </x:c>
      <x:c r="S534" s="12" t="n">
        <x:v>7</x:v>
      </x:c>
      <x:c r="T534" s="1" t="str">
        <x:v>Yes</x:v>
      </x:c>
      <x:c r="U534" s="1" t="n">
        <x:v>0</x:v>
      </x:c>
    </x:row>
    <x:row r="535" ht="23" customHeight="1">
      <x:c r="A535" s="9" t="n">
        <x:v>653</x:v>
      </x:c>
      <x:c r="B535" s="9" t="n">
        <x:v>124</x:v>
      </x:c>
      <x:c r="C535" s="9" t="n">
        <x:v>859</x:v>
      </x:c>
      <x:c r="D535" s="9" t="n">
        <x:v>2</x:v>
      </x:c>
      <x:c r="E535" s="9" t="n">
        <x:v>119476.0000000149</x:v>
      </x:c>
      <x:c r="F535" s="9" t="n">
        <x:v>36024</x:v>
      </x:c>
      <x:c r="G535" s="9" t="n">
        <x:v>26954</x:v>
      </x:c>
      <x:c r="H535" s="9" t="n">
        <x:v>52275</x:v>
      </x:c>
      <x:c r="I535" s="9" t="n">
        <x:v>4117</x:v>
      </x:c>
      <x:c r="J535" s="9" t="n">
        <x:v>106.00000001490116</x:v>
      </x:c>
      <x:c r="K535" s="9" t="n">
        <x:f>F535+G535+I535+J535</x:f>
        <x:v>67201.0000000149</x:v>
      </x:c>
      <x:c r="L535" s="10" t="n">
        <x:f>K535/Sources!$B$4*1000</x:f>
        <x:v>18.773615082367986</x:v>
      </x:c>
      <x:c r="M535" s="10" t="n">
        <x:f>E535/Sources!$B$4*1000</x:f>
        <x:v>33.37742646062974</x:v>
      </x:c>
      <x:c r="N535" s="9" t="n">
        <x:f>Sources!$B$6-K535</x:f>
        <x:v>-7465.000000014901</x:v>
      </x:c>
      <x:c r="O535" s="1" t="str">
        <x:v>keyboard_route</x:v>
      </x:c>
      <x:c r="P535" s="12" t="n">
        <x:v>0</x:v>
      </x:c>
      <x:c r="Q535" s="12" t="n">
        <x:v>-4</x:v>
      </x:c>
      <x:c r="R535" s="12" t="n">
        <x:v>4</x:v>
      </x:c>
      <x:c r="S535" s="12" t="n">
        <x:v>3</x:v>
      </x:c>
      <x:c r="T535" s="1" t="str">
        <x:v>No</x:v>
      </x:c>
      <x:c r="U535" s="1" t="n">
        <x:v>0</x:v>
      </x:c>
    </x:row>
    <x:row r="536" ht="23" customHeight="1">
      <x:c r="A536" s="9" t="n">
        <x:v>654</x:v>
      </x:c>
      <x:c r="B536" s="9" t="n">
        <x:v>124</x:v>
      </x:c>
      <x:c r="C536" s="9" t="n">
        <x:v>855</x:v>
      </x:c>
      <x:c r="D536" s="9" t="n">
        <x:v>2</x:v>
      </x:c>
      <x:c r="E536" s="9" t="n">
        <x:v>119470</x:v>
      </x:c>
      <x:c r="F536" s="9" t="n">
        <x:v>30712</x:v>
      </x:c>
      <x:c r="G536" s="9" t="n">
        <x:v>39154.9999999851</x:v>
      </x:c>
      <x:c r="H536" s="9" t="n">
        <x:v>45380</x:v>
      </x:c>
      <x:c r="I536" s="9" t="n">
        <x:v>4117</x:v>
      </x:c>
      <x:c r="J536" s="9" t="n">
        <x:v>106.00000001490116</x:v>
      </x:c>
      <x:c r="K536" s="9" t="n">
        <x:f>F536+G536+I536+J536</x:f>
        <x:v>74090</x:v>
      </x:c>
      <x:c r="L536" s="10" t="n">
        <x:f>K536/Sources!$B$4*1000</x:f>
        <x:v>20.69816135849668</x:v>
      </x:c>
      <x:c r="M536" s="10" t="n">
        <x:f>E536/Sources!$B$4*1000</x:f>
        <x:v>33.37575026993654</x:v>
      </x:c>
      <x:c r="N536" s="9" t="n">
        <x:f>Sources!$B$6-K536</x:f>
        <x:v>-14354</x:v>
      </x:c>
      <x:c r="O536" s="1" t="str">
        <x:v>keyboard_route</x:v>
      </x:c>
      <x:c r="P536" s="12" t="n">
        <x:v>0</x:v>
      </x:c>
      <x:c r="Q536" s="12" t="n">
        <x:v>-4</x:v>
      </x:c>
      <x:c r="R536" s="12" t="n">
        <x:v>4</x:v>
      </x:c>
      <x:c r="S536" s="12" t="n">
        <x:v>7</x:v>
      </x:c>
      <x:c r="T536" s="1" t="str">
        <x:v>Yes</x:v>
      </x:c>
      <x:c r="U536" s="1" t="n">
        <x:v>0</x:v>
      </x:c>
    </x:row>
    <x:row r="537" ht="23" customHeight="1">
      <x:c r="A537" s="9" t="n">
        <x:v>655</x:v>
      </x:c>
      <x:c r="B537" s="9" t="n">
        <x:v>124</x:v>
      </x:c>
      <x:c r="C537" s="9" t="n">
        <x:v>851</x:v>
      </x:c>
      <x:c r="D537" s="9" t="n">
        <x:v>2</x:v>
      </x:c>
      <x:c r="E537" s="9" t="n">
        <x:v>119472</x:v>
      </x:c>
      <x:c r="F537" s="9" t="n">
        <x:v>40305</x:v>
      </x:c>
      <x:c r="G537" s="9" t="n">
        <x:v>26954</x:v>
      </x:c>
      <x:c r="H537" s="9" t="n">
        <x:v>47990</x:v>
      </x:c>
      <x:c r="I537" s="9" t="n">
        <x:v>4117</x:v>
      </x:c>
      <x:c r="J537" s="9" t="n">
        <x:v>106</x:v>
      </x:c>
      <x:c r="K537" s="9" t="n">
        <x:f>F537+G537+I537+J537</x:f>
        <x:v>71482</x:v>
      </x:c>
      <x:c r="L537" s="10" t="n">
        <x:f>K537/Sources!$B$4*1000</x:f>
        <x:v>19.969577138993923</x:v>
      </x:c>
      <x:c r="M537" s="10" t="n">
        <x:f>E537/Sources!$B$4*1000</x:f>
        <x:v>33.37630900016622</x:v>
      </x:c>
      <x:c r="N537" s="9" t="n">
        <x:f>Sources!$B$6-K537</x:f>
        <x:v>-11746</x:v>
      </x:c>
      <x:c r="O537" s="1" t="str">
        <x:v>keyboard_route</x:v>
      </x:c>
      <x:c r="P537" s="12" t="n">
        <x:v>0</x:v>
      </x:c>
      <x:c r="Q537" s="12" t="n">
        <x:v>-4</x:v>
      </x:c>
      <x:c r="R537" s="12" t="n">
        <x:v>4</x:v>
      </x:c>
      <x:c r="S537" s="12" t="n">
        <x:v>3</x:v>
      </x:c>
      <x:c r="T537" s="1" t="str">
        <x:v>No</x:v>
      </x:c>
      <x:c r="U537" s="1" t="n">
        <x:v>0</x:v>
      </x:c>
    </x:row>
    <x:row r="538" ht="23" customHeight="1">
      <x:c r="A538" s="9" t="n">
        <x:v>656</x:v>
      </x:c>
      <x:c r="B538" s="9" t="n">
        <x:v>124</x:v>
      </x:c>
      <x:c r="C538" s="9" t="n">
        <x:v>847</x:v>
      </x:c>
      <x:c r="D538" s="9" t="n">
        <x:v>2</x:v>
      </x:c>
      <x:c r="E538" s="9" t="n">
        <x:v>119473</x:v>
      </x:c>
      <x:c r="F538" s="9" t="n">
        <x:v>33024.9999999851</x:v>
      </x:c>
      <x:c r="G538" s="9" t="n">
        <x:v>39155</x:v>
      </x:c>
      <x:c r="H538" s="9" t="n">
        <x:v>43070</x:v>
      </x:c>
      <x:c r="I538" s="9" t="n">
        <x:v>4117</x:v>
      </x:c>
      <x:c r="J538" s="9" t="n">
        <x:v>106.00000001490116</x:v>
      </x:c>
      <x:c r="K538" s="9" t="n">
        <x:f>F538+G538+I538+J538</x:f>
        <x:v>76403</x:v>
      </x:c>
      <x:c r="L538" s="10" t="n">
        <x:f>K538/Sources!$B$4*1000</x:f>
        <x:v>21.344332869121633</x:v>
      </x:c>
      <x:c r="M538" s="10" t="n">
        <x:f>E538/Sources!$B$4*1000</x:f>
        <x:v>33.37658836528106</x:v>
      </x:c>
      <x:c r="N538" s="9" t="n">
        <x:f>Sources!$B$6-K538</x:f>
        <x:v>-16667</x:v>
      </x:c>
      <x:c r="O538" s="1" t="str">
        <x:v>keyboard_route</x:v>
      </x:c>
      <x:c r="P538" s="12" t="n">
        <x:v>0</x:v>
      </x:c>
      <x:c r="Q538" s="12" t="n">
        <x:v>-4</x:v>
      </x:c>
      <x:c r="R538" s="12" t="n">
        <x:v>4</x:v>
      </x:c>
      <x:c r="S538" s="12" t="n">
        <x:v>7</x:v>
      </x:c>
      <x:c r="T538" s="1" t="str">
        <x:v>Yes</x:v>
      </x:c>
      <x:c r="U538" s="1" t="n">
        <x:v>0</x:v>
      </x:c>
    </x:row>
    <x:row r="539" ht="23" customHeight="1">
      <x:c r="A539" s="9" t="n">
        <x:v>657</x:v>
      </x:c>
      <x:c r="B539" s="9" t="n">
        <x:v>124</x:v>
      </x:c>
      <x:c r="C539" s="9" t="n">
        <x:v>843</x:v>
      </x:c>
      <x:c r="D539" s="9" t="n">
        <x:v>2</x:v>
      </x:c>
      <x:c r="E539" s="9" t="n">
        <x:v>119472</x:v>
      </x:c>
      <x:c r="F539" s="9" t="n">
        <x:v>40626.0000000149</x:v>
      </x:c>
      <x:c r="G539" s="9" t="n">
        <x:v>26948.0000000149</x:v>
      </x:c>
      <x:c r="H539" s="9" t="n">
        <x:v>47675</x:v>
      </x:c>
      <x:c r="I539" s="9" t="n">
        <x:v>4117</x:v>
      </x:c>
      <x:c r="J539" s="9" t="n">
        <x:v>105.99999997019768</x:v>
      </x:c>
      <x:c r="K539" s="9" t="n">
        <x:f>F539+G539+I539+J539</x:f>
        <x:v>71797</x:v>
      </x:c>
      <x:c r="L539" s="10" t="n">
        <x:f>K539/Sources!$B$4*1000</x:f>
        <x:v>20.057577150168527</x:v>
      </x:c>
      <x:c r="M539" s="10" t="n">
        <x:f>E539/Sources!$B$4*1000</x:f>
        <x:v>33.37630900016622</x:v>
      </x:c>
      <x:c r="N539" s="9" t="n">
        <x:f>Sources!$B$6-K539</x:f>
        <x:v>-12061</x:v>
      </x:c>
      <x:c r="O539" s="1" t="str">
        <x:v>keyboard_route</x:v>
      </x:c>
      <x:c r="P539" s="12" t="n">
        <x:v>0</x:v>
      </x:c>
      <x:c r="Q539" s="12" t="n">
        <x:v>-4</x:v>
      </x:c>
      <x:c r="R539" s="12" t="n">
        <x:v>4</x:v>
      </x:c>
      <x:c r="S539" s="12" t="n">
        <x:v>3</x:v>
      </x:c>
      <x:c r="T539" s="1" t="str">
        <x:v>No</x:v>
      </x:c>
      <x:c r="U539" s="1" t="n">
        <x:v>0</x:v>
      </x:c>
    </x:row>
    <x:row r="540" ht="23" customHeight="1">
      <x:c r="A540" s="9" t="n">
        <x:v>658</x:v>
      </x:c>
      <x:c r="B540" s="9" t="n">
        <x:v>120</x:v>
      </x:c>
      <x:c r="C540" s="9" t="n">
        <x:v>843</x:v>
      </x:c>
      <x:c r="D540" s="9" t="n">
        <x:v>2</x:v>
      </x:c>
      <x:c r="E540" s="9" t="n">
        <x:v>117920</x:v>
      </x:c>
      <x:c r="F540" s="9" t="n">
        <x:v>34196</x:v>
      </x:c>
      <x:c r="G540" s="9" t="n">
        <x:v>25558</x:v>
      </x:c>
      <x:c r="H540" s="9" t="n">
        <x:v>55495</x:v>
      </x:c>
      <x:c r="I540" s="9" t="n">
        <x:v>2565</x:v>
      </x:c>
      <x:c r="J540" s="9" t="n">
        <x:v>106</x:v>
      </x:c>
      <x:c r="K540" s="9" t="n">
        <x:f>F540+G540+I540+J540</x:f>
        <x:v>62425</x:v>
      </x:c>
      <x:c r="L540" s="10" t="n">
        <x:f>K540/Sources!$B$4*1000</x:f>
        <x:v>17.439367293887912</x:v>
      </x:c>
      <x:c r="M540" s="10" t="n">
        <x:f>E540/Sources!$B$4*1000</x:f>
        <x:v>32.94273434193452</x:v>
      </x:c>
      <x:c r="N540" s="9" t="n">
        <x:f>Sources!$B$6-K540</x:f>
        <x:v>-2689</x:v>
      </x:c>
      <x:c r="O540" s="1" t="str">
        <x:v>keyboard_route</x:v>
      </x:c>
      <x:c r="P540" s="12" t="n">
        <x:v>-4</x:v>
      </x:c>
      <x:c r="Q540" s="12" t="n">
        <x:v>0</x:v>
      </x:c>
      <x:c r="R540" s="12" t="n">
        <x:v>0</x:v>
      </x:c>
      <x:c r="S540" s="12" t="n">
        <x:v>3</x:v>
      </x:c>
      <x:c r="T540" s="1" t="str">
        <x:v>No</x:v>
      </x:c>
      <x:c r="U540" s="1" t="n">
        <x:v>0</x:v>
      </x:c>
    </x:row>
    <x:row r="541" ht="23" customHeight="1">
      <x:c r="A541" s="9" t="n">
        <x:v>659</x:v>
      </x:c>
      <x:c r="B541" s="9" t="n">
        <x:v>116</x:v>
      </x:c>
      <x:c r="C541" s="9" t="n">
        <x:v>843</x:v>
      </x:c>
      <x:c r="D541" s="9" t="n">
        <x:v>2</x:v>
      </x:c>
      <x:c r="E541" s="9" t="n">
        <x:v>119468.9999999851</x:v>
      </x:c>
      <x:c r="F541" s="9" t="n">
        <x:v>34810</x:v>
      </x:c>
      <x:c r="G541" s="9" t="n">
        <x:v>47223</x:v>
      </x:c>
      <x:c r="H541" s="9" t="n">
        <x:v>34764.9999999851</x:v>
      </x:c>
      <x:c r="I541" s="9" t="n">
        <x:v>2565</x:v>
      </x:c>
      <x:c r="J541" s="9" t="n">
        <x:v>106</x:v>
      </x:c>
      <x:c r="K541" s="9" t="n">
        <x:f>F541+G541+I541+J541</x:f>
        <x:v>84704</x:v>
      </x:c>
      <x:c r="L541" s="10" t="n">
        <x:f>K541/Sources!$B$4*1000</x:f>
        <x:v>23.663342687408594</x:v>
      </x:c>
      <x:c r="M541" s="10" t="n">
        <x:f>E541/Sources!$B$4*1000</x:f>
        <x:v>33.37547090481754</x:v>
      </x:c>
      <x:c r="N541" s="9" t="n">
        <x:f>Sources!$B$6-K541</x:f>
        <x:v>-24968</x:v>
      </x:c>
      <x:c r="O541" s="1" t="str">
        <x:v>keyboard_route</x:v>
      </x:c>
      <x:c r="P541" s="12" t="n">
        <x:v>-4</x:v>
      </x:c>
      <x:c r="Q541" s="12" t="n">
        <x:v>0</x:v>
      </x:c>
      <x:c r="R541" s="12" t="n">
        <x:v>4</x:v>
      </x:c>
      <x:c r="S541" s="12" t="n">
        <x:v>3</x:v>
      </x:c>
      <x:c r="T541" s="1" t="str">
        <x:v>Yes</x:v>
      </x:c>
      <x:c r="U541" s="1" t="n">
        <x:v>0</x:v>
      </x:c>
    </x:row>
    <x:row r="542" ht="23" customHeight="1">
      <x:c r="A542" s="9" t="n">
        <x:v>660</x:v>
      </x:c>
      <x:c r="B542" s="9" t="n">
        <x:v>112</x:v>
      </x:c>
      <x:c r="C542" s="9" t="n">
        <x:v>843</x:v>
      </x:c>
      <x:c r="D542" s="9" t="n">
        <x:v>2</x:v>
      </x:c>
      <x:c r="E542" s="9" t="n">
        <x:v>119474</x:v>
      </x:c>
      <x:c r="F542" s="9" t="n">
        <x:v>37278</x:v>
      </x:c>
      <x:c r="G542" s="9" t="n">
        <x:v>29620</x:v>
      </x:c>
      <x:c r="H542" s="9" t="n">
        <x:v>49905</x:v>
      </x:c>
      <x:c r="I542" s="9" t="n">
        <x:v>2565</x:v>
      </x:c>
      <x:c r="J542" s="9" t="n">
        <x:v>106</x:v>
      </x:c>
      <x:c r="K542" s="9" t="n">
        <x:f>F542+G542+I542+J542</x:f>
        <x:v>69569</x:v>
      </x:c>
      <x:c r="L542" s="10" t="n">
        <x:f>K542/Sources!$B$4*1000</x:f>
        <x:v>19.435151674304976</x:v>
      </x:c>
      <x:c r="M542" s="10" t="n">
        <x:f>E542/Sources!$B$4*1000</x:f>
        <x:v>33.3768677303959</x:v>
      </x:c>
      <x:c r="N542" s="9" t="n">
        <x:f>Sources!$B$6-K542</x:f>
        <x:v>-9833</x:v>
      </x:c>
      <x:c r="O542" s="1" t="str">
        <x:v>keyboard_route</x:v>
      </x:c>
      <x:c r="P542" s="12" t="n">
        <x:v>-4</x:v>
      </x:c>
      <x:c r="Q542" s="12" t="n">
        <x:v>0</x:v>
      </x:c>
      <x:c r="R542" s="12" t="n">
        <x:v>0</x:v>
      </x:c>
      <x:c r="S542" s="12" t="n">
        <x:v>3</x:v>
      </x:c>
      <x:c r="T542" s="1" t="str">
        <x:v>No</x:v>
      </x:c>
      <x:c r="U542" s="1" t="n">
        <x:v>0</x:v>
      </x:c>
    </x:row>
    <x:row r="543" ht="23" customHeight="1">
      <x:c r="A543" s="9" t="n">
        <x:v>661</x:v>
      </x:c>
      <x:c r="B543" s="9" t="n">
        <x:v>108</x:v>
      </x:c>
      <x:c r="C543" s="9" t="n">
        <x:v>843</x:v>
      </x:c>
      <x:c r="D543" s="9" t="n">
        <x:v>2</x:v>
      </x:c>
      <x:c r="E543" s="9" t="n">
        <x:v>119470</x:v>
      </x:c>
      <x:c r="F543" s="9" t="n">
        <x:v>39196</x:v>
      </x:c>
      <x:c r="G543" s="9" t="n">
        <x:v>47223.0000000149</x:v>
      </x:c>
      <x:c r="H543" s="9" t="n">
        <x:v>30379.9999999851</x:v>
      </x:c>
      <x:c r="I543" s="9" t="n">
        <x:v>2565</x:v>
      </x:c>
      <x:c r="J543" s="9" t="n">
        <x:v>106</x:v>
      </x:c>
      <x:c r="K543" s="9" t="n">
        <x:f>F543+G543+I543+J543</x:f>
        <x:v>89090.0000000149</x:v>
      </x:c>
      <x:c r="L543" s="10" t="n">
        <x:f>K543/Sources!$B$4*1000</x:f>
        <x:v>24.88863808110106</x:v>
      </x:c>
      <x:c r="M543" s="10" t="n">
        <x:f>E543/Sources!$B$4*1000</x:f>
        <x:v>33.37575026993654</x:v>
      </x:c>
      <x:c r="N543" s="9" t="n">
        <x:f>Sources!$B$6-K543</x:f>
        <x:v>-29354.0000000149</x:v>
      </x:c>
      <x:c r="O543" s="1" t="str">
        <x:v>keyboard_route</x:v>
      </x:c>
      <x:c r="P543" s="12" t="n">
        <x:v>-4</x:v>
      </x:c>
      <x:c r="Q543" s="12" t="n">
        <x:v>0</x:v>
      </x:c>
      <x:c r="R543" s="12" t="n">
        <x:v>4</x:v>
      </x:c>
      <x:c r="S543" s="12" t="n">
        <x:v>3</x:v>
      </x:c>
      <x:c r="T543" s="1" t="str">
        <x:v>Yes</x:v>
      </x:c>
      <x:c r="U543" s="1" t="n">
        <x:v>0</x:v>
      </x:c>
    </x:row>
    <x:row r="544" ht="23" customHeight="1">
      <x:c r="A544" s="9" t="n">
        <x:v>662</x:v>
      </x:c>
      <x:c r="B544" s="9" t="n">
        <x:v>104</x:v>
      </x:c>
      <x:c r="C544" s="9" t="n">
        <x:v>843</x:v>
      </x:c>
      <x:c r="D544" s="9" t="n">
        <x:v>2</x:v>
      </x:c>
      <x:c r="E544" s="9" t="n">
        <x:v>119472.0000000149</x:v>
      </x:c>
      <x:c r="F544" s="9" t="n">
        <x:v>37496</x:v>
      </x:c>
      <x:c r="G544" s="9" t="n">
        <x:v>29620</x:v>
      </x:c>
      <x:c r="H544" s="9" t="n">
        <x:v>49685</x:v>
      </x:c>
      <x:c r="I544" s="9" t="n">
        <x:v>2565</x:v>
      </x:c>
      <x:c r="J544" s="9" t="n">
        <x:v>106.00000001490116</x:v>
      </x:c>
      <x:c r="K544" s="9" t="n">
        <x:f>F544+G544+I544+J544</x:f>
        <x:v>69787.0000000149</x:v>
      </x:c>
      <x:c r="L544" s="10" t="n">
        <x:f>K544/Sources!$B$4*1000</x:f>
        <x:v>19.496053269344262</x:v>
      </x:c>
      <x:c r="M544" s="10" t="n">
        <x:f>E544/Sources!$B$4*1000</x:f>
        <x:v>33.37630900017039</x:v>
      </x:c>
      <x:c r="N544" s="9" t="n">
        <x:f>Sources!$B$6-K544</x:f>
        <x:v>-10051.000000014901</x:v>
      </x:c>
      <x:c r="O544" s="1" t="str">
        <x:v>keyboard_route</x:v>
      </x:c>
      <x:c r="P544" s="12" t="n">
        <x:v>-4</x:v>
      </x:c>
      <x:c r="Q544" s="12" t="n">
        <x:v>0</x:v>
      </x:c>
      <x:c r="R544" s="12" t="n">
        <x:v>0</x:v>
      </x:c>
      <x:c r="S544" s="12" t="n">
        <x:v>3</x:v>
      </x:c>
      <x:c r="T544" s="1" t="str">
        <x:v>No</x:v>
      </x:c>
      <x:c r="U544" s="1" t="n">
        <x:v>0</x:v>
      </x:c>
    </x:row>
    <x:row r="545" ht="23" customHeight="1">
      <x:c r="A545" s="9" t="n">
        <x:v>663</x:v>
      </x:c>
      <x:c r="B545" s="9" t="n">
        <x:v>100</x:v>
      </x:c>
      <x:c r="C545" s="9" t="n">
        <x:v>843</x:v>
      </x:c>
      <x:c r="D545" s="9" t="n">
        <x:v>2</x:v>
      </x:c>
      <x:c r="E545" s="9" t="n">
        <x:v>119474</x:v>
      </x:c>
      <x:c r="F545" s="9" t="n">
        <x:v>33075.0000000149</x:v>
      </x:c>
      <x:c r="G545" s="9" t="n">
        <x:v>47222.9999999851</x:v>
      </x:c>
      <x:c r="H545" s="9" t="n">
        <x:v>36505</x:v>
      </x:c>
      <x:c r="I545" s="9" t="n">
        <x:v>2565</x:v>
      </x:c>
      <x:c r="J545" s="9" t="n">
        <x:v>106</x:v>
      </x:c>
      <x:c r="K545" s="9" t="n">
        <x:f>F545+G545+I545+J545</x:f>
        <x:v>82969</x:v>
      </x:c>
      <x:c r="L545" s="10" t="n">
        <x:f>K545/Sources!$B$4*1000</x:f>
        <x:v>23.17864421316117</x:v>
      </x:c>
      <x:c r="M545" s="10" t="n">
        <x:f>E545/Sources!$B$4*1000</x:f>
        <x:v>33.3768677303959</x:v>
      </x:c>
      <x:c r="N545" s="9" t="n">
        <x:f>Sources!$B$6-K545</x:f>
        <x:v>-23233</x:v>
      </x:c>
      <x:c r="O545" s="1" t="str">
        <x:v>keyboard_route</x:v>
      </x:c>
      <x:c r="P545" s="12" t="n">
        <x:v>-4</x:v>
      </x:c>
      <x:c r="Q545" s="12" t="n">
        <x:v>0</x:v>
      </x:c>
      <x:c r="R545" s="12" t="n">
        <x:v>4</x:v>
      </x:c>
      <x:c r="S545" s="12" t="n">
        <x:v>3</x:v>
      </x:c>
      <x:c r="T545" s="1" t="str">
        <x:v>Yes</x:v>
      </x:c>
      <x:c r="U545" s="1" t="n">
        <x:v>0</x:v>
      </x:c>
    </x:row>
    <x:row r="546" ht="23" customHeight="1">
      <x:c r="A546" s="9" t="n">
        <x:v>664</x:v>
      </x:c>
      <x:c r="B546" s="9" t="n">
        <x:v>96</x:v>
      </x:c>
      <x:c r="C546" s="9" t="n">
        <x:v>843</x:v>
      </x:c>
      <x:c r="D546" s="9" t="n">
        <x:v>2</x:v>
      </x:c>
      <x:c r="E546" s="9" t="n">
        <x:v>119473.9999999851</x:v>
      </x:c>
      <x:c r="F546" s="9" t="n">
        <x:v>35333.9999999851</x:v>
      </x:c>
      <x:c r="G546" s="9" t="n">
        <x:v>29814</x:v>
      </x:c>
      <x:c r="H546" s="9" t="n">
        <x:v>51655</x:v>
      </x:c>
      <x:c r="I546" s="9" t="n">
        <x:v>2565</x:v>
      </x:c>
      <x:c r="J546" s="9" t="n">
        <x:v>106</x:v>
      </x:c>
      <x:c r="K546" s="9" t="n">
        <x:f>F546+G546+I546+J546</x:f>
        <x:v>67818.9999999851</x:v>
      </x:c>
      <x:c r="L546" s="10" t="n">
        <x:f>K546/Sources!$B$4*1000</x:f>
        <x:v>18.946262723330786</x:v>
      </x:c>
      <x:c r="M546" s="10" t="n">
        <x:f>E546/Sources!$B$4*1000</x:f>
        <x:v>33.37686773039174</x:v>
      </x:c>
      <x:c r="N546" s="9" t="n">
        <x:f>Sources!$B$6-K546</x:f>
        <x:v>-8082.999999985099</x:v>
      </x:c>
      <x:c r="O546" s="1" t="str">
        <x:v>keyboard_route</x:v>
      </x:c>
      <x:c r="P546" s="12" t="n">
        <x:v>-4</x:v>
      </x:c>
      <x:c r="Q546" s="12" t="n">
        <x:v>0</x:v>
      </x:c>
      <x:c r="R546" s="12" t="n">
        <x:v>0</x:v>
      </x:c>
      <x:c r="S546" s="12" t="n">
        <x:v>3</x:v>
      </x:c>
      <x:c r="T546" s="1" t="str">
        <x:v>No</x:v>
      </x:c>
      <x:c r="U546" s="1" t="n">
        <x:v>0</x:v>
      </x:c>
    </x:row>
    <x:row r="547" ht="23" customHeight="1">
      <x:c r="A547" s="9" t="n">
        <x:v>665</x:v>
      </x:c>
      <x:c r="B547" s="9" t="n">
        <x:v>92</x:v>
      </x:c>
      <x:c r="C547" s="9" t="n">
        <x:v>843</x:v>
      </x:c>
      <x:c r="D547" s="9" t="n">
        <x:v>2</x:v>
      </x:c>
      <x:c r="E547" s="9" t="n">
        <x:v>119471.0000000149</x:v>
      </x:c>
      <x:c r="F547" s="9" t="n">
        <x:v>33957</x:v>
      </x:c>
      <x:c r="G547" s="9" t="n">
        <x:v>47223.0000000149</x:v>
      </x:c>
      <x:c r="H547" s="9" t="n">
        <x:v>35620</x:v>
      </x:c>
      <x:c r="I547" s="9" t="n">
        <x:v>2565</x:v>
      </x:c>
      <x:c r="J547" s="9" t="n">
        <x:v>106</x:v>
      </x:c>
      <x:c r="K547" s="9" t="n">
        <x:f>F547+G547+I547+J547</x:f>
        <x:v>83851.0000000149</x:v>
      </x:c>
      <x:c r="L547" s="10" t="n">
        <x:f>K547/Sources!$B$4*1000</x:f>
        <x:v>23.425044244454227</x:v>
      </x:c>
      <x:c r="M547" s="10" t="n">
        <x:f>E547/Sources!$B$4*1000</x:f>
        <x:v>33.376029635055545</x:v>
      </x:c>
      <x:c r="N547" s="9" t="n">
        <x:f>Sources!$B$6-K547</x:f>
        <x:v>-24115.0000000149</x:v>
      </x:c>
      <x:c r="O547" s="1" t="str">
        <x:v>keyboard_route</x:v>
      </x:c>
      <x:c r="P547" s="12" t="n">
        <x:v>-4</x:v>
      </x:c>
      <x:c r="Q547" s="12" t="n">
        <x:v>0</x:v>
      </x:c>
      <x:c r="R547" s="12" t="n">
        <x:v>4</x:v>
      </x:c>
      <x:c r="S547" s="12" t="n">
        <x:v>3</x:v>
      </x:c>
      <x:c r="T547" s="1" t="str">
        <x:v>Yes</x:v>
      </x:c>
      <x:c r="U547" s="1" t="n">
        <x:v>0</x:v>
      </x:c>
    </x:row>
    <x:row r="548" ht="23" customHeight="1">
      <x:c r="A548" s="9" t="n">
        <x:v>666</x:v>
      </x:c>
      <x:c r="B548" s="9" t="n">
        <x:v>88</x:v>
      </x:c>
      <x:c r="C548" s="9" t="n">
        <x:v>843</x:v>
      </x:c>
      <x:c r="D548" s="9" t="n">
        <x:v>2</x:v>
      </x:c>
      <x:c r="E548" s="9" t="n">
        <x:v>119471</x:v>
      </x:c>
      <x:c r="F548" s="9" t="n">
        <x:v>33605.9999999851</x:v>
      </x:c>
      <x:c r="G548" s="9" t="n">
        <x:v>29814</x:v>
      </x:c>
      <x:c r="H548" s="9" t="n">
        <x:v>53380</x:v>
      </x:c>
      <x:c r="I548" s="9" t="n">
        <x:v>2565</x:v>
      </x:c>
      <x:c r="J548" s="9" t="n">
        <x:v>106.00000001490116</x:v>
      </x:c>
      <x:c r="K548" s="9" t="n">
        <x:f>F548+G548+I548+J548</x:f>
        <x:v>66091</x:v>
      </x:c>
      <x:c r="L548" s="10" t="n">
        <x:f>K548/Sources!$B$4*1000</x:f>
        <x:v>18.463519804891405</x:v>
      </x:c>
      <x:c r="M548" s="10" t="n">
        <x:f>E548/Sources!$B$4*1000</x:f>
        <x:v>33.37602963505138</x:v>
      </x:c>
      <x:c r="N548" s="9" t="n">
        <x:f>Sources!$B$6-K548</x:f>
        <x:v>-6355</x:v>
      </x:c>
      <x:c r="O548" s="1" t="str">
        <x:v>keyboard_route</x:v>
      </x:c>
      <x:c r="P548" s="12" t="n">
        <x:v>-4</x:v>
      </x:c>
      <x:c r="Q548" s="12" t="n">
        <x:v>0</x:v>
      </x:c>
      <x:c r="R548" s="12" t="n">
        <x:v>0</x:v>
      </x:c>
      <x:c r="S548" s="12" t="n">
        <x:v>3</x:v>
      </x:c>
      <x:c r="T548" s="1" t="str">
        <x:v>No</x:v>
      </x:c>
      <x:c r="U548" s="1" t="n">
        <x:v>0</x:v>
      </x:c>
    </x:row>
    <x:row r="549" ht="23" customHeight="1">
      <x:c r="A549" s="9" t="n">
        <x:v>667</x:v>
      </x:c>
      <x:c r="B549" s="9" t="n">
        <x:v>84</x:v>
      </x:c>
      <x:c r="C549" s="9" t="n">
        <x:v>843</x:v>
      </x:c>
      <x:c r="D549" s="9" t="n">
        <x:v>2</x:v>
      </x:c>
      <x:c r="E549" s="9" t="n">
        <x:v>123846</x:v>
      </x:c>
      <x:c r="F549" s="9" t="n">
        <x:v>47064.0000000149</x:v>
      </x:c>
      <x:c r="G549" s="9" t="n">
        <x:v>62408.0000000149</x:v>
      </x:c>
      <x:c r="H549" s="9" t="n">
        <x:v>7330</x:v>
      </x:c>
      <x:c r="I549" s="9" t="n">
        <x:v>6938</x:v>
      </x:c>
      <x:c r="J549" s="9" t="n">
        <x:v>105.99999997019768</x:v>
      </x:c>
      <x:c r="K549" s="9" t="n">
        <x:f>F549+G549+I549+J549</x:f>
        <x:v>116516</x:v>
      </x:c>
      <x:c r="L549" s="10" t="n">
        <x:f>K549/Sources!$B$4*1000</x:f>
        <x:v>32.55050572069914</x:v>
      </x:c>
      <x:c r="M549" s="10" t="n">
        <x:f>E549/Sources!$B$4*1000</x:f>
        <x:v>34.59825201247644</x:v>
      </x:c>
      <x:c r="N549" s="9" t="n">
        <x:f>Sources!$B$6-K549</x:f>
        <x:v>-56780</x:v>
      </x:c>
      <x:c r="O549" s="1" t="str">
        <x:v>keyboard_route</x:v>
      </x:c>
      <x:c r="P549" s="12" t="n">
        <x:v>-4</x:v>
      </x:c>
      <x:c r="Q549" s="12" t="n">
        <x:v>0</x:v>
      </x:c>
      <x:c r="R549" s="12" t="n">
        <x:v>4</x:v>
      </x:c>
      <x:c r="S549" s="12" t="n">
        <x:v>3</x:v>
      </x:c>
      <x:c r="T549" s="1" t="str">
        <x:v>Yes</x:v>
      </x:c>
      <x:c r="U549" s="1" t="n">
        <x:v>0</x:v>
      </x:c>
    </x:row>
    <x:row r="550" ht="23" customHeight="1">
      <x:c r="A550" s="9" t="n">
        <x:v>668</x:v>
      </x:c>
      <x:c r="B550" s="9" t="n">
        <x:v>80</x:v>
      </x:c>
      <x:c r="C550" s="9" t="n">
        <x:v>843</x:v>
      </x:c>
      <x:c r="D550" s="9" t="n">
        <x:v>2</x:v>
      </x:c>
      <x:c r="E550" s="9" t="n">
        <x:v>115099</x:v>
      </x:c>
      <x:c r="F550" s="9" t="n">
        <x:v>37898</x:v>
      </x:c>
      <x:c r="G550" s="9" t="n">
        <x:v>36625</x:v>
      </x:c>
      <x:c r="H550" s="9" t="n">
        <x:v>37905</x:v>
      </x:c>
      <x:c r="I550" s="9" t="n">
        <x:v>2565</x:v>
      </x:c>
      <x:c r="J550" s="9" t="n">
        <x:v>106</x:v>
      </x:c>
      <x:c r="K550" s="9" t="n">
        <x:f>F550+G550+I550+J550</x:f>
        <x:v>77194</x:v>
      </x:c>
      <x:c r="L550" s="10" t="n">
        <x:f>K550/Sources!$B$4*1000</x:f>
        <x:v>21.565310674960084</x:v>
      </x:c>
      <x:c r="M550" s="10" t="n">
        <x:f>E550/Sources!$B$4*1000</x:f>
        <x:v>32.15464535297084</x:v>
      </x:c>
      <x:c r="N550" s="9" t="n">
        <x:f>Sources!$B$6-K550</x:f>
        <x:v>-17458</x:v>
      </x:c>
      <x:c r="O550" s="1" t="str">
        <x:v>keyboard_route</x:v>
      </x:c>
      <x:c r="P550" s="12" t="n">
        <x:v>-4</x:v>
      </x:c>
      <x:c r="Q550" s="12" t="n">
        <x:v>0</x:v>
      </x:c>
      <x:c r="R550" s="12" t="n">
        <x:v>0</x:v>
      </x:c>
      <x:c r="S550" s="12" t="n">
        <x:v>3</x:v>
      </x:c>
      <x:c r="T550" s="1" t="str">
        <x:v>No</x:v>
      </x:c>
      <x:c r="U550" s="1" t="n">
        <x:v>0</x:v>
      </x:c>
    </x:row>
    <x:row r="551" ht="23" customHeight="1">
      <x:c r="A551" s="9" t="n">
        <x:v>669</x:v>
      </x:c>
      <x:c r="B551" s="9" t="n">
        <x:v>76</x:v>
      </x:c>
      <x:c r="C551" s="9" t="n">
        <x:v>843</x:v>
      </x:c>
      <x:c r="D551" s="9" t="n">
        <x:v>2</x:v>
      </x:c>
      <x:c r="E551" s="9" t="n">
        <x:v>119472</x:v>
      </x:c>
      <x:c r="F551" s="9" t="n">
        <x:v>38182</x:v>
      </x:c>
      <x:c r="G551" s="9" t="n">
        <x:v>51474</x:v>
      </x:c>
      <x:c r="H551" s="9" t="n">
        <x:v>27144.9999999851</x:v>
      </x:c>
      <x:c r="I551" s="9" t="n">
        <x:v>2565</x:v>
      </x:c>
      <x:c r="J551" s="9" t="n">
        <x:v>106.00000001490116</x:v>
      </x:c>
      <x:c r="K551" s="9" t="n">
        <x:f>F551+G551+I551+J551</x:f>
        <x:v>92327.0000000149</x:v>
      </x:c>
      <x:c r="L551" s="10" t="n">
        <x:f>K551/Sources!$B$4*1000</x:f>
        <x:v>25.79294295783819</x:v>
      </x:c>
      <x:c r="M551" s="10" t="n">
        <x:f>E551/Sources!$B$4*1000</x:f>
        <x:v>33.37630900016622</x:v>
      </x:c>
      <x:c r="N551" s="9" t="n">
        <x:f>Sources!$B$6-K551</x:f>
        <x:v>-32591.0000000149</x:v>
      </x:c>
      <x:c r="O551" s="1" t="str">
        <x:v>keyboard_route</x:v>
      </x:c>
      <x:c r="P551" s="12" t="n">
        <x:v>-4</x:v>
      </x:c>
      <x:c r="Q551" s="12" t="n">
        <x:v>0</x:v>
      </x:c>
      <x:c r="R551" s="12" t="n">
        <x:v>4</x:v>
      </x:c>
      <x:c r="S551" s="12" t="n">
        <x:v>3</x:v>
      </x:c>
      <x:c r="T551" s="1" t="str">
        <x:v>Yes</x:v>
      </x:c>
      <x:c r="U551" s="1" t="n">
        <x:v>0</x:v>
      </x:c>
    </x:row>
    <x:row r="552" ht="23" customHeight="1">
      <x:c r="A552" s="9" t="n">
        <x:v>670</x:v>
      </x:c>
      <x:c r="B552" s="9" t="n">
        <x:v>76</x:v>
      </x:c>
      <x:c r="C552" s="9" t="n">
        <x:v>839</x:v>
      </x:c>
      <x:c r="D552" s="9" t="n">
        <x:v>2</x:v>
      </x:c>
      <x:c r="E552" s="9" t="n">
        <x:v>121024</x:v>
      </x:c>
      <x:c r="F552" s="9" t="n">
        <x:v>37659</x:v>
      </x:c>
      <x:c r="G552" s="9" t="n">
        <x:v>47462.0000000149</x:v>
      </x:c>
      <x:c r="H552" s="9" t="n">
        <x:v>31680</x:v>
      </x:c>
      <x:c r="I552" s="9" t="n">
        <x:v>4117</x:v>
      </x:c>
      <x:c r="J552" s="9" t="n">
        <x:v>105.99999998509884</x:v>
      </x:c>
      <x:c r="K552" s="9" t="n">
        <x:f>F552+G552+I552+J552</x:f>
        <x:v>89344</x:v>
      </x:c>
      <x:c r="L552" s="10" t="n">
        <x:f>K552/Sources!$B$4*1000</x:f>
        <x:v>24.959596820266263</x:v>
      </x:c>
      <x:c r="M552" s="10" t="n">
        <x:f>E552/Sources!$B$4*1000</x:f>
        <x:v>33.80988365839792</x:v>
      </x:c>
      <x:c r="N552" s="9" t="n">
        <x:f>Sources!$B$6-K552</x:f>
        <x:v>-29608</x:v>
      </x:c>
      <x:c r="O552" s="1" t="str">
        <x:v>keyboard_route</x:v>
      </x:c>
      <x:c r="P552" s="12" t="n">
        <x:v>0</x:v>
      </x:c>
      <x:c r="Q552" s="12" t="n">
        <x:v>-4</x:v>
      </x:c>
      <x:c r="R552" s="12" t="n">
        <x:v>4</x:v>
      </x:c>
      <x:c r="S552" s="12" t="n">
        <x:v>7</x:v>
      </x:c>
      <x:c r="T552" s="1" t="str">
        <x:v>Yes</x:v>
      </x:c>
      <x:c r="U552" s="1" t="n">
        <x:v>0</x:v>
      </x:c>
    </x:row>
    <x:row r="553" ht="23" customHeight="1">
      <x:c r="A553" s="9" t="n">
        <x:v>671</x:v>
      </x:c>
      <x:c r="B553" s="9" t="n">
        <x:v>76</x:v>
      </x:c>
      <x:c r="C553" s="9" t="n">
        <x:v>835</x:v>
      </x:c>
      <x:c r="D553" s="9" t="n">
        <x:v>2</x:v>
      </x:c>
      <x:c r="E553" s="9" t="n">
        <x:v>119472</x:v>
      </x:c>
      <x:c r="F553" s="9" t="n">
        <x:v>40435</x:v>
      </x:c>
      <x:c r="G553" s="9" t="n">
        <x:v>26754</x:v>
      </x:c>
      <x:c r="H553" s="9" t="n">
        <x:v>48060</x:v>
      </x:c>
      <x:c r="I553" s="9" t="n">
        <x:v>4117</x:v>
      </x:c>
      <x:c r="J553" s="9" t="n">
        <x:v>106</x:v>
      </x:c>
      <x:c r="K553" s="9" t="n">
        <x:f>F553+G553+I553+J553</x:f>
        <x:v>71412</x:v>
      </x:c>
      <x:c r="L553" s="10" t="n">
        <x:f>K553/Sources!$B$4*1000</x:f>
        <x:v>19.950021580955124</x:v>
      </x:c>
      <x:c r="M553" s="10" t="n">
        <x:f>E553/Sources!$B$4*1000</x:f>
        <x:v>33.37630900016622</x:v>
      </x:c>
      <x:c r="N553" s="9" t="n">
        <x:f>Sources!$B$6-K553</x:f>
        <x:v>-11676</x:v>
      </x:c>
      <x:c r="O553" s="1" t="str">
        <x:v>keyboard_route</x:v>
      </x:c>
      <x:c r="P553" s="12" t="n">
        <x:v>0</x:v>
      </x:c>
      <x:c r="Q553" s="12" t="n">
        <x:v>-4</x:v>
      </x:c>
      <x:c r="R553" s="12" t="n">
        <x:v>4</x:v>
      </x:c>
      <x:c r="S553" s="12" t="n">
        <x:v>3</x:v>
      </x:c>
      <x:c r="T553" s="1" t="str">
        <x:v>No</x:v>
      </x:c>
      <x:c r="U553" s="1" t="n">
        <x:v>0</x:v>
      </x:c>
    </x:row>
    <x:row r="554" ht="23" customHeight="1">
      <x:c r="A554" s="9" t="n">
        <x:v>672</x:v>
      </x:c>
      <x:c r="B554" s="9" t="n">
        <x:v>76</x:v>
      </x:c>
      <x:c r="C554" s="9" t="n">
        <x:v>831</x:v>
      </x:c>
      <x:c r="D554" s="9" t="n">
        <x:v>2</x:v>
      </x:c>
      <x:c r="E554" s="9" t="n">
        <x:v>119471</x:v>
      </x:c>
      <x:c r="F554" s="9" t="n">
        <x:v>33237</x:v>
      </x:c>
      <x:c r="G554" s="9" t="n">
        <x:v>43426</x:v>
      </x:c>
      <x:c r="H554" s="9" t="n">
        <x:v>38585</x:v>
      </x:c>
      <x:c r="I554" s="9" t="n">
        <x:v>4117</x:v>
      </x:c>
      <x:c r="J554" s="9" t="n">
        <x:v>106</x:v>
      </x:c>
      <x:c r="K554" s="9" t="n">
        <x:f>F554+G554+I554+J554</x:f>
        <x:v>80886</x:v>
      </x:c>
      <x:c r="L554" s="10" t="n">
        <x:f>K554/Sources!$B$4*1000</x:f>
        <x:v>22.59672667894942</x:v>
      </x:c>
      <x:c r="M554" s="10" t="n">
        <x:f>E554/Sources!$B$4*1000</x:f>
        <x:v>33.37602963505138</x:v>
      </x:c>
      <x:c r="N554" s="9" t="n">
        <x:f>Sources!$B$6-K554</x:f>
        <x:v>-21150</x:v>
      </x:c>
      <x:c r="O554" s="1" t="str">
        <x:v>keyboard_route</x:v>
      </x:c>
      <x:c r="P554" s="12" t="n">
        <x:v>0</x:v>
      </x:c>
      <x:c r="Q554" s="12" t="n">
        <x:v>-4</x:v>
      </x:c>
      <x:c r="R554" s="12" t="n">
        <x:v>4</x:v>
      </x:c>
      <x:c r="S554" s="12" t="n">
        <x:v>7</x:v>
      </x:c>
      <x:c r="T554" s="1" t="str">
        <x:v>Yes</x:v>
      </x:c>
      <x:c r="U554" s="1" t="n">
        <x:v>0</x:v>
      </x:c>
    </x:row>
    <x:row r="555" ht="23" customHeight="1">
      <x:c r="A555" s="9" t="n">
        <x:v>673</x:v>
      </x:c>
      <x:c r="B555" s="9" t="n">
        <x:v>76</x:v>
      </x:c>
      <x:c r="C555" s="9" t="n">
        <x:v>827</x:v>
      </x:c>
      <x:c r="D555" s="9" t="n">
        <x:v>2</x:v>
      </x:c>
      <x:c r="E555" s="9" t="n">
        <x:v>119470</x:v>
      </x:c>
      <x:c r="F555" s="9" t="n">
        <x:v>39863</x:v>
      </x:c>
      <x:c r="G555" s="9" t="n">
        <x:v>26754</x:v>
      </x:c>
      <x:c r="H555" s="9" t="n">
        <x:v>48630.0000000149</x:v>
      </x:c>
      <x:c r="I555" s="9" t="n">
        <x:v>4117</x:v>
      </x:c>
      <x:c r="J555" s="9" t="n">
        <x:v>105.99999998509884</x:v>
      </x:c>
      <x:c r="K555" s="9" t="n">
        <x:f>F555+G555+I555+J555</x:f>
        <x:v>70839.9999999851</x:v>
      </x:c>
      <x:c r="L555" s="10" t="n">
        <x:f>K555/Sources!$B$4*1000</x:f>
        <x:v>19.79022473526247</x:v>
      </x:c>
      <x:c r="M555" s="10" t="n">
        <x:f>E555/Sources!$B$4*1000</x:f>
        <x:v>33.37575026993654</x:v>
      </x:c>
      <x:c r="N555" s="9" t="n">
        <x:f>Sources!$B$6-K555</x:f>
        <x:v>-11103.999999985099</x:v>
      </x:c>
      <x:c r="O555" s="1" t="str">
        <x:v>keyboard_route</x:v>
      </x:c>
      <x:c r="P555" s="12" t="n">
        <x:v>0</x:v>
      </x:c>
      <x:c r="Q555" s="12" t="n">
        <x:v>-4</x:v>
      </x:c>
      <x:c r="R555" s="12" t="n">
        <x:v>4</x:v>
      </x:c>
      <x:c r="S555" s="12" t="n">
        <x:v>3</x:v>
      </x:c>
      <x:c r="T555" s="1" t="str">
        <x:v>No</x:v>
      </x:c>
      <x:c r="U555" s="1" t="n">
        <x:v>0</x:v>
      </x:c>
    </x:row>
    <x:row r="556" ht="23" customHeight="1">
      <x:c r="A556" s="9" t="n">
        <x:v>674</x:v>
      </x:c>
      <x:c r="B556" s="9" t="n">
        <x:v>76</x:v>
      </x:c>
      <x:c r="C556" s="9" t="n">
        <x:v>823</x:v>
      </x:c>
      <x:c r="D556" s="9" t="n">
        <x:v>2</x:v>
      </x:c>
      <x:c r="E556" s="9" t="n">
        <x:v>119472.9999999851</x:v>
      </x:c>
      <x:c r="F556" s="9" t="n">
        <x:v>36479.0000000149</x:v>
      </x:c>
      <x:c r="G556" s="9" t="n">
        <x:v>43426</x:v>
      </x:c>
      <x:c r="H556" s="9" t="n">
        <x:v>35344.9999999851</x:v>
      </x:c>
      <x:c r="I556" s="9" t="n">
        <x:v>4117</x:v>
      </x:c>
      <x:c r="J556" s="9" t="n">
        <x:v>105.99999998509884</x:v>
      </x:c>
      <x:c r="K556" s="9" t="n">
        <x:f>F556+G556+I556+J556</x:f>
        <x:v>84128</x:v>
      </x:c>
      <x:c r="L556" s="10" t="n">
        <x:f>K556/Sources!$B$4*1000</x:f>
        <x:v>23.502428381260746</x:v>
      </x:c>
      <x:c r="M556" s="10" t="n">
        <x:f>E556/Sources!$B$4*1000</x:f>
        <x:v>33.376588365276895</x:v>
      </x:c>
      <x:c r="N556" s="9" t="n">
        <x:f>Sources!$B$6-K556</x:f>
        <x:v>-24392</x:v>
      </x:c>
      <x:c r="O556" s="1" t="str">
        <x:v>keyboard_route</x:v>
      </x:c>
      <x:c r="P556" s="12" t="n">
        <x:v>0</x:v>
      </x:c>
      <x:c r="Q556" s="12" t="n">
        <x:v>-4</x:v>
      </x:c>
      <x:c r="R556" s="12" t="n">
        <x:v>4</x:v>
      </x:c>
      <x:c r="S556" s="12" t="n">
        <x:v>7</x:v>
      </x:c>
      <x:c r="T556" s="1" t="str">
        <x:v>Yes</x:v>
      </x:c>
      <x:c r="U556" s="1" t="n">
        <x:v>0</x:v>
      </x:c>
    </x:row>
    <x:row r="557" ht="23" customHeight="1">
      <x:c r="A557" s="9" t="n">
        <x:v>675</x:v>
      </x:c>
      <x:c r="B557" s="9" t="n">
        <x:v>76</x:v>
      </x:c>
      <x:c r="C557" s="9" t="n">
        <x:v>819</x:v>
      </x:c>
      <x:c r="D557" s="9" t="n">
        <x:v>2</x:v>
      </x:c>
      <x:c r="E557" s="9" t="n">
        <x:v>119473.0000000149</x:v>
      </x:c>
      <x:c r="F557" s="9" t="n">
        <x:v>39186</x:v>
      </x:c>
      <x:c r="G557" s="9" t="n">
        <x:v>26754</x:v>
      </x:c>
      <x:c r="H557" s="9" t="n">
        <x:v>49310</x:v>
      </x:c>
      <x:c r="I557" s="9" t="n">
        <x:v>4117.000000014901</x:v>
      </x:c>
      <x:c r="J557" s="9" t="n">
        <x:v>106</x:v>
      </x:c>
      <x:c r="K557" s="9" t="n">
        <x:f>F557+G557+I557+J557</x:f>
        <x:v>70163.0000000149</x:v>
      </x:c>
      <x:c r="L557" s="10" t="n">
        <x:f>K557/Sources!$B$4*1000</x:f>
        <x:v>19.601094552524106</x:v>
      </x:c>
      <x:c r="M557" s="10" t="n">
        <x:f>E557/Sources!$B$4*1000</x:f>
        <x:v>33.37658836528522</x:v>
      </x:c>
      <x:c r="N557" s="9" t="n">
        <x:f>Sources!$B$6-K557</x:f>
        <x:v>-10427.000000014901</x:v>
      </x:c>
      <x:c r="O557" s="1" t="str">
        <x:v>keyboard_route</x:v>
      </x:c>
      <x:c r="P557" s="12" t="n">
        <x:v>0</x:v>
      </x:c>
      <x:c r="Q557" s="12" t="n">
        <x:v>-4</x:v>
      </x:c>
      <x:c r="R557" s="12" t="n">
        <x:v>4</x:v>
      </x:c>
      <x:c r="S557" s="12" t="n">
        <x:v>3</x:v>
      </x:c>
      <x:c r="T557" s="1" t="str">
        <x:v>No</x:v>
      </x:c>
      <x:c r="U557" s="1" t="n">
        <x:v>0</x:v>
      </x:c>
    </x:row>
    <x:row r="558" ht="23" customHeight="1">
      <x:c r="A558" s="9" t="n">
        <x:v>676</x:v>
      </x:c>
      <x:c r="B558" s="9" t="n">
        <x:v>76</x:v>
      </x:c>
      <x:c r="C558" s="9" t="n">
        <x:v>815</x:v>
      </x:c>
      <x:c r="D558" s="9" t="n">
        <x:v>2</x:v>
      </x:c>
      <x:c r="E558" s="9" t="n">
        <x:v>119472</x:v>
      </x:c>
      <x:c r="F558" s="9" t="n">
        <x:v>31147.9999999851</x:v>
      </x:c>
      <x:c r="G558" s="9" t="n">
        <x:v>43426</x:v>
      </x:c>
      <x:c r="H558" s="9" t="n">
        <x:v>40675</x:v>
      </x:c>
      <x:c r="I558" s="9" t="n">
        <x:v>4117</x:v>
      </x:c>
      <x:c r="J558" s="9" t="n">
        <x:v>106.00000001490116</x:v>
      </x:c>
      <x:c r="K558" s="9" t="n">
        <x:f>F558+G558+I558+J558</x:f>
        <x:v>78797</x:v>
      </x:c>
      <x:c r="L558" s="10" t="n">
        <x:f>K558/Sources!$B$4*1000</x:f>
        <x:v>22.01313295404863</x:v>
      </x:c>
      <x:c r="M558" s="10" t="n">
        <x:f>E558/Sources!$B$4*1000</x:f>
        <x:v>33.37630900016622</x:v>
      </x:c>
      <x:c r="N558" s="9" t="n">
        <x:f>Sources!$B$6-K558</x:f>
        <x:v>-19061</x:v>
      </x:c>
      <x:c r="O558" s="1" t="str">
        <x:v>keyboard_route</x:v>
      </x:c>
      <x:c r="P558" s="12" t="n">
        <x:v>0</x:v>
      </x:c>
      <x:c r="Q558" s="12" t="n">
        <x:v>-4</x:v>
      </x:c>
      <x:c r="R558" s="12" t="n">
        <x:v>4</x:v>
      </x:c>
      <x:c r="S558" s="12" t="n">
        <x:v>7</x:v>
      </x:c>
      <x:c r="T558" s="1" t="str">
        <x:v>Yes</x:v>
      </x:c>
      <x:c r="U558" s="1" t="n">
        <x:v>0</x:v>
      </x:c>
    </x:row>
    <x:row r="559" ht="23" customHeight="1">
      <x:c r="A559" s="9" t="n">
        <x:v>677</x:v>
      </x:c>
      <x:c r="B559" s="9" t="n">
        <x:v>76</x:v>
      </x:c>
      <x:c r="C559" s="9" t="n">
        <x:v>811</x:v>
      </x:c>
      <x:c r="D559" s="9" t="n">
        <x:v>2</x:v>
      </x:c>
      <x:c r="E559" s="9" t="n">
        <x:v>119470</x:v>
      </x:c>
      <x:c r="F559" s="9" t="n">
        <x:v>37762</x:v>
      </x:c>
      <x:c r="G559" s="9" t="n">
        <x:v>25884.9999999851</x:v>
      </x:c>
      <x:c r="H559" s="9" t="n">
        <x:v>51599.9999999851</x:v>
      </x:c>
      <x:c r="I559" s="9" t="n">
        <x:v>4117</x:v>
      </x:c>
      <x:c r="J559" s="9" t="n">
        <x:v>106.00000002980232</x:v>
      </x:c>
      <x:c r="K559" s="9" t="n">
        <x:f>F559+G559+I559+J559</x:f>
        <x:v>67870.0000000149</x:v>
      </x:c>
      <x:c r="L559" s="10" t="n">
        <x:f>K559/Sources!$B$4*1000</x:f>
        <x:v>18.960510344195953</x:v>
      </x:c>
      <x:c r="M559" s="10" t="n">
        <x:f>E559/Sources!$B$4*1000</x:f>
        <x:v>33.37575026993654</x:v>
      </x:c>
      <x:c r="N559" s="9" t="n">
        <x:f>Sources!$B$6-K559</x:f>
        <x:v>-8134.000000014901</x:v>
      </x:c>
      <x:c r="O559" s="1" t="str">
        <x:v>keyboard_route</x:v>
      </x:c>
      <x:c r="P559" s="12" t="n">
        <x:v>0</x:v>
      </x:c>
      <x:c r="Q559" s="12" t="n">
        <x:v>-4</x:v>
      </x:c>
      <x:c r="R559" s="12" t="n">
        <x:v>4</x:v>
      </x:c>
      <x:c r="S559" s="12" t="n">
        <x:v>3</x:v>
      </x:c>
      <x:c r="T559" s="1" t="str">
        <x:v>No</x:v>
      </x:c>
      <x:c r="U559" s="1" t="n">
        <x:v>0</x:v>
      </x:c>
    </x:row>
    <x:row r="560" ht="23" customHeight="1">
      <x:c r="A560" s="9" t="n">
        <x:v>678</x:v>
      </x:c>
      <x:c r="B560" s="9" t="n">
        <x:v>76</x:v>
      </x:c>
      <x:c r="C560" s="9" t="n">
        <x:v>807</x:v>
      </x:c>
      <x:c r="D560" s="9" t="n">
        <x:v>2</x:v>
      </x:c>
      <x:c r="E560" s="9" t="n">
        <x:v>119472</x:v>
      </x:c>
      <x:c r="F560" s="9" t="n">
        <x:v>33476.9999999851</x:v>
      </x:c>
      <x:c r="G560" s="9" t="n">
        <x:v>42557</x:v>
      </x:c>
      <x:c r="H560" s="9" t="n">
        <x:v>39215</x:v>
      </x:c>
      <x:c r="I560" s="9" t="n">
        <x:v>4117</x:v>
      </x:c>
      <x:c r="J560" s="9" t="n">
        <x:v>106.00000001490116</x:v>
      </x:c>
      <x:c r="K560" s="9" t="n">
        <x:f>F560+G560+I560+J560</x:f>
        <x:v>80257</x:v>
      </x:c>
      <x:c r="L560" s="10" t="n">
        <x:f>K560/Sources!$B$4*1000</x:f>
        <x:v>22.42100602171505</x:v>
      </x:c>
      <x:c r="M560" s="10" t="n">
        <x:f>E560/Sources!$B$4*1000</x:f>
        <x:v>33.37630900016622</x:v>
      </x:c>
      <x:c r="N560" s="9" t="n">
        <x:f>Sources!$B$6-K560</x:f>
        <x:v>-20521</x:v>
      </x:c>
      <x:c r="O560" s="1" t="str">
        <x:v>keyboard_route</x:v>
      </x:c>
      <x:c r="P560" s="12" t="n">
        <x:v>0</x:v>
      </x:c>
      <x:c r="Q560" s="12" t="n">
        <x:v>-4</x:v>
      </x:c>
      <x:c r="R560" s="12" t="n">
        <x:v>4</x:v>
      </x:c>
      <x:c r="S560" s="12" t="n">
        <x:v>7</x:v>
      </x:c>
      <x:c r="T560" s="1" t="str">
        <x:v>Yes</x:v>
      </x:c>
      <x:c r="U560" s="1" t="n">
        <x:v>0</x:v>
      </x:c>
    </x:row>
    <x:row r="561" ht="23" customHeight="1">
      <x:c r="A561" s="9" t="n">
        <x:v>679</x:v>
      </x:c>
      <x:c r="B561" s="9" t="n">
        <x:v>76</x:v>
      </x:c>
      <x:c r="C561" s="9" t="n">
        <x:v>803</x:v>
      </x:c>
      <x:c r="D561" s="9" t="n">
        <x:v>2</x:v>
      </x:c>
      <x:c r="E561" s="9" t="n">
        <x:v>119471.9999999851</x:v>
      </x:c>
      <x:c r="F561" s="9" t="n">
        <x:v>37379</x:v>
      </x:c>
      <x:c r="G561" s="9" t="n">
        <x:v>25885</x:v>
      </x:c>
      <x:c r="H561" s="9" t="n">
        <x:v>51985</x:v>
      </x:c>
      <x:c r="I561" s="9" t="n">
        <x:v>4117</x:v>
      </x:c>
      <x:c r="J561" s="9" t="n">
        <x:v>105.99999998509884</x:v>
      </x:c>
      <x:c r="K561" s="9" t="n">
        <x:f>F561+G561+I561+J561</x:f>
        <x:v>67486.9999999851</x:v>
      </x:c>
      <x:c r="L561" s="10" t="n">
        <x:f>K561/Sources!$B$4*1000</x:f>
        <x:v>18.853513505203903</x:v>
      </x:c>
      <x:c r="M561" s="10" t="n">
        <x:f>E561/Sources!$B$4*1000</x:f>
        <x:v>33.37630900016206</x:v>
      </x:c>
      <x:c r="N561" s="9" t="n">
        <x:f>Sources!$B$6-K561</x:f>
        <x:v>-7750.999999985099</x:v>
      </x:c>
      <x:c r="O561" s="1" t="str">
        <x:v>keyboard_route</x:v>
      </x:c>
      <x:c r="P561" s="12" t="n">
        <x:v>0</x:v>
      </x:c>
      <x:c r="Q561" s="12" t="n">
        <x:v>-4</x:v>
      </x:c>
      <x:c r="R561" s="12" t="n">
        <x:v>4</x:v>
      </x:c>
      <x:c r="S561" s="12" t="n">
        <x:v>3</x:v>
      </x:c>
      <x:c r="T561" s="1" t="str">
        <x:v>No</x:v>
      </x:c>
      <x:c r="U561" s="1" t="n">
        <x:v>0</x:v>
      </x:c>
    </x:row>
    <x:row r="562" ht="23" customHeight="1">
      <x:c r="A562" s="9" t="n">
        <x:v>680</x:v>
      </x:c>
      <x:c r="B562" s="9" t="n">
        <x:v>76</x:v>
      </x:c>
      <x:c r="C562" s="9" t="n">
        <x:v>799</x:v>
      </x:c>
      <x:c r="D562" s="9" t="n">
        <x:v>2</x:v>
      </x:c>
      <x:c r="E562" s="9" t="n">
        <x:v>119476.0000000149</x:v>
      </x:c>
      <x:c r="F562" s="9" t="n">
        <x:v>33062</x:v>
      </x:c>
      <x:c r="G562" s="9" t="n">
        <x:v>42531</x:v>
      </x:c>
      <x:c r="H562" s="9" t="n">
        <x:v>39660</x:v>
      </x:c>
      <x:c r="I562" s="9" t="n">
        <x:v>4117</x:v>
      </x:c>
      <x:c r="J562" s="9" t="n">
        <x:v>106.00000001490116</x:v>
      </x:c>
      <x:c r="K562" s="9" t="n">
        <x:f>F562+G562+I562+J562</x:f>
        <x:v>79816.0000000149</x:v>
      </x:c>
      <x:c r="L562" s="10" t="n">
        <x:f>K562/Sources!$B$4*1000</x:f>
        <x:v>22.297806006074765</x:v>
      </x:c>
      <x:c r="M562" s="10" t="n">
        <x:f>E562/Sources!$B$4*1000</x:f>
        <x:v>33.37742646062974</x:v>
      </x:c>
      <x:c r="N562" s="9" t="n">
        <x:f>Sources!$B$6-K562</x:f>
        <x:v>-20080.0000000149</x:v>
      </x:c>
      <x:c r="O562" s="1" t="str">
        <x:v>keyboard_route</x:v>
      </x:c>
      <x:c r="P562" s="12" t="n">
        <x:v>0</x:v>
      </x:c>
      <x:c r="Q562" s="12" t="n">
        <x:v>-4</x:v>
      </x:c>
      <x:c r="R562" s="12" t="n">
        <x:v>4</x:v>
      </x:c>
      <x:c r="S562" s="12" t="n">
        <x:v>7</x:v>
      </x:c>
      <x:c r="T562" s="1" t="str">
        <x:v>Yes</x:v>
      </x:c>
      <x:c r="U562" s="1" t="n">
        <x:v>0</x:v>
      </x:c>
    </x:row>
    <x:row r="563" ht="23" customHeight="1">
      <x:c r="A563" s="9" t="n">
        <x:v>681</x:v>
      </x:c>
      <x:c r="B563" s="9" t="n">
        <x:v>76</x:v>
      </x:c>
      <x:c r="C563" s="9" t="n">
        <x:v>795</x:v>
      </x:c>
      <x:c r="D563" s="9" t="n">
        <x:v>2</x:v>
      </x:c>
      <x:c r="E563" s="9" t="n">
        <x:v>119470</x:v>
      </x:c>
      <x:c r="F563" s="9" t="n">
        <x:v>39262</x:v>
      </x:c>
      <x:c r="G563" s="9" t="n">
        <x:v>25885.0000000149</x:v>
      </x:c>
      <x:c r="H563" s="9" t="n">
        <x:v>50100</x:v>
      </x:c>
      <x:c r="I563" s="9" t="n">
        <x:v>4117</x:v>
      </x:c>
      <x:c r="J563" s="9" t="n">
        <x:v>105.99999998509884</x:v>
      </x:c>
      <x:c r="K563" s="9" t="n">
        <x:f>F563+G563+I563+J563</x:f>
        <x:v>69370</x:v>
      </x:c>
      <x:c r="L563" s="10" t="n">
        <x:f>K563/Sources!$B$4*1000</x:f>
        <x:v>19.37955801645181</x:v>
      </x:c>
      <x:c r="M563" s="10" t="n">
        <x:f>E563/Sources!$B$4*1000</x:f>
        <x:v>33.37575026993654</x:v>
      </x:c>
      <x:c r="N563" s="9" t="n">
        <x:f>Sources!$B$6-K563</x:f>
        <x:v>-9634</x:v>
      </x:c>
      <x:c r="O563" s="1" t="str">
        <x:v>keyboard_route</x:v>
      </x:c>
      <x:c r="P563" s="12" t="n">
        <x:v>0</x:v>
      </x:c>
      <x:c r="Q563" s="12" t="n">
        <x:v>-4</x:v>
      </x:c>
      <x:c r="R563" s="12" t="n">
        <x:v>4</x:v>
      </x:c>
      <x:c r="S563" s="12" t="n">
        <x:v>3</x:v>
      </x:c>
      <x:c r="T563" s="1" t="str">
        <x:v>No</x:v>
      </x:c>
      <x:c r="U563" s="1" t="n">
        <x:v>0</x:v>
      </x:c>
    </x:row>
    <x:row r="564" ht="23" customHeight="1">
      <x:c r="A564" s="9" t="n">
        <x:v>682</x:v>
      </x:c>
      <x:c r="B564" s="9" t="n">
        <x:v>76</x:v>
      </x:c>
      <x:c r="C564" s="9" t="n">
        <x:v>791</x:v>
      </x:c>
      <x:c r="D564" s="9" t="n">
        <x:v>2</x:v>
      </x:c>
      <x:c r="E564" s="9" t="n">
        <x:v>119471</x:v>
      </x:c>
      <x:c r="F564" s="9" t="n">
        <x:v>31772</x:v>
      </x:c>
      <x:c r="G564" s="9" t="n">
        <x:v>42531</x:v>
      </x:c>
      <x:c r="H564" s="9" t="n">
        <x:v>40945</x:v>
      </x:c>
      <x:c r="I564" s="9" t="n">
        <x:v>4117</x:v>
      </x:c>
      <x:c r="J564" s="9" t="n">
        <x:v>106</x:v>
      </x:c>
      <x:c r="K564" s="9" t="n">
        <x:f>F564+G564+I564+J564</x:f>
        <x:v>78526</x:v>
      </x:c>
      <x:c r="L564" s="10" t="n">
        <x:f>K564/Sources!$B$4*1000</x:f>
        <x:v>21.937425007926986</x:v>
      </x:c>
      <x:c r="M564" s="10" t="n">
        <x:f>E564/Sources!$B$4*1000</x:f>
        <x:v>33.37602963505138</x:v>
      </x:c>
      <x:c r="N564" s="9" t="n">
        <x:f>Sources!$B$6-K564</x:f>
        <x:v>-18790</x:v>
      </x:c>
      <x:c r="O564" s="1" t="str">
        <x:v>keyboard_route</x:v>
      </x:c>
      <x:c r="P564" s="12" t="n">
        <x:v>0</x:v>
      </x:c>
      <x:c r="Q564" s="12" t="n">
        <x:v>-4</x:v>
      </x:c>
      <x:c r="R564" s="12" t="n">
        <x:v>4</x:v>
      </x:c>
      <x:c r="S564" s="12" t="n">
        <x:v>7</x:v>
      </x:c>
      <x:c r="T564" s="1" t="str">
        <x:v>Yes</x:v>
      </x:c>
      <x:c r="U564" s="1" t="n">
        <x:v>0</x:v>
      </x:c>
    </x:row>
    <x:row r="565" ht="23" customHeight="1">
      <x:c r="A565" s="9" t="n">
        <x:v>683</x:v>
      </x:c>
      <x:c r="B565" s="9" t="n">
        <x:v>76</x:v>
      </x:c>
      <x:c r="C565" s="9" t="n">
        <x:v>787</x:v>
      </x:c>
      <x:c r="D565" s="9" t="n">
        <x:v>2</x:v>
      </x:c>
      <x:c r="E565" s="9" t="n">
        <x:v>122294</x:v>
      </x:c>
      <x:c r="F565" s="9" t="n">
        <x:v>41945</x:v>
      </x:c>
      <x:c r="G565" s="9" t="n">
        <x:v>25885</x:v>
      </x:c>
      <x:c r="H565" s="9" t="n">
        <x:v>47420</x:v>
      </x:c>
      <x:c r="I565" s="9" t="n">
        <x:v>6938</x:v>
      </x:c>
      <x:c r="J565" s="9" t="n">
        <x:v>106</x:v>
      </x:c>
      <x:c r="K565" s="9" t="n">
        <x:f>F565+G565+I565+J565</x:f>
        <x:v>74874</x:v>
      </x:c>
      <x:c r="L565" s="10" t="n">
        <x:f>K565/Sources!$B$4*1000</x:f>
        <x:v>20.917183608531253</x:v>
      </x:c>
      <x:c r="M565" s="10" t="n">
        <x:f>E565/Sources!$B$4*1000</x:f>
        <x:v>34.164677354244745</x:v>
      </x:c>
      <x:c r="N565" s="9" t="n">
        <x:f>Sources!$B$6-K565</x:f>
        <x:v>-15138</x:v>
      </x:c>
      <x:c r="O565" s="1" t="str">
        <x:v>keyboard_route</x:v>
      </x:c>
      <x:c r="P565" s="12" t="n">
        <x:v>0</x:v>
      </x:c>
      <x:c r="Q565" s="12" t="n">
        <x:v>-4</x:v>
      </x:c>
      <x:c r="R565" s="12" t="n">
        <x:v>4</x:v>
      </x:c>
      <x:c r="S565" s="12" t="n">
        <x:v>3</x:v>
      </x:c>
      <x:c r="T565" s="1" t="str">
        <x:v>No</x:v>
      </x:c>
      <x:c r="U565" s="1" t="n">
        <x:v>0</x:v>
      </x:c>
    </x:row>
    <x:row r="566" ht="23" customHeight="1">
      <x:c r="A566" s="9" t="n">
        <x:v>684</x:v>
      </x:c>
      <x:c r="B566" s="9" t="n">
        <x:v>76</x:v>
      </x:c>
      <x:c r="C566" s="9" t="n">
        <x:v>783</x:v>
      </x:c>
      <x:c r="D566" s="9" t="n">
        <x:v>2</x:v>
      </x:c>
      <x:c r="E566" s="9" t="n">
        <x:v>116651.9999999851</x:v>
      </x:c>
      <x:c r="F566" s="9" t="n">
        <x:v>31002.9999999851</x:v>
      </x:c>
      <x:c r="G566" s="9" t="n">
        <x:v>42531</x:v>
      </x:c>
      <x:c r="H566" s="9" t="n">
        <x:v>38895.0000000149</x:v>
      </x:c>
      <x:c r="I566" s="9" t="n">
        <x:v>4117</x:v>
      </x:c>
      <x:c r="J566" s="9" t="n">
        <x:v>105.99999998509884</x:v>
      </x:c>
      <x:c r="K566" s="9" t="n">
        <x:f>F566+G566+I566+J566</x:f>
        <x:v>77756.9999999702</x:v>
      </x:c>
      <x:c r="L566" s="10" t="n">
        <x:f>K566/Sources!$B$4*1000</x:f>
        <x:v>21.722593234606688</x:v>
      </x:c>
      <x:c r="M566" s="10" t="n">
        <x:f>E566/Sources!$B$4*1000</x:f>
        <x:v>32.588499376313216</x:v>
      </x:c>
      <x:c r="N566" s="9" t="n">
        <x:f>Sources!$B$6-K566</x:f>
        <x:v>-18020.999999970198</x:v>
      </x:c>
      <x:c r="O566" s="1" t="str">
        <x:v>keyboard_route</x:v>
      </x:c>
      <x:c r="P566" s="12" t="n">
        <x:v>0</x:v>
      </x:c>
      <x:c r="Q566" s="12" t="n">
        <x:v>-4</x:v>
      </x:c>
      <x:c r="R566" s="12" t="n">
        <x:v>4</x:v>
      </x:c>
      <x:c r="S566" s="12" t="n">
        <x:v>7</x:v>
      </x:c>
      <x:c r="T566" s="1" t="str">
        <x:v>Yes</x:v>
      </x:c>
      <x:c r="U566" s="1" t="n">
        <x:v>0</x:v>
      </x:c>
    </x:row>
    <x:row r="567" ht="23" customHeight="1">
      <x:c r="A567" s="9" t="n">
        <x:v>685</x:v>
      </x:c>
      <x:c r="B567" s="9" t="n">
        <x:v>76</x:v>
      </x:c>
      <x:c r="C567" s="9" t="n">
        <x:v>779</x:v>
      </x:c>
      <x:c r="D567" s="9" t="n">
        <x:v>2</x:v>
      </x:c>
      <x:c r="E567" s="9" t="n">
        <x:v>119469.0000000149</x:v>
      </x:c>
      <x:c r="F567" s="9" t="n">
        <x:v>37116</x:v>
      </x:c>
      <x:c r="G567" s="9" t="n">
        <x:v>25884.9999999851</x:v>
      </x:c>
      <x:c r="H567" s="9" t="n">
        <x:v>52245</x:v>
      </x:c>
      <x:c r="I567" s="9" t="n">
        <x:v>4117</x:v>
      </x:c>
      <x:c r="J567" s="9" t="n">
        <x:v>106.00000002980232</x:v>
      </x:c>
      <x:c r="K567" s="9" t="n">
        <x:f>F567+G567+I567+J567</x:f>
        <x:v>67224.0000000149</x:v>
      </x:c>
      <x:c r="L567" s="10" t="n">
        <x:f>K567/Sources!$B$4*1000</x:f>
        <x:v>18.780040480009305</x:v>
      </x:c>
      <x:c r="M567" s="10" t="n">
        <x:f>E567/Sources!$B$4*1000</x:f>
        <x:v>33.37547090482587</x:v>
      </x:c>
      <x:c r="N567" s="9" t="n">
        <x:f>Sources!$B$6-K567</x:f>
        <x:v>-7488.000000014901</x:v>
      </x:c>
      <x:c r="O567" s="1" t="str">
        <x:v>keyboard_route</x:v>
      </x:c>
      <x:c r="P567" s="12" t="n">
        <x:v>0</x:v>
      </x:c>
      <x:c r="Q567" s="12" t="n">
        <x:v>-4</x:v>
      </x:c>
      <x:c r="R567" s="12" t="n">
        <x:v>4</x:v>
      </x:c>
      <x:c r="S567" s="12" t="n">
        <x:v>3</x:v>
      </x:c>
      <x:c r="T567" s="1" t="str">
        <x:v>No</x:v>
      </x:c>
      <x:c r="U567" s="1" t="n">
        <x:v>0</x:v>
      </x:c>
    </x:row>
    <x:row r="568" ht="23" customHeight="1">
      <x:c r="A568" s="9" t="n">
        <x:v>686</x:v>
      </x:c>
      <x:c r="B568" s="9" t="n">
        <x:v>76</x:v>
      </x:c>
      <x:c r="C568" s="9" t="n">
        <x:v>775</x:v>
      </x:c>
      <x:c r="D568" s="9" t="n">
        <x:v>2</x:v>
      </x:c>
      <x:c r="E568" s="9" t="n">
        <x:v>119474</x:v>
      </x:c>
      <x:c r="F568" s="9" t="n">
        <x:v>31025</x:v>
      </x:c>
      <x:c r="G568" s="9" t="n">
        <x:v>42531</x:v>
      </x:c>
      <x:c r="H568" s="9" t="n">
        <x:v>41695</x:v>
      </x:c>
      <x:c r="I568" s="9" t="n">
        <x:v>4117</x:v>
      </x:c>
      <x:c r="J568" s="9" t="n">
        <x:v>106</x:v>
      </x:c>
      <x:c r="K568" s="9" t="n">
        <x:f>F568+G568+I568+J568</x:f>
        <x:v>77779</x:v>
      </x:c>
      <x:c r="L568" s="10" t="n">
        <x:f>K568/Sources!$B$4*1000</x:f>
        <x:v>21.728739267141492</x:v>
      </x:c>
      <x:c r="M568" s="10" t="n">
        <x:f>E568/Sources!$B$4*1000</x:f>
        <x:v>33.3768677303959</x:v>
      </x:c>
      <x:c r="N568" s="9" t="n">
        <x:f>Sources!$B$6-K568</x:f>
        <x:v>-18043</x:v>
      </x:c>
      <x:c r="O568" s="1" t="str">
        <x:v>keyboard_route</x:v>
      </x:c>
      <x:c r="P568" s="12" t="n">
        <x:v>0</x:v>
      </x:c>
      <x:c r="Q568" s="12" t="n">
        <x:v>-4</x:v>
      </x:c>
      <x:c r="R568" s="12" t="n">
        <x:v>4</x:v>
      </x:c>
      <x:c r="S568" s="12" t="n">
        <x:v>7</x:v>
      </x:c>
      <x:c r="T568" s="1" t="str">
        <x:v>Yes</x:v>
      </x:c>
      <x:c r="U568" s="1" t="n">
        <x:v>0</x:v>
      </x:c>
    </x:row>
    <x:row r="569" ht="23" customHeight="1">
      <x:c r="A569" s="9" t="n">
        <x:v>687</x:v>
      </x:c>
      <x:c r="B569" s="9" t="n">
        <x:v>76</x:v>
      </x:c>
      <x:c r="C569" s="9" t="n">
        <x:v>771</x:v>
      </x:c>
      <x:c r="D569" s="9" t="n">
        <x:v>2</x:v>
      </x:c>
      <x:c r="E569" s="9" t="n">
        <x:v>119471.9999999851</x:v>
      </x:c>
      <x:c r="F569" s="9" t="n">
        <x:v>44804.0000000149</x:v>
      </x:c>
      <x:c r="G569" s="9" t="n">
        <x:v>25885.0000000149</x:v>
      </x:c>
      <x:c r="H569" s="9" t="n">
        <x:v>44559.9999999851</x:v>
      </x:c>
      <x:c r="I569" s="9" t="n">
        <x:v>4117</x:v>
      </x:c>
      <x:c r="J569" s="9" t="n">
        <x:v>105.99999997019768</x:v>
      </x:c>
      <x:c r="K569" s="9" t="n">
        <x:f>F569+G569+I569+J569</x:f>
        <x:v>74912</x:v>
      </x:c>
      <x:c r="L569" s="10" t="n">
        <x:f>K569/Sources!$B$4*1000</x:f>
        <x:v>20.92779948289517</x:v>
      </x:c>
      <x:c r="M569" s="10" t="n">
        <x:f>E569/Sources!$B$4*1000</x:f>
        <x:v>33.37630900016206</x:v>
      </x:c>
      <x:c r="N569" s="9" t="n">
        <x:f>Sources!$B$6-K569</x:f>
        <x:v>-15176</x:v>
      </x:c>
      <x:c r="O569" s="1" t="str">
        <x:v>keyboard_route</x:v>
      </x:c>
      <x:c r="P569" s="12" t="n">
        <x:v>0</x:v>
      </x:c>
      <x:c r="Q569" s="12" t="n">
        <x:v>-4</x:v>
      </x:c>
      <x:c r="R569" s="12" t="n">
        <x:v>4</x:v>
      </x:c>
      <x:c r="S569" s="12" t="n">
        <x:v>3</x:v>
      </x:c>
      <x:c r="T569" s="1" t="str">
        <x:v>No</x:v>
      </x:c>
      <x:c r="U569" s="1" t="n">
        <x:v>0</x:v>
      </x:c>
    </x:row>
    <x:row r="570" ht="23" customHeight="1">
      <x:c r="A570" s="9" t="n">
        <x:v>688</x:v>
      </x:c>
      <x:c r="B570" s="9" t="n">
        <x:v>80</x:v>
      </x:c>
      <x:c r="C570" s="9" t="n">
        <x:v>771</x:v>
      </x:c>
      <x:c r="D570" s="9" t="n">
        <x:v>2</x:v>
      </x:c>
      <x:c r="E570" s="9" t="n">
        <x:v>117922.0000000149</x:v>
      </x:c>
      <x:c r="F570" s="9" t="n">
        <x:v>33040</x:v>
      </x:c>
      <x:c r="G570" s="9" t="n">
        <x:v>52326</x:v>
      </x:c>
      <x:c r="H570" s="9" t="n">
        <x:v>29885.0000000149</x:v>
      </x:c>
      <x:c r="I570" s="9" t="n">
        <x:v>2565</x:v>
      </x:c>
      <x:c r="J570" s="9" t="n">
        <x:v>106</x:v>
      </x:c>
      <x:c r="K570" s="9" t="n">
        <x:f>F570+G570+I570+J570</x:f>
        <x:v>88037</x:v>
      </x:c>
      <x:c r="L570" s="10" t="n">
        <x:f>K570/Sources!$B$4*1000</x:f>
        <x:v>24.594466615170365</x:v>
      </x:c>
      <x:c r="M570" s="10" t="n">
        <x:f>E570/Sources!$B$4*1000</x:f>
        <x:v>32.94329307216836</x:v>
      </x:c>
      <x:c r="N570" s="9" t="n">
        <x:f>Sources!$B$6-K570</x:f>
        <x:v>-28301</x:v>
      </x:c>
      <x:c r="O570" s="1" t="str">
        <x:v>keyboard_route</x:v>
      </x:c>
      <x:c r="P570" s="12" t="n">
        <x:v>4</x:v>
      </x:c>
      <x:c r="Q570" s="12" t="n">
        <x:v>0</x:v>
      </x:c>
      <x:c r="R570" s="12" t="n">
        <x:v>0</x:v>
      </x:c>
      <x:c r="S570" s="12" t="n">
        <x:v>3</x:v>
      </x:c>
      <x:c r="T570" s="1" t="str">
        <x:v>Yes</x:v>
      </x:c>
      <x:c r="U570" s="1" t="n">
        <x:v>0</x:v>
      </x:c>
    </x:row>
    <x:row r="571" ht="23" customHeight="1">
      <x:c r="A571" s="9" t="n">
        <x:v>689</x:v>
      </x:c>
      <x:c r="B571" s="9" t="n">
        <x:v>84</x:v>
      </x:c>
      <x:c r="C571" s="9" t="n">
        <x:v>771</x:v>
      </x:c>
      <x:c r="D571" s="9" t="n">
        <x:v>2</x:v>
      </x:c>
      <x:c r="E571" s="9" t="n">
        <x:v>119472</x:v>
      </x:c>
      <x:c r="F571" s="9" t="n">
        <x:v>40600</x:v>
      </x:c>
      <x:c r="G571" s="9" t="n">
        <x:v>28671</x:v>
      </x:c>
      <x:c r="H571" s="9" t="n">
        <x:v>47530</x:v>
      </x:c>
      <x:c r="I571" s="9" t="n">
        <x:v>2565</x:v>
      </x:c>
      <x:c r="J571" s="9" t="n">
        <x:v>106</x:v>
      </x:c>
      <x:c r="K571" s="9" t="n">
        <x:f>F571+G571+I571+J571</x:f>
        <x:v>71942</x:v>
      </x:c>
      <x:c r="L571" s="10" t="n">
        <x:f>K571/Sources!$B$4*1000</x:f>
        <x:v>20.09808509182033</x:v>
      </x:c>
      <x:c r="M571" s="10" t="n">
        <x:f>E571/Sources!$B$4*1000</x:f>
        <x:v>33.37630900016622</x:v>
      </x:c>
      <x:c r="N571" s="9" t="n">
        <x:f>Sources!$B$6-K571</x:f>
        <x:v>-12206</x:v>
      </x:c>
      <x:c r="O571" s="1" t="str">
        <x:v>keyboard_route</x:v>
      </x:c>
      <x:c r="P571" s="12" t="n">
        <x:v>4</x:v>
      </x:c>
      <x:c r="Q571" s="12" t="n">
        <x:v>0</x:v>
      </x:c>
      <x:c r="R571" s="12" t="n">
        <x:v>4</x:v>
      </x:c>
      <x:c r="S571" s="12" t="n">
        <x:v>3</x:v>
      </x:c>
      <x:c r="T571" s="1" t="str">
        <x:v>No</x:v>
      </x:c>
      <x:c r="U571" s="1" t="n">
        <x:v>0</x:v>
      </x:c>
    </x:row>
    <x:row r="572" ht="23" customHeight="1">
      <x:c r="A572" s="9" t="n">
        <x:v>690</x:v>
      </x:c>
      <x:c r="B572" s="9" t="n">
        <x:v>88</x:v>
      </x:c>
      <x:c r="C572" s="9" t="n">
        <x:v>771</x:v>
      </x:c>
      <x:c r="D572" s="9" t="n">
        <x:v>2</x:v>
      </x:c>
      <x:c r="E572" s="9" t="n">
        <x:v>119472</x:v>
      </x:c>
      <x:c r="F572" s="9" t="n">
        <x:v>33175</x:v>
      </x:c>
      <x:c r="G572" s="9" t="n">
        <x:v>52326</x:v>
      </x:c>
      <x:c r="H572" s="9" t="n">
        <x:v>31300</x:v>
      </x:c>
      <x:c r="I572" s="9" t="n">
        <x:v>2564.999999985099</x:v>
      </x:c>
      <x:c r="J572" s="9" t="n">
        <x:v>106.00000001490116</x:v>
      </x:c>
      <x:c r="K572" s="9" t="n">
        <x:f>F572+G572+I572+J572</x:f>
        <x:v>88172</x:v>
      </x:c>
      <x:c r="L572" s="10" t="n">
        <x:f>K572/Sources!$B$4*1000</x:f>
        <x:v>24.632180905673764</x:v>
      </x:c>
      <x:c r="M572" s="10" t="n">
        <x:f>E572/Sources!$B$4*1000</x:f>
        <x:v>33.37630900016622</x:v>
      </x:c>
      <x:c r="N572" s="9" t="n">
        <x:f>Sources!$B$6-K572</x:f>
        <x:v>-28436</x:v>
      </x:c>
      <x:c r="O572" s="1" t="str">
        <x:v>keyboard_route</x:v>
      </x:c>
      <x:c r="P572" s="12" t="n">
        <x:v>4</x:v>
      </x:c>
      <x:c r="Q572" s="12" t="n">
        <x:v>0</x:v>
      </x:c>
      <x:c r="R572" s="12" t="n">
        <x:v>0</x:v>
      </x:c>
      <x:c r="S572" s="12" t="n">
        <x:v>3</x:v>
      </x:c>
      <x:c r="T572" s="1" t="str">
        <x:v>Yes</x:v>
      </x:c>
      <x:c r="U572" s="1" t="n">
        <x:v>0</x:v>
      </x:c>
    </x:row>
    <x:row r="573" ht="23" customHeight="1">
      <x:c r="A573" s="9" t="n">
        <x:v>691</x:v>
      </x:c>
      <x:c r="B573" s="9" t="n">
        <x:v>92</x:v>
      </x:c>
      <x:c r="C573" s="9" t="n">
        <x:v>771</x:v>
      </x:c>
      <x:c r="D573" s="9" t="n">
        <x:v>2</x:v>
      </x:c>
      <x:c r="E573" s="9" t="n">
        <x:v>119469</x:v>
      </x:c>
      <x:c r="F573" s="9" t="n">
        <x:v>39271.9999999851</x:v>
      </x:c>
      <x:c r="G573" s="9" t="n">
        <x:v>28671</x:v>
      </x:c>
      <x:c r="H573" s="9" t="n">
        <x:v>48855</x:v>
      </x:c>
      <x:c r="I573" s="9" t="n">
        <x:v>2565</x:v>
      </x:c>
      <x:c r="J573" s="9" t="n">
        <x:v>106.00000001490116</x:v>
      </x:c>
      <x:c r="K573" s="9" t="n">
        <x:f>F573+G573+I573+J573</x:f>
        <x:v>70614</x:v>
      </x:c>
      <x:c r="L573" s="10" t="n">
        <x:f>K573/Sources!$B$4*1000</x:f>
        <x:v>19.72708821931279</x:v>
      </x:c>
      <x:c r="M573" s="10" t="n">
        <x:f>E573/Sources!$B$4*1000</x:f>
        <x:v>33.375470904821704</x:v>
      </x:c>
      <x:c r="N573" s="9" t="n">
        <x:f>Sources!$B$6-K573</x:f>
        <x:v>-10878</x:v>
      </x:c>
      <x:c r="O573" s="1" t="str">
        <x:v>keyboard_route</x:v>
      </x:c>
      <x:c r="P573" s="12" t="n">
        <x:v>4</x:v>
      </x:c>
      <x:c r="Q573" s="12" t="n">
        <x:v>0</x:v>
      </x:c>
      <x:c r="R573" s="12" t="n">
        <x:v>4</x:v>
      </x:c>
      <x:c r="S573" s="12" t="n">
        <x:v>3</x:v>
      </x:c>
      <x:c r="T573" s="1" t="str">
        <x:v>No</x:v>
      </x:c>
      <x:c r="U573" s="1" t="n">
        <x:v>0</x:v>
      </x:c>
    </x:row>
    <x:row r="574" ht="23" customHeight="1">
      <x:c r="A574" s="9" t="n">
        <x:v>692</x:v>
      </x:c>
      <x:c r="B574" s="9" t="n">
        <x:v>96</x:v>
      </x:c>
      <x:c r="C574" s="9" t="n">
        <x:v>771</x:v>
      </x:c>
      <x:c r="D574" s="9" t="n">
        <x:v>2</x:v>
      </x:c>
      <x:c r="E574" s="9" t="n">
        <x:v>119473</x:v>
      </x:c>
      <x:c r="F574" s="9" t="n">
        <x:v>33736.0000000149</x:v>
      </x:c>
      <x:c r="G574" s="9" t="n">
        <x:v>52326</x:v>
      </x:c>
      <x:c r="H574" s="9" t="n">
        <x:v>30740</x:v>
      </x:c>
      <x:c r="I574" s="9" t="n">
        <x:v>2565</x:v>
      </x:c>
      <x:c r="J574" s="9" t="n">
        <x:v>105.99999998509884</x:v>
      </x:c>
      <x:c r="K574" s="9" t="n">
        <x:f>F574+G574+I574+J574</x:f>
        <x:v>88733</x:v>
      </x:c>
      <x:c r="L574" s="10" t="n">
        <x:f>K574/Sources!$B$4*1000</x:f>
        <x:v>24.788904735099013</x:v>
      </x:c>
      <x:c r="M574" s="10" t="n">
        <x:f>E574/Sources!$B$4*1000</x:f>
        <x:v>33.37658836528106</x:v>
      </x:c>
      <x:c r="N574" s="9" t="n">
        <x:f>Sources!$B$6-K574</x:f>
        <x:v>-28997</x:v>
      </x:c>
      <x:c r="O574" s="1" t="str">
        <x:v>keyboard_route</x:v>
      </x:c>
      <x:c r="P574" s="12" t="n">
        <x:v>4</x:v>
      </x:c>
      <x:c r="Q574" s="12" t="n">
        <x:v>0</x:v>
      </x:c>
      <x:c r="R574" s="12" t="n">
        <x:v>0</x:v>
      </x:c>
      <x:c r="S574" s="12" t="n">
        <x:v>3</x:v>
      </x:c>
      <x:c r="T574" s="1" t="str">
        <x:v>Yes</x:v>
      </x:c>
      <x:c r="U574" s="1" t="n">
        <x:v>0</x:v>
      </x:c>
    </x:row>
    <x:row r="575" ht="23" customHeight="1">
      <x:c r="A575" s="9" t="n">
        <x:v>693</x:v>
      </x:c>
      <x:c r="B575" s="9" t="n">
        <x:v>100</x:v>
      </x:c>
      <x:c r="C575" s="9" t="n">
        <x:v>771</x:v>
      </x:c>
      <x:c r="D575" s="9" t="n">
        <x:v>2</x:v>
      </x:c>
      <x:c r="E575" s="9" t="n">
        <x:v>119473</x:v>
      </x:c>
      <x:c r="F575" s="9" t="n">
        <x:v>38321</x:v>
      </x:c>
      <x:c r="G575" s="9" t="n">
        <x:v>28671</x:v>
      </x:c>
      <x:c r="H575" s="9" t="n">
        <x:v>49810</x:v>
      </x:c>
      <x:c r="I575" s="9" t="n">
        <x:v>2565</x:v>
      </x:c>
      <x:c r="J575" s="9" t="n">
        <x:v>106</x:v>
      </x:c>
      <x:c r="K575" s="9" t="n">
        <x:f>F575+G575+I575+J575</x:f>
        <x:v>69663</x:v>
      </x:c>
      <x:c r="L575" s="10" t="n">
        <x:f>K575/Sources!$B$4*1000</x:f>
        <x:v>19.461411995099933</x:v>
      </x:c>
      <x:c r="M575" s="10" t="n">
        <x:f>E575/Sources!$B$4*1000</x:f>
        <x:v>33.37658836528106</x:v>
      </x:c>
      <x:c r="N575" s="9" t="n">
        <x:f>Sources!$B$6-K575</x:f>
        <x:v>-9927</x:v>
      </x:c>
      <x:c r="O575" s="1" t="str">
        <x:v>keyboard_route</x:v>
      </x:c>
      <x:c r="P575" s="12" t="n">
        <x:v>4</x:v>
      </x:c>
      <x:c r="Q575" s="12" t="n">
        <x:v>0</x:v>
      </x:c>
      <x:c r="R575" s="12" t="n">
        <x:v>4</x:v>
      </x:c>
      <x:c r="S575" s="12" t="n">
        <x:v>3</x:v>
      </x:c>
      <x:c r="T575" s="1" t="str">
        <x:v>No</x:v>
      </x:c>
      <x:c r="U575" s="1" t="n">
        <x:v>0</x:v>
      </x:c>
    </x:row>
    <x:row r="576" ht="23" customHeight="1">
      <x:c r="A576" s="9" t="n">
        <x:v>694</x:v>
      </x:c>
      <x:c r="B576" s="9" t="n">
        <x:v>104</x:v>
      </x:c>
      <x:c r="C576" s="9" t="n">
        <x:v>771</x:v>
      </x:c>
      <x:c r="D576" s="9" t="n">
        <x:v>2</x:v>
      </x:c>
      <x:c r="E576" s="9" t="n">
        <x:v>119473</x:v>
      </x:c>
      <x:c r="F576" s="9" t="n">
        <x:v>32356</x:v>
      </x:c>
      <x:c r="G576" s="9" t="n">
        <x:v>52326</x:v>
      </x:c>
      <x:c r="H576" s="9" t="n">
        <x:v>32120</x:v>
      </x:c>
      <x:c r="I576" s="9" t="n">
        <x:v>2565.000000014901</x:v>
      </x:c>
      <x:c r="J576" s="9" t="n">
        <x:v>105.99999998509884</x:v>
      </x:c>
      <x:c r="K576" s="9" t="n">
        <x:f>F576+G576+I576+J576</x:f>
        <x:v>87353</x:v>
      </x:c>
      <x:c r="L576" s="10" t="n">
        <x:f>K576/Sources!$B$4*1000</x:f>
        <x:v>24.403380876619792</x:v>
      </x:c>
      <x:c r="M576" s="10" t="n">
        <x:f>E576/Sources!$B$4*1000</x:f>
        <x:v>33.37658836528106</x:v>
      </x:c>
      <x:c r="N576" s="9" t="n">
        <x:f>Sources!$B$6-K576</x:f>
        <x:v>-27617</x:v>
      </x:c>
      <x:c r="O576" s="1" t="str">
        <x:v>keyboard_route</x:v>
      </x:c>
      <x:c r="P576" s="12" t="n">
        <x:v>4</x:v>
      </x:c>
      <x:c r="Q576" s="12" t="n">
        <x:v>0</x:v>
      </x:c>
      <x:c r="R576" s="12" t="n">
        <x:v>0</x:v>
      </x:c>
      <x:c r="S576" s="12" t="n">
        <x:v>3</x:v>
      </x:c>
      <x:c r="T576" s="1" t="str">
        <x:v>Yes</x:v>
      </x:c>
      <x:c r="U576" s="1" t="n">
        <x:v>0</x:v>
      </x:c>
    </x:row>
    <x:row r="577" ht="23" customHeight="1">
      <x:c r="A577" s="9" t="n">
        <x:v>695</x:v>
      </x:c>
      <x:c r="B577" s="9" t="n">
        <x:v>108</x:v>
      </x:c>
      <x:c r="C577" s="9" t="n">
        <x:v>771</x:v>
      </x:c>
      <x:c r="D577" s="9" t="n">
        <x:v>2</x:v>
      </x:c>
      <x:c r="E577" s="9" t="n">
        <x:v>119468</x:v>
      </x:c>
      <x:c r="F577" s="9" t="n">
        <x:v>36996.0000000149</x:v>
      </x:c>
      <x:c r="G577" s="9" t="n">
        <x:v>28671</x:v>
      </x:c>
      <x:c r="H577" s="9" t="n">
        <x:v>51129.9999999851</x:v>
      </x:c>
      <x:c r="I577" s="9" t="n">
        <x:v>2565</x:v>
      </x:c>
      <x:c r="J577" s="9" t="n">
        <x:v>106</x:v>
      </x:c>
      <x:c r="K577" s="9" t="n">
        <x:f>F577+G577+I577+J577</x:f>
        <x:v>68338.0000000149</x:v>
      </x:c>
      <x:c r="L577" s="10" t="n">
        <x:f>K577/Sources!$B$4*1000</x:f>
        <x:v>19.09125321794108</x:v>
      </x:c>
      <x:c r="M577" s="10" t="n">
        <x:f>E577/Sources!$B$4*1000</x:f>
        <x:v>33.37519153970686</x:v>
      </x:c>
      <x:c r="N577" s="9" t="n">
        <x:f>Sources!$B$6-K577</x:f>
        <x:v>-8602.000000014901</x:v>
      </x:c>
      <x:c r="O577" s="1" t="str">
        <x:v>keyboard_route</x:v>
      </x:c>
      <x:c r="P577" s="12" t="n">
        <x:v>4</x:v>
      </x:c>
      <x:c r="Q577" s="12" t="n">
        <x:v>0</x:v>
      </x:c>
      <x:c r="R577" s="12" t="n">
        <x:v>4</x:v>
      </x:c>
      <x:c r="S577" s="12" t="n">
        <x:v>3</x:v>
      </x:c>
      <x:c r="T577" s="1" t="str">
        <x:v>No</x:v>
      </x:c>
      <x:c r="U577" s="1" t="n">
        <x:v>0</x:v>
      </x:c>
    </x:row>
    <x:row r="578" ht="23" customHeight="1">
      <x:c r="A578" s="9" t="n">
        <x:v>696</x:v>
      </x:c>
      <x:c r="B578" s="9" t="n">
        <x:v>112</x:v>
      </x:c>
      <x:c r="C578" s="9" t="n">
        <x:v>771</x:v>
      </x:c>
      <x:c r="D578" s="9" t="n">
        <x:v>2</x:v>
      </x:c>
      <x:c r="E578" s="9" t="n">
        <x:v>119472</x:v>
      </x:c>
      <x:c r="F578" s="9" t="n">
        <x:v>33410</x:v>
      </x:c>
      <x:c r="G578" s="9" t="n">
        <x:v>52326</x:v>
      </x:c>
      <x:c r="H578" s="9" t="n">
        <x:v>31065</x:v>
      </x:c>
      <x:c r="I578" s="9" t="n">
        <x:v>2565</x:v>
      </x:c>
      <x:c r="J578" s="9" t="n">
        <x:v>106</x:v>
      </x:c>
      <x:c r="K578" s="9" t="n">
        <x:f>F578+G578+I578+J578</x:f>
        <x:v>88407</x:v>
      </x:c>
      <x:c r="L578" s="10" t="n">
        <x:f>K578/Sources!$B$4*1000</x:f>
        <x:v>24.69783170766117</x:v>
      </x:c>
      <x:c r="M578" s="10" t="n">
        <x:f>E578/Sources!$B$4*1000</x:f>
        <x:v>33.37630900016622</x:v>
      </x:c>
      <x:c r="N578" s="9" t="n">
        <x:f>Sources!$B$6-K578</x:f>
        <x:v>-28671</x:v>
      </x:c>
      <x:c r="O578" s="1" t="str">
        <x:v>keyboard_route</x:v>
      </x:c>
      <x:c r="P578" s="12" t="n">
        <x:v>4</x:v>
      </x:c>
      <x:c r="Q578" s="12" t="n">
        <x:v>0</x:v>
      </x:c>
      <x:c r="R578" s="12" t="n">
        <x:v>0</x:v>
      </x:c>
      <x:c r="S578" s="12" t="n">
        <x:v>3</x:v>
      </x:c>
      <x:c r="T578" s="1" t="str">
        <x:v>Yes</x:v>
      </x:c>
      <x:c r="U578" s="1" t="n">
        <x:v>0</x:v>
      </x:c>
    </x:row>
    <x:row r="579" ht="23" customHeight="1">
      <x:c r="A579" s="9" t="n">
        <x:v>697</x:v>
      </x:c>
      <x:c r="B579" s="9" t="n">
        <x:v>116</x:v>
      </x:c>
      <x:c r="C579" s="9" t="n">
        <x:v>771</x:v>
      </x:c>
      <x:c r="D579" s="9" t="n">
        <x:v>2</x:v>
      </x:c>
      <x:c r="E579" s="9" t="n">
        <x:v>119471.9999999851</x:v>
      </x:c>
      <x:c r="F579" s="9" t="n">
        <x:v>35800.0000000149</x:v>
      </x:c>
      <x:c r="G579" s="9" t="n">
        <x:v>28671.0000000149</x:v>
      </x:c>
      <x:c r="H579" s="9" t="n">
        <x:v>52329.9999999851</x:v>
      </x:c>
      <x:c r="I579" s="9" t="n">
        <x:v>2565</x:v>
      </x:c>
      <x:c r="J579" s="9" t="n">
        <x:v>105.99999997019768</x:v>
      </x:c>
      <x:c r="K579" s="9" t="n">
        <x:f>F579+G579+I579+J579</x:f>
        <x:v>67142</x:v>
      </x:c>
      <x:c r="L579" s="10" t="n">
        <x:f>K579/Sources!$B$4*1000</x:f>
        <x:v>18.75713254058826</x:v>
      </x:c>
      <x:c r="M579" s="10" t="n">
        <x:f>E579/Sources!$B$4*1000</x:f>
        <x:v>33.37630900016206</x:v>
      </x:c>
      <x:c r="N579" s="9" t="n">
        <x:f>Sources!$B$6-K579</x:f>
        <x:v>-7406</x:v>
      </x:c>
      <x:c r="O579" s="1" t="str">
        <x:v>keyboard_route</x:v>
      </x:c>
      <x:c r="P579" s="12" t="n">
        <x:v>4</x:v>
      </x:c>
      <x:c r="Q579" s="12" t="n">
        <x:v>0</x:v>
      </x:c>
      <x:c r="R579" s="12" t="n">
        <x:v>4</x:v>
      </x:c>
      <x:c r="S579" s="12" t="n">
        <x:v>3</x:v>
      </x:c>
      <x:c r="T579" s="1" t="str">
        <x:v>No</x:v>
      </x:c>
      <x:c r="U579" s="1" t="n">
        <x:v>0</x:v>
      </x:c>
    </x:row>
    <x:row r="580" ht="23" customHeight="1">
      <x:c r="A580" s="9" t="n">
        <x:v>698</x:v>
      </x:c>
      <x:c r="B580" s="9" t="n">
        <x:v>120</x:v>
      </x:c>
      <x:c r="C580" s="9" t="n">
        <x:v>771</x:v>
      </x:c>
      <x:c r="D580" s="9" t="n">
        <x:v>2</x:v>
      </x:c>
      <x:c r="E580" s="9" t="n">
        <x:v>119472.0000000149</x:v>
      </x:c>
      <x:c r="F580" s="9" t="n">
        <x:v>30005</x:v>
      </x:c>
      <x:c r="G580" s="9" t="n">
        <x:v>52326</x:v>
      </x:c>
      <x:c r="H580" s="9" t="n">
        <x:v>34470</x:v>
      </x:c>
      <x:c r="I580" s="9" t="n">
        <x:v>2565</x:v>
      </x:c>
      <x:c r="J580" s="9" t="n">
        <x:v>106.00000001490116</x:v>
      </x:c>
      <x:c r="K580" s="9" t="n">
        <x:f>F580+G580+I580+J580</x:f>
        <x:v>85002.0000000149</x:v>
      </x:c>
      <x:c r="L580" s="10" t="n">
        <x:f>K580/Sources!$B$4*1000</x:f>
        <x:v>23.746593491635082</x:v>
      </x:c>
      <x:c r="M580" s="10" t="n">
        <x:f>E580/Sources!$B$4*1000</x:f>
        <x:v>33.37630900017039</x:v>
      </x:c>
      <x:c r="N580" s="9" t="n">
        <x:f>Sources!$B$6-K580</x:f>
        <x:v>-25266.0000000149</x:v>
      </x:c>
      <x:c r="O580" s="1" t="str">
        <x:v>keyboard_route</x:v>
      </x:c>
      <x:c r="P580" s="12" t="n">
        <x:v>4</x:v>
      </x:c>
      <x:c r="Q580" s="12" t="n">
        <x:v>0</x:v>
      </x:c>
      <x:c r="R580" s="12" t="n">
        <x:v>0</x:v>
      </x:c>
      <x:c r="S580" s="12" t="n">
        <x:v>3</x:v>
      </x:c>
      <x:c r="T580" s="1" t="str">
        <x:v>Yes</x:v>
      </x:c>
      <x:c r="U580" s="1" t="n">
        <x:v>0</x:v>
      </x:c>
    </x:row>
    <x:row r="581" ht="23" customHeight="1">
      <x:c r="A581" s="9" t="n">
        <x:v>699</x:v>
      </x:c>
      <x:c r="B581" s="9" t="n">
        <x:v>124</x:v>
      </x:c>
      <x:c r="C581" s="9" t="n">
        <x:v>771</x:v>
      </x:c>
      <x:c r="D581" s="9" t="n">
        <x:v>2</x:v>
      </x:c>
      <x:c r="E581" s="9" t="n">
        <x:v>119474</x:v>
      </x:c>
      <x:c r="F581" s="9" t="n">
        <x:v>40087.0000000149</x:v>
      </x:c>
      <x:c r="G581" s="9" t="n">
        <x:v>28671</x:v>
      </x:c>
      <x:c r="H581" s="9" t="n">
        <x:v>48045</x:v>
      </x:c>
      <x:c r="I581" s="9" t="n">
        <x:v>2565</x:v>
      </x:c>
      <x:c r="J581" s="9" t="n">
        <x:v>105.99999998509884</x:v>
      </x:c>
      <x:c r="K581" s="9" t="n">
        <x:f>F581+G581+I581+J581</x:f>
        <x:v>71429</x:v>
      </x:c>
      <x:c r="L581" s="10" t="n">
        <x:f>K581/Sources!$B$4*1000</x:f>
        <x:v>19.954770787907403</x:v>
      </x:c>
      <x:c r="M581" s="10" t="n">
        <x:f>E581/Sources!$B$4*1000</x:f>
        <x:v>33.3768677303959</x:v>
      </x:c>
      <x:c r="N581" s="9" t="n">
        <x:f>Sources!$B$6-K581</x:f>
        <x:v>-11693</x:v>
      </x:c>
      <x:c r="O581" s="1" t="str">
        <x:v>keyboard_route</x:v>
      </x:c>
      <x:c r="P581" s="12" t="n">
        <x:v>4</x:v>
      </x:c>
      <x:c r="Q581" s="12" t="n">
        <x:v>0</x:v>
      </x:c>
      <x:c r="R581" s="12" t="n">
        <x:v>4</x:v>
      </x:c>
      <x:c r="S581" s="12" t="n">
        <x:v>3</x:v>
      </x:c>
      <x:c r="T581" s="1" t="str">
        <x:v>No</x:v>
      </x:c>
      <x:c r="U581" s="1" t="n">
        <x:v>0</x:v>
      </x:c>
    </x:row>
    <x:row r="582" ht="23" customHeight="1">
      <x:c r="A582" s="9" t="n">
        <x:v>700</x:v>
      </x:c>
      <x:c r="B582" s="9" t="n">
        <x:v>124</x:v>
      </x:c>
      <x:c r="C582" s="9" t="n">
        <x:v>767</x:v>
      </x:c>
      <x:c r="D582" s="9" t="n">
        <x:v>2</x:v>
      </x:c>
      <x:c r="E582" s="9" t="n">
        <x:v>121024.9999999851</x:v>
      </x:c>
      <x:c r="F582" s="9" t="n">
        <x:v>34324</x:v>
      </x:c>
      <x:c r="G582" s="9" t="n">
        <x:v>42563</x:v>
      </x:c>
      <x:c r="H582" s="9" t="n">
        <x:v>39914.9999999851</x:v>
      </x:c>
      <x:c r="I582" s="9" t="n">
        <x:v>4117</x:v>
      </x:c>
      <x:c r="J582" s="9" t="n">
        <x:v>106</x:v>
      </x:c>
      <x:c r="K582" s="9" t="n">
        <x:f>F582+G582+I582+J582</x:f>
        <x:v>81110</x:v>
      </x:c>
      <x:c r="L582" s="10" t="n">
        <x:f>K582/Sources!$B$4*1000</x:f>
        <x:v>22.659304464673582</x:v>
      </x:c>
      <x:c r="M582" s="10" t="n">
        <x:f>E582/Sources!$B$4*1000</x:f>
        <x:v>33.8101630235086</x:v>
      </x:c>
      <x:c r="N582" s="9" t="n">
        <x:f>Sources!$B$6-K582</x:f>
        <x:v>-21374</x:v>
      </x:c>
      <x:c r="O582" s="1" t="str">
        <x:v>keyboard_route</x:v>
      </x:c>
      <x:c r="P582" s="12" t="n">
        <x:v>0</x:v>
      </x:c>
      <x:c r="Q582" s="12" t="n">
        <x:v>-4</x:v>
      </x:c>
      <x:c r="R582" s="12" t="n">
        <x:v>4</x:v>
      </x:c>
      <x:c r="S582" s="12" t="n">
        <x:v>7</x:v>
      </x:c>
      <x:c r="T582" s="1" t="str">
        <x:v>Yes</x:v>
      </x:c>
      <x:c r="U582" s="1" t="n">
        <x:v>0</x:v>
      </x:c>
    </x:row>
    <x:row r="583" ht="23" customHeight="1">
      <x:c r="A583" s="9" t="n">
        <x:v>701</x:v>
      </x:c>
      <x:c r="B583" s="9" t="n">
        <x:v>124</x:v>
      </x:c>
      <x:c r="C583" s="9" t="n">
        <x:v>763</x:v>
      </x:c>
      <x:c r="D583" s="9" t="n">
        <x:v>2</x:v>
      </x:c>
      <x:c r="E583" s="9" t="n">
        <x:v>119472.0000000149</x:v>
      </x:c>
      <x:c r="F583" s="9" t="n">
        <x:v>41078</x:v>
      </x:c>
      <x:c r="G583" s="9" t="n">
        <x:v>25891.0000000149</x:v>
      </x:c>
      <x:c r="H583" s="9" t="n">
        <x:v>48280</x:v>
      </x:c>
      <x:c r="I583" s="9" t="n">
        <x:v>4116.999999985099</x:v>
      </x:c>
      <x:c r="J583" s="9" t="n">
        <x:v>106.00000001490116</x:v>
      </x:c>
      <x:c r="K583" s="9" t="n">
        <x:f>F583+G583+I583+J583</x:f>
        <x:v>71192.0000000149</x:v>
      </x:c>
      <x:c r="L583" s="10" t="n">
        <x:f>K583/Sources!$B$4*1000</x:f>
        <x:v>19.888561255694484</x:v>
      </x:c>
      <x:c r="M583" s="10" t="n">
        <x:f>E583/Sources!$B$4*1000</x:f>
        <x:v>33.37630900017039</x:v>
      </x:c>
      <x:c r="N583" s="9" t="n">
        <x:f>Sources!$B$6-K583</x:f>
        <x:v>-11456.000000014901</x:v>
      </x:c>
      <x:c r="O583" s="1" t="str">
        <x:v>keyboard_route</x:v>
      </x:c>
      <x:c r="P583" s="12" t="n">
        <x:v>0</x:v>
      </x:c>
      <x:c r="Q583" s="12" t="n">
        <x:v>-4</x:v>
      </x:c>
      <x:c r="R583" s="12" t="n">
        <x:v>4</x:v>
      </x:c>
      <x:c r="S583" s="12" t="n">
        <x:v>3</x:v>
      </x:c>
      <x:c r="T583" s="1" t="str">
        <x:v>No</x:v>
      </x:c>
      <x:c r="U583" s="1" t="n">
        <x:v>0</x:v>
      </x:c>
    </x:row>
    <x:row r="584" ht="23" customHeight="1">
      <x:c r="A584" s="9" t="n">
        <x:v>702</x:v>
      </x:c>
      <x:c r="B584" s="9" t="n">
        <x:v>124</x:v>
      </x:c>
      <x:c r="C584" s="9" t="n">
        <x:v>759</x:v>
      </x:c>
      <x:c r="D584" s="9" t="n">
        <x:v>2</x:v>
      </x:c>
      <x:c r="E584" s="9" t="n">
        <x:v>119471.9999999851</x:v>
      </x:c>
      <x:c r="F584" s="9" t="n">
        <x:v>36361.0000000149</x:v>
      </x:c>
      <x:c r="G584" s="9" t="n">
        <x:v>42563</x:v>
      </x:c>
      <x:c r="H584" s="9" t="n">
        <x:v>36325.0000000149</x:v>
      </x:c>
      <x:c r="I584" s="9" t="n">
        <x:v>4117</x:v>
      </x:c>
      <x:c r="J584" s="9" t="n">
        <x:v>105.99999995529652</x:v>
      </x:c>
      <x:c r="K584" s="9" t="n">
        <x:f>F584+G584+I584+J584</x:f>
        <x:v>83146.9999999702</x:v>
      </x:c>
      <x:c r="L584" s="10" t="n">
        <x:f>K584/Sources!$B$4*1000</x:f>
        <x:v>23.228371203594367</x:v>
      </x:c>
      <x:c r="M584" s="10" t="n">
        <x:f>E584/Sources!$B$4*1000</x:f>
        <x:v>33.37630900016206</x:v>
      </x:c>
      <x:c r="N584" s="9" t="n">
        <x:f>Sources!$B$6-K584</x:f>
        <x:v>-23410.999999970198</x:v>
      </x:c>
      <x:c r="O584" s="1" t="str">
        <x:v>keyboard_route</x:v>
      </x:c>
      <x:c r="P584" s="12" t="n">
        <x:v>0</x:v>
      </x:c>
      <x:c r="Q584" s="12" t="n">
        <x:v>-4</x:v>
      </x:c>
      <x:c r="R584" s="12" t="n">
        <x:v>4</x:v>
      </x:c>
      <x:c r="S584" s="12" t="n">
        <x:v>7</x:v>
      </x:c>
      <x:c r="T584" s="1" t="str">
        <x:v>Yes</x:v>
      </x:c>
      <x:c r="U584" s="1" t="n">
        <x:v>0</x:v>
      </x:c>
    </x:row>
    <x:row r="585" ht="23" customHeight="1">
      <x:c r="A585" s="9" t="n">
        <x:v>703</x:v>
      </x:c>
      <x:c r="B585" s="9" t="n">
        <x:v>124</x:v>
      </x:c>
      <x:c r="C585" s="9" t="n">
        <x:v>755</x:v>
      </x:c>
      <x:c r="D585" s="9" t="n">
        <x:v>2</x:v>
      </x:c>
      <x:c r="E585" s="9" t="n">
        <x:v>119471.0000000149</x:v>
      </x:c>
      <x:c r="F585" s="9" t="n">
        <x:v>40786.9999999851</x:v>
      </x:c>
      <x:c r="G585" s="9" t="n">
        <x:v>25890.9999999851</x:v>
      </x:c>
      <x:c r="H585" s="9" t="n">
        <x:v>48569.9999999851</x:v>
      </x:c>
      <x:c r="I585" s="9" t="n">
        <x:v>4117</x:v>
      </x:c>
      <x:c r="J585" s="9" t="n">
        <x:v>106.00000005960464</x:v>
      </x:c>
      <x:c r="K585" s="9" t="n">
        <x:f>F585+G585+I585+J585</x:f>
        <x:v>70901.0000000298</x:v>
      </x:c>
      <x:c r="L585" s="10" t="n">
        <x:f>K585/Sources!$B$4*1000</x:f>
        <x:v>19.8072660072802</x:v>
      </x:c>
      <x:c r="M585" s="10" t="n">
        <x:f>E585/Sources!$B$4*1000</x:f>
        <x:v>33.376029635055545</x:v>
      </x:c>
      <x:c r="N585" s="9" t="n">
        <x:f>Sources!$B$6-K585</x:f>
        <x:v>-11165.000000029802</x:v>
      </x:c>
      <x:c r="O585" s="1" t="str">
        <x:v>keyboard_route</x:v>
      </x:c>
      <x:c r="P585" s="12" t="n">
        <x:v>0</x:v>
      </x:c>
      <x:c r="Q585" s="12" t="n">
        <x:v>-4</x:v>
      </x:c>
      <x:c r="R585" s="12" t="n">
        <x:v>4</x:v>
      </x:c>
      <x:c r="S585" s="12" t="n">
        <x:v>3</x:v>
      </x:c>
      <x:c r="T585" s="1" t="str">
        <x:v>No</x:v>
      </x:c>
      <x:c r="U585" s="1" t="n">
        <x:v>0</x:v>
      </x:c>
    </x:row>
    <x:row r="586" ht="23" customHeight="1">
      <x:c r="A586" s="9" t="n">
        <x:v>704</x:v>
      </x:c>
      <x:c r="B586" s="9" t="n">
        <x:v>124</x:v>
      </x:c>
      <x:c r="C586" s="9" t="n">
        <x:v>751</x:v>
      </x:c>
      <x:c r="D586" s="9" t="n">
        <x:v>2</x:v>
      </x:c>
      <x:c r="E586" s="9" t="n">
        <x:v>119471</x:v>
      </x:c>
      <x:c r="F586" s="9" t="n">
        <x:v>33430</x:v>
      </x:c>
      <x:c r="G586" s="9" t="n">
        <x:v>42563</x:v>
      </x:c>
      <x:c r="H586" s="9" t="n">
        <x:v>39255</x:v>
      </x:c>
      <x:c r="I586" s="9" t="n">
        <x:v>4117</x:v>
      </x:c>
      <x:c r="J586" s="9" t="n">
        <x:v>106</x:v>
      </x:c>
      <x:c r="K586" s="9" t="n">
        <x:f>F586+G586+I586+J586</x:f>
        <x:v>80216</x:v>
      </x:c>
      <x:c r="L586" s="10" t="n">
        <x:f>K586/Sources!$B$4*1000</x:f>
        <x:v>22.40955205200661</x:v>
      </x:c>
      <x:c r="M586" s="10" t="n">
        <x:f>E586/Sources!$B$4*1000</x:f>
        <x:v>33.37602963505138</x:v>
      </x:c>
      <x:c r="N586" s="9" t="n">
        <x:f>Sources!$B$6-K586</x:f>
        <x:v>-20480</x:v>
      </x:c>
      <x:c r="O586" s="1" t="str">
        <x:v>keyboard_route</x:v>
      </x:c>
      <x:c r="P586" s="12" t="n">
        <x:v>0</x:v>
      </x:c>
      <x:c r="Q586" s="12" t="n">
        <x:v>-4</x:v>
      </x:c>
      <x:c r="R586" s="12" t="n">
        <x:v>4</x:v>
      </x:c>
      <x:c r="S586" s="12" t="n">
        <x:v>7</x:v>
      </x:c>
      <x:c r="T586" s="1" t="str">
        <x:v>Yes</x:v>
      </x:c>
      <x:c r="U586" s="1" t="n">
        <x:v>0</x:v>
      </x:c>
    </x:row>
    <x:row r="587" ht="23" customHeight="1">
      <x:c r="A587" s="9" t="n">
        <x:v>705</x:v>
      </x:c>
      <x:c r="B587" s="9" t="n">
        <x:v>124</x:v>
      </x:c>
      <x:c r="C587" s="9" t="n">
        <x:v>747</x:v>
      </x:c>
      <x:c r="D587" s="9" t="n">
        <x:v>2</x:v>
      </x:c>
      <x:c r="E587" s="9" t="n">
        <x:v>119472.9999999851</x:v>
      </x:c>
      <x:c r="F587" s="9" t="n">
        <x:v>38899.0000000149</x:v>
      </x:c>
      <x:c r="G587" s="9" t="n">
        <x:v>25891.0000000149</x:v>
      </x:c>
      <x:c r="H587" s="9" t="n">
        <x:v>50459.9999999851</x:v>
      </x:c>
      <x:c r="I587" s="9" t="n">
        <x:v>4117</x:v>
      </x:c>
      <x:c r="J587" s="9" t="n">
        <x:v>105.99999997019768</x:v>
      </x:c>
      <x:c r="K587" s="9" t="n">
        <x:f>F587+G587+I587+J587</x:f>
        <x:v>69013</x:v>
      </x:c>
      <x:c r="L587" s="10" t="n">
        <x:f>K587/Sources!$B$4*1000</x:f>
        <x:v>19.279824670453927</x:v>
      </x:c>
      <x:c r="M587" s="10" t="n">
        <x:f>E587/Sources!$B$4*1000</x:f>
        <x:v>33.376588365276895</x:v>
      </x:c>
      <x:c r="N587" s="9" t="n">
        <x:f>Sources!$B$6-K587</x:f>
        <x:v>-9277</x:v>
      </x:c>
      <x:c r="O587" s="1" t="str">
        <x:v>keyboard_route</x:v>
      </x:c>
      <x:c r="P587" s="12" t="n">
        <x:v>0</x:v>
      </x:c>
      <x:c r="Q587" s="12" t="n">
        <x:v>-4</x:v>
      </x:c>
      <x:c r="R587" s="12" t="n">
        <x:v>4</x:v>
      </x:c>
      <x:c r="S587" s="12" t="n">
        <x:v>3</x:v>
      </x:c>
      <x:c r="T587" s="1" t="str">
        <x:v>No</x:v>
      </x:c>
      <x:c r="U587" s="1" t="n">
        <x:v>0</x:v>
      </x:c>
    </x:row>
    <x:row r="588" ht="23" customHeight="1">
      <x:c r="A588" s="9" t="n">
        <x:v>706</x:v>
      </x:c>
      <x:c r="B588" s="9" t="n">
        <x:v>124</x:v>
      </x:c>
      <x:c r="C588" s="9" t="n">
        <x:v>743</x:v>
      </x:c>
      <x:c r="D588" s="9" t="n">
        <x:v>2</x:v>
      </x:c>
      <x:c r="E588" s="9" t="n">
        <x:v>119471.0000000149</x:v>
      </x:c>
      <x:c r="F588" s="9" t="n">
        <x:v>32764.9999999851</x:v>
      </x:c>
      <x:c r="G588" s="9" t="n">
        <x:v>42563</x:v>
      </x:c>
      <x:c r="H588" s="9" t="n">
        <x:v>39920</x:v>
      </x:c>
      <x:c r="I588" s="9" t="n">
        <x:v>4117</x:v>
      </x:c>
      <x:c r="J588" s="9" t="n">
        <x:v>106.00000002980232</x:v>
      </x:c>
      <x:c r="K588" s="9" t="n">
        <x:f>F588+G588+I588+J588</x:f>
        <x:v>79551.0000000149</x:v>
      </x:c>
      <x:c r="L588" s="10" t="n">
        <x:f>K588/Sources!$B$4*1000</x:f>
        <x:v>22.223774250642162</x:v>
      </x:c>
      <x:c r="M588" s="10" t="n">
        <x:f>E588/Sources!$B$4*1000</x:f>
        <x:v>33.376029635055545</x:v>
      </x:c>
      <x:c r="N588" s="9" t="n">
        <x:f>Sources!$B$6-K588</x:f>
        <x:v>-19815.0000000149</x:v>
      </x:c>
      <x:c r="O588" s="1" t="str">
        <x:v>keyboard_route</x:v>
      </x:c>
      <x:c r="P588" s="12" t="n">
        <x:v>0</x:v>
      </x:c>
      <x:c r="Q588" s="12" t="n">
        <x:v>-4</x:v>
      </x:c>
      <x:c r="R588" s="12" t="n">
        <x:v>4</x:v>
      </x:c>
      <x:c r="S588" s="12" t="n">
        <x:v>7</x:v>
      </x:c>
      <x:c r="T588" s="1" t="str">
        <x:v>Yes</x:v>
      </x:c>
      <x:c r="U588" s="1" t="n">
        <x:v>0</x:v>
      </x:c>
    </x:row>
    <x:row r="589" ht="23" customHeight="1">
      <x:c r="A589" s="9" t="n">
        <x:v>707</x:v>
      </x:c>
      <x:c r="B589" s="9" t="n">
        <x:v>124</x:v>
      </x:c>
      <x:c r="C589" s="9" t="n">
        <x:v>739</x:v>
      </x:c>
      <x:c r="D589" s="9" t="n">
        <x:v>2</x:v>
      </x:c>
      <x:c r="E589" s="9" t="n">
        <x:v>119471</x:v>
      </x:c>
      <x:c r="F589" s="9" t="n">
        <x:v>39157</x:v>
      </x:c>
      <x:c r="G589" s="9" t="n">
        <x:v>25891</x:v>
      </x:c>
      <x:c r="H589" s="9" t="n">
        <x:v>50200</x:v>
      </x:c>
      <x:c r="I589" s="9" t="n">
        <x:v>4117</x:v>
      </x:c>
      <x:c r="J589" s="9" t="n">
        <x:v>106</x:v>
      </x:c>
      <x:c r="K589" s="9" t="n">
        <x:f>F589+G589+I589+J589</x:f>
        <x:v>69271</x:v>
      </x:c>
      <x:c r="L589" s="10" t="n">
        <x:f>K589/Sources!$B$4*1000</x:f>
        <x:v>19.351900870082652</x:v>
      </x:c>
      <x:c r="M589" s="10" t="n">
        <x:f>E589/Sources!$B$4*1000</x:f>
        <x:v>33.37602963505138</x:v>
      </x:c>
      <x:c r="N589" s="9" t="n">
        <x:f>Sources!$B$6-K589</x:f>
        <x:v>-9535</x:v>
      </x:c>
      <x:c r="O589" s="1" t="str">
        <x:v>keyboard_route</x:v>
      </x:c>
      <x:c r="P589" s="12" t="n">
        <x:v>0</x:v>
      </x:c>
      <x:c r="Q589" s="12" t="n">
        <x:v>-4</x:v>
      </x:c>
      <x:c r="R589" s="12" t="n">
        <x:v>4</x:v>
      </x:c>
      <x:c r="S589" s="12" t="n">
        <x:v>3</x:v>
      </x:c>
      <x:c r="T589" s="1" t="str">
        <x:v>No</x:v>
      </x:c>
      <x:c r="U589" s="1" t="n">
        <x:v>0</x:v>
      </x:c>
    </x:row>
    <x:row r="590" ht="23" customHeight="1">
      <x:c r="A590" s="9" t="n">
        <x:v>708</x:v>
      </x:c>
      <x:c r="B590" s="9" t="n">
        <x:v>124</x:v>
      </x:c>
      <x:c r="C590" s="9" t="n">
        <x:v>735</x:v>
      </x:c>
      <x:c r="D590" s="9" t="n">
        <x:v>2</x:v>
      </x:c>
      <x:c r="E590" s="9" t="n">
        <x:v>119474</x:v>
      </x:c>
      <x:c r="F590" s="9" t="n">
        <x:v>33311.0000000149</x:v>
      </x:c>
      <x:c r="G590" s="9" t="n">
        <x:v>42434.9999999851</x:v>
      </x:c>
      <x:c r="H590" s="9" t="n">
        <x:v>39505</x:v>
      </x:c>
      <x:c r="I590" s="9" t="n">
        <x:v>4117</x:v>
      </x:c>
      <x:c r="J590" s="9" t="n">
        <x:v>106</x:v>
      </x:c>
      <x:c r="K590" s="9" t="n">
        <x:f>F590+G590+I590+J590</x:f>
        <x:v>79969</x:v>
      </x:c>
      <x:c r="L590" s="10" t="n">
        <x:f>K590/Sources!$B$4*1000</x:f>
        <x:v>22.340548868641125</x:v>
      </x:c>
      <x:c r="M590" s="10" t="n">
        <x:f>E590/Sources!$B$4*1000</x:f>
        <x:v>33.3768677303959</x:v>
      </x:c>
      <x:c r="N590" s="9" t="n">
        <x:f>Sources!$B$6-K590</x:f>
        <x:v>-20233</x:v>
      </x:c>
      <x:c r="O590" s="1" t="str">
        <x:v>keyboard_route</x:v>
      </x:c>
      <x:c r="P590" s="12" t="n">
        <x:v>0</x:v>
      </x:c>
      <x:c r="Q590" s="12" t="n">
        <x:v>-4</x:v>
      </x:c>
      <x:c r="R590" s="12" t="n">
        <x:v>4</x:v>
      </x:c>
      <x:c r="S590" s="12" t="n">
        <x:v>7</x:v>
      </x:c>
      <x:c r="T590" s="1" t="str">
        <x:v>Yes</x:v>
      </x:c>
      <x:c r="U590" s="1" t="n">
        <x:v>0</x:v>
      </x:c>
    </x:row>
    <x:row r="591" ht="23" customHeight="1">
      <x:c r="A591" s="9" t="n">
        <x:v>709</x:v>
      </x:c>
      <x:c r="B591" s="9" t="n">
        <x:v>124</x:v>
      </x:c>
      <x:c r="C591" s="9" t="n">
        <x:v>731</x:v>
      </x:c>
      <x:c r="D591" s="9" t="n">
        <x:v>2</x:v>
      </x:c>
      <x:c r="E591" s="9" t="n">
        <x:v>119472</x:v>
      </x:c>
      <x:c r="F591" s="9" t="n">
        <x:v>39393</x:v>
      </x:c>
      <x:c r="G591" s="9" t="n">
        <x:v>25891</x:v>
      </x:c>
      <x:c r="H591" s="9" t="n">
        <x:v>49965</x:v>
      </x:c>
      <x:c r="I591" s="9" t="n">
        <x:v>4117</x:v>
      </x:c>
      <x:c r="J591" s="9" t="n">
        <x:v>106</x:v>
      </x:c>
      <x:c r="K591" s="9" t="n">
        <x:f>F591+G591+I591+J591</x:f>
        <x:v>69507</x:v>
      </x:c>
      <x:c r="L591" s="10" t="n">
        <x:f>K591/Sources!$B$4*1000</x:f>
        <x:v>19.417831037184893</x:v>
      </x:c>
      <x:c r="M591" s="10" t="n">
        <x:f>E591/Sources!$B$4*1000</x:f>
        <x:v>33.37630900016622</x:v>
      </x:c>
      <x:c r="N591" s="9" t="n">
        <x:f>Sources!$B$6-K591</x:f>
        <x:v>-9771</x:v>
      </x:c>
      <x:c r="O591" s="1" t="str">
        <x:v>keyboard_route</x:v>
      </x:c>
      <x:c r="P591" s="12" t="n">
        <x:v>0</x:v>
      </x:c>
      <x:c r="Q591" s="12" t="n">
        <x:v>-4</x:v>
      </x:c>
      <x:c r="R591" s="12" t="n">
        <x:v>4</x:v>
      </x:c>
      <x:c r="S591" s="12" t="n">
        <x:v>3</x:v>
      </x:c>
      <x:c r="T591" s="1" t="str">
        <x:v>No</x:v>
      </x:c>
      <x:c r="U591" s="1" t="n">
        <x:v>0</x:v>
      </x:c>
    </x:row>
    <x:row r="592" ht="23" customHeight="1">
      <x:c r="A592" s="9" t="n">
        <x:v>710</x:v>
      </x:c>
      <x:c r="B592" s="9" t="n">
        <x:v>124</x:v>
      </x:c>
      <x:c r="C592" s="9" t="n">
        <x:v>727</x:v>
      </x:c>
      <x:c r="D592" s="9" t="n">
        <x:v>2</x:v>
      </x:c>
      <x:c r="E592" s="9" t="n">
        <x:v>119469.9999999851</x:v>
      </x:c>
      <x:c r="F592" s="9" t="n">
        <x:v>34073.9999999851</x:v>
      </x:c>
      <x:c r="G592" s="9" t="n">
        <x:v>42332.9999999851</x:v>
      </x:c>
      <x:c r="H592" s="9" t="n">
        <x:v>38840</x:v>
      </x:c>
      <x:c r="I592" s="9" t="n">
        <x:v>4117</x:v>
      </x:c>
      <x:c r="J592" s="9" t="n">
        <x:v>106.00000001490116</x:v>
      </x:c>
      <x:c r="K592" s="9" t="n">
        <x:f>F592+G592+I592+J592</x:f>
        <x:v>80629.9999999851</x:v>
      </x:c>
      <x:c r="L592" s="10" t="n">
        <x:f>K592/Sources!$B$4*1000</x:f>
        <x:v>22.525209209546215</x:v>
      </x:c>
      <x:c r="M592" s="10" t="n">
        <x:f>E592/Sources!$B$4*1000</x:f>
        <x:v>33.375750269932375</x:v>
      </x:c>
      <x:c r="N592" s="9" t="n">
        <x:f>Sources!$B$6-K592</x:f>
        <x:v>-20893.9999999851</x:v>
      </x:c>
      <x:c r="O592" s="1" t="str">
        <x:v>keyboard_route</x:v>
      </x:c>
      <x:c r="P592" s="12" t="n">
        <x:v>0</x:v>
      </x:c>
      <x:c r="Q592" s="12" t="n">
        <x:v>-4</x:v>
      </x:c>
      <x:c r="R592" s="12" t="n">
        <x:v>4</x:v>
      </x:c>
      <x:c r="S592" s="12" t="n">
        <x:v>7</x:v>
      </x:c>
      <x:c r="T592" s="1" t="str">
        <x:v>Yes</x:v>
      </x:c>
      <x:c r="U592" s="1" t="n">
        <x:v>0</x:v>
      </x:c>
    </x:row>
    <x:row r="593" ht="23" customHeight="1">
      <x:c r="A593" s="9" t="n">
        <x:v>711</x:v>
      </x:c>
      <x:c r="B593" s="9" t="n">
        <x:v>124</x:v>
      </x:c>
      <x:c r="C593" s="9" t="n">
        <x:v>723</x:v>
      </x:c>
      <x:c r="D593" s="9" t="n">
        <x:v>2</x:v>
      </x:c>
      <x:c r="E593" s="9" t="n">
        <x:v>119475</x:v>
      </x:c>
      <x:c r="F593" s="9" t="n">
        <x:v>37915.9999999851</x:v>
      </x:c>
      <x:c r="G593" s="9" t="n">
        <x:v>25891</x:v>
      </x:c>
      <x:c r="H593" s="9" t="n">
        <x:v>51445</x:v>
      </x:c>
      <x:c r="I593" s="9" t="n">
        <x:v>4117</x:v>
      </x:c>
      <x:c r="J593" s="9" t="n">
        <x:v>106.00000001490116</x:v>
      </x:c>
      <x:c r="K593" s="9" t="n">
        <x:f>F593+G593+I593+J593</x:f>
        <x:v>68030</x:v>
      </x:c>
      <x:c r="L593" s="10" t="n">
        <x:f>K593/Sources!$B$4*1000</x:f>
        <x:v>19.005208762566195</x:v>
      </x:c>
      <x:c r="M593" s="10" t="n">
        <x:f>E593/Sources!$B$4*1000</x:f>
        <x:v>33.37714709551074</x:v>
      </x:c>
      <x:c r="N593" s="9" t="n">
        <x:f>Sources!$B$6-K593</x:f>
        <x:v>-8294</x:v>
      </x:c>
      <x:c r="O593" s="1" t="str">
        <x:v>keyboard_route</x:v>
      </x:c>
      <x:c r="P593" s="12" t="n">
        <x:v>0</x:v>
      </x:c>
      <x:c r="Q593" s="12" t="n">
        <x:v>-4</x:v>
      </x:c>
      <x:c r="R593" s="12" t="n">
        <x:v>4</x:v>
      </x:c>
      <x:c r="S593" s="12" t="n">
        <x:v>3</x:v>
      </x:c>
      <x:c r="T593" s="1" t="str">
        <x:v>No</x:v>
      </x:c>
      <x:c r="U593" s="1" t="n">
        <x:v>0</x:v>
      </x:c>
    </x:row>
    <x:row r="594" ht="23" customHeight="1">
      <x:c r="A594" s="9" t="n">
        <x:v>712</x:v>
      </x:c>
      <x:c r="B594" s="9" t="n">
        <x:v>124</x:v>
      </x:c>
      <x:c r="C594" s="9" t="n">
        <x:v>719</x:v>
      </x:c>
      <x:c r="D594" s="9" t="n">
        <x:v>2</x:v>
      </x:c>
      <x:c r="E594" s="9" t="n">
        <x:v>119471.0000000149</x:v>
      </x:c>
      <x:c r="F594" s="9" t="n">
        <x:v>31326.9999999851</x:v>
      </x:c>
      <x:c r="G594" s="9" t="n">
        <x:v>42231</x:v>
      </x:c>
      <x:c r="H594" s="9" t="n">
        <x:v>41689.9999999851</x:v>
      </x:c>
      <x:c r="I594" s="9" t="n">
        <x:v>4117</x:v>
      </x:c>
      <x:c r="J594" s="9" t="n">
        <x:v>106.00000004470348</x:v>
      </x:c>
      <x:c r="K594" s="9" t="n">
        <x:f>F594+G594+I594+J594</x:f>
        <x:v>77781.0000000298</x:v>
      </x:c>
      <x:c r="L594" s="10" t="n">
        <x:f>K594/Sources!$B$4*1000</x:f>
        <x:v>21.7292979973795</x:v>
      </x:c>
      <x:c r="M594" s="10" t="n">
        <x:f>E594/Sources!$B$4*1000</x:f>
        <x:v>33.376029635055545</x:v>
      </x:c>
      <x:c r="N594" s="9" t="n">
        <x:f>Sources!$B$6-K594</x:f>
        <x:v>-18045.000000029802</x:v>
      </x:c>
      <x:c r="O594" s="1" t="str">
        <x:v>keyboard_route</x:v>
      </x:c>
      <x:c r="P594" s="12" t="n">
        <x:v>0</x:v>
      </x:c>
      <x:c r="Q594" s="12" t="n">
        <x:v>-4</x:v>
      </x:c>
      <x:c r="R594" s="12" t="n">
        <x:v>4</x:v>
      </x:c>
      <x:c r="S594" s="12" t="n">
        <x:v>7</x:v>
      </x:c>
      <x:c r="T594" s="1" t="str">
        <x:v>Yes</x:v>
      </x:c>
      <x:c r="U594" s="1" t="n">
        <x:v>0</x:v>
      </x:c>
    </x:row>
    <x:row r="595" ht="23" customHeight="1">
      <x:c r="A595" s="9" t="n">
        <x:v>713</x:v>
      </x:c>
      <x:c r="B595" s="9" t="n">
        <x:v>124</x:v>
      </x:c>
      <x:c r="C595" s="9" t="n">
        <x:v>715</x:v>
      </x:c>
      <x:c r="D595" s="9" t="n">
        <x:v>2</x:v>
      </x:c>
      <x:c r="E595" s="9" t="n">
        <x:v>119470</x:v>
      </x:c>
      <x:c r="F595" s="9" t="n">
        <x:v>37556</x:v>
      </x:c>
      <x:c r="G595" s="9" t="n">
        <x:v>25891.0000000149</x:v>
      </x:c>
      <x:c r="H595" s="9" t="n">
        <x:v>51800.0000000149</x:v>
      </x:c>
      <x:c r="I595" s="9" t="n">
        <x:v>4117</x:v>
      </x:c>
      <x:c r="J595" s="9" t="n">
        <x:v>105.99999997019768</x:v>
      </x:c>
      <x:c r="K595" s="9" t="n">
        <x:f>F595+G595+I595+J595</x:f>
        <x:v>67669.9999999851</x:v>
      </x:c>
      <x:c r="L595" s="10" t="n">
        <x:f>K595/Sources!$B$4*1000</x:f>
        <x:v>18.90463732121962</x:v>
      </x:c>
      <x:c r="M595" s="10" t="n">
        <x:f>E595/Sources!$B$4*1000</x:f>
        <x:v>33.37575026993654</x:v>
      </x:c>
      <x:c r="N595" s="9" t="n">
        <x:f>Sources!$B$6-K595</x:f>
        <x:v>-7933.999999985099</x:v>
      </x:c>
      <x:c r="O595" s="1" t="str">
        <x:v>keyboard_route</x:v>
      </x:c>
      <x:c r="P595" s="12" t="n">
        <x:v>0</x:v>
      </x:c>
      <x:c r="Q595" s="12" t="n">
        <x:v>-4</x:v>
      </x:c>
      <x:c r="R595" s="12" t="n">
        <x:v>4</x:v>
      </x:c>
      <x:c r="S595" s="12" t="n">
        <x:v>3</x:v>
      </x:c>
      <x:c r="T595" s="1" t="str">
        <x:v>No</x:v>
      </x:c>
      <x:c r="U595" s="1" t="n">
        <x:v>0</x:v>
      </x:c>
    </x:row>
    <x:row r="596" ht="23" customHeight="1">
      <x:c r="A596" s="9" t="n">
        <x:v>714</x:v>
      </x:c>
      <x:c r="B596" s="9" t="n">
        <x:v>124</x:v>
      </x:c>
      <x:c r="C596" s="9" t="n">
        <x:v>711</x:v>
      </x:c>
      <x:c r="D596" s="9" t="n">
        <x:v>2</x:v>
      </x:c>
      <x:c r="E596" s="9" t="n">
        <x:v>119475</x:v>
      </x:c>
      <x:c r="F596" s="9" t="n">
        <x:v>34586</x:v>
      </x:c>
      <x:c r="G596" s="9" t="n">
        <x:v>42231</x:v>
      </x:c>
      <x:c r="H596" s="9" t="n">
        <x:v>38435</x:v>
      </x:c>
      <x:c r="I596" s="9" t="n">
        <x:v>4117</x:v>
      </x:c>
      <x:c r="J596" s="9" t="n">
        <x:v>106</x:v>
      </x:c>
      <x:c r="K596" s="9" t="n">
        <x:f>F596+G596+I596+J596</x:f>
        <x:v>81040</x:v>
      </x:c>
      <x:c r="L596" s="10" t="n">
        <x:f>K596/Sources!$B$4*1000</x:f>
        <x:v>22.639748906634782</x:v>
      </x:c>
      <x:c r="M596" s="10" t="n">
        <x:f>E596/Sources!$B$4*1000</x:f>
        <x:v>33.37714709551074</x:v>
      </x:c>
      <x:c r="N596" s="9" t="n">
        <x:f>Sources!$B$6-K596</x:f>
        <x:v>-21304</x:v>
      </x:c>
      <x:c r="O596" s="1" t="str">
        <x:v>keyboard_route</x:v>
      </x:c>
      <x:c r="P596" s="12" t="n">
        <x:v>0</x:v>
      </x:c>
      <x:c r="Q596" s="12" t="n">
        <x:v>-4</x:v>
      </x:c>
      <x:c r="R596" s="12" t="n">
        <x:v>4</x:v>
      </x:c>
      <x:c r="S596" s="12" t="n">
        <x:v>7</x:v>
      </x:c>
      <x:c r="T596" s="1" t="str">
        <x:v>Yes</x:v>
      </x:c>
      <x:c r="U596" s="1" t="n">
        <x:v>0</x:v>
      </x:c>
    </x:row>
    <x:row r="597" ht="23" customHeight="1">
      <x:c r="A597" s="9" t="n">
        <x:v>715</x:v>
      </x:c>
      <x:c r="B597" s="9" t="n">
        <x:v>124</x:v>
      </x:c>
      <x:c r="C597" s="9" t="n">
        <x:v>707</x:v>
      </x:c>
      <x:c r="D597" s="9" t="n">
        <x:v>2</x:v>
      </x:c>
      <x:c r="E597" s="9" t="n">
        <x:v>119472.9999999851</x:v>
      </x:c>
      <x:c r="F597" s="9" t="n">
        <x:v>38749</x:v>
      </x:c>
      <x:c r="G597" s="9" t="n">
        <x:v>25891</x:v>
      </x:c>
      <x:c r="H597" s="9" t="n">
        <x:v>50610</x:v>
      </x:c>
      <x:c r="I597" s="9" t="n">
        <x:v>4117</x:v>
      </x:c>
      <x:c r="J597" s="9" t="n">
        <x:v>105.99999998509884</x:v>
      </x:c>
      <x:c r="K597" s="9" t="n">
        <x:f>F597+G597+I597+J597</x:f>
        <x:v>68862.9999999851</x:v>
      </x:c>
      <x:c r="L597" s="10" t="n">
        <x:f>K597/Sources!$B$4*1000</x:f>
        <x:v>19.237919903223762</x:v>
      </x:c>
      <x:c r="M597" s="10" t="n">
        <x:f>E597/Sources!$B$4*1000</x:f>
        <x:v>33.376588365276895</x:v>
      </x:c>
      <x:c r="N597" s="9" t="n">
        <x:f>Sources!$B$6-K597</x:f>
        <x:v>-9126.999999985099</x:v>
      </x:c>
      <x:c r="O597" s="1" t="str">
        <x:v>keyboard_route</x:v>
      </x:c>
      <x:c r="P597" s="12" t="n">
        <x:v>0</x:v>
      </x:c>
      <x:c r="Q597" s="12" t="n">
        <x:v>-4</x:v>
      </x:c>
      <x:c r="R597" s="12" t="n">
        <x:v>4</x:v>
      </x:c>
      <x:c r="S597" s="12" t="n">
        <x:v>3</x:v>
      </x:c>
      <x:c r="T597" s="1" t="str">
        <x:v>No</x:v>
      </x:c>
      <x:c r="U597" s="1" t="n">
        <x:v>0</x:v>
      </x:c>
    </x:row>
    <x:row r="598" ht="23" customHeight="1">
      <x:c r="A598" s="9" t="n">
        <x:v>716</x:v>
      </x:c>
      <x:c r="B598" s="9" t="n">
        <x:v>124</x:v>
      </x:c>
      <x:c r="C598" s="9" t="n">
        <x:v>703</x:v>
      </x:c>
      <x:c r="D598" s="9" t="n">
        <x:v>2</x:v>
      </x:c>
      <x:c r="E598" s="9" t="n">
        <x:v>119468.0000000149</x:v>
      </x:c>
      <x:c r="F598" s="9" t="n">
        <x:v>31446</x:v>
      </x:c>
      <x:c r="G598" s="9" t="n">
        <x:v>41714</x:v>
      </x:c>
      <x:c r="H598" s="9" t="n">
        <x:v>42085</x:v>
      </x:c>
      <x:c r="I598" s="9" t="n">
        <x:v>4117</x:v>
      </x:c>
      <x:c r="J598" s="9" t="n">
        <x:v>106.00000001490116</x:v>
      </x:c>
      <x:c r="K598" s="9" t="n">
        <x:f>F598+G598+I598+J598</x:f>
        <x:v>77383.0000000149</x:v>
      </x:c>
      <x:c r="L598" s="10" t="n">
        <x:f>K598/Sources!$B$4*1000</x:f>
        <x:v>21.618110681669013</x:v>
      </x:c>
      <x:c r="M598" s="10" t="n">
        <x:f>E598/Sources!$B$4*1000</x:f>
        <x:v>33.375191539711025</x:v>
      </x:c>
      <x:c r="N598" s="9" t="n">
        <x:f>Sources!$B$6-K598</x:f>
        <x:v>-17647.0000000149</x:v>
      </x:c>
      <x:c r="O598" s="1" t="str">
        <x:v>keyboard_route</x:v>
      </x:c>
      <x:c r="P598" s="12" t="n">
        <x:v>0</x:v>
      </x:c>
      <x:c r="Q598" s="12" t="n">
        <x:v>-4</x:v>
      </x:c>
      <x:c r="R598" s="12" t="n">
        <x:v>4</x:v>
      </x:c>
      <x:c r="S598" s="12" t="n">
        <x:v>7</x:v>
      </x:c>
      <x:c r="T598" s="1" t="str">
        <x:v>Yes</x:v>
      </x:c>
      <x:c r="U598" s="1" t="n">
        <x:v>0</x:v>
      </x:c>
    </x:row>
    <x:row r="599" ht="23" customHeight="1">
      <x:c r="A599" s="9" t="n">
        <x:v>717</x:v>
      </x:c>
      <x:c r="B599" s="9" t="n">
        <x:v>124</x:v>
      </x:c>
      <x:c r="C599" s="9" t="n">
        <x:v>699</x:v>
      </x:c>
      <x:c r="D599" s="9" t="n">
        <x:v>2</x:v>
      </x:c>
      <x:c r="E599" s="9" t="n">
        <x:v>119471.9999999851</x:v>
      </x:c>
      <x:c r="F599" s="9" t="n">
        <x:v>37533.0000000149</x:v>
      </x:c>
      <x:c r="G599" s="9" t="n">
        <x:v>25891.0000000149</x:v>
      </x:c>
      <x:c r="H599" s="9" t="n">
        <x:v>51824.9999999851</x:v>
      </x:c>
      <x:c r="I599" s="9" t="n">
        <x:v>4117</x:v>
      </x:c>
      <x:c r="J599" s="9" t="n">
        <x:v>105.99999997019768</x:v>
      </x:c>
      <x:c r="K599" s="9" t="n">
        <x:f>F599+G599+I599+J599</x:f>
        <x:v>67647</x:v>
      </x:c>
      <x:c r="L599" s="10" t="n">
        <x:f>K599/Sources!$B$4*1000</x:f>
        <x:v>18.898211923582465</x:v>
      </x:c>
      <x:c r="M599" s="10" t="n">
        <x:f>E599/Sources!$B$4*1000</x:f>
        <x:v>33.37630900016206</x:v>
      </x:c>
      <x:c r="N599" s="9" t="n">
        <x:f>Sources!$B$6-K599</x:f>
        <x:v>-7911</x:v>
      </x:c>
      <x:c r="O599" s="1" t="str">
        <x:v>keyboard_route</x:v>
      </x:c>
      <x:c r="P599" s="12" t="n">
        <x:v>0</x:v>
      </x:c>
      <x:c r="Q599" s="12" t="n">
        <x:v>-4</x:v>
      </x:c>
      <x:c r="R599" s="12" t="n">
        <x:v>4</x:v>
      </x:c>
      <x:c r="S599" s="12" t="n">
        <x:v>3</x:v>
      </x:c>
      <x:c r="T599" s="1" t="str">
        <x:v>No</x:v>
      </x:c>
      <x:c r="U599" s="1" t="n">
        <x:v>0</x:v>
      </x:c>
    </x:row>
    <x:row r="600" ht="23" customHeight="1">
      <x:c r="A600" s="9" t="n">
        <x:v>718</x:v>
      </x:c>
      <x:c r="B600" s="9" t="n">
        <x:v>124</x:v>
      </x:c>
      <x:c r="C600" s="9" t="n">
        <x:v>695</x:v>
      </x:c>
      <x:c r="D600" s="9" t="n">
        <x:v>2</x:v>
      </x:c>
      <x:c r="E600" s="9" t="n">
        <x:v>119472.0000000149</x:v>
      </x:c>
      <x:c r="F600" s="9" t="n">
        <x:v>31388</x:v>
      </x:c>
      <x:c r="G600" s="9" t="n">
        <x:v>41171</x:v>
      </x:c>
      <x:c r="H600" s="9" t="n">
        <x:v>42690</x:v>
      </x:c>
      <x:c r="I600" s="9" t="n">
        <x:v>4116.999999985099</x:v>
      </x:c>
      <x:c r="J600" s="9" t="n">
        <x:v>106.00000002980232</x:v>
      </x:c>
      <x:c r="K600" s="9" t="n">
        <x:f>F600+G600+I600+J600</x:f>
        <x:v>76782.0000000149</x:v>
      </x:c>
      <x:c r="L600" s="10" t="n">
        <x:f>K600/Sources!$B$4*1000</x:f>
        <x:v>21.450212247650164</x:v>
      </x:c>
      <x:c r="M600" s="10" t="n">
        <x:f>E600/Sources!$B$4*1000</x:f>
        <x:v>33.37630900017039</x:v>
      </x:c>
      <x:c r="N600" s="9" t="n">
        <x:f>Sources!$B$6-K600</x:f>
        <x:v>-17046.0000000149</x:v>
      </x:c>
      <x:c r="O600" s="1" t="str">
        <x:v>keyboard_route</x:v>
      </x:c>
      <x:c r="P600" s="12" t="n">
        <x:v>0</x:v>
      </x:c>
      <x:c r="Q600" s="12" t="n">
        <x:v>-4</x:v>
      </x:c>
      <x:c r="R600" s="12" t="n">
        <x:v>4</x:v>
      </x:c>
      <x:c r="S600" s="12" t="n">
        <x:v>7</x:v>
      </x:c>
      <x:c r="T600" s="1" t="str">
        <x:v>Yes</x:v>
      </x:c>
      <x:c r="U600" s="1" t="n">
        <x:v>0</x:v>
      </x:c>
    </x:row>
    <x:row r="601" ht="23" customHeight="1">
      <x:c r="A601" s="9" t="n">
        <x:v>719</x:v>
      </x:c>
      <x:c r="B601" s="9" t="n">
        <x:v>124</x:v>
      </x:c>
      <x:c r="C601" s="9" t="n">
        <x:v>691</x:v>
      </x:c>
      <x:c r="D601" s="9" t="n">
        <x:v>2</x:v>
      </x:c>
      <x:c r="E601" s="9" t="n">
        <x:v>119474</x:v>
      </x:c>
      <x:c r="F601" s="9" t="n">
        <x:v>39450.0000000149</x:v>
      </x:c>
      <x:c r="G601" s="9" t="n">
        <x:v>25890.9999999851</x:v>
      </x:c>
      <x:c r="H601" s="9" t="n">
        <x:v>49910</x:v>
      </x:c>
      <x:c r="I601" s="9" t="n">
        <x:v>4117</x:v>
      </x:c>
      <x:c r="J601" s="9" t="n">
        <x:v>106</x:v>
      </x:c>
      <x:c r="K601" s="9" t="n">
        <x:f>F601+G601+I601+J601</x:f>
        <x:v>69564</x:v>
      </x:c>
      <x:c r="L601" s="10" t="n">
        <x:f>K601/Sources!$B$4*1000</x:f>
        <x:v>19.433754848730775</x:v>
      </x:c>
      <x:c r="M601" s="10" t="n">
        <x:f>E601/Sources!$B$4*1000</x:f>
        <x:v>33.3768677303959</x:v>
      </x:c>
      <x:c r="N601" s="9" t="n">
        <x:f>Sources!$B$6-K601</x:f>
        <x:v>-9828</x:v>
      </x:c>
      <x:c r="O601" s="1" t="str">
        <x:v>keyboard_route</x:v>
      </x:c>
      <x:c r="P601" s="12" t="n">
        <x:v>0</x:v>
      </x:c>
      <x:c r="Q601" s="12" t="n">
        <x:v>-4</x:v>
      </x:c>
      <x:c r="R601" s="12" t="n">
        <x:v>4</x:v>
      </x:c>
      <x:c r="S601" s="12" t="n">
        <x:v>3</x:v>
      </x:c>
      <x:c r="T601" s="1" t="str">
        <x:v>No</x:v>
      </x:c>
      <x:c r="U601" s="1" t="n">
        <x:v>0</x:v>
      </x:c>
    </x:row>
    <x:row r="602" ht="23" customHeight="1">
      <x:c r="A602" s="9" t="n">
        <x:v>720</x:v>
      </x:c>
      <x:c r="B602" s="9" t="n">
        <x:v>124</x:v>
      </x:c>
      <x:c r="C602" s="9" t="n">
        <x:v>687</x:v>
      </x:c>
      <x:c r="D602" s="9" t="n">
        <x:v>2</x:v>
      </x:c>
      <x:c r="E602" s="9" t="n">
        <x:v>119474</x:v>
      </x:c>
      <x:c r="F602" s="9" t="n">
        <x:v>33893</x:v>
      </x:c>
      <x:c r="G602" s="9" t="n">
        <x:v>38303.0000000149</x:v>
      </x:c>
      <x:c r="H602" s="9" t="n">
        <x:v>43054.9999999851</x:v>
      </x:c>
      <x:c r="I602" s="9" t="n">
        <x:v>4117</x:v>
      </x:c>
      <x:c r="J602" s="9" t="n">
        <x:v>106</x:v>
      </x:c>
      <x:c r="K602" s="9" t="n">
        <x:f>F602+G602+I602+J602</x:f>
        <x:v>76419.0000000149</x:v>
      </x:c>
      <x:c r="L602" s="10" t="n">
        <x:f>K602/Sources!$B$4*1000</x:f>
        <x:v>21.348802710963238</x:v>
      </x:c>
      <x:c r="M602" s="10" t="n">
        <x:f>E602/Sources!$B$4*1000</x:f>
        <x:v>33.3768677303959</x:v>
      </x:c>
      <x:c r="N602" s="9" t="n">
        <x:f>Sources!$B$6-K602</x:f>
        <x:v>-16683.0000000149</x:v>
      </x:c>
      <x:c r="O602" s="1" t="str">
        <x:v>keyboard_route</x:v>
      </x:c>
      <x:c r="P602" s="12" t="n">
        <x:v>0</x:v>
      </x:c>
      <x:c r="Q602" s="12" t="n">
        <x:v>-4</x:v>
      </x:c>
      <x:c r="R602" s="12" t="n">
        <x:v>4</x:v>
      </x:c>
      <x:c r="S602" s="12" t="n">
        <x:v>7</x:v>
      </x:c>
      <x:c r="T602" s="1" t="str">
        <x:v>Yes</x:v>
      </x:c>
      <x:c r="U602" s="1" t="n">
        <x:v>0</x:v>
      </x:c>
    </x:row>
    <x:row r="603" ht="23" customHeight="1">
      <x:c r="A603" s="9" t="n">
        <x:v>721</x:v>
      </x:c>
      <x:c r="B603" s="9" t="n">
        <x:v>124</x:v>
      </x:c>
      <x:c r="C603" s="9" t="n">
        <x:v>683</x:v>
      </x:c>
      <x:c r="D603" s="9" t="n">
        <x:v>2</x:v>
      </x:c>
      <x:c r="E603" s="9" t="n">
        <x:v>119471</x:v>
      </x:c>
      <x:c r="F603" s="9" t="n">
        <x:v>39964</x:v>
      </x:c>
      <x:c r="G603" s="9" t="n">
        <x:v>26754</x:v>
      </x:c>
      <x:c r="H603" s="9" t="n">
        <x:v>48530</x:v>
      </x:c>
      <x:c r="I603" s="9" t="n">
        <x:v>4117</x:v>
      </x:c>
      <x:c r="J603" s="9" t="n">
        <x:v>106</x:v>
      </x:c>
      <x:c r="K603" s="9" t="n">
        <x:f>F603+G603+I603+J603</x:f>
        <x:v>70941</x:v>
      </x:c>
      <x:c r="L603" s="10" t="n">
        <x:f>K603/Sources!$B$4*1000</x:f>
        <x:v>19.818440611865476</x:v>
      </x:c>
      <x:c r="M603" s="10" t="n">
        <x:f>E603/Sources!$B$4*1000</x:f>
        <x:v>33.37602963505138</x:v>
      </x:c>
      <x:c r="N603" s="9" t="n">
        <x:f>Sources!$B$6-K603</x:f>
        <x:v>-11205</x:v>
      </x:c>
      <x:c r="O603" s="1" t="str">
        <x:v>keyboard_route</x:v>
      </x:c>
      <x:c r="P603" s="12" t="n">
        <x:v>0</x:v>
      </x:c>
      <x:c r="Q603" s="12" t="n">
        <x:v>-4</x:v>
      </x:c>
      <x:c r="R603" s="12" t="n">
        <x:v>4</x:v>
      </x:c>
      <x:c r="S603" s="12" t="n">
        <x:v>3</x:v>
      </x:c>
      <x:c r="T603" s="1" t="str">
        <x:v>No</x:v>
      </x:c>
      <x:c r="U603" s="1" t="n">
        <x:v>0</x:v>
      </x:c>
    </x:row>
    <x:row r="604" ht="23" customHeight="1">
      <x:c r="A604" s="9" t="n">
        <x:v>722</x:v>
      </x:c>
      <x:c r="B604" s="9" t="n">
        <x:v>124</x:v>
      </x:c>
      <x:c r="C604" s="9" t="n">
        <x:v>679</x:v>
      </x:c>
      <x:c r="D604" s="9" t="n">
        <x:v>2</x:v>
      </x:c>
      <x:c r="E604" s="9" t="n">
        <x:v>119472.9999999851</x:v>
      </x:c>
      <x:c r="F604" s="9" t="n">
        <x:v>32212</x:v>
      </x:c>
      <x:c r="G604" s="9" t="n">
        <x:v>38303.0000000149</x:v>
      </x:c>
      <x:c r="H604" s="9" t="n">
        <x:v>44734.9999999851</x:v>
      </x:c>
      <x:c r="I604" s="9" t="n">
        <x:v>4117</x:v>
      </x:c>
      <x:c r="J604" s="9" t="n">
        <x:v>105.99999998509884</x:v>
      </x:c>
      <x:c r="K604" s="9" t="n">
        <x:f>F604+G604+I604+J604</x:f>
        <x:v>74738</x:v>
      </x:c>
      <x:c r="L604" s="10" t="n">
        <x:f>K604/Sources!$B$4*1000</x:f>
        <x:v>20.87918995291301</x:v>
      </x:c>
      <x:c r="M604" s="10" t="n">
        <x:f>E604/Sources!$B$4*1000</x:f>
        <x:v>33.376588365276895</x:v>
      </x:c>
      <x:c r="N604" s="9" t="n">
        <x:f>Sources!$B$6-K604</x:f>
        <x:v>-15002</x:v>
      </x:c>
      <x:c r="O604" s="1" t="str">
        <x:v>keyboard_route</x:v>
      </x:c>
      <x:c r="P604" s="12" t="n">
        <x:v>0</x:v>
      </x:c>
      <x:c r="Q604" s="12" t="n">
        <x:v>-4</x:v>
      </x:c>
      <x:c r="R604" s="12" t="n">
        <x:v>4</x:v>
      </x:c>
      <x:c r="S604" s="12" t="n">
        <x:v>7</x:v>
      </x:c>
      <x:c r="T604" s="1" t="str">
        <x:v>Yes</x:v>
      </x:c>
      <x:c r="U604" s="1" t="n">
        <x:v>0</x:v>
      </x:c>
    </x:row>
    <x:row r="605" ht="23" customHeight="1">
      <x:c r="A605" s="9" t="n">
        <x:v>723</x:v>
      </x:c>
      <x:c r="B605" s="9" t="n">
        <x:v>124</x:v>
      </x:c>
      <x:c r="C605" s="9" t="n">
        <x:v>675</x:v>
      </x:c>
      <x:c r="D605" s="9" t="n">
        <x:v>2</x:v>
      </x:c>
      <x:c r="E605" s="9" t="n">
        <x:v>119472.0000000149</x:v>
      </x:c>
      <x:c r="F605" s="9" t="n">
        <x:v>38814.9999999851</x:v>
      </x:c>
      <x:c r="G605" s="9" t="n">
        <x:v>26754</x:v>
      </x:c>
      <x:c r="H605" s="9" t="n">
        <x:v>49680.0000000149</x:v>
      </x:c>
      <x:c r="I605" s="9" t="n">
        <x:v>4116.999999985099</x:v>
      </x:c>
      <x:c r="J605" s="9" t="n">
        <x:v>106.00000002980232</x:v>
      </x:c>
      <x:c r="K605" s="9" t="n">
        <x:f>F605+G605+I605+J605</x:f>
        <x:v>69792</x:v>
      </x:c>
      <x:c r="L605" s="10" t="n">
        <x:f>K605/Sources!$B$4*1000</x:f>
        <x:v>19.4974500949143</x:v>
      </x:c>
      <x:c r="M605" s="10" t="n">
        <x:f>E605/Sources!$B$4*1000</x:f>
        <x:v>33.37630900017039</x:v>
      </x:c>
      <x:c r="N605" s="9" t="n">
        <x:f>Sources!$B$6-K605</x:f>
        <x:v>-10056</x:v>
      </x:c>
      <x:c r="O605" s="1" t="str">
        <x:v>keyboard_route</x:v>
      </x:c>
      <x:c r="P605" s="12" t="n">
        <x:v>0</x:v>
      </x:c>
      <x:c r="Q605" s="12" t="n">
        <x:v>-4</x:v>
      </x:c>
      <x:c r="R605" s="12" t="n">
        <x:v>4</x:v>
      </x:c>
      <x:c r="S605" s="12" t="n">
        <x:v>3</x:v>
      </x:c>
      <x:c r="T605" s="1" t="str">
        <x:v>No</x:v>
      </x:c>
      <x:c r="U605" s="1" t="n">
        <x:v>0</x:v>
      </x:c>
    </x:row>
    <x:row r="606" ht="23" customHeight="1">
      <x:c r="A606" s="9" t="n">
        <x:v>724</x:v>
      </x:c>
      <x:c r="B606" s="9" t="n">
        <x:v>124</x:v>
      </x:c>
      <x:c r="C606" s="9" t="n">
        <x:v>671</x:v>
      </x:c>
      <x:c r="D606" s="9" t="n">
        <x:v>2</x:v>
      </x:c>
      <x:c r="E606" s="9" t="n">
        <x:v>119468</x:v>
      </x:c>
      <x:c r="F606" s="9" t="n">
        <x:v>31388.0000000149</x:v>
      </x:c>
      <x:c r="G606" s="9" t="n">
        <x:v>38276.9999999851</x:v>
      </x:c>
      <x:c r="H606" s="9" t="n">
        <x:v>45579.9999999851</x:v>
      </x:c>
      <x:c r="I606" s="9" t="n">
        <x:v>4117</x:v>
      </x:c>
      <x:c r="J606" s="9" t="n">
        <x:v>106.00000001490116</x:v>
      </x:c>
      <x:c r="K606" s="9" t="n">
        <x:f>F606+G606+I606+J606</x:f>
        <x:v>73888.0000000149</x:v>
      </x:c>
      <x:c r="L606" s="10" t="n">
        <x:f>K606/Sources!$B$4*1000</x:f>
        <x:v>20.64172960530316</x:v>
      </x:c>
      <x:c r="M606" s="10" t="n">
        <x:f>E606/Sources!$B$4*1000</x:f>
        <x:v>33.37519153970686</x:v>
      </x:c>
      <x:c r="N606" s="9" t="n">
        <x:f>Sources!$B$6-K606</x:f>
        <x:v>-14152.000000014901</x:v>
      </x:c>
      <x:c r="O606" s="1" t="str">
        <x:v>keyboard_route</x:v>
      </x:c>
      <x:c r="P606" s="12" t="n">
        <x:v>0</x:v>
      </x:c>
      <x:c r="Q606" s="12" t="n">
        <x:v>-4</x:v>
      </x:c>
      <x:c r="R606" s="12" t="n">
        <x:v>4</x:v>
      </x:c>
      <x:c r="S606" s="12" t="n">
        <x:v>7</x:v>
      </x:c>
      <x:c r="T606" s="1" t="str">
        <x:v>Yes</x:v>
      </x:c>
      <x:c r="U606" s="1" t="n">
        <x:v>0</x:v>
      </x:c>
    </x:row>
    <x:row r="607" ht="23" customHeight="1">
      <x:c r="A607" s="9" t="n">
        <x:v>725</x:v>
      </x:c>
      <x:c r="B607" s="9" t="n">
        <x:v>124</x:v>
      </x:c>
      <x:c r="C607" s="9" t="n">
        <x:v>667</x:v>
      </x:c>
      <x:c r="D607" s="9" t="n">
        <x:v>2</x:v>
      </x:c>
      <x:c r="E607" s="9" t="n">
        <x:v>119476</x:v>
      </x:c>
      <x:c r="F607" s="9" t="n">
        <x:v>37399</x:v>
      </x:c>
      <x:c r="G607" s="9" t="n">
        <x:v>26753.9999999851</x:v>
      </x:c>
      <x:c r="H607" s="9" t="n">
        <x:v>51100</x:v>
      </x:c>
      <x:c r="I607" s="9" t="n">
        <x:v>4117</x:v>
      </x:c>
      <x:c r="J607" s="9" t="n">
        <x:v>106.00000001490116</x:v>
      </x:c>
      <x:c r="K607" s="9" t="n">
        <x:f>F607+G607+I607+J607</x:f>
        <x:v>68376</x:v>
      </x:c>
      <x:c r="L607" s="10" t="n">
        <x:f>K607/Sources!$B$4*1000</x:f>
        <x:v>19.101869092300838</x:v>
      </x:c>
      <x:c r="M607" s="10" t="n">
        <x:f>E607/Sources!$B$4*1000</x:f>
        <x:v>33.37742646062558</x:v>
      </x:c>
      <x:c r="N607" s="9" t="n">
        <x:f>Sources!$B$6-K607</x:f>
        <x:v>-8640</x:v>
      </x:c>
      <x:c r="O607" s="1" t="str">
        <x:v>keyboard_route</x:v>
      </x:c>
      <x:c r="P607" s="12" t="n">
        <x:v>0</x:v>
      </x:c>
      <x:c r="Q607" s="12" t="n">
        <x:v>-4</x:v>
      </x:c>
      <x:c r="R607" s="12" t="n">
        <x:v>4</x:v>
      </x:c>
      <x:c r="S607" s="12" t="n">
        <x:v>3</x:v>
      </x:c>
      <x:c r="T607" s="1" t="str">
        <x:v>No</x:v>
      </x:c>
      <x:c r="U607" s="1" t="n">
        <x:v>0</x:v>
      </x:c>
    </x:row>
    <x:row r="608" ht="23" customHeight="1">
      <x:c r="A608" s="9" t="n">
        <x:v>726</x:v>
      </x:c>
      <x:c r="B608" s="9" t="n">
        <x:v>124</x:v>
      </x:c>
      <x:c r="C608" s="9" t="n">
        <x:v>663</x:v>
      </x:c>
      <x:c r="D608" s="9" t="n">
        <x:v>2</x:v>
      </x:c>
      <x:c r="E608" s="9" t="n">
        <x:v>119469</x:v>
      </x:c>
      <x:c r="F608" s="9" t="n">
        <x:v>33349</x:v>
      </x:c>
      <x:c r="G608" s="9" t="n">
        <x:v>38277</x:v>
      </x:c>
      <x:c r="H608" s="9" t="n">
        <x:v>43619.9999999851</x:v>
      </x:c>
      <x:c r="I608" s="9" t="n">
        <x:v>4117</x:v>
      </x:c>
      <x:c r="J608" s="9" t="n">
        <x:v>106.00000001490116</x:v>
      </x:c>
      <x:c r="K608" s="9" t="n">
        <x:f>F608+G608+I608+J608</x:f>
        <x:v>75849.0000000149</x:v>
      </x:c>
      <x:c r="L608" s="10" t="n">
        <x:f>K608/Sources!$B$4*1000</x:f>
        <x:v>21.18956459550443</x:v>
      </x:c>
      <x:c r="M608" s="10" t="n">
        <x:f>E608/Sources!$B$4*1000</x:f>
        <x:v>33.375470904821704</x:v>
      </x:c>
      <x:c r="N608" s="9" t="n">
        <x:f>Sources!$B$6-K608</x:f>
        <x:v>-16113.000000014901</x:v>
      </x:c>
      <x:c r="O608" s="1" t="str">
        <x:v>keyboard_route</x:v>
      </x:c>
      <x:c r="P608" s="12" t="n">
        <x:v>0</x:v>
      </x:c>
      <x:c r="Q608" s="12" t="n">
        <x:v>-4</x:v>
      </x:c>
      <x:c r="R608" s="12" t="n">
        <x:v>4</x:v>
      </x:c>
      <x:c r="S608" s="12" t="n">
        <x:v>7</x:v>
      </x:c>
      <x:c r="T608" s="1" t="str">
        <x:v>Yes</x:v>
      </x:c>
      <x:c r="U608" s="1" t="n">
        <x:v>0</x:v>
      </x:c>
    </x:row>
    <x:row r="609" ht="23" customHeight="1">
      <x:c r="A609" s="9" t="n">
        <x:v>727</x:v>
      </x:c>
      <x:c r="B609" s="9" t="n">
        <x:v>124</x:v>
      </x:c>
      <x:c r="C609" s="9" t="n">
        <x:v>659</x:v>
      </x:c>
      <x:c r="D609" s="9" t="n">
        <x:v>2</x:v>
      </x:c>
      <x:c r="E609" s="9" t="n">
        <x:v>119472</x:v>
      </x:c>
      <x:c r="F609" s="9" t="n">
        <x:v>38823</x:v>
      </x:c>
      <x:c r="G609" s="9" t="n">
        <x:v>25891</x:v>
      </x:c>
      <x:c r="H609" s="9" t="n">
        <x:v>50535.0000000149</x:v>
      </x:c>
      <x:c r="I609" s="9" t="n">
        <x:v>4117</x:v>
      </x:c>
      <x:c r="J609" s="9" t="n">
        <x:v>105.99999998509884</x:v>
      </x:c>
      <x:c r="K609" s="9" t="n">
        <x:f>F609+G609+I609+J609</x:f>
        <x:v>68936.9999999851</x:v>
      </x:c>
      <x:c r="L609" s="10" t="n">
        <x:f>K609/Sources!$B$4*1000</x:f>
        <x:v>19.258592921721924</x:v>
      </x:c>
      <x:c r="M609" s="10" t="n">
        <x:f>E609/Sources!$B$4*1000</x:f>
        <x:v>33.37630900016622</x:v>
      </x:c>
      <x:c r="N609" s="9" t="n">
        <x:f>Sources!$B$6-K609</x:f>
        <x:v>-9200.999999985099</x:v>
      </x:c>
      <x:c r="O609" s="1" t="str">
        <x:v>keyboard_route</x:v>
      </x:c>
      <x:c r="P609" s="12" t="n">
        <x:v>0</x:v>
      </x:c>
      <x:c r="Q609" s="12" t="n">
        <x:v>-4</x:v>
      </x:c>
      <x:c r="R609" s="12" t="n">
        <x:v>4</x:v>
      </x:c>
      <x:c r="S609" s="12" t="n">
        <x:v>3</x:v>
      </x:c>
      <x:c r="T609" s="1" t="str">
        <x:v>No</x:v>
      </x:c>
      <x:c r="U609" s="1" t="n">
        <x:v>0</x:v>
      </x:c>
    </x:row>
    <x:row r="610" ht="23" customHeight="1">
      <x:c r="A610" s="9" t="n">
        <x:v>728</x:v>
      </x:c>
      <x:c r="B610" s="9" t="n">
        <x:v>124</x:v>
      </x:c>
      <x:c r="C610" s="9" t="n">
        <x:v>655</x:v>
      </x:c>
      <x:c r="D610" s="9" t="n">
        <x:v>2</x:v>
      </x:c>
      <x:c r="E610" s="9" t="n">
        <x:v>122296</x:v>
      </x:c>
      <x:c r="F610" s="9" t="n">
        <x:v>38675</x:v>
      </x:c>
      <x:c r="G610" s="9" t="n">
        <x:v>38277.0000000149</x:v>
      </x:c>
      <x:c r="H610" s="9" t="n">
        <x:v>38300</x:v>
      </x:c>
      <x:c r="I610" s="9" t="n">
        <x:v>6938.000000014901</x:v>
      </x:c>
      <x:c r="J610" s="9" t="n">
        <x:v>105.99999997019768</x:v>
      </x:c>
      <x:c r="K610" s="9" t="n">
        <x:f>F610+G610+I610+J610</x:f>
        <x:v>83996</x:v>
      </x:c>
      <x:c r="L610" s="10" t="n">
        <x:f>K610/Sources!$B$4*1000</x:f>
        <x:v>23.465552186101863</x:v>
      </x:c>
      <x:c r="M610" s="10" t="n">
        <x:f>E610/Sources!$B$4*1000</x:f>
        <x:v>34.16523608447442</x:v>
      </x:c>
      <x:c r="N610" s="9" t="n">
        <x:f>Sources!$B$6-K610</x:f>
        <x:v>-24260</x:v>
      </x:c>
      <x:c r="O610" s="1" t="str">
        <x:v>keyboard_route</x:v>
      </x:c>
      <x:c r="P610" s="12" t="n">
        <x:v>0</x:v>
      </x:c>
      <x:c r="Q610" s="12" t="n">
        <x:v>-4</x:v>
      </x:c>
      <x:c r="R610" s="12" t="n">
        <x:v>4</x:v>
      </x:c>
      <x:c r="S610" s="12" t="n">
        <x:v>7</x:v>
      </x:c>
      <x:c r="T610" s="1" t="str">
        <x:v>Yes</x:v>
      </x:c>
      <x:c r="U610" s="1" t="n">
        <x:v>0</x:v>
      </x:c>
    </x:row>
    <x:row r="611" ht="23" customHeight="1">
      <x:c r="A611" s="9" t="n">
        <x:v>729</x:v>
      </x:c>
      <x:c r="B611" s="9" t="n">
        <x:v>124</x:v>
      </x:c>
      <x:c r="C611" s="9" t="n">
        <x:v>651</x:v>
      </x:c>
      <x:c r="D611" s="9" t="n">
        <x:v>2</x:v>
      </x:c>
      <x:c r="E611" s="9" t="n">
        <x:v>116649.9999999851</x:v>
      </x:c>
      <x:c r="F611" s="9" t="n">
        <x:v>37630.9999999851</x:v>
      </x:c>
      <x:c r="G611" s="9" t="n">
        <x:v>25890.9999999851</x:v>
      </x:c>
      <x:c r="H611" s="9" t="n">
        <x:v>48905</x:v>
      </x:c>
      <x:c r="I611" s="9" t="n">
        <x:v>4117</x:v>
      </x:c>
      <x:c r="J611" s="9" t="n">
        <x:v>106.00000001490116</x:v>
      </x:c>
      <x:c r="K611" s="9" t="n">
        <x:f>F611+G611+I611+J611</x:f>
        <x:v>67744.9999999851</x:v>
      </x:c>
      <x:c r="L611" s="10" t="n">
        <x:f>K611/Sources!$B$4*1000</x:f>
        <x:v>18.925589704832625</x:v>
      </x:c>
      <x:c r="M611" s="10" t="n">
        <x:f>E611/Sources!$B$4*1000</x:f>
        <x:v>32.58794064608354</x:v>
      </x:c>
      <x:c r="N611" s="9" t="n">
        <x:f>Sources!$B$6-K611</x:f>
        <x:v>-8008.999999985099</x:v>
      </x:c>
      <x:c r="O611" s="1" t="str">
        <x:v>keyboard_route</x:v>
      </x:c>
      <x:c r="P611" s="12" t="n">
        <x:v>0</x:v>
      </x:c>
      <x:c r="Q611" s="12" t="n">
        <x:v>-4</x:v>
      </x:c>
      <x:c r="R611" s="12" t="n">
        <x:v>4</x:v>
      </x:c>
      <x:c r="S611" s="12" t="n">
        <x:v>3</x:v>
      </x:c>
      <x:c r="T611" s="1" t="str">
        <x:v>No</x:v>
      </x:c>
      <x:c r="U611" s="1" t="n">
        <x:v>0</x:v>
      </x:c>
    </x:row>
    <x:row r="612" ht="23" customHeight="1">
      <x:c r="A612" s="9" t="n">
        <x:v>730</x:v>
      </x:c>
      <x:c r="B612" s="9" t="n">
        <x:v>124</x:v>
      </x:c>
      <x:c r="C612" s="9" t="n">
        <x:v>647</x:v>
      </x:c>
      <x:c r="D612" s="9" t="n">
        <x:v>2</x:v>
      </x:c>
      <x:c r="E612" s="9" t="n">
        <x:v>119471.0000000149</x:v>
      </x:c>
      <x:c r="F612" s="9" t="n">
        <x:v>31391</x:v>
      </x:c>
      <x:c r="G612" s="9" t="n">
        <x:v>38277</x:v>
      </x:c>
      <x:c r="H612" s="9" t="n">
        <x:v>45579.9999999851</x:v>
      </x:c>
      <x:c r="I612" s="9" t="n">
        <x:v>4117</x:v>
      </x:c>
      <x:c r="J612" s="9" t="n">
        <x:v>106.00000002980232</x:v>
      </x:c>
      <x:c r="K612" s="9" t="n">
        <x:f>F612+G612+I612+J612</x:f>
        <x:v>73891.0000000298</x:v>
      </x:c>
      <x:c r="L612" s="10" t="n">
        <x:f>K612/Sources!$B$4*1000</x:f>
        <x:v>20.642567700651842</x:v>
      </x:c>
      <x:c r="M612" s="10" t="n">
        <x:f>E612/Sources!$B$4*1000</x:f>
        <x:v>33.376029635055545</x:v>
      </x:c>
      <x:c r="N612" s="9" t="n">
        <x:f>Sources!$B$6-K612</x:f>
        <x:v>-14155.000000029802</x:v>
      </x:c>
      <x:c r="O612" s="1" t="str">
        <x:v>keyboard_route</x:v>
      </x:c>
      <x:c r="P612" s="12" t="n">
        <x:v>0</x:v>
      </x:c>
      <x:c r="Q612" s="12" t="n">
        <x:v>-4</x:v>
      </x:c>
      <x:c r="R612" s="12" t="n">
        <x:v>4</x:v>
      </x:c>
      <x:c r="S612" s="12" t="n">
        <x:v>7</x:v>
      </x:c>
      <x:c r="T612" s="1" t="str">
        <x:v>Yes</x:v>
      </x:c>
      <x:c r="U612" s="1" t="n">
        <x:v>0</x:v>
      </x:c>
    </x:row>
    <x:row r="613" ht="23" customHeight="1">
      <x:c r="A613" s="9" t="n">
        <x:v>731</x:v>
      </x:c>
      <x:c r="B613" s="9" t="n">
        <x:v>124</x:v>
      </x:c>
      <x:c r="C613" s="9" t="n">
        <x:v>643</x:v>
      </x:c>
      <x:c r="D613" s="9" t="n">
        <x:v>2</x:v>
      </x:c>
      <x:c r="E613" s="9" t="n">
        <x:v>119470</x:v>
      </x:c>
      <x:c r="F613" s="9" t="n">
        <x:v>36496</x:v>
      </x:c>
      <x:c r="G613" s="9" t="n">
        <x:v>25891</x:v>
      </x:c>
      <x:c r="H613" s="9" t="n">
        <x:v>52860.0000000149</x:v>
      </x:c>
      <x:c r="I613" s="9" t="n">
        <x:v>4117</x:v>
      </x:c>
      <x:c r="J613" s="9" t="n">
        <x:v>105.99999998509884</x:v>
      </x:c>
      <x:c r="K613" s="9" t="n">
        <x:f>F613+G613+I613+J613</x:f>
        <x:v>66609.9999999851</x:v>
      </x:c>
      <x:c r="L613" s="10" t="n">
        <x:f>K613/Sources!$B$4*1000</x:f>
        <x:v>18.60851029948921</x:v>
      </x:c>
      <x:c r="M613" s="10" t="n">
        <x:f>E613/Sources!$B$4*1000</x:f>
        <x:v>33.37575026993654</x:v>
      </x:c>
      <x:c r="N613" s="9" t="n">
        <x:f>Sources!$B$6-K613</x:f>
        <x:v>-6873.999999985099</x:v>
      </x:c>
      <x:c r="O613" s="1" t="str">
        <x:v>keyboard_route</x:v>
      </x:c>
      <x:c r="P613" s="12" t="n">
        <x:v>0</x:v>
      </x:c>
      <x:c r="Q613" s="12" t="n">
        <x:v>-4</x:v>
      </x:c>
      <x:c r="R613" s="12" t="n">
        <x:v>4</x:v>
      </x:c>
      <x:c r="S613" s="12" t="n">
        <x:v>3</x:v>
      </x:c>
      <x:c r="T613" s="1" t="str">
        <x:v>No</x:v>
      </x:c>
      <x:c r="U613" s="1" t="n">
        <x:v>0</x:v>
      </x:c>
    </x:row>
    <x:row r="614" ht="23" customHeight="1">
      <x:c r="A614" s="9" t="n">
        <x:v>732</x:v>
      </x:c>
      <x:c r="B614" s="9" t="n">
        <x:v>124</x:v>
      </x:c>
      <x:c r="C614" s="9" t="n">
        <x:v>639</x:v>
      </x:c>
      <x:c r="D614" s="9" t="n">
        <x:v>2</x:v>
      </x:c>
      <x:c r="E614" s="9" t="n">
        <x:v>119475</x:v>
      </x:c>
      <x:c r="F614" s="9" t="n">
        <x:v>35623.9999999851</x:v>
      </x:c>
      <x:c r="G614" s="9" t="n">
        <x:v>38302.9999999851</x:v>
      </x:c>
      <x:c r="H614" s="9" t="n">
        <x:v>41325</x:v>
      </x:c>
      <x:c r="I614" s="9" t="n">
        <x:v>4117</x:v>
      </x:c>
      <x:c r="J614" s="9" t="n">
        <x:v>106.00000002980232</x:v>
      </x:c>
      <x:c r="K614" s="9" t="n">
        <x:f>F614+G614+I614+J614</x:f>
        <x:v>78150</x:v>
      </x:c>
      <x:c r="L614" s="10" t="n">
        <x:f>K614/Sources!$B$4*1000</x:f>
        <x:v>21.832383724747142</x:v>
      </x:c>
      <x:c r="M614" s="10" t="n">
        <x:f>E614/Sources!$B$4*1000</x:f>
        <x:v>33.37714709551074</x:v>
      </x:c>
      <x:c r="N614" s="9" t="n">
        <x:f>Sources!$B$6-K614</x:f>
        <x:v>-18414</x:v>
      </x:c>
      <x:c r="O614" s="1" t="str">
        <x:v>keyboard_route</x:v>
      </x:c>
      <x:c r="P614" s="12" t="n">
        <x:v>0</x:v>
      </x:c>
      <x:c r="Q614" s="12" t="n">
        <x:v>-4</x:v>
      </x:c>
      <x:c r="R614" s="12" t="n">
        <x:v>4</x:v>
      </x:c>
      <x:c r="S614" s="12" t="n">
        <x:v>7</x:v>
      </x:c>
      <x:c r="T614" s="1" t="str">
        <x:v>Yes</x:v>
      </x:c>
      <x:c r="U614" s="1" t="n">
        <x:v>0</x:v>
      </x:c>
    </x:row>
    <x:row r="615" ht="23" customHeight="1">
      <x:c r="A615" s="9" t="n">
        <x:v>733</x:v>
      </x:c>
      <x:c r="B615" s="9" t="n">
        <x:v>124</x:v>
      </x:c>
      <x:c r="C615" s="9" t="n">
        <x:v>635</x:v>
      </x:c>
      <x:c r="D615" s="9" t="n">
        <x:v>2</x:v>
      </x:c>
      <x:c r="E615" s="9" t="n">
        <x:v>119469</x:v>
      </x:c>
      <x:c r="F615" s="9" t="n">
        <x:v>37565</x:v>
      </x:c>
      <x:c r="G615" s="9" t="n">
        <x:v>25891.0000000149</x:v>
      </x:c>
      <x:c r="H615" s="9" t="n">
        <x:v>51789.9999999851</x:v>
      </x:c>
      <x:c r="I615" s="9" t="n">
        <x:v>4117</x:v>
      </x:c>
      <x:c r="J615" s="9" t="n">
        <x:v>106</x:v>
      </x:c>
      <x:c r="K615" s="9" t="n">
        <x:f>F615+G615+I615+J615</x:f>
        <x:v>67679.0000000149</x:v>
      </x:c>
      <x:c r="L615" s="10" t="n">
        <x:f>K615/Sources!$B$4*1000</x:f>
        <x:v>18.907151607261508</x:v>
      </x:c>
      <x:c r="M615" s="10" t="n">
        <x:f>E615/Sources!$B$4*1000</x:f>
        <x:v>33.375470904821704</x:v>
      </x:c>
      <x:c r="N615" s="9" t="n">
        <x:f>Sources!$B$6-K615</x:f>
        <x:v>-7943.000000014901</x:v>
      </x:c>
      <x:c r="O615" s="1" t="str">
        <x:v>keyboard_route</x:v>
      </x:c>
      <x:c r="P615" s="12" t="n">
        <x:v>0</x:v>
      </x:c>
      <x:c r="Q615" s="12" t="n">
        <x:v>-4</x:v>
      </x:c>
      <x:c r="R615" s="12" t="n">
        <x:v>4</x:v>
      </x:c>
      <x:c r="S615" s="12" t="n">
        <x:v>3</x:v>
      </x:c>
      <x:c r="T615" s="1" t="str">
        <x:v>No</x:v>
      </x:c>
      <x:c r="U615" s="1" t="n">
        <x:v>0</x:v>
      </x:c>
    </x:row>
    <x:row r="616" ht="23" customHeight="1">
      <x:c r="A616" s="9" t="n">
        <x:v>734</x:v>
      </x:c>
      <x:c r="B616" s="9" t="n">
        <x:v>124</x:v>
      </x:c>
      <x:c r="C616" s="9" t="n">
        <x:v>631</x:v>
      </x:c>
      <x:c r="D616" s="9" t="n">
        <x:v>2</x:v>
      </x:c>
      <x:c r="E616" s="9" t="n">
        <x:v>119476</x:v>
      </x:c>
      <x:c r="F616" s="9" t="n">
        <x:v>34826.9999999851</x:v>
      </x:c>
      <x:c r="G616" s="9" t="n">
        <x:v>39166</x:v>
      </x:c>
      <x:c r="H616" s="9" t="n">
        <x:v>41260.0000000149</x:v>
      </x:c>
      <x:c r="I616" s="9" t="n">
        <x:v>4117</x:v>
      </x:c>
      <x:c r="J616" s="9" t="n">
        <x:v>106</x:v>
      </x:c>
      <x:c r="K616" s="9" t="n">
        <x:f>F616+G616+I616+J616</x:f>
        <x:v>78215.9999999851</x:v>
      </x:c>
      <x:c r="L616" s="10" t="n">
        <x:f>K616/Sources!$B$4*1000</x:f>
        <x:v>21.850821822322416</x:v>
      </x:c>
      <x:c r="M616" s="10" t="n">
        <x:f>E616/Sources!$B$4*1000</x:f>
        <x:v>33.37742646062558</x:v>
      </x:c>
      <x:c r="N616" s="9" t="n">
        <x:f>Sources!$B$6-K616</x:f>
        <x:v>-18479.9999999851</x:v>
      </x:c>
      <x:c r="O616" s="1" t="str">
        <x:v>keyboard_route</x:v>
      </x:c>
      <x:c r="P616" s="12" t="n">
        <x:v>0</x:v>
      </x:c>
      <x:c r="Q616" s="12" t="n">
        <x:v>-4</x:v>
      </x:c>
      <x:c r="R616" s="12" t="n">
        <x:v>4</x:v>
      </x:c>
      <x:c r="S616" s="12" t="n">
        <x:v>7</x:v>
      </x:c>
      <x:c r="T616" s="1" t="str">
        <x:v>Yes</x:v>
      </x:c>
      <x:c r="U616" s="1" t="n">
        <x:v>0</x:v>
      </x:c>
    </x:row>
    <x:row r="617" ht="23" customHeight="1">
      <x:c r="A617" s="9" t="n">
        <x:v>735</x:v>
      </x:c>
      <x:c r="B617" s="9" t="n">
        <x:v>124</x:v>
      </x:c>
      <x:c r="C617" s="9" t="n">
        <x:v>627</x:v>
      </x:c>
      <x:c r="D617" s="9" t="n">
        <x:v>2</x:v>
      </x:c>
      <x:c r="E617" s="9" t="n">
        <x:v>119471</x:v>
      </x:c>
      <x:c r="F617" s="9" t="n">
        <x:v>38212</x:v>
      </x:c>
      <x:c r="G617" s="9" t="n">
        <x:v>25891</x:v>
      </x:c>
      <x:c r="H617" s="9" t="n">
        <x:v>51145.0000000149</x:v>
      </x:c>
      <x:c r="I617" s="9" t="n">
        <x:v>4117</x:v>
      </x:c>
      <x:c r="J617" s="9" t="n">
        <x:v>105.99999998509884</x:v>
      </x:c>
      <x:c r="K617" s="9" t="n">
        <x:f>F617+G617+I617+J617</x:f>
        <x:v>68325.9999999851</x:v>
      </x:c>
      <x:c r="L617" s="10" t="n">
        <x:f>K617/Sources!$B$4*1000</x:f>
        <x:v>19.087900836554674</x:v>
      </x:c>
      <x:c r="M617" s="10" t="n">
        <x:f>E617/Sources!$B$4*1000</x:f>
        <x:v>33.37602963505138</x:v>
      </x:c>
      <x:c r="N617" s="9" t="n">
        <x:f>Sources!$B$6-K617</x:f>
        <x:v>-8589.999999985099</x:v>
      </x:c>
      <x:c r="O617" s="1" t="str">
        <x:v>keyboard_route</x:v>
      </x:c>
      <x:c r="P617" s="12" t="n">
        <x:v>0</x:v>
      </x:c>
      <x:c r="Q617" s="12" t="n">
        <x:v>-4</x:v>
      </x:c>
      <x:c r="R617" s="12" t="n">
        <x:v>4</x:v>
      </x:c>
      <x:c r="S617" s="12" t="n">
        <x:v>3</x:v>
      </x:c>
      <x:c r="T617" s="1" t="str">
        <x:v>No</x:v>
      </x:c>
      <x:c r="U617" s="1" t="n">
        <x:v>0</x:v>
      </x:c>
    </x:row>
    <x:row r="618" ht="23" customHeight="1">
      <x:c r="A618" s="9" t="n">
        <x:v>736</x:v>
      </x:c>
      <x:c r="B618" s="9" t="n">
        <x:v>124</x:v>
      </x:c>
      <x:c r="C618" s="9" t="n">
        <x:v>623</x:v>
      </x:c>
      <x:c r="D618" s="9" t="n">
        <x:v>2</x:v>
      </x:c>
      <x:c r="E618" s="9" t="n">
        <x:v>119471.9999999851</x:v>
      </x:c>
      <x:c r="F618" s="9" t="n">
        <x:v>31473.0000000149</x:v>
      </x:c>
      <x:c r="G618" s="9" t="n">
        <x:v>39166</x:v>
      </x:c>
      <x:c r="H618" s="9" t="n">
        <x:v>44610</x:v>
      </x:c>
      <x:c r="I618" s="9" t="n">
        <x:v>4117</x:v>
      </x:c>
      <x:c r="J618" s="9" t="n">
        <x:v>105.99999997019768</x:v>
      </x:c>
      <x:c r="K618" s="9" t="n">
        <x:f>F618+G618+I618+J618</x:f>
        <x:v>74861.9999999851</x:v>
      </x:c>
      <x:c r="L618" s="10" t="n">
        <x:f>K618/Sources!$B$4*1000</x:f>
        <x:v>20.913831227149007</x:v>
      </x:c>
      <x:c r="M618" s="10" t="n">
        <x:f>E618/Sources!$B$4*1000</x:f>
        <x:v>33.37630900016206</x:v>
      </x:c>
      <x:c r="N618" s="9" t="n">
        <x:f>Sources!$B$6-K618</x:f>
        <x:v>-15125.999999985099</x:v>
      </x:c>
      <x:c r="O618" s="1" t="str">
        <x:v>keyboard_route</x:v>
      </x:c>
      <x:c r="P618" s="12" t="n">
        <x:v>0</x:v>
      </x:c>
      <x:c r="Q618" s="12" t="n">
        <x:v>-4</x:v>
      </x:c>
      <x:c r="R618" s="12" t="n">
        <x:v>4</x:v>
      </x:c>
      <x:c r="S618" s="12" t="n">
        <x:v>7</x:v>
      </x:c>
      <x:c r="T618" s="1" t="str">
        <x:v>Yes</x:v>
      </x:c>
      <x:c r="U618" s="1" t="n">
        <x:v>0</x:v>
      </x:c>
    </x:row>
    <x:row r="619" ht="23" customHeight="1">
      <x:c r="A619" s="9" t="n">
        <x:v>737</x:v>
      </x:c>
      <x:c r="B619" s="9" t="n">
        <x:v>124</x:v>
      </x:c>
      <x:c r="C619" s="9" t="n">
        <x:v>619</x:v>
      </x:c>
      <x:c r="D619" s="9" t="n">
        <x:v>2</x:v>
      </x:c>
      <x:c r="E619" s="9" t="n">
        <x:v>119470.0000000149</x:v>
      </x:c>
      <x:c r="F619" s="9" t="n">
        <x:v>37366</x:v>
      </x:c>
      <x:c r="G619" s="9" t="n">
        <x:v>25891</x:v>
      </x:c>
      <x:c r="H619" s="9" t="n">
        <x:v>51990</x:v>
      </x:c>
      <x:c r="I619" s="9" t="n">
        <x:v>4117</x:v>
      </x:c>
      <x:c r="J619" s="9" t="n">
        <x:v>106.00000001490116</x:v>
      </x:c>
      <x:c r="K619" s="9" t="n">
        <x:f>F619+G619+I619+J619</x:f>
        <x:v>67480.0000000149</x:v>
      </x:c>
      <x:c r="L619" s="10" t="n">
        <x:f>K619/Sources!$B$4*1000</x:f>
        <x:v>18.85155794940835</x:v>
      </x:c>
      <x:c r="M619" s="10" t="n">
        <x:f>E619/Sources!$B$4*1000</x:f>
        <x:v>33.3757502699407</x:v>
      </x:c>
      <x:c r="N619" s="9" t="n">
        <x:f>Sources!$B$6-K619</x:f>
        <x:v>-7744.000000014901</x:v>
      </x:c>
      <x:c r="O619" s="1" t="str">
        <x:v>keyboard_route</x:v>
      </x:c>
      <x:c r="P619" s="12" t="n">
        <x:v>0</x:v>
      </x:c>
      <x:c r="Q619" s="12" t="n">
        <x:v>-4</x:v>
      </x:c>
      <x:c r="R619" s="12" t="n">
        <x:v>4</x:v>
      </x:c>
      <x:c r="S619" s="12" t="n">
        <x:v>3</x:v>
      </x:c>
      <x:c r="T619" s="1" t="str">
        <x:v>No</x:v>
      </x:c>
      <x:c r="U619" s="1" t="n">
        <x:v>0</x:v>
      </x:c>
    </x:row>
    <x:row r="620" ht="23" customHeight="1">
      <x:c r="A620" s="9" t="n">
        <x:v>738</x:v>
      </x:c>
      <x:c r="B620" s="9" t="n">
        <x:v>124</x:v>
      </x:c>
      <x:c r="C620" s="9" t="n">
        <x:v>615</x:v>
      </x:c>
      <x:c r="D620" s="9" t="n">
        <x:v>2</x:v>
      </x:c>
      <x:c r="E620" s="9" t="n">
        <x:v>119473</x:v>
      </x:c>
      <x:c r="F620" s="9" t="n">
        <x:v>32929</x:v>
      </x:c>
      <x:c r="G620" s="9" t="n">
        <x:v>39166</x:v>
      </x:c>
      <x:c r="H620" s="9" t="n">
        <x:v>43155.0000000149</x:v>
      </x:c>
      <x:c r="I620" s="9" t="n">
        <x:v>4117</x:v>
      </x:c>
      <x:c r="J620" s="9" t="n">
        <x:v>105.99999998509884</x:v>
      </x:c>
      <x:c r="K620" s="9" t="n">
        <x:f>F620+G620+I620+J620</x:f>
        <x:v>76317.9999999851</x:v>
      </x:c>
      <x:c r="L620" s="10" t="n">
        <x:f>K620/Sources!$B$4*1000</x:f>
        <x:v>21.32058683435607</x:v>
      </x:c>
      <x:c r="M620" s="10" t="n">
        <x:f>E620/Sources!$B$4*1000</x:f>
        <x:v>33.37658836528106</x:v>
      </x:c>
      <x:c r="N620" s="9" t="n">
        <x:f>Sources!$B$6-K620</x:f>
        <x:v>-16581.9999999851</x:v>
      </x:c>
      <x:c r="O620" s="1" t="str">
        <x:v>keyboard_route</x:v>
      </x:c>
      <x:c r="P620" s="12" t="n">
        <x:v>0</x:v>
      </x:c>
      <x:c r="Q620" s="12" t="n">
        <x:v>-4</x:v>
      </x:c>
      <x:c r="R620" s="12" t="n">
        <x:v>4</x:v>
      </x:c>
      <x:c r="S620" s="12" t="n">
        <x:v>7</x:v>
      </x:c>
      <x:c r="T620" s="1" t="str">
        <x:v>Yes</x:v>
      </x:c>
      <x:c r="U620" s="1" t="n">
        <x:v>0</x:v>
      </x:c>
    </x:row>
    <x:row r="621" ht="23" customHeight="1">
      <x:c r="A621" s="9" t="n">
        <x:v>739</x:v>
      </x:c>
      <x:c r="B621" s="9" t="n">
        <x:v>124</x:v>
      </x:c>
      <x:c r="C621" s="9" t="n">
        <x:v>611</x:v>
      </x:c>
      <x:c r="D621" s="9" t="n">
        <x:v>2</x:v>
      </x:c>
      <x:c r="E621" s="9" t="n">
        <x:v>119470</x:v>
      </x:c>
      <x:c r="F621" s="9" t="n">
        <x:v>38035.9999999851</x:v>
      </x:c>
      <x:c r="G621" s="9" t="n">
        <x:v>25891</x:v>
      </x:c>
      <x:c r="H621" s="9" t="n">
        <x:v>51320</x:v>
      </x:c>
      <x:c r="I621" s="9" t="n">
        <x:v>4117</x:v>
      </x:c>
      <x:c r="J621" s="9" t="n">
        <x:v>106.00000001490116</x:v>
      </x:c>
      <x:c r="K621" s="9" t="n">
        <x:f>F621+G621+I621+J621</x:f>
        <x:v>68150</x:v>
      </x:c>
      <x:c r="L621" s="10" t="n">
        <x:f>K621/Sources!$B$4*1000</x:f>
        <x:v>19.038732576346995</x:v>
      </x:c>
      <x:c r="M621" s="10" t="n">
        <x:f>E621/Sources!$B$4*1000</x:f>
        <x:v>33.37575026993654</x:v>
      </x:c>
      <x:c r="N621" s="9" t="n">
        <x:f>Sources!$B$6-K621</x:f>
        <x:v>-8414</x:v>
      </x:c>
      <x:c r="O621" s="1" t="str">
        <x:v>keyboard_route</x:v>
      </x:c>
      <x:c r="P621" s="12" t="n">
        <x:v>0</x:v>
      </x:c>
      <x:c r="Q621" s="12" t="n">
        <x:v>-4</x:v>
      </x:c>
      <x:c r="R621" s="12" t="n">
        <x:v>4</x:v>
      </x:c>
      <x:c r="S621" s="12" t="n">
        <x:v>3</x:v>
      </x:c>
      <x:c r="T621" s="1" t="str">
        <x:v>No</x:v>
      </x:c>
      <x:c r="U621" s="1" t="n">
        <x:v>0</x:v>
      </x:c>
    </x:row>
    <x:row r="622" ht="23" customHeight="1">
      <x:c r="A622" s="9" t="n">
        <x:v>740</x:v>
      </x:c>
      <x:c r="B622" s="9" t="n">
        <x:v>124</x:v>
      </x:c>
      <x:c r="C622" s="9" t="n">
        <x:v>607</x:v>
      </x:c>
      <x:c r="D622" s="9" t="n">
        <x:v>2</x:v>
      </x:c>
      <x:c r="E622" s="9" t="n">
        <x:v>119472</x:v>
      </x:c>
      <x:c r="F622" s="9" t="n">
        <x:v>36879</x:v>
      </x:c>
      <x:c r="G622" s="9" t="n">
        <x:v>39139.9999999851</x:v>
      </x:c>
      <x:c r="H622" s="9" t="n">
        <x:v>39230</x:v>
      </x:c>
      <x:c r="I622" s="9" t="n">
        <x:v>4117</x:v>
      </x:c>
      <x:c r="J622" s="9" t="n">
        <x:v>106.00000001490116</x:v>
      </x:c>
      <x:c r="K622" s="9" t="n">
        <x:f>F622+G622+I622+J622</x:f>
        <x:v>80242</x:v>
      </x:c>
      <x:c r="L622" s="10" t="n">
        <x:f>K622/Sources!$B$4*1000</x:f>
        <x:v>22.41681554499245</x:v>
      </x:c>
      <x:c r="M622" s="10" t="n">
        <x:f>E622/Sources!$B$4*1000</x:f>
        <x:v>33.37630900016622</x:v>
      </x:c>
      <x:c r="N622" s="9" t="n">
        <x:f>Sources!$B$6-K622</x:f>
        <x:v>-20506</x:v>
      </x:c>
      <x:c r="O622" s="1" t="str">
        <x:v>keyboard_route</x:v>
      </x:c>
      <x:c r="P622" s="12" t="n">
        <x:v>0</x:v>
      </x:c>
      <x:c r="Q622" s="12" t="n">
        <x:v>-4</x:v>
      </x:c>
      <x:c r="R622" s="12" t="n">
        <x:v>4</x:v>
      </x:c>
      <x:c r="S622" s="12" t="n">
        <x:v>7</x:v>
      </x:c>
      <x:c r="T622" s="1" t="str">
        <x:v>Yes</x:v>
      </x:c>
      <x:c r="U622" s="1" t="n">
        <x:v>0</x:v>
      </x:c>
    </x:row>
    <x:row r="623" ht="23" customHeight="1">
      <x:c r="A623" s="9" t="n">
        <x:v>741</x:v>
      </x:c>
      <x:c r="B623" s="9" t="n">
        <x:v>124</x:v>
      </x:c>
      <x:c r="C623" s="9" t="n">
        <x:v>603</x:v>
      </x:c>
      <x:c r="D623" s="9" t="n">
        <x:v>2</x:v>
      </x:c>
      <x:c r="E623" s="9" t="n">
        <x:v>119476</x:v>
      </x:c>
      <x:c r="F623" s="9" t="n">
        <x:v>40856.9999999851</x:v>
      </x:c>
      <x:c r="G623" s="9" t="n">
        <x:v>25891</x:v>
      </x:c>
      <x:c r="H623" s="9" t="n">
        <x:v>48505</x:v>
      </x:c>
      <x:c r="I623" s="9" t="n">
        <x:v>4116.999999985099</x:v>
      </x:c>
      <x:c r="J623" s="9" t="n">
        <x:v>106.00000002980232</x:v>
      </x:c>
      <x:c r="K623" s="9" t="n">
        <x:f>F623+G623+I623+J623</x:f>
        <x:v>70971</x:v>
      </x:c>
      <x:c r="L623" s="10" t="n">
        <x:f>K623/Sources!$B$4*1000</x:f>
        <x:v>19.826821565310674</x:v>
      </x:c>
      <x:c r="M623" s="10" t="n">
        <x:f>E623/Sources!$B$4*1000</x:f>
        <x:v>33.37742646062558</x:v>
      </x:c>
      <x:c r="N623" s="9" t="n">
        <x:f>Sources!$B$6-K623</x:f>
        <x:v>-11235</x:v>
      </x:c>
      <x:c r="O623" s="1" t="str">
        <x:v>keyboard_route</x:v>
      </x:c>
      <x:c r="P623" s="12" t="n">
        <x:v>0</x:v>
      </x:c>
      <x:c r="Q623" s="12" t="n">
        <x:v>-4</x:v>
      </x:c>
      <x:c r="R623" s="12" t="n">
        <x:v>4</x:v>
      </x:c>
      <x:c r="S623" s="12" t="n">
        <x:v>3</x:v>
      </x:c>
      <x:c r="T623" s="1" t="str">
        <x:v>No</x:v>
      </x:c>
      <x:c r="U623" s="1" t="n">
        <x:v>0</x:v>
      </x:c>
    </x:row>
    <x:row r="624" ht="23" customHeight="1">
      <x:c r="A624" s="9" t="n">
        <x:v>742</x:v>
      </x:c>
      <x:c r="B624" s="9" t="n">
        <x:v>124</x:v>
      </x:c>
      <x:c r="C624" s="9" t="n">
        <x:v>599</x:v>
      </x:c>
      <x:c r="D624" s="9" t="n">
        <x:v>2</x:v>
      </x:c>
      <x:c r="E624" s="9" t="n">
        <x:v>119471.9999999851</x:v>
      </x:c>
      <x:c r="F624" s="9" t="n">
        <x:v>31394.0000000149</x:v>
      </x:c>
      <x:c r="G624" s="9" t="n">
        <x:v>39140</x:v>
      </x:c>
      <x:c r="H624" s="9" t="n">
        <x:v>44715</x:v>
      </x:c>
      <x:c r="I624" s="9" t="n">
        <x:v>4117</x:v>
      </x:c>
      <x:c r="J624" s="9" t="n">
        <x:v>105.99999997019768</x:v>
      </x:c>
      <x:c r="K624" s="9" t="n">
        <x:f>F624+G624+I624+J624</x:f>
        <x:v>74756.9999999851</x:v>
      </x:c>
      <x:c r="L624" s="10" t="n">
        <x:f>K624/Sources!$B$4*1000</x:f>
        <x:v>20.88449789009081</x:v>
      </x:c>
      <x:c r="M624" s="10" t="n">
        <x:f>E624/Sources!$B$4*1000</x:f>
        <x:v>33.37630900016206</x:v>
      </x:c>
      <x:c r="N624" s="9" t="n">
        <x:f>Sources!$B$6-K624</x:f>
        <x:v>-15020.999999985099</x:v>
      </x:c>
      <x:c r="O624" s="1" t="str">
        <x:v>keyboard_route</x:v>
      </x:c>
      <x:c r="P624" s="12" t="n">
        <x:v>0</x:v>
      </x:c>
      <x:c r="Q624" s="12" t="n">
        <x:v>-4</x:v>
      </x:c>
      <x:c r="R624" s="12" t="n">
        <x:v>4</x:v>
      </x:c>
      <x:c r="S624" s="12" t="n">
        <x:v>7</x:v>
      </x:c>
      <x:c r="T624" s="1" t="str">
        <x:v>Yes</x:v>
      </x:c>
      <x:c r="U624" s="1" t="n">
        <x:v>0</x:v>
      </x:c>
    </x:row>
    <x:row r="625" ht="23" customHeight="1">
      <x:c r="A625" s="9" t="n">
        <x:v>743</x:v>
      </x:c>
      <x:c r="B625" s="9" t="n">
        <x:v>124</x:v>
      </x:c>
      <x:c r="C625" s="9" t="n">
        <x:v>595</x:v>
      </x:c>
      <x:c r="D625" s="9" t="n">
        <x:v>2</x:v>
      </x:c>
      <x:c r="E625" s="9" t="n">
        <x:v>119470</x:v>
      </x:c>
      <x:c r="F625" s="9" t="n">
        <x:v>36381</x:v>
      </x:c>
      <x:c r="G625" s="9" t="n">
        <x:v>25890.9999999851</x:v>
      </x:c>
      <x:c r="H625" s="9" t="n">
        <x:v>52975</x:v>
      </x:c>
      <x:c r="I625" s="9" t="n">
        <x:v>4117</x:v>
      </x:c>
      <x:c r="J625" s="9" t="n">
        <x:v>106.00000001490116</x:v>
      </x:c>
      <x:c r="K625" s="9" t="n">
        <x:f>F625+G625+I625+J625</x:f>
        <x:v>66495</x:v>
      </x:c>
      <x:c r="L625" s="10" t="n">
        <x:f>K625/Sources!$B$4*1000</x:f>
        <x:v>18.57638331128677</x:v>
      </x:c>
      <x:c r="M625" s="10" t="n">
        <x:f>E625/Sources!$B$4*1000</x:f>
        <x:v>33.37575026993654</x:v>
      </x:c>
      <x:c r="N625" s="9" t="n">
        <x:f>Sources!$B$6-K625</x:f>
        <x:v>-6759</x:v>
      </x:c>
      <x:c r="O625" s="1" t="str">
        <x:v>keyboard_route</x:v>
      </x:c>
      <x:c r="P625" s="12" t="n">
        <x:v>0</x:v>
      </x:c>
      <x:c r="Q625" s="12" t="n">
        <x:v>-4</x:v>
      </x:c>
      <x:c r="R625" s="12" t="n">
        <x:v>4</x:v>
      </x:c>
      <x:c r="S625" s="12" t="n">
        <x:v>3</x:v>
      </x:c>
      <x:c r="T625" s="1" t="str">
        <x:v>No</x:v>
      </x:c>
      <x:c r="U625" s="1" t="n">
        <x:v>0</x:v>
      </x:c>
    </x:row>
    <x:row r="626" ht="23" customHeight="1">
      <x:c r="A626" s="9" t="n">
        <x:v>744</x:v>
      </x:c>
      <x:c r="B626" s="9" t="n">
        <x:v>124</x:v>
      </x:c>
      <x:c r="C626" s="9" t="n">
        <x:v>591</x:v>
      </x:c>
      <x:c r="D626" s="9" t="n">
        <x:v>2</x:v>
      </x:c>
      <x:c r="E626" s="9" t="n">
        <x:v>119473.0000000149</x:v>
      </x:c>
      <x:c r="F626" s="9" t="n">
        <x:v>31330</x:v>
      </x:c>
      <x:c r="G626" s="9" t="n">
        <x:v>39140.0000000149</x:v>
      </x:c>
      <x:c r="H626" s="9" t="n">
        <x:v>44780</x:v>
      </x:c>
      <x:c r="I626" s="9" t="n">
        <x:v>4117</x:v>
      </x:c>
      <x:c r="J626" s="9" t="n">
        <x:v>106</x:v>
      </x:c>
      <x:c r="K626" s="9" t="n">
        <x:f>F626+G626+I626+J626</x:f>
        <x:v>74693.0000000149</x:v>
      </x:c>
      <x:c r="L626" s="10" t="n">
        <x:f>K626/Sources!$B$4*1000</x:f>
        <x:v>20.86661852274937</x:v>
      </x:c>
      <x:c r="M626" s="10" t="n">
        <x:f>E626/Sources!$B$4*1000</x:f>
        <x:v>33.37658836528522</x:v>
      </x:c>
      <x:c r="N626" s="9" t="n">
        <x:f>Sources!$B$6-K626</x:f>
        <x:v>-14957.000000014901</x:v>
      </x:c>
      <x:c r="O626" s="1" t="str">
        <x:v>keyboard_route</x:v>
      </x:c>
      <x:c r="P626" s="12" t="n">
        <x:v>0</x:v>
      </x:c>
      <x:c r="Q626" s="12" t="n">
        <x:v>-4</x:v>
      </x:c>
      <x:c r="R626" s="12" t="n">
        <x:v>4</x:v>
      </x:c>
      <x:c r="S626" s="12" t="n">
        <x:v>7</x:v>
      </x:c>
      <x:c r="T626" s="1" t="str">
        <x:v>Yes</x:v>
      </x:c>
      <x:c r="U626" s="1" t="n">
        <x:v>0</x:v>
      </x:c>
    </x:row>
    <x:row r="627" ht="23" customHeight="1">
      <x:c r="A627" s="9" t="n">
        <x:v>745</x:v>
      </x:c>
      <x:c r="B627" s="9" t="n">
        <x:v>124</x:v>
      </x:c>
      <x:c r="C627" s="9" t="n">
        <x:v>587</x:v>
      </x:c>
      <x:c r="D627" s="9" t="n">
        <x:v>2</x:v>
      </x:c>
      <x:c r="E627" s="9" t="n">
        <x:v>119469</x:v>
      </x:c>
      <x:c r="F627" s="9" t="n">
        <x:v>38970.0000000149</x:v>
      </x:c>
      <x:c r="G627" s="9" t="n">
        <x:v>25891.0000000149</x:v>
      </x:c>
      <x:c r="H627" s="9" t="n">
        <x:v>50385</x:v>
      </x:c>
      <x:c r="I627" s="9" t="n">
        <x:v>4116.999999985099</x:v>
      </x:c>
      <x:c r="J627" s="9" t="n">
        <x:v>105.99999998509884</x:v>
      </x:c>
      <x:c r="K627" s="9" t="n">
        <x:f>F627+G627+I627+J627</x:f>
        <x:v>69084</x:v>
      </x:c>
      <x:c r="L627" s="10" t="n">
        <x:f>K627/Sources!$B$4*1000</x:f>
        <x:v>19.299659593607565</x:v>
      </x:c>
      <x:c r="M627" s="10" t="n">
        <x:f>E627/Sources!$B$4*1000</x:f>
        <x:v>33.375470904821704</x:v>
      </x:c>
      <x:c r="N627" s="9" t="n">
        <x:f>Sources!$B$6-K627</x:f>
        <x:v>-9348</x:v>
      </x:c>
      <x:c r="O627" s="1" t="str">
        <x:v>keyboard_route</x:v>
      </x:c>
      <x:c r="P627" s="12" t="n">
        <x:v>0</x:v>
      </x:c>
      <x:c r="Q627" s="12" t="n">
        <x:v>-4</x:v>
      </x:c>
      <x:c r="R627" s="12" t="n">
        <x:v>4</x:v>
      </x:c>
      <x:c r="S627" s="12" t="n">
        <x:v>3</x:v>
      </x:c>
      <x:c r="T627" s="1" t="str">
        <x:v>No</x:v>
      </x:c>
      <x:c r="U627" s="1" t="n">
        <x:v>0</x:v>
      </x:c>
    </x:row>
    <x:row r="628" ht="23" customHeight="1">
      <x:c r="A628" s="9" t="n">
        <x:v>746</x:v>
      </x:c>
      <x:c r="B628" s="9" t="n">
        <x:v>124</x:v>
      </x:c>
      <x:c r="C628" s="9" t="n">
        <x:v>583</x:v>
      </x:c>
      <x:c r="D628" s="9" t="n">
        <x:v>2</x:v>
      </x:c>
      <x:c r="E628" s="9" t="n">
        <x:v>119471.9999999851</x:v>
      </x:c>
      <x:c r="F628" s="9" t="n">
        <x:v>32842.0000000149</x:v>
      </x:c>
      <x:c r="G628" s="9" t="n">
        <x:v>38277.0000000149</x:v>
      </x:c>
      <x:c r="H628" s="9" t="n">
        <x:v>44130</x:v>
      </x:c>
      <x:c r="I628" s="9" t="n">
        <x:v>4117</x:v>
      </x:c>
      <x:c r="J628" s="9" t="n">
        <x:v>105.99999995529652</x:v>
      </x:c>
      <x:c r="K628" s="9" t="n">
        <x:f>F628+G628+I628+J628</x:f>
        <x:v>75341.9999999851</x:v>
      </x:c>
      <x:c r="L628" s="10" t="n">
        <x:f>K628/Sources!$B$4*1000</x:f>
        <x:v>21.047926482272217</x:v>
      </x:c>
      <x:c r="M628" s="10" t="n">
        <x:f>E628/Sources!$B$4*1000</x:f>
        <x:v>33.37630900016206</x:v>
      </x:c>
      <x:c r="N628" s="9" t="n">
        <x:f>Sources!$B$6-K628</x:f>
        <x:v>-15605.999999985099</x:v>
      </x:c>
      <x:c r="O628" s="1" t="str">
        <x:v>keyboard_route</x:v>
      </x:c>
      <x:c r="P628" s="12" t="n">
        <x:v>0</x:v>
      </x:c>
      <x:c r="Q628" s="12" t="n">
        <x:v>-4</x:v>
      </x:c>
      <x:c r="R628" s="12" t="n">
        <x:v>4</x:v>
      </x:c>
      <x:c r="S628" s="12" t="n">
        <x:v>7</x:v>
      </x:c>
      <x:c r="T628" s="1" t="str">
        <x:v>Yes</x:v>
      </x:c>
      <x:c r="U628" s="1" t="n">
        <x:v>0</x:v>
      </x:c>
    </x:row>
    <x:row r="629" ht="23" customHeight="1">
      <x:c r="A629" s="9" t="n">
        <x:v>747</x:v>
      </x:c>
      <x:c r="B629" s="9" t="n">
        <x:v>124</x:v>
      </x:c>
      <x:c r="C629" s="9" t="n">
        <x:v>579</x:v>
      </x:c>
      <x:c r="D629" s="9" t="n">
        <x:v>2</x:v>
      </x:c>
      <x:c r="E629" s="9" t="n">
        <x:v>119474.0000000149</x:v>
      </x:c>
      <x:c r="F629" s="9" t="n">
        <x:v>40865</x:v>
      </x:c>
      <x:c r="G629" s="9" t="n">
        <x:v>25890.9999999851</x:v>
      </x:c>
      <x:c r="H629" s="9" t="n">
        <x:v>48495</x:v>
      </x:c>
      <x:c r="I629" s="9" t="n">
        <x:v>4117</x:v>
      </x:c>
      <x:c r="J629" s="9" t="n">
        <x:v>106.00000002980232</x:v>
      </x:c>
      <x:c r="K629" s="9" t="n">
        <x:f>F629+G629+I629+J629</x:f>
        <x:v>70979.0000000149</x:v>
      </x:c>
      <x:c r="L629" s="10" t="n">
        <x:f>K629/Sources!$B$4*1000</x:f>
        <x:v>19.829056486233558</x:v>
      </x:c>
      <x:c r="M629" s="10" t="n">
        <x:f>E629/Sources!$B$4*1000</x:f>
        <x:v>33.376867730400065</x:v>
      </x:c>
      <x:c r="N629" s="9" t="n">
        <x:f>Sources!$B$6-K629</x:f>
        <x:v>-11243.000000014901</x:v>
      </x:c>
      <x:c r="O629" s="1" t="str">
        <x:v>keyboard_route</x:v>
      </x:c>
      <x:c r="P629" s="12" t="n">
        <x:v>0</x:v>
      </x:c>
      <x:c r="Q629" s="12" t="n">
        <x:v>-4</x:v>
      </x:c>
      <x:c r="R629" s="12" t="n">
        <x:v>4</x:v>
      </x:c>
      <x:c r="S629" s="12" t="n">
        <x:v>3</x:v>
      </x:c>
      <x:c r="T629" s="1" t="str">
        <x:v>No</x:v>
      </x:c>
      <x:c r="U629" s="1" t="n">
        <x:v>0</x:v>
      </x:c>
    </x:row>
    <x:row r="630" ht="23" customHeight="1">
      <x:c r="A630" s="9" t="n">
        <x:v>748</x:v>
      </x:c>
      <x:c r="B630" s="9" t="n">
        <x:v>124</x:v>
      </x:c>
      <x:c r="C630" s="9" t="n">
        <x:v>575</x:v>
      </x:c>
      <x:c r="D630" s="9" t="n">
        <x:v>2</x:v>
      </x:c>
      <x:c r="E630" s="9" t="n">
        <x:v>119470.9999999851</x:v>
      </x:c>
      <x:c r="F630" s="9" t="n">
        <x:v>31330</x:v>
      </x:c>
      <x:c r="G630" s="9" t="n">
        <x:v>38303</x:v>
      </x:c>
      <x:c r="H630" s="9" t="n">
        <x:v>45614.9999999851</x:v>
      </x:c>
      <x:c r="I630" s="9" t="n">
        <x:v>4117</x:v>
      </x:c>
      <x:c r="J630" s="9" t="n">
        <x:v>106</x:v>
      </x:c>
      <x:c r="K630" s="9" t="n">
        <x:f>F630+G630+I630+J630</x:f>
        <x:v>73856</x:v>
      </x:c>
      <x:c r="L630" s="10" t="n">
        <x:f>K630/Sources!$B$4*1000</x:f>
        <x:v>20.632789921624116</x:v>
      </x:c>
      <x:c r="M630" s="10" t="n">
        <x:f>E630/Sources!$B$4*1000</x:f>
        <x:v>33.37602963504722</x:v>
      </x:c>
      <x:c r="N630" s="9" t="n">
        <x:f>Sources!$B$6-K630</x:f>
        <x:v>-14120</x:v>
      </x:c>
      <x:c r="O630" s="1" t="str">
        <x:v>keyboard_route</x:v>
      </x:c>
      <x:c r="P630" s="12" t="n">
        <x:v>0</x:v>
      </x:c>
      <x:c r="Q630" s="12" t="n">
        <x:v>-4</x:v>
      </x:c>
      <x:c r="R630" s="12" t="n">
        <x:v>4</x:v>
      </x:c>
      <x:c r="S630" s="12" t="n">
        <x:v>7</x:v>
      </x:c>
      <x:c r="T630" s="1" t="str">
        <x:v>Yes</x:v>
      </x:c>
      <x:c r="U630" s="1" t="n">
        <x:v>0</x:v>
      </x:c>
    </x:row>
    <x:row r="631" ht="23" customHeight="1">
      <x:c r="A631" s="9" t="n">
        <x:v>749</x:v>
      </x:c>
      <x:c r="B631" s="9" t="n">
        <x:v>124</x:v>
      </x:c>
      <x:c r="C631" s="9" t="n">
        <x:v>571</x:v>
      </x:c>
      <x:c r="D631" s="9" t="n">
        <x:v>2</x:v>
      </x:c>
      <x:c r="E631" s="9" t="n">
        <x:v>119474.0000000149</x:v>
      </x:c>
      <x:c r="F631" s="9" t="n">
        <x:v>35805</x:v>
      </x:c>
      <x:c r="G631" s="9" t="n">
        <x:v>25891</x:v>
      </x:c>
      <x:c r="H631" s="9" t="n">
        <x:v>53555</x:v>
      </x:c>
      <x:c r="I631" s="9" t="n">
        <x:v>4117</x:v>
      </x:c>
      <x:c r="J631" s="9" t="n">
        <x:v>106.00000001490116</x:v>
      </x:c>
      <x:c r="K631" s="9" t="n">
        <x:f>F631+G631+I631+J631</x:f>
        <x:v>65919.0000000149</x:v>
      </x:c>
      <x:c r="L631" s="10" t="n">
        <x:f>K631/Sources!$B$4*1000</x:f>
        <x:v>18.415469005143084</x:v>
      </x:c>
      <x:c r="M631" s="10" t="n">
        <x:f>E631/Sources!$B$4*1000</x:f>
        <x:v>33.376867730400065</x:v>
      </x:c>
      <x:c r="N631" s="9" t="n">
        <x:f>Sources!$B$6-K631</x:f>
        <x:v>-6183.000000014901</x:v>
      </x:c>
      <x:c r="O631" s="1" t="str">
        <x:v>keyboard_route</x:v>
      </x:c>
      <x:c r="P631" s="12" t="n">
        <x:v>0</x:v>
      </x:c>
      <x:c r="Q631" s="12" t="n">
        <x:v>-4</x:v>
      </x:c>
      <x:c r="R631" s="12" t="n">
        <x:v>4</x:v>
      </x:c>
      <x:c r="S631" s="12" t="n">
        <x:v>3</x:v>
      </x:c>
      <x:c r="T631" s="1" t="str">
        <x:v>No</x:v>
      </x:c>
      <x:c r="U631" s="1" t="n">
        <x:v>0</x:v>
      </x:c>
    </x:row>
    <x:row r="632" ht="23" customHeight="1">
      <x:c r="A632" s="9" t="n">
        <x:v>750</x:v>
      </x:c>
      <x:c r="B632" s="9" t="n">
        <x:v>124</x:v>
      </x:c>
      <x:c r="C632" s="9" t="n">
        <x:v>567</x:v>
      </x:c>
      <x:c r="D632" s="9" t="n">
        <x:v>2</x:v>
      </x:c>
      <x:c r="E632" s="9" t="n">
        <x:v>119473</x:v>
      </x:c>
      <x:c r="F632" s="9" t="n">
        <x:v>32801.9999999851</x:v>
      </x:c>
      <x:c r="G632" s="9" t="n">
        <x:v>38302.9999999851</x:v>
      </x:c>
      <x:c r="H632" s="9" t="n">
        <x:v>44145</x:v>
      </x:c>
      <x:c r="I632" s="9" t="n">
        <x:v>4116.999999985099</x:v>
      </x:c>
      <x:c r="J632" s="9" t="n">
        <x:v>106.00000004470348</x:v>
      </x:c>
      <x:c r="K632" s="9" t="n">
        <x:f>F632+G632+I632+J632</x:f>
        <x:v>75328</x:v>
      </x:c>
      <x:c r="L632" s="10" t="n">
        <x:f>K632/Sources!$B$4*1000</x:f>
        <x:v>21.04401537066862</x:v>
      </x:c>
      <x:c r="M632" s="10" t="n">
        <x:f>E632/Sources!$B$4*1000</x:f>
        <x:v>33.37658836528106</x:v>
      </x:c>
      <x:c r="N632" s="9" t="n">
        <x:f>Sources!$B$6-K632</x:f>
        <x:v>-15592</x:v>
      </x:c>
      <x:c r="O632" s="1" t="str">
        <x:v>keyboard_route</x:v>
      </x:c>
      <x:c r="P632" s="12" t="n">
        <x:v>0</x:v>
      </x:c>
      <x:c r="Q632" s="12" t="n">
        <x:v>-4</x:v>
      </x:c>
      <x:c r="R632" s="12" t="n">
        <x:v>4</x:v>
      </x:c>
      <x:c r="S632" s="12" t="n">
        <x:v>7</x:v>
      </x:c>
      <x:c r="T632" s="1" t="str">
        <x:v>Yes</x:v>
      </x:c>
      <x:c r="U632" s="1" t="n">
        <x:v>0</x:v>
      </x:c>
    </x:row>
    <x:row r="633" ht="23" customHeight="1">
      <x:c r="A633" s="9" t="n">
        <x:v>751</x:v>
      </x:c>
      <x:c r="B633" s="9" t="n">
        <x:v>124</x:v>
      </x:c>
      <x:c r="C633" s="9" t="n">
        <x:v>563</x:v>
      </x:c>
      <x:c r="D633" s="9" t="n">
        <x:v>2</x:v>
      </x:c>
      <x:c r="E633" s="9" t="n">
        <x:v>119470</x:v>
      </x:c>
      <x:c r="F633" s="9" t="n">
        <x:v>38847.0000000149</x:v>
      </x:c>
      <x:c r="G633" s="9" t="n">
        <x:v>25885.0000000149</x:v>
      </x:c>
      <x:c r="H633" s="9" t="n">
        <x:v>50515</x:v>
      </x:c>
      <x:c r="I633" s="9" t="n">
        <x:v>4117</x:v>
      </x:c>
      <x:c r="J633" s="9" t="n">
        <x:v>105.99999997019768</x:v>
      </x:c>
      <x:c r="K633" s="9" t="n">
        <x:f>F633+G633+I633+J633</x:f>
        <x:v>68955</x:v>
      </x:c>
      <x:c r="L633" s="10" t="n">
        <x:f>K633/Sources!$B$4*1000</x:f>
        <x:v>19.263621493793206</x:v>
      </x:c>
      <x:c r="M633" s="10" t="n">
        <x:f>E633/Sources!$B$4*1000</x:f>
        <x:v>33.37575026993654</x:v>
      </x:c>
      <x:c r="N633" s="9" t="n">
        <x:f>Sources!$B$6-K633</x:f>
        <x:v>-9219</x:v>
      </x:c>
      <x:c r="O633" s="1" t="str">
        <x:v>keyboard_route</x:v>
      </x:c>
      <x:c r="P633" s="12" t="n">
        <x:v>0</x:v>
      </x:c>
      <x:c r="Q633" s="12" t="n">
        <x:v>-4</x:v>
      </x:c>
      <x:c r="R633" s="12" t="n">
        <x:v>4</x:v>
      </x:c>
      <x:c r="S633" s="12" t="n">
        <x:v>3</x:v>
      </x:c>
      <x:c r="T633" s="1" t="str">
        <x:v>No</x:v>
      </x:c>
      <x:c r="U633" s="1" t="n">
        <x:v>0</x:v>
      </x:c>
    </x:row>
    <x:row r="634" ht="23" customHeight="1">
      <x:c r="A634" s="9" t="n">
        <x:v>752</x:v>
      </x:c>
      <x:c r="B634" s="9" t="n">
        <x:v>124</x:v>
      </x:c>
      <x:c r="C634" s="9" t="n">
        <x:v>559</x:v>
      </x:c>
      <x:c r="D634" s="9" t="n">
        <x:v>2</x:v>
      </x:c>
      <x:c r="E634" s="9" t="n">
        <x:v>119471</x:v>
      </x:c>
      <x:c r="F634" s="9" t="n">
        <x:v>32111</x:v>
      </x:c>
      <x:c r="G634" s="9" t="n">
        <x:v>38297</x:v>
      </x:c>
      <x:c r="H634" s="9" t="n">
        <x:v>44840</x:v>
      </x:c>
      <x:c r="I634" s="9" t="n">
        <x:v>4117</x:v>
      </x:c>
      <x:c r="J634" s="9" t="n">
        <x:v>106</x:v>
      </x:c>
      <x:c r="K634" s="9" t="n">
        <x:f>F634+G634+I634+J634</x:f>
        <x:v>74631</x:v>
      </x:c>
      <x:c r="L634" s="10" t="n">
        <x:f>K634/Sources!$B$4*1000</x:f>
        <x:v>20.849297885625127</x:v>
      </x:c>
      <x:c r="M634" s="10" t="n">
        <x:f>E634/Sources!$B$4*1000</x:f>
        <x:v>33.37602963505138</x:v>
      </x:c>
      <x:c r="N634" s="9" t="n">
        <x:f>Sources!$B$6-K634</x:f>
        <x:v>-14895</x:v>
      </x:c>
      <x:c r="O634" s="1" t="str">
        <x:v>keyboard_route</x:v>
      </x:c>
      <x:c r="P634" s="12" t="n">
        <x:v>0</x:v>
      </x:c>
      <x:c r="Q634" s="12" t="n">
        <x:v>-4</x:v>
      </x:c>
      <x:c r="R634" s="12" t="n">
        <x:v>4</x:v>
      </x:c>
      <x:c r="S634" s="12" t="n">
        <x:v>7</x:v>
      </x:c>
      <x:c r="T634" s="1" t="str">
        <x:v>Yes</x:v>
      </x:c>
      <x:c r="U634" s="1" t="n">
        <x:v>0</x:v>
      </x:c>
    </x:row>
    <x:row r="635" ht="23" customHeight="1">
      <x:c r="A635" s="9" t="n">
        <x:v>753</x:v>
      </x:c>
      <x:c r="B635" s="9" t="n">
        <x:v>124</x:v>
      </x:c>
      <x:c r="C635" s="9" t="n">
        <x:v>555</x:v>
      </x:c>
      <x:c r="D635" s="9" t="n">
        <x:v>2</x:v>
      </x:c>
      <x:c r="E635" s="9" t="n">
        <x:v>119472</x:v>
      </x:c>
      <x:c r="F635" s="9" t="n">
        <x:v>40644</x:v>
      </x:c>
      <x:c r="G635" s="9" t="n">
        <x:v>25884.9999999851</x:v>
      </x:c>
      <x:c r="H635" s="9" t="n">
        <x:v>48720</x:v>
      </x:c>
      <x:c r="I635" s="9" t="n">
        <x:v>4117</x:v>
      </x:c>
      <x:c r="J635" s="9" t="n">
        <x:v>106.00000001490116</x:v>
      </x:c>
      <x:c r="K635" s="9" t="n">
        <x:f>F635+G635+I635+J635</x:f>
        <x:v>70752</x:v>
      </x:c>
      <x:c r="L635" s="10" t="n">
        <x:f>K635/Sources!$B$4*1000</x:f>
        <x:v>19.765640605160712</x:v>
      </x:c>
      <x:c r="M635" s="10" t="n">
        <x:f>E635/Sources!$B$4*1000</x:f>
        <x:v>33.37630900016622</x:v>
      </x:c>
      <x:c r="N635" s="9" t="n">
        <x:f>Sources!$B$6-K635</x:f>
        <x:v>-11016</x:v>
      </x:c>
      <x:c r="O635" s="1" t="str">
        <x:v>keyboard_route</x:v>
      </x:c>
      <x:c r="P635" s="12" t="n">
        <x:v>0</x:v>
      </x:c>
      <x:c r="Q635" s="12" t="n">
        <x:v>-4</x:v>
      </x:c>
      <x:c r="R635" s="12" t="n">
        <x:v>4</x:v>
      </x:c>
      <x:c r="S635" s="12" t="n">
        <x:v>3</x:v>
      </x:c>
      <x:c r="T635" s="1" t="str">
        <x:v>No</x:v>
      </x:c>
      <x:c r="U635" s="1" t="n">
        <x:v>0</x:v>
      </x:c>
    </x:row>
    <x:row r="636" ht="23" customHeight="1">
      <x:c r="A636" s="9" t="n">
        <x:v>754</x:v>
      </x:c>
      <x:c r="B636" s="9" t="n">
        <x:v>124</x:v>
      </x:c>
      <x:c r="C636" s="9" t="n">
        <x:v>551</x:v>
      </x:c>
      <x:c r="D636" s="9" t="n">
        <x:v>2</x:v>
      </x:c>
      <x:c r="E636" s="9" t="n">
        <x:v>119471</x:v>
      </x:c>
      <x:c r="F636" s="9" t="n">
        <x:v>32716</x:v>
      </x:c>
      <x:c r="G636" s="9" t="n">
        <x:v>38297</x:v>
      </x:c>
      <x:c r="H636" s="9" t="n">
        <x:v>44235.0000000149</x:v>
      </x:c>
      <x:c r="I636" s="9" t="n">
        <x:v>4116.999999985099</x:v>
      </x:c>
      <x:c r="J636" s="9" t="n">
        <x:v>106</x:v>
      </x:c>
      <x:c r="K636" s="9" t="n">
        <x:f>F636+G636+I636+J636</x:f>
        <x:v>75235.9999999851</x:v>
      </x:c>
      <x:c r="L636" s="10" t="n">
        <x:f>K636/Sources!$B$4*1000</x:f>
        <x:v>21.018313780099174</x:v>
      </x:c>
      <x:c r="M636" s="10" t="n">
        <x:f>E636/Sources!$B$4*1000</x:f>
        <x:v>33.37602963505138</x:v>
      </x:c>
      <x:c r="N636" s="9" t="n">
        <x:f>Sources!$B$6-K636</x:f>
        <x:v>-15499.999999985099</x:v>
      </x:c>
      <x:c r="O636" s="1" t="str">
        <x:v>keyboard_route</x:v>
      </x:c>
      <x:c r="P636" s="12" t="n">
        <x:v>0</x:v>
      </x:c>
      <x:c r="Q636" s="12" t="n">
        <x:v>-4</x:v>
      </x:c>
      <x:c r="R636" s="12" t="n">
        <x:v>4</x:v>
      </x:c>
      <x:c r="S636" s="12" t="n">
        <x:v>7</x:v>
      </x:c>
      <x:c r="T636" s="1" t="str">
        <x:v>Yes</x:v>
      </x:c>
      <x:c r="U636" s="1" t="n">
        <x:v>0</x:v>
      </x:c>
    </x:row>
    <x:row r="637" ht="23" customHeight="1">
      <x:c r="A637" s="9" t="n">
        <x:v>755</x:v>
      </x:c>
      <x:c r="B637" s="9" t="n">
        <x:v>124</x:v>
      </x:c>
      <x:c r="C637" s="9" t="n">
        <x:v>547</x:v>
      </x:c>
      <x:c r="D637" s="9" t="n">
        <x:v>2</x:v>
      </x:c>
      <x:c r="E637" s="9" t="n">
        <x:v>119473</x:v>
      </x:c>
      <x:c r="F637" s="9" t="n">
        <x:v>38060.0000000149</x:v>
      </x:c>
      <x:c r="G637" s="9" t="n">
        <x:v>25884.9999999851</x:v>
      </x:c>
      <x:c r="H637" s="9" t="n">
        <x:v>51304.9999999851</x:v>
      </x:c>
      <x:c r="I637" s="9" t="n">
        <x:v>4117</x:v>
      </x:c>
      <x:c r="J637" s="9" t="n">
        <x:v>106.00000001490116</x:v>
      </x:c>
      <x:c r="K637" s="9" t="n">
        <x:f>F637+G637+I637+J637</x:f>
        <x:v>68168.0000000149</x:v>
      </x:c>
      <x:c r="L637" s="10" t="n">
        <x:f>K637/Sources!$B$4*1000</x:f>
        <x:v>19.043761148418277</x:v>
      </x:c>
      <x:c r="M637" s="10" t="n">
        <x:f>E637/Sources!$B$4*1000</x:f>
        <x:v>33.37658836528106</x:v>
      </x:c>
      <x:c r="N637" s="9" t="n">
        <x:f>Sources!$B$6-K637</x:f>
        <x:v>-8432.000000014901</x:v>
      </x:c>
      <x:c r="O637" s="1" t="str">
        <x:v>keyboard_route</x:v>
      </x:c>
      <x:c r="P637" s="12" t="n">
        <x:v>0</x:v>
      </x:c>
      <x:c r="Q637" s="12" t="n">
        <x:v>-4</x:v>
      </x:c>
      <x:c r="R637" s="12" t="n">
        <x:v>4</x:v>
      </x:c>
      <x:c r="S637" s="12" t="n">
        <x:v>3</x:v>
      </x:c>
      <x:c r="T637" s="1" t="str">
        <x:v>No</x:v>
      </x:c>
      <x:c r="U637" s="1" t="n">
        <x:v>0</x:v>
      </x:c>
    </x:row>
    <x:row r="638" ht="23" customHeight="1">
      <x:c r="A638" s="9" t="n">
        <x:v>756</x:v>
      </x:c>
      <x:c r="B638" s="9" t="n">
        <x:v>124</x:v>
      </x:c>
      <x:c r="C638" s="9" t="n">
        <x:v>543</x:v>
      </x:c>
      <x:c r="D638" s="9" t="n">
        <x:v>2</x:v>
      </x:c>
      <x:c r="E638" s="9" t="n">
        <x:v>119471</x:v>
      </x:c>
      <x:c r="F638" s="9" t="n">
        <x:v>31077</x:v>
      </x:c>
      <x:c r="G638" s="9" t="n">
        <x:v>38271</x:v>
      </x:c>
      <x:c r="H638" s="9" t="n">
        <x:v>45900.0000000149</x:v>
      </x:c>
      <x:c r="I638" s="9" t="n">
        <x:v>4117</x:v>
      </x:c>
      <x:c r="J638" s="9" t="n">
        <x:v>105.99999998509884</x:v>
      </x:c>
      <x:c r="K638" s="9" t="n">
        <x:f>F638+G638+I638+J638</x:f>
        <x:v>73570.9999999851</x:v>
      </x:c>
      <x:c r="L638" s="10" t="n">
        <x:f>K638/Sources!$B$4*1000</x:f>
        <x:v>20.55317086389055</x:v>
      </x:c>
      <x:c r="M638" s="10" t="n">
        <x:f>E638/Sources!$B$4*1000</x:f>
        <x:v>33.37602963505138</x:v>
      </x:c>
      <x:c r="N638" s="9" t="n">
        <x:f>Sources!$B$6-K638</x:f>
        <x:v>-13834.999999985099</x:v>
      </x:c>
      <x:c r="O638" s="1" t="str">
        <x:v>keyboard_route</x:v>
      </x:c>
      <x:c r="P638" s="12" t="n">
        <x:v>0</x:v>
      </x:c>
      <x:c r="Q638" s="12" t="n">
        <x:v>-4</x:v>
      </x:c>
      <x:c r="R638" s="12" t="n">
        <x:v>4</x:v>
      </x:c>
      <x:c r="S638" s="12" t="n">
        <x:v>7</x:v>
      </x:c>
      <x:c r="T638" s="1" t="str">
        <x:v>Yes</x:v>
      </x:c>
      <x:c r="U638" s="1" t="n">
        <x:v>0</x:v>
      </x:c>
    </x:row>
    <x:row r="639" ht="23" customHeight="1">
      <x:c r="A639" s="9" t="n">
        <x:v>757</x:v>
      </x:c>
      <x:c r="B639" s="9" t="n">
        <x:v>124</x:v>
      </x:c>
      <x:c r="C639" s="9" t="n">
        <x:v>539</x:v>
      </x:c>
      <x:c r="D639" s="9" t="n">
        <x:v>2</x:v>
      </x:c>
      <x:c r="E639" s="9" t="n">
        <x:v>119472</x:v>
      </x:c>
      <x:c r="F639" s="9" t="n">
        <x:v>37774</x:v>
      </x:c>
      <x:c r="G639" s="9" t="n">
        <x:v>25885</x:v>
      </x:c>
      <x:c r="H639" s="9" t="n">
        <x:v>51590</x:v>
      </x:c>
      <x:c r="I639" s="9" t="n">
        <x:v>4117</x:v>
      </x:c>
      <x:c r="J639" s="9" t="n">
        <x:v>106</x:v>
      </x:c>
      <x:c r="K639" s="9" t="n">
        <x:f>F639+G639+I639+J639</x:f>
        <x:v>67882</x:v>
      </x:c>
      <x:c r="L639" s="10" t="n">
        <x:f>K639/Sources!$B$4*1000</x:f>
        <x:v>18.963862725569868</x:v>
      </x:c>
      <x:c r="M639" s="10" t="n">
        <x:f>E639/Sources!$B$4*1000</x:f>
        <x:v>33.37630900016622</x:v>
      </x:c>
      <x:c r="N639" s="9" t="n">
        <x:f>Sources!$B$6-K639</x:f>
        <x:v>-8146</x:v>
      </x:c>
      <x:c r="O639" s="1" t="str">
        <x:v>keyboard_route</x:v>
      </x:c>
      <x:c r="P639" s="12" t="n">
        <x:v>0</x:v>
      </x:c>
      <x:c r="Q639" s="12" t="n">
        <x:v>-4</x:v>
      </x:c>
      <x:c r="R639" s="12" t="n">
        <x:v>4</x:v>
      </x:c>
      <x:c r="S639" s="12" t="n">
        <x:v>3</x:v>
      </x:c>
      <x:c r="T639" s="1" t="str">
        <x:v>No</x:v>
      </x:c>
      <x:c r="U639" s="1" t="n">
        <x:v>0</x:v>
      </x:c>
    </x:row>
    <x:row r="640" ht="23" customHeight="1">
      <x:c r="A640" s="9" t="n">
        <x:v>758</x:v>
      </x:c>
      <x:c r="B640" s="9" t="n">
        <x:v>124</x:v>
      </x:c>
      <x:c r="C640" s="9" t="n">
        <x:v>535</x:v>
      </x:c>
      <x:c r="D640" s="9" t="n">
        <x:v>2</x:v>
      </x:c>
      <x:c r="E640" s="9" t="n">
        <x:v>119472</x:v>
      </x:c>
      <x:c r="F640" s="9" t="n">
        <x:v>32813</x:v>
      </x:c>
      <x:c r="G640" s="9" t="n">
        <x:v>38271</x:v>
      </x:c>
      <x:c r="H640" s="9" t="n">
        <x:v>44165</x:v>
      </x:c>
      <x:c r="I640" s="9" t="n">
        <x:v>4117</x:v>
      </x:c>
      <x:c r="J640" s="9" t="n">
        <x:v>106</x:v>
      </x:c>
      <x:c r="K640" s="9" t="n">
        <x:f>F640+G640+I640+J640</x:f>
        <x:v>75307</x:v>
      </x:c>
      <x:c r="L640" s="10" t="n">
        <x:f>K640/Sources!$B$4*1000</x:f>
        <x:v>21.038148703256976</x:v>
      </x:c>
      <x:c r="M640" s="10" t="n">
        <x:f>E640/Sources!$B$4*1000</x:f>
        <x:v>33.37630900016622</x:v>
      </x:c>
      <x:c r="N640" s="9" t="n">
        <x:f>Sources!$B$6-K640</x:f>
        <x:v>-15571</x:v>
      </x:c>
      <x:c r="O640" s="1" t="str">
        <x:v>keyboard_route</x:v>
      </x:c>
      <x:c r="P640" s="12" t="n">
        <x:v>0</x:v>
      </x:c>
      <x:c r="Q640" s="12" t="n">
        <x:v>-4</x:v>
      </x:c>
      <x:c r="R640" s="12" t="n">
        <x:v>4</x:v>
      </x:c>
      <x:c r="S640" s="12" t="n">
        <x:v>7</x:v>
      </x:c>
      <x:c r="T640" s="1" t="str">
        <x:v>Yes</x:v>
      </x:c>
      <x:c r="U640" s="1" t="n">
        <x:v>0</x:v>
      </x:c>
    </x:row>
    <x:row r="641" ht="23" customHeight="1">
      <x:c r="A641" s="9" t="n">
        <x:v>759</x:v>
      </x:c>
      <x:c r="B641" s="9" t="n">
        <x:v>124</x:v>
      </x:c>
      <x:c r="C641" s="9" t="n">
        <x:v>531</x:v>
      </x:c>
      <x:c r="D641" s="9" t="n">
        <x:v>2</x:v>
      </x:c>
      <x:c r="E641" s="9" t="n">
        <x:v>119474</x:v>
      </x:c>
      <x:c r="F641" s="9" t="n">
        <x:v>41425.9999999851</x:v>
      </x:c>
      <x:c r="G641" s="9" t="n">
        <x:v>25885</x:v>
      </x:c>
      <x:c r="H641" s="9" t="n">
        <x:v>47939.9999999851</x:v>
      </x:c>
      <x:c r="I641" s="9" t="n">
        <x:v>4117</x:v>
      </x:c>
      <x:c r="J641" s="9" t="n">
        <x:v>106.00000002980232</x:v>
      </x:c>
      <x:c r="K641" s="9" t="n">
        <x:f>F641+G641+I641+J641</x:f>
        <x:v>71534.0000000149</x:v>
      </x:c>
      <x:c r="L641" s="10" t="n">
        <x:f>K641/Sources!$B$4*1000</x:f>
        <x:v>19.984104124969765</x:v>
      </x:c>
      <x:c r="M641" s="10" t="n">
        <x:f>E641/Sources!$B$4*1000</x:f>
        <x:v>33.3768677303959</x:v>
      </x:c>
      <x:c r="N641" s="9" t="n">
        <x:f>Sources!$B$6-K641</x:f>
        <x:v>-11798.000000014901</x:v>
      </x:c>
      <x:c r="O641" s="1" t="str">
        <x:v>keyboard_route</x:v>
      </x:c>
      <x:c r="P641" s="12" t="n">
        <x:v>0</x:v>
      </x:c>
      <x:c r="Q641" s="12" t="n">
        <x:v>-4</x:v>
      </x:c>
      <x:c r="R641" s="12" t="n">
        <x:v>4</x:v>
      </x:c>
      <x:c r="S641" s="12" t="n">
        <x:v>3</x:v>
      </x:c>
      <x:c r="T641" s="1" t="str">
        <x:v>No</x:v>
      </x:c>
      <x:c r="U641" s="1" t="n">
        <x:v>0</x:v>
      </x:c>
    </x:row>
    <x:row r="642" ht="23" customHeight="1">
      <x:c r="A642" s="9" t="n">
        <x:v>760</x:v>
      </x:c>
      <x:c r="B642" s="9" t="n">
        <x:v>124</x:v>
      </x:c>
      <x:c r="C642" s="9" t="n">
        <x:v>527</x:v>
      </x:c>
      <x:c r="D642" s="9" t="n">
        <x:v>2</x:v>
      </x:c>
      <x:c r="E642" s="9" t="n">
        <x:v>119473.9999999851</x:v>
      </x:c>
      <x:c r="F642" s="9" t="n">
        <x:v>32593.9999999851</x:v>
      </x:c>
      <x:c r="G642" s="9" t="n">
        <x:v>38276.9999999851</x:v>
      </x:c>
      <x:c r="H642" s="9" t="n">
        <x:v>44380</x:v>
      </x:c>
      <x:c r="I642" s="9" t="n">
        <x:v>4117</x:v>
      </x:c>
      <x:c r="J642" s="9" t="n">
        <x:v>106.00000001490116</x:v>
      </x:c>
      <x:c r="K642" s="9" t="n">
        <x:f>F642+G642+I642+J642</x:f>
        <x:v>75093.9999999851</x:v>
      </x:c>
      <x:c r="L642" s="10" t="n">
        <x:f>K642/Sources!$B$4*1000</x:f>
        <x:v>20.978643933791894</x:v>
      </x:c>
      <x:c r="M642" s="10" t="n">
        <x:f>E642/Sources!$B$4*1000</x:f>
        <x:v>33.37686773039174</x:v>
      </x:c>
      <x:c r="N642" s="9" t="n">
        <x:f>Sources!$B$6-K642</x:f>
        <x:v>-15357.999999985099</x:v>
      </x:c>
      <x:c r="O642" s="1" t="str">
        <x:v>keyboard_route</x:v>
      </x:c>
      <x:c r="P642" s="12" t="n">
        <x:v>0</x:v>
      </x:c>
      <x:c r="Q642" s="12" t="n">
        <x:v>-4</x:v>
      </x:c>
      <x:c r="R642" s="12" t="n">
        <x:v>4</x:v>
      </x:c>
      <x:c r="S642" s="12" t="n">
        <x:v>7</x:v>
      </x:c>
      <x:c r="T642" s="1" t="str">
        <x:v>Yes</x:v>
      </x:c>
      <x:c r="U642" s="1" t="n">
        <x:v>0</x:v>
      </x:c>
    </x:row>
    <x:row r="643" ht="23" customHeight="1">
      <x:c r="A643" s="9" t="n">
        <x:v>761</x:v>
      </x:c>
      <x:c r="B643" s="9" t="n">
        <x:v>124</x:v>
      </x:c>
      <x:c r="C643" s="9" t="n">
        <x:v>523</x:v>
      </x:c>
      <x:c r="D643" s="9" t="n">
        <x:v>2</x:v>
      </x:c>
      <x:c r="E643" s="9" t="n">
        <x:v>119470</x:v>
      </x:c>
      <x:c r="F643" s="9" t="n">
        <x:v>35948</x:v>
      </x:c>
      <x:c r="G643" s="9" t="n">
        <x:v>26754.0000000149</x:v>
      </x:c>
      <x:c r="H643" s="9" t="n">
        <x:v>52544.9999999851</x:v>
      </x:c>
      <x:c r="I643" s="9" t="n">
        <x:v>4117</x:v>
      </x:c>
      <x:c r="J643" s="9" t="n">
        <x:v>106</x:v>
      </x:c>
      <x:c r="K643" s="9" t="n">
        <x:f>F643+G643+I643+J643</x:f>
        <x:v>66925.0000000149</x:v>
      </x:c>
      <x:c r="L643" s="10" t="n">
        <x:f>K643/Sources!$B$4*1000</x:f>
        <x:v>18.69651031067214</x:v>
      </x:c>
      <x:c r="M643" s="10" t="n">
        <x:f>E643/Sources!$B$4*1000</x:f>
        <x:v>33.37575026993654</x:v>
      </x:c>
      <x:c r="N643" s="9" t="n">
        <x:f>Sources!$B$6-K643</x:f>
        <x:v>-7189.000000014901</x:v>
      </x:c>
      <x:c r="O643" s="1" t="str">
        <x:v>keyboard_route</x:v>
      </x:c>
      <x:c r="P643" s="12" t="n">
        <x:v>0</x:v>
      </x:c>
      <x:c r="Q643" s="12" t="n">
        <x:v>-4</x:v>
      </x:c>
      <x:c r="R643" s="12" t="n">
        <x:v>4</x:v>
      </x:c>
      <x:c r="S643" s="12" t="n">
        <x:v>3</x:v>
      </x:c>
      <x:c r="T643" s="1" t="str">
        <x:v>No</x:v>
      </x:c>
      <x:c r="U643" s="1" t="n">
        <x:v>0</x:v>
      </x:c>
    </x:row>
    <x:row r="644" ht="23" customHeight="1">
      <x:c r="A644" s="9" t="n">
        <x:v>762</x:v>
      </x:c>
      <x:c r="B644" s="9" t="n">
        <x:v>124</x:v>
      </x:c>
      <x:c r="C644" s="9" t="n">
        <x:v>519</x:v>
      </x:c>
      <x:c r="D644" s="9" t="n">
        <x:v>2</x:v>
      </x:c>
      <x:c r="E644" s="9" t="n">
        <x:v>119474.0000000149</x:v>
      </x:c>
      <x:c r="F644" s="9" t="n">
        <x:v>31073.9999999851</x:v>
      </x:c>
      <x:c r="G644" s="9" t="n">
        <x:v>38276.9999999851</x:v>
      </x:c>
      <x:c r="H644" s="9" t="n">
        <x:v>45900</x:v>
      </x:c>
      <x:c r="I644" s="9" t="n">
        <x:v>4117</x:v>
      </x:c>
      <x:c r="J644" s="9" t="n">
        <x:v>106.00000004470348</x:v>
      </x:c>
      <x:c r="K644" s="9" t="n">
        <x:f>F644+G644+I644+J644</x:f>
        <x:v>73574.0000000149</x:v>
      </x:c>
      <x:c r="L644" s="10" t="n">
        <x:f>K644/Sources!$B$4*1000</x:f>
        <x:v>20.554008959243394</x:v>
      </x:c>
      <x:c r="M644" s="10" t="n">
        <x:f>E644/Sources!$B$4*1000</x:f>
        <x:v>33.376867730400065</x:v>
      </x:c>
      <x:c r="N644" s="9" t="n">
        <x:f>Sources!$B$6-K644</x:f>
        <x:v>-13838.000000014901</x:v>
      </x:c>
      <x:c r="O644" s="1" t="str">
        <x:v>keyboard_route</x:v>
      </x:c>
      <x:c r="P644" s="12" t="n">
        <x:v>0</x:v>
      </x:c>
      <x:c r="Q644" s="12" t="n">
        <x:v>-4</x:v>
      </x:c>
      <x:c r="R644" s="12" t="n">
        <x:v>4</x:v>
      </x:c>
      <x:c r="S644" s="12" t="n">
        <x:v>7</x:v>
      </x:c>
      <x:c r="T644" s="1" t="str">
        <x:v>Yes</x:v>
      </x:c>
      <x:c r="U644" s="1" t="n">
        <x:v>0</x:v>
      </x:c>
    </x:row>
    <x:row r="645" ht="23" customHeight="1">
      <x:c r="A645" s="9" t="n">
        <x:v>763</x:v>
      </x:c>
      <x:c r="B645" s="9" t="n">
        <x:v>124</x:v>
      </x:c>
      <x:c r="C645" s="9" t="n">
        <x:v>515</x:v>
      </x:c>
      <x:c r="D645" s="9" t="n">
        <x:v>2</x:v>
      </x:c>
      <x:c r="E645" s="9" t="n">
        <x:v>119468</x:v>
      </x:c>
      <x:c r="F645" s="9" t="n">
        <x:v>37341</x:v>
      </x:c>
      <x:c r="G645" s="9" t="n">
        <x:v>26754</x:v>
      </x:c>
      <x:c r="H645" s="9" t="n">
        <x:v>51150.0000000149</x:v>
      </x:c>
      <x:c r="I645" s="9" t="n">
        <x:v>4116.999999985099</x:v>
      </x:c>
      <x:c r="J645" s="9" t="n">
        <x:v>106</x:v>
      </x:c>
      <x:c r="K645" s="9" t="n">
        <x:f>F645+G645+I645+J645</x:f>
        <x:v>68317.9999999851</x:v>
      </x:c>
      <x:c r="L645" s="10" t="n">
        <x:f>K645/Sources!$B$4*1000</x:f>
        <x:v>19.085665915635953</x:v>
      </x:c>
      <x:c r="M645" s="10" t="n">
        <x:f>E645/Sources!$B$4*1000</x:f>
        <x:v>33.37519153970686</x:v>
      </x:c>
      <x:c r="N645" s="9" t="n">
        <x:f>Sources!$B$6-K645</x:f>
        <x:v>-8581.999999985099</x:v>
      </x:c>
      <x:c r="O645" s="1" t="str">
        <x:v>keyboard_route</x:v>
      </x:c>
      <x:c r="P645" s="12" t="n">
        <x:v>0</x:v>
      </x:c>
      <x:c r="Q645" s="12" t="n">
        <x:v>-4</x:v>
      </x:c>
      <x:c r="R645" s="12" t="n">
        <x:v>4</x:v>
      </x:c>
      <x:c r="S645" s="12" t="n">
        <x:v>3</x:v>
      </x:c>
      <x:c r="T645" s="1" t="str">
        <x:v>No</x:v>
      </x:c>
      <x:c r="U645" s="1" t="n">
        <x:v>0</x:v>
      </x:c>
    </x:row>
    <x:row r="646" ht="23" customHeight="1">
      <x:c r="A646" s="9" t="n">
        <x:v>764</x:v>
      </x:c>
      <x:c r="B646" s="9" t="n">
        <x:v>124</x:v>
      </x:c>
      <x:c r="C646" s="9" t="n">
        <x:v>511</x:v>
      </x:c>
      <x:c r="D646" s="9" t="n">
        <x:v>2</x:v>
      </x:c>
      <x:c r="E646" s="9" t="n">
        <x:v>119471.9999999851</x:v>
      </x:c>
      <x:c r="F646" s="9" t="n">
        <x:v>32586</x:v>
      </x:c>
      <x:c r="G646" s="9" t="n">
        <x:v>38303</x:v>
      </x:c>
      <x:c r="H646" s="9" t="n">
        <x:v>44360</x:v>
      </x:c>
      <x:c r="I646" s="9" t="n">
        <x:v>4117</x:v>
      </x:c>
      <x:c r="J646" s="9" t="n">
        <x:v>105.99999998509884</x:v>
      </x:c>
      <x:c r="K646" s="9" t="n">
        <x:f>F646+G646+I646+J646</x:f>
        <x:v>75111.9999999851</x:v>
      </x:c>
      <x:c r="L646" s="10" t="n">
        <x:f>K646/Sources!$B$4*1000</x:f>
        <x:v>20.983672505859012</x:v>
      </x:c>
      <x:c r="M646" s="10" t="n">
        <x:f>E646/Sources!$B$4*1000</x:f>
        <x:v>33.37630900016206</x:v>
      </x:c>
      <x:c r="N646" s="9" t="n">
        <x:f>Sources!$B$6-K646</x:f>
        <x:v>-15375.999999985099</x:v>
      </x:c>
      <x:c r="O646" s="1" t="str">
        <x:v>keyboard_route</x:v>
      </x:c>
      <x:c r="P646" s="12" t="n">
        <x:v>0</x:v>
      </x:c>
      <x:c r="Q646" s="12" t="n">
        <x:v>-4</x:v>
      </x:c>
      <x:c r="R646" s="12" t="n">
        <x:v>4</x:v>
      </x:c>
      <x:c r="S646" s="12" t="n">
        <x:v>7</x:v>
      </x:c>
      <x:c r="T646" s="1" t="str">
        <x:v>Yes</x:v>
      </x:c>
      <x:c r="U646" s="1" t="n">
        <x:v>0</x:v>
      </x:c>
    </x:row>
    <x:row r="647" ht="23" customHeight="1">
      <x:c r="A647" s="9" t="n">
        <x:v>765</x:v>
      </x:c>
      <x:c r="B647" s="9" t="n">
        <x:v>124</x:v>
      </x:c>
      <x:c r="C647" s="9" t="n">
        <x:v>507</x:v>
      </x:c>
      <x:c r="D647" s="9" t="n">
        <x:v>2</x:v>
      </x:c>
      <x:c r="E647" s="9" t="n">
        <x:v>119474.0000000149</x:v>
      </x:c>
      <x:c r="F647" s="9" t="n">
        <x:v>40762</x:v>
      </x:c>
      <x:c r="G647" s="9" t="n">
        <x:v>26753.9999999851</x:v>
      </x:c>
      <x:c r="H647" s="9" t="n">
        <x:v>47735</x:v>
      </x:c>
      <x:c r="I647" s="9" t="n">
        <x:v>4117</x:v>
      </x:c>
      <x:c r="J647" s="9" t="n">
        <x:v>106.00000002980232</x:v>
      </x:c>
      <x:c r="K647" s="9" t="n">
        <x:f>F647+G647+I647+J647</x:f>
        <x:v>71739.0000000149</x:v>
      </x:c>
      <x:c r="L647" s="10" t="n">
        <x:f>K647/Sources!$B$4*1000</x:f>
        <x:v>20.04137397351197</x:v>
      </x:c>
      <x:c r="M647" s="10" t="n">
        <x:f>E647/Sources!$B$4*1000</x:f>
        <x:v>33.376867730400065</x:v>
      </x:c>
      <x:c r="N647" s="9" t="n">
        <x:f>Sources!$B$6-K647</x:f>
        <x:v>-12003.000000014901</x:v>
      </x:c>
      <x:c r="O647" s="1" t="str">
        <x:v>keyboard_route</x:v>
      </x:c>
      <x:c r="P647" s="12" t="n">
        <x:v>0</x:v>
      </x:c>
      <x:c r="Q647" s="12" t="n">
        <x:v>-4</x:v>
      </x:c>
      <x:c r="R647" s="12" t="n">
        <x:v>4</x:v>
      </x:c>
      <x:c r="S647" s="12" t="n">
        <x:v>3</x:v>
      </x:c>
      <x:c r="T647" s="1" t="str">
        <x:v>No</x:v>
      </x:c>
      <x:c r="U647" s="1" t="n">
        <x:v>0</x:v>
      </x:c>
    </x:row>
    <x:row r="648" ht="23" customHeight="1">
      <x:c r="A648" s="9" t="n">
        <x:v>766</x:v>
      </x:c>
      <x:c r="B648" s="9" t="n">
        <x:v>124</x:v>
      </x:c>
      <x:c r="C648" s="9" t="n">
        <x:v>503</x:v>
      </x:c>
      <x:c r="D648" s="9" t="n">
        <x:v>2</x:v>
      </x:c>
      <x:c r="E648" s="9" t="n">
        <x:v>119474</x:v>
      </x:c>
      <x:c r="F648" s="9" t="n">
        <x:v>34388</x:v>
      </x:c>
      <x:c r="G648" s="9" t="n">
        <x:v>38303.0000000149</x:v>
      </x:c>
      <x:c r="H648" s="9" t="n">
        <x:v>42560.0000000149</x:v>
      </x:c>
      <x:c r="I648" s="9" t="n">
        <x:v>4117</x:v>
      </x:c>
      <x:c r="J648" s="9" t="n">
        <x:v>105.99999997019768</x:v>
      </x:c>
      <x:c r="K648" s="9" t="n">
        <x:f>F648+G648+I648+J648</x:f>
        <x:v>76913.9999999851</x:v>
      </x:c>
      <x:c r="L648" s="10" t="n">
        <x:f>K648/Sources!$B$4*1000</x:f>
        <x:v>21.48708844280072</x:v>
      </x:c>
      <x:c r="M648" s="10" t="n">
        <x:f>E648/Sources!$B$4*1000</x:f>
        <x:v>33.3768677303959</x:v>
      </x:c>
      <x:c r="N648" s="9" t="n">
        <x:f>Sources!$B$6-K648</x:f>
        <x:v>-17177.9999999851</x:v>
      </x:c>
      <x:c r="O648" s="1" t="str">
        <x:v>keyboard_route</x:v>
      </x:c>
      <x:c r="P648" s="12" t="n">
        <x:v>0</x:v>
      </x:c>
      <x:c r="Q648" s="12" t="n">
        <x:v>-4</x:v>
      </x:c>
      <x:c r="R648" s="12" t="n">
        <x:v>4</x:v>
      </x:c>
      <x:c r="S648" s="12" t="n">
        <x:v>7</x:v>
      </x:c>
      <x:c r="T648" s="1" t="str">
        <x:v>Yes</x:v>
      </x:c>
      <x:c r="U648" s="1" t="n">
        <x:v>0</x:v>
      </x:c>
    </x:row>
    <x:row r="649" ht="23" customHeight="1">
      <x:c r="A649" s="9" t="n">
        <x:v>767</x:v>
      </x:c>
      <x:c r="B649" s="9" t="n">
        <x:v>124</x:v>
      </x:c>
      <x:c r="C649" s="9" t="n">
        <x:v>499</x:v>
      </x:c>
      <x:c r="D649" s="9" t="n">
        <x:v>2</x:v>
      </x:c>
      <x:c r="E649" s="9" t="n">
        <x:v>119469</x:v>
      </x:c>
      <x:c r="F649" s="9" t="n">
        <x:v>36962.0000000149</x:v>
      </x:c>
      <x:c r="G649" s="9" t="n">
        <x:v>26753.9999999851</x:v>
      </x:c>
      <x:c r="H649" s="9" t="n">
        <x:v>51530</x:v>
      </x:c>
      <x:c r="I649" s="9" t="n">
        <x:v>4116.999999985099</x:v>
      </x:c>
      <x:c r="J649" s="9" t="n">
        <x:v>106.00000001490116</x:v>
      </x:c>
      <x:c r="K649" s="9" t="n">
        <x:f>F649+G649+I649+J649</x:f>
        <x:v>67939</x:v>
      </x:c>
      <x:c r="L649" s="10" t="n">
        <x:f>K649/Sources!$B$4*1000</x:f>
        <x:v>18.97978653711575</x:v>
      </x:c>
      <x:c r="M649" s="10" t="n">
        <x:f>E649/Sources!$B$4*1000</x:f>
        <x:v>33.375470904821704</x:v>
      </x:c>
      <x:c r="N649" s="9" t="n">
        <x:f>Sources!$B$6-K649</x:f>
        <x:v>-8203</x:v>
      </x:c>
      <x:c r="O649" s="1" t="str">
        <x:v>keyboard_route</x:v>
      </x:c>
      <x:c r="P649" s="12" t="n">
        <x:v>0</x:v>
      </x:c>
      <x:c r="Q649" s="12" t="n">
        <x:v>-4</x:v>
      </x:c>
      <x:c r="R649" s="12" t="n">
        <x:v>4</x:v>
      </x:c>
      <x:c r="S649" s="12" t="n">
        <x:v>3</x:v>
      </x:c>
      <x:c r="T649" s="1" t="str">
        <x:v>No</x:v>
      </x:c>
      <x:c r="U649" s="1" t="n">
        <x:v>0</x:v>
      </x:c>
    </x:row>
    <x:row r="650" ht="23" customHeight="1">
      <x:c r="A650" s="9" t="n">
        <x:v>768</x:v>
      </x:c>
      <x:c r="B650" s="9" t="n">
        <x:v>124</x:v>
      </x:c>
      <x:c r="C650" s="9" t="n">
        <x:v>495</x:v>
      </x:c>
      <x:c r="D650" s="9" t="n">
        <x:v>2</x:v>
      </x:c>
      <x:c r="E650" s="9" t="n">
        <x:v>119471</x:v>
      </x:c>
      <x:c r="F650" s="9" t="n">
        <x:v>32790.0000000149</x:v>
      </x:c>
      <x:c r="G650" s="9" t="n">
        <x:v>38303</x:v>
      </x:c>
      <x:c r="H650" s="9" t="n">
        <x:v>44155</x:v>
      </x:c>
      <x:c r="I650" s="9" t="n">
        <x:v>4117.000000014901</x:v>
      </x:c>
      <x:c r="J650" s="9" t="n">
        <x:v>105.99999997019768</x:v>
      </x:c>
      <x:c r="K650" s="9" t="n">
        <x:f>F650+G650+I650+J650</x:f>
        <x:v>75316</x:v>
      </x:c>
      <x:c r="L650" s="10" t="n">
        <x:f>K650/Sources!$B$4*1000</x:f>
        <x:v>21.04066298929054</x:v>
      </x:c>
      <x:c r="M650" s="10" t="n">
        <x:f>E650/Sources!$B$4*1000</x:f>
        <x:v>33.37602963505138</x:v>
      </x:c>
      <x:c r="N650" s="9" t="n">
        <x:f>Sources!$B$6-K650</x:f>
        <x:v>-15580</x:v>
      </x:c>
      <x:c r="O650" s="1" t="str">
        <x:v>keyboard_route</x:v>
      </x:c>
      <x:c r="P650" s="12" t="n">
        <x:v>0</x:v>
      </x:c>
      <x:c r="Q650" s="12" t="n">
        <x:v>-4</x:v>
      </x:c>
      <x:c r="R650" s="12" t="n">
        <x:v>4</x:v>
      </x:c>
      <x:c r="S650" s="12" t="n">
        <x:v>7</x:v>
      </x:c>
      <x:c r="T650" s="1" t="str">
        <x:v>Yes</x:v>
      </x:c>
      <x:c r="U650" s="1" t="n">
        <x:v>0</x:v>
      </x:c>
    </x:row>
    <x:row r="651" ht="23" customHeight="1">
      <x:c r="A651" s="9" t="n">
        <x:v>769</x:v>
      </x:c>
      <x:c r="B651" s="9" t="n">
        <x:v>124</x:v>
      </x:c>
      <x:c r="C651" s="9" t="n">
        <x:v>491</x:v>
      </x:c>
      <x:c r="D651" s="9" t="n">
        <x:v>2</x:v>
      </x:c>
      <x:c r="E651" s="9" t="n">
        <x:v>119475.9999999851</x:v>
      </x:c>
      <x:c r="F651" s="9" t="n">
        <x:v>37199</x:v>
      </x:c>
      <x:c r="G651" s="9" t="n">
        <x:v>26754</x:v>
      </x:c>
      <x:c r="H651" s="9" t="n">
        <x:v>51300</x:v>
      </x:c>
      <x:c r="I651" s="9" t="n">
        <x:v>4117</x:v>
      </x:c>
      <x:c r="J651" s="9" t="n">
        <x:v>105.99999998509884</x:v>
      </x:c>
      <x:c r="K651" s="9" t="n">
        <x:f>F651+G651+I651+J651</x:f>
        <x:v>68175.9999999851</x:v>
      </x:c>
      <x:c r="L651" s="10" t="n">
        <x:f>K651/Sources!$B$4*1000</x:f>
        <x:v>19.04599606932867</x:v>
      </x:c>
      <x:c r="M651" s="10" t="n">
        <x:f>E651/Sources!$B$4*1000</x:f>
        <x:v>33.377426460621415</x:v>
      </x:c>
      <x:c r="N651" s="9" t="n">
        <x:f>Sources!$B$6-K651</x:f>
        <x:v>-8439.999999985099</x:v>
      </x:c>
      <x:c r="O651" s="1" t="str">
        <x:v>keyboard_route</x:v>
      </x:c>
      <x:c r="P651" s="12" t="n">
        <x:v>0</x:v>
      </x:c>
      <x:c r="Q651" s="12" t="n">
        <x:v>-4</x:v>
      </x:c>
      <x:c r="R651" s="12" t="n">
        <x:v>4</x:v>
      </x:c>
      <x:c r="S651" s="12" t="n">
        <x:v>3</x:v>
      </x:c>
      <x:c r="T651" s="1" t="str">
        <x:v>No</x:v>
      </x:c>
      <x:c r="U651" s="1" t="n">
        <x:v>0</x:v>
      </x:c>
    </x:row>
    <x:row r="652" ht="23" customHeight="1">
      <x:c r="A652" s="9" t="n">
        <x:v>770</x:v>
      </x:c>
      <x:c r="B652" s="9" t="n">
        <x:v>124</x:v>
      </x:c>
      <x:c r="C652" s="9" t="n">
        <x:v>487</x:v>
      </x:c>
      <x:c r="D652" s="9" t="n">
        <x:v>2</x:v>
      </x:c>
      <x:c r="E652" s="9" t="n">
        <x:v>119469.0000000149</x:v>
      </x:c>
      <x:c r="F652" s="9" t="n">
        <x:v>31357.9999999851</x:v>
      </x:c>
      <x:c r="G652" s="9" t="n">
        <x:v>38303</x:v>
      </x:c>
      <x:c r="H652" s="9" t="n">
        <x:v>45585</x:v>
      </x:c>
      <x:c r="I652" s="9" t="n">
        <x:v>4117</x:v>
      </x:c>
      <x:c r="J652" s="9" t="n">
        <x:v>106.00000002980232</x:v>
      </x:c>
      <x:c r="K652" s="9" t="n">
        <x:f>F652+G652+I652+J652</x:f>
        <x:v>73884.0000000149</x:v>
      </x:c>
      <x:c r="L652" s="10" t="n">
        <x:f>K652/Sources!$B$4*1000</x:f>
        <x:v>20.6406121448438</x:v>
      </x:c>
      <x:c r="M652" s="10" t="n">
        <x:f>E652/Sources!$B$4*1000</x:f>
        <x:v>33.37547090482587</x:v>
      </x:c>
      <x:c r="N652" s="9" t="n">
        <x:f>Sources!$B$6-K652</x:f>
        <x:v>-14148.000000014901</x:v>
      </x:c>
      <x:c r="O652" s="1" t="str">
        <x:v>keyboard_route</x:v>
      </x:c>
      <x:c r="P652" s="12" t="n">
        <x:v>0</x:v>
      </x:c>
      <x:c r="Q652" s="12" t="n">
        <x:v>-4</x:v>
      </x:c>
      <x:c r="R652" s="12" t="n">
        <x:v>4</x:v>
      </x:c>
      <x:c r="S652" s="12" t="n">
        <x:v>7</x:v>
      </x:c>
      <x:c r="T652" s="1" t="str">
        <x:v>Yes</x:v>
      </x:c>
      <x:c r="U652" s="1" t="n">
        <x:v>0</x:v>
      </x:c>
    </x:row>
    <x:row r="653" ht="23" customHeight="1">
      <x:c r="A653" s="9" t="n">
        <x:v>771</x:v>
      </x:c>
      <x:c r="B653" s="9" t="n">
        <x:v>124</x:v>
      </x:c>
      <x:c r="C653" s="9" t="n">
        <x:v>483</x:v>
      </x:c>
      <x:c r="D653" s="9" t="n">
        <x:v>2</x:v>
      </x:c>
      <x:c r="E653" s="9" t="n">
        <x:v>119475</x:v>
      </x:c>
      <x:c r="F653" s="9" t="n">
        <x:v>40595.9999999851</x:v>
      </x:c>
      <x:c r="G653" s="9" t="n">
        <x:v>25890.9999999851</x:v>
      </x:c>
      <x:c r="H653" s="9" t="n">
        <x:v>48765</x:v>
      </x:c>
      <x:c r="I653" s="9" t="n">
        <x:v>4117</x:v>
      </x:c>
      <x:c r="J653" s="9" t="n">
        <x:v>106.00000002980232</x:v>
      </x:c>
      <x:c r="K653" s="9" t="n">
        <x:f>F653+G653+I653+J653</x:f>
        <x:v>70710</x:v>
      </x:c>
      <x:c r="L653" s="10" t="n">
        <x:f>K653/Sources!$B$4*1000</x:f>
        <x:v>19.753907270337432</x:v>
      </x:c>
      <x:c r="M653" s="10" t="n">
        <x:f>E653/Sources!$B$4*1000</x:f>
        <x:v>33.37714709551074</x:v>
      </x:c>
      <x:c r="N653" s="9" t="n">
        <x:f>Sources!$B$6-K653</x:f>
        <x:v>-10974</x:v>
      </x:c>
      <x:c r="O653" s="1" t="str">
        <x:v>keyboard_route</x:v>
      </x:c>
      <x:c r="P653" s="12" t="n">
        <x:v>0</x:v>
      </x:c>
      <x:c r="Q653" s="12" t="n">
        <x:v>-4</x:v>
      </x:c>
      <x:c r="R653" s="12" t="n">
        <x:v>4</x:v>
      </x:c>
      <x:c r="S653" s="12" t="n">
        <x:v>3</x:v>
      </x:c>
      <x:c r="T653" s="1" t="str">
        <x:v>No</x:v>
      </x:c>
      <x:c r="U653" s="1" t="n">
        <x:v>0</x:v>
      </x:c>
    </x:row>
    <x:row r="654" ht="23" customHeight="1">
      <x:c r="A654" s="9" t="n">
        <x:v>772</x:v>
      </x:c>
      <x:c r="B654" s="9" t="n">
        <x:v>124</x:v>
      </x:c>
      <x:c r="C654" s="9" t="n">
        <x:v>479</x:v>
      </x:c>
      <x:c r="D654" s="9" t="n">
        <x:v>2</x:v>
      </x:c>
      <x:c r="E654" s="9" t="n">
        <x:v>119468</x:v>
      </x:c>
      <x:c r="F654" s="9" t="n">
        <x:v>32868</x:v>
      </x:c>
      <x:c r="G654" s="9" t="n">
        <x:v>38277</x:v>
      </x:c>
      <x:c r="H654" s="9" t="n">
        <x:v>44100.0000000149</x:v>
      </x:c>
      <x:c r="I654" s="9" t="n">
        <x:v>4117</x:v>
      </x:c>
      <x:c r="J654" s="9" t="n">
        <x:v>105.99999998509884</x:v>
      </x:c>
      <x:c r="K654" s="9" t="n">
        <x:f>F654+G654+I654+J654</x:f>
        <x:v>75367.9999999851</x:v>
      </x:c>
      <x:c r="L654" s="10" t="n">
        <x:f>K654/Sources!$B$4*1000</x:f>
        <x:v>21.055189975258056</x:v>
      </x:c>
      <x:c r="M654" s="10" t="n">
        <x:f>E654/Sources!$B$4*1000</x:f>
        <x:v>33.37519153970686</x:v>
      </x:c>
      <x:c r="N654" s="9" t="n">
        <x:f>Sources!$B$6-K654</x:f>
        <x:v>-15631.999999985099</x:v>
      </x:c>
      <x:c r="O654" s="1" t="str">
        <x:v>keyboard_route</x:v>
      </x:c>
      <x:c r="P654" s="12" t="n">
        <x:v>0</x:v>
      </x:c>
      <x:c r="Q654" s="12" t="n">
        <x:v>-4</x:v>
      </x:c>
      <x:c r="R654" s="12" t="n">
        <x:v>4</x:v>
      </x:c>
      <x:c r="S654" s="12" t="n">
        <x:v>7</x:v>
      </x:c>
      <x:c r="T654" s="1" t="str">
        <x:v>Yes</x:v>
      </x:c>
      <x:c r="U654" s="1" t="n">
        <x:v>0</x:v>
      </x:c>
    </x:row>
    <x:row r="655" ht="23" customHeight="1">
      <x:c r="A655" s="9" t="n">
        <x:v>773</x:v>
      </x:c>
      <x:c r="B655" s="9" t="n">
        <x:v>124</x:v>
      </x:c>
      <x:c r="C655" s="9" t="n">
        <x:v>475</x:v>
      </x:c>
      <x:c r="D655" s="9" t="n">
        <x:v>2</x:v>
      </x:c>
      <x:c r="E655" s="9" t="n">
        <x:v>122294</x:v>
      </x:c>
      <x:c r="F655" s="9" t="n">
        <x:v>42319</x:v>
      </x:c>
      <x:c r="G655" s="9" t="n">
        <x:v>25891</x:v>
      </x:c>
      <x:c r="H655" s="9" t="n">
        <x:v>47039.9999999851</x:v>
      </x:c>
      <x:c r="I655" s="9" t="n">
        <x:v>6937.999999985099</x:v>
      </x:c>
      <x:c r="J655" s="9" t="n">
        <x:v>106.00000002980232</x:v>
      </x:c>
      <x:c r="K655" s="9" t="n">
        <x:f>F655+G655+I655+J655</x:f>
        <x:v>75254.0000000149</x:v>
      </x:c>
      <x:c r="L655" s="10" t="n">
        <x:f>K655/Sources!$B$4*1000</x:f>
        <x:v>21.02334235217462</x:v>
      </x:c>
      <x:c r="M655" s="10" t="n">
        <x:f>E655/Sources!$B$4*1000</x:f>
        <x:v>34.164677354244745</x:v>
      </x:c>
      <x:c r="N655" s="9" t="n">
        <x:f>Sources!$B$6-K655</x:f>
        <x:v>-15518.000000014901</x:v>
      </x:c>
      <x:c r="O655" s="1" t="str">
        <x:v>keyboard_route</x:v>
      </x:c>
      <x:c r="P655" s="12" t="n">
        <x:v>0</x:v>
      </x:c>
      <x:c r="Q655" s="12" t="n">
        <x:v>-4</x:v>
      </x:c>
      <x:c r="R655" s="12" t="n">
        <x:v>4</x:v>
      </x:c>
      <x:c r="S655" s="12" t="n">
        <x:v>3</x:v>
      </x:c>
      <x:c r="T655" s="1" t="str">
        <x:v>No</x:v>
      </x:c>
      <x:c r="U655" s="1" t="n">
        <x:v>0</x:v>
      </x:c>
    </x:row>
    <x:row r="656" ht="23" customHeight="1">
      <x:c r="A656" s="9" t="n">
        <x:v>774</x:v>
      </x:c>
      <x:c r="B656" s="9" t="n">
        <x:v>124</x:v>
      </x:c>
      <x:c r="C656" s="9" t="n">
        <x:v>471</x:v>
      </x:c>
      <x:c r="D656" s="9" t="n">
        <x:v>2</x:v>
      </x:c>
      <x:c r="E656" s="9" t="n">
        <x:v>116652.9999999851</x:v>
      </x:c>
      <x:c r="F656" s="9" t="n">
        <x:v>32065</x:v>
      </x:c>
      <x:c r="G656" s="9" t="n">
        <x:v>39139.9999999851</x:v>
      </x:c>
      <x:c r="H656" s="9" t="n">
        <x:v>41225</x:v>
      </x:c>
      <x:c r="I656" s="9" t="n">
        <x:v>4117</x:v>
      </x:c>
      <x:c r="J656" s="9" t="n">
        <x:v>106</x:v>
      </x:c>
      <x:c r="K656" s="9" t="n">
        <x:f>F656+G656+I656+J656</x:f>
        <x:v>75427.9999999851</x:v>
      </x:c>
      <x:c r="L656" s="10" t="n">
        <x:f>K656/Sources!$B$4*1000</x:f>
        <x:v>21.071951882148458</x:v>
      </x:c>
      <x:c r="M656" s="10" t="n">
        <x:f>E656/Sources!$B$4*1000</x:f>
        <x:v>32.58877874142806</x:v>
      </x:c>
      <x:c r="N656" s="9" t="n">
        <x:f>Sources!$B$6-K656</x:f>
        <x:v>-15691.999999985099</x:v>
      </x:c>
      <x:c r="O656" s="1" t="str">
        <x:v>keyboard_route</x:v>
      </x:c>
      <x:c r="P656" s="12" t="n">
        <x:v>0</x:v>
      </x:c>
      <x:c r="Q656" s="12" t="n">
        <x:v>-4</x:v>
      </x:c>
      <x:c r="R656" s="12" t="n">
        <x:v>4</x:v>
      </x:c>
      <x:c r="S656" s="12" t="n">
        <x:v>7</x:v>
      </x:c>
      <x:c r="T656" s="1" t="str">
        <x:v>Yes</x:v>
      </x:c>
      <x:c r="U656" s="1" t="n">
        <x:v>0</x:v>
      </x:c>
    </x:row>
    <x:row r="657" ht="23" customHeight="1">
      <x:c r="A657" s="9" t="n">
        <x:v>775</x:v>
      </x:c>
      <x:c r="B657" s="9" t="n">
        <x:v>124</x:v>
      </x:c>
      <x:c r="C657" s="9" t="n">
        <x:v>467</x:v>
      </x:c>
      <x:c r="D657" s="9" t="n">
        <x:v>2</x:v>
      </x:c>
      <x:c r="E657" s="9" t="n">
        <x:v>119470</x:v>
      </x:c>
      <x:c r="F657" s="9" t="n">
        <x:v>37556</x:v>
      </x:c>
      <x:c r="G657" s="9" t="n">
        <x:v>25891.0000000149</x:v>
      </x:c>
      <x:c r="H657" s="9" t="n">
        <x:v>51799.9999999851</x:v>
      </x:c>
      <x:c r="I657" s="9" t="n">
        <x:v>4117</x:v>
      </x:c>
      <x:c r="J657" s="9" t="n">
        <x:v>106</x:v>
      </x:c>
      <x:c r="K657" s="9" t="n">
        <x:f>F657+G657+I657+J657</x:f>
        <x:v>67670.0000000149</x:v>
      </x:c>
      <x:c r="L657" s="10" t="n">
        <x:f>K657/Sources!$B$4*1000</x:f>
        <x:v>18.90463732122795</x:v>
      </x:c>
      <x:c r="M657" s="10" t="n">
        <x:f>E657/Sources!$B$4*1000</x:f>
        <x:v>33.37575026993654</x:v>
      </x:c>
      <x:c r="N657" s="9" t="n">
        <x:f>Sources!$B$6-K657</x:f>
        <x:v>-7934.000000014901</x:v>
      </x:c>
      <x:c r="O657" s="1" t="str">
        <x:v>keyboard_route</x:v>
      </x:c>
      <x:c r="P657" s="12" t="n">
        <x:v>0</x:v>
      </x:c>
      <x:c r="Q657" s="12" t="n">
        <x:v>-4</x:v>
      </x:c>
      <x:c r="R657" s="12" t="n">
        <x:v>4</x:v>
      </x:c>
      <x:c r="S657" s="12" t="n">
        <x:v>3</x:v>
      </x:c>
      <x:c r="T657" s="1" t="str">
        <x:v>No</x:v>
      </x:c>
      <x:c r="U657" s="1" t="n">
        <x:v>0</x:v>
      </x:c>
    </x:row>
    <x:row r="658" ht="23" customHeight="1">
      <x:c r="A658" s="9" t="n">
        <x:v>776</x:v>
      </x:c>
      <x:c r="B658" s="9" t="n">
        <x:v>124</x:v>
      </x:c>
      <x:c r="C658" s="9" t="n">
        <x:v>463</x:v>
      </x:c>
      <x:c r="D658" s="9" t="n">
        <x:v>2</x:v>
      </x:c>
      <x:c r="E658" s="9" t="n">
        <x:v>119474</x:v>
      </x:c>
      <x:c r="F658" s="9" t="n">
        <x:v>31295.9999999851</x:v>
      </x:c>
      <x:c r="G658" s="9" t="n">
        <x:v>39140</x:v>
      </x:c>
      <x:c r="H658" s="9" t="n">
        <x:v>44815</x:v>
      </x:c>
      <x:c r="I658" s="9" t="n">
        <x:v>4117</x:v>
      </x:c>
      <x:c r="J658" s="9" t="n">
        <x:v>106.00000001490116</x:v>
      </x:c>
      <x:c r="K658" s="9" t="n">
        <x:f>F658+G658+I658+J658</x:f>
        <x:v>74659</x:v>
      </x:c>
      <x:c r="L658" s="10" t="n">
        <x:f>K658/Sources!$B$4*1000</x:f>
        <x:v>20.857120108840647</x:v>
      </x:c>
      <x:c r="M658" s="10" t="n">
        <x:f>E658/Sources!$B$4*1000</x:f>
        <x:v>33.3768677303959</x:v>
      </x:c>
      <x:c r="N658" s="9" t="n">
        <x:f>Sources!$B$6-K658</x:f>
        <x:v>-14923</x:v>
      </x:c>
      <x:c r="O658" s="1" t="str">
        <x:v>keyboard_route</x:v>
      </x:c>
      <x:c r="P658" s="12" t="n">
        <x:v>0</x:v>
      </x:c>
      <x:c r="Q658" s="12" t="n">
        <x:v>-4</x:v>
      </x:c>
      <x:c r="R658" s="12" t="n">
        <x:v>4</x:v>
      </x:c>
      <x:c r="S658" s="12" t="n">
        <x:v>7</x:v>
      </x:c>
      <x:c r="T658" s="1" t="str">
        <x:v>Yes</x:v>
      </x:c>
      <x:c r="U658" s="1" t="n">
        <x:v>0</x:v>
      </x:c>
    </x:row>
    <x:row r="659" ht="23" customHeight="1">
      <x:c r="A659" s="9" t="n">
        <x:v>777</x:v>
      </x:c>
      <x:c r="B659" s="9" t="n">
        <x:v>124</x:v>
      </x:c>
      <x:c r="C659" s="9" t="n">
        <x:v>459</x:v>
      </x:c>
      <x:c r="D659" s="9" t="n">
        <x:v>2</x:v>
      </x:c>
      <x:c r="E659" s="9" t="n">
        <x:v>119470</x:v>
      </x:c>
      <x:c r="F659" s="9" t="n">
        <x:v>38955.9999999851</x:v>
      </x:c>
      <x:c r="G659" s="9" t="n">
        <x:v>25891</x:v>
      </x:c>
      <x:c r="H659" s="9" t="n">
        <x:v>50400</x:v>
      </x:c>
      <x:c r="I659" s="9" t="n">
        <x:v>4117</x:v>
      </x:c>
      <x:c r="J659" s="9" t="n">
        <x:v>106.00000001490116</x:v>
      </x:c>
      <x:c r="K659" s="9" t="n">
        <x:f>F659+G659+I659+J659</x:f>
        <x:v>69070</x:v>
      </x:c>
      <x:c r="L659" s="10" t="n">
        <x:f>K659/Sources!$B$4*1000</x:f>
        <x:v>19.295748481999805</x:v>
      </x:c>
      <x:c r="M659" s="10" t="n">
        <x:f>E659/Sources!$B$4*1000</x:f>
        <x:v>33.37575026993654</x:v>
      </x:c>
      <x:c r="N659" s="9" t="n">
        <x:f>Sources!$B$6-K659</x:f>
        <x:v>-9334</x:v>
      </x:c>
      <x:c r="O659" s="1" t="str">
        <x:v>keyboard_route</x:v>
      </x:c>
      <x:c r="P659" s="12" t="n">
        <x:v>0</x:v>
      </x:c>
      <x:c r="Q659" s="12" t="n">
        <x:v>-4</x:v>
      </x:c>
      <x:c r="R659" s="12" t="n">
        <x:v>4</x:v>
      </x:c>
      <x:c r="S659" s="12" t="n">
        <x:v>3</x:v>
      </x:c>
      <x:c r="T659" s="1" t="str">
        <x:v>No</x:v>
      </x:c>
      <x:c r="U659" s="1" t="n">
        <x:v>0</x:v>
      </x:c>
    </x:row>
    <x:row r="660" ht="23" customHeight="1">
      <x:c r="A660" s="9" t="n">
        <x:v>778</x:v>
      </x:c>
      <x:c r="B660" s="9" t="n">
        <x:v>124</x:v>
      </x:c>
      <x:c r="C660" s="9" t="n">
        <x:v>455</x:v>
      </x:c>
      <x:c r="D660" s="9" t="n">
        <x:v>2</x:v>
      </x:c>
      <x:c r="E660" s="9" t="n">
        <x:v>119471.0000000149</x:v>
      </x:c>
      <x:c r="F660" s="9" t="n">
        <x:v>34273</x:v>
      </x:c>
      <x:c r="G660" s="9" t="n">
        <x:v>39140.0000000149</x:v>
      </x:c>
      <x:c r="H660" s="9" t="n">
        <x:v>41834.9999999851</x:v>
      </x:c>
      <x:c r="I660" s="9" t="n">
        <x:v>4117</x:v>
      </x:c>
      <x:c r="J660" s="9" t="n">
        <x:v>106.00000001490116</x:v>
      </x:c>
      <x:c r="K660" s="9" t="n">
        <x:f>F660+G660+I660+J660</x:f>
        <x:v>77636.0000000298</x:v>
      </x:c>
      <x:c r="L660" s="10" t="n">
        <x:f>K660/Sources!$B$4*1000</x:f>
        <x:v>21.688790055727697</x:v>
      </x:c>
      <x:c r="M660" s="10" t="n">
        <x:f>E660/Sources!$B$4*1000</x:f>
        <x:v>33.376029635055545</x:v>
      </x:c>
      <x:c r="N660" s="9" t="n">
        <x:f>Sources!$B$6-K660</x:f>
        <x:v>-17900.000000029802</x:v>
      </x:c>
      <x:c r="O660" s="1" t="str">
        <x:v>keyboard_route</x:v>
      </x:c>
      <x:c r="P660" s="12" t="n">
        <x:v>0</x:v>
      </x:c>
      <x:c r="Q660" s="12" t="n">
        <x:v>-4</x:v>
      </x:c>
      <x:c r="R660" s="12" t="n">
        <x:v>4</x:v>
      </x:c>
      <x:c r="S660" s="12" t="n">
        <x:v>7</x:v>
      </x:c>
      <x:c r="T660" s="1" t="str">
        <x:v>Yes</x:v>
      </x:c>
      <x:c r="U660" s="1" t="n">
        <x:v>0</x:v>
      </x:c>
    </x:row>
    <x:row r="661" ht="23" customHeight="1">
      <x:c r="A661" s="9" t="n">
        <x:v>779</x:v>
      </x:c>
      <x:c r="B661" s="9" t="n">
        <x:v>124</x:v>
      </x:c>
      <x:c r="C661" s="9" t="n">
        <x:v>451</x:v>
      </x:c>
      <x:c r="D661" s="9" t="n">
        <x:v>2</x:v>
      </x:c>
      <x:c r="E661" s="9" t="n">
        <x:v>119475</x:v>
      </x:c>
      <x:c r="F661" s="9" t="n">
        <x:v>37640.9999999851</x:v>
      </x:c>
      <x:c r="G661" s="9" t="n">
        <x:v>25890.9999999851</x:v>
      </x:c>
      <x:c r="H661" s="9" t="n">
        <x:v>51719.9999999851</x:v>
      </x:c>
      <x:c r="I661" s="9" t="n">
        <x:v>4117</x:v>
      </x:c>
      <x:c r="J661" s="9" t="n">
        <x:v>106.00000004470348</x:v>
      </x:c>
      <x:c r="K661" s="9" t="n">
        <x:f>F661+G661+I661+J661</x:f>
        <x:v>67755.0000000149</x:v>
      </x:c>
      <x:c r="L661" s="10" t="n">
        <x:f>K661/Sources!$B$4*1000</x:f>
        <x:v>18.928383355989354</x:v>
      </x:c>
      <x:c r="M661" s="10" t="n">
        <x:f>E661/Sources!$B$4*1000</x:f>
        <x:v>33.37714709551074</x:v>
      </x:c>
      <x:c r="N661" s="9" t="n">
        <x:f>Sources!$B$6-K661</x:f>
        <x:v>-8019.000000014901</x:v>
      </x:c>
      <x:c r="O661" s="1" t="str">
        <x:v>keyboard_route</x:v>
      </x:c>
      <x:c r="P661" s="12" t="n">
        <x:v>0</x:v>
      </x:c>
      <x:c r="Q661" s="12" t="n">
        <x:v>-4</x:v>
      </x:c>
      <x:c r="R661" s="12" t="n">
        <x:v>4</x:v>
      </x:c>
      <x:c r="S661" s="12" t="n">
        <x:v>3</x:v>
      </x:c>
      <x:c r="T661" s="1" t="str">
        <x:v>No</x:v>
      </x:c>
      <x:c r="U661" s="1" t="n">
        <x:v>0</x:v>
      </x:c>
    </x:row>
    <x:row r="662" ht="23" customHeight="1">
      <x:c r="A662" s="9" t="n">
        <x:v>780</x:v>
      </x:c>
      <x:c r="B662" s="9" t="n">
        <x:v>124</x:v>
      </x:c>
      <x:c r="C662" s="9" t="n">
        <x:v>447</x:v>
      </x:c>
      <x:c r="D662" s="9" t="n">
        <x:v>2</x:v>
      </x:c>
      <x:c r="E662" s="9" t="n">
        <x:v>119468.9999999851</x:v>
      </x:c>
      <x:c r="F662" s="9" t="n">
        <x:v>32910</x:v>
      </x:c>
      <x:c r="G662" s="9" t="n">
        <x:v>39165.9999999851</x:v>
      </x:c>
      <x:c r="H662" s="9" t="n">
        <x:v>43169.9999999851</x:v>
      </x:c>
      <x:c r="I662" s="9" t="n">
        <x:v>4117</x:v>
      </x:c>
      <x:c r="J662" s="9" t="n">
        <x:v>106.00000001490116</x:v>
      </x:c>
      <x:c r="K662" s="9" t="n">
        <x:f>F662+G662+I662+J662</x:f>
        <x:v>76299</x:v>
      </x:c>
      <x:c r="L662" s="10" t="n">
        <x:f>K662/Sources!$B$4*1000</x:f>
        <x:v>21.315278897178274</x:v>
      </x:c>
      <x:c r="M662" s="10" t="n">
        <x:f>E662/Sources!$B$4*1000</x:f>
        <x:v>33.37547090481754</x:v>
      </x:c>
      <x:c r="N662" s="9" t="n">
        <x:f>Sources!$B$6-K662</x:f>
        <x:v>-16563</x:v>
      </x:c>
      <x:c r="O662" s="1" t="str">
        <x:v>keyboard_route</x:v>
      </x:c>
      <x:c r="P662" s="12" t="n">
        <x:v>0</x:v>
      </x:c>
      <x:c r="Q662" s="12" t="n">
        <x:v>-4</x:v>
      </x:c>
      <x:c r="R662" s="12" t="n">
        <x:v>4</x:v>
      </x:c>
      <x:c r="S662" s="12" t="n">
        <x:v>7</x:v>
      </x:c>
      <x:c r="T662" s="1" t="str">
        <x:v>Yes</x:v>
      </x:c>
      <x:c r="U662" s="1" t="n">
        <x:v>0</x:v>
      </x:c>
    </x:row>
    <x:row r="663" ht="23" customHeight="1">
      <x:c r="A663" s="9" t="n">
        <x:v>781</x:v>
      </x:c>
      <x:c r="B663" s="9" t="n">
        <x:v>124</x:v>
      </x:c>
      <x:c r="C663" s="9" t="n">
        <x:v>443</x:v>
      </x:c>
      <x:c r="D663" s="9" t="n">
        <x:v>2</x:v>
      </x:c>
      <x:c r="E663" s="9" t="n">
        <x:v>119473.0000000149</x:v>
      </x:c>
      <x:c r="F663" s="9" t="n">
        <x:v>38209</x:v>
      </x:c>
      <x:c r="G663" s="9" t="n">
        <x:v>25891</x:v>
      </x:c>
      <x:c r="H663" s="9" t="n">
        <x:v>51150.0000000149</x:v>
      </x:c>
      <x:c r="I663" s="9" t="n">
        <x:v>4117.000000014901</x:v>
      </x:c>
      <x:c r="J663" s="9" t="n">
        <x:v>105.99999998509884</x:v>
      </x:c>
      <x:c r="K663" s="9" t="n">
        <x:f>F663+G663+I663+J663</x:f>
        <x:v>68323</x:v>
      </x:c>
      <x:c r="L663" s="10" t="n">
        <x:f>K663/Sources!$B$4*1000</x:f>
        <x:v>19.087062741214318</x:v>
      </x:c>
      <x:c r="M663" s="10" t="n">
        <x:f>E663/Sources!$B$4*1000</x:f>
        <x:v>33.37658836528522</x:v>
      </x:c>
      <x:c r="N663" s="9" t="n">
        <x:f>Sources!$B$6-K663</x:f>
        <x:v>-8587</x:v>
      </x:c>
      <x:c r="O663" s="1" t="str">
        <x:v>keyboard_route</x:v>
      </x:c>
      <x:c r="P663" s="12" t="n">
        <x:v>0</x:v>
      </x:c>
      <x:c r="Q663" s="12" t="n">
        <x:v>-4</x:v>
      </x:c>
      <x:c r="R663" s="12" t="n">
        <x:v>4</x:v>
      </x:c>
      <x:c r="S663" s="12" t="n">
        <x:v>3</x:v>
      </x:c>
      <x:c r="T663" s="1" t="str">
        <x:v>No</x:v>
      </x:c>
      <x:c r="U663" s="1" t="n">
        <x:v>0</x:v>
      </x:c>
    </x:row>
    <x:row r="664" ht="23" customHeight="1">
      <x:c r="A664" s="9" t="n">
        <x:v>782</x:v>
      </x:c>
      <x:c r="B664" s="9" t="n">
        <x:v>124</x:v>
      </x:c>
      <x:c r="C664" s="9" t="n">
        <x:v>439</x:v>
      </x:c>
      <x:c r="D664" s="9" t="n">
        <x:v>2</x:v>
      </x:c>
      <x:c r="E664" s="9" t="n">
        <x:v>119472</x:v>
      </x:c>
      <x:c r="F664" s="9" t="n">
        <x:v>32688</x:v>
      </x:c>
      <x:c r="G664" s="9" t="n">
        <x:v>39166</x:v>
      </x:c>
      <x:c r="H664" s="9" t="n">
        <x:v>43395</x:v>
      </x:c>
      <x:c r="I664" s="9" t="n">
        <x:v>4117</x:v>
      </x:c>
      <x:c r="J664" s="9" t="n">
        <x:v>106</x:v>
      </x:c>
      <x:c r="K664" s="9" t="n">
        <x:f>F664+G664+I664+J664</x:f>
        <x:v>76077</x:v>
      </x:c>
      <x:c r="L664" s="10" t="n">
        <x:f>K664/Sources!$B$4*1000</x:f>
        <x:v>21.25325984168379</x:v>
      </x:c>
      <x:c r="M664" s="10" t="n">
        <x:f>E664/Sources!$B$4*1000</x:f>
        <x:v>33.37630900016622</x:v>
      </x:c>
      <x:c r="N664" s="9" t="n">
        <x:f>Sources!$B$6-K664</x:f>
        <x:v>-16341</x:v>
      </x:c>
      <x:c r="O664" s="1" t="str">
        <x:v>keyboard_route</x:v>
      </x:c>
      <x:c r="P664" s="12" t="n">
        <x:v>0</x:v>
      </x:c>
      <x:c r="Q664" s="12" t="n">
        <x:v>-4</x:v>
      </x:c>
      <x:c r="R664" s="12" t="n">
        <x:v>4</x:v>
      </x:c>
      <x:c r="S664" s="12" t="n">
        <x:v>7</x:v>
      </x:c>
      <x:c r="T664" s="1" t="str">
        <x:v>Yes</x:v>
      </x:c>
      <x:c r="U664" s="1" t="n">
        <x:v>0</x:v>
      </x:c>
    </x:row>
    <x:row r="665" ht="23" customHeight="1">
      <x:c r="A665" s="9" t="n">
        <x:v>783</x:v>
      </x:c>
      <x:c r="B665" s="9" t="n">
        <x:v>124</x:v>
      </x:c>
      <x:c r="C665" s="9" t="n">
        <x:v>435</x:v>
      </x:c>
      <x:c r="D665" s="9" t="n">
        <x:v>2</x:v>
      </x:c>
      <x:c r="E665" s="9" t="n">
        <x:v>119472</x:v>
      </x:c>
      <x:c r="F665" s="9" t="n">
        <x:v>37608</x:v>
      </x:c>
      <x:c r="G665" s="9" t="n">
        <x:v>25891</x:v>
      </x:c>
      <x:c r="H665" s="9" t="n">
        <x:v>51750.0000000149</x:v>
      </x:c>
      <x:c r="I665" s="9" t="n">
        <x:v>4117</x:v>
      </x:c>
      <x:c r="J665" s="9" t="n">
        <x:v>105.99999998509884</x:v>
      </x:c>
      <x:c r="K665" s="9" t="n">
        <x:f>F665+G665+I665+J665</x:f>
        <x:v>67721.9999999851</x:v>
      </x:c>
      <x:c r="L665" s="10" t="n">
        <x:f>K665/Sources!$B$4*1000</x:f>
        <x:v>18.919164307191306</x:v>
      </x:c>
      <x:c r="M665" s="10" t="n">
        <x:f>E665/Sources!$B$4*1000</x:f>
        <x:v>33.37630900016622</x:v>
      </x:c>
      <x:c r="N665" s="9" t="n">
        <x:f>Sources!$B$6-K665</x:f>
        <x:v>-7985.999999985099</x:v>
      </x:c>
      <x:c r="O665" s="1" t="str">
        <x:v>keyboard_route</x:v>
      </x:c>
      <x:c r="P665" s="12" t="n">
        <x:v>0</x:v>
      </x:c>
      <x:c r="Q665" s="12" t="n">
        <x:v>-4</x:v>
      </x:c>
      <x:c r="R665" s="12" t="n">
        <x:v>4</x:v>
      </x:c>
      <x:c r="S665" s="12" t="n">
        <x:v>3</x:v>
      </x:c>
      <x:c r="T665" s="1" t="str">
        <x:v>No</x:v>
      </x:c>
      <x:c r="U665" s="1" t="n">
        <x:v>0</x:v>
      </x:c>
    </x:row>
    <x:row r="666" ht="23" customHeight="1">
      <x:c r="A666" s="9" t="n">
        <x:v>784</x:v>
      </x:c>
      <x:c r="B666" s="9" t="n">
        <x:v>124</x:v>
      </x:c>
      <x:c r="C666" s="9" t="n">
        <x:v>431</x:v>
      </x:c>
      <x:c r="D666" s="9" t="n">
        <x:v>2</x:v>
      </x:c>
      <x:c r="E666" s="9" t="n">
        <x:v>119471.9999999851</x:v>
      </x:c>
      <x:c r="F666" s="9" t="n">
        <x:v>32922</x:v>
      </x:c>
      <x:c r="G666" s="9" t="n">
        <x:v>38297</x:v>
      </x:c>
      <x:c r="H666" s="9" t="n">
        <x:v>44029.9999999851</x:v>
      </x:c>
      <x:c r="I666" s="9" t="n">
        <x:v>4117</x:v>
      </x:c>
      <x:c r="J666" s="9" t="n">
        <x:v>106</x:v>
      </x:c>
      <x:c r="K666" s="9" t="n">
        <x:f>F666+G666+I666+J666</x:f>
        <x:v>75442</x:v>
      </x:c>
      <x:c r="L666" s="10" t="n">
        <x:f>K666/Sources!$B$4*1000</x:f>
        <x:v>21.07586299376038</x:v>
      </x:c>
      <x:c r="M666" s="10" t="n">
        <x:f>E666/Sources!$B$4*1000</x:f>
        <x:v>33.37630900016206</x:v>
      </x:c>
      <x:c r="N666" s="9" t="n">
        <x:f>Sources!$B$6-K666</x:f>
        <x:v>-15706</x:v>
      </x:c>
      <x:c r="O666" s="1" t="str">
        <x:v>keyboard_route</x:v>
      </x:c>
      <x:c r="P666" s="12" t="n">
        <x:v>0</x:v>
      </x:c>
      <x:c r="Q666" s="12" t="n">
        <x:v>-4</x:v>
      </x:c>
      <x:c r="R666" s="12" t="n">
        <x:v>4</x:v>
      </x:c>
      <x:c r="S666" s="12" t="n">
        <x:v>7</x:v>
      </x:c>
      <x:c r="T666" s="1" t="str">
        <x:v>Yes</x:v>
      </x:c>
      <x:c r="U666" s="1" t="n">
        <x:v>0</x:v>
      </x:c>
    </x:row>
    <x:row r="667" ht="23" customHeight="1">
      <x:c r="A667" s="9" t="n">
        <x:v>785</x:v>
      </x:c>
      <x:c r="B667" s="9" t="n">
        <x:v>124</x:v>
      </x:c>
      <x:c r="C667" s="9" t="n">
        <x:v>427</x:v>
      </x:c>
      <x:c r="D667" s="9" t="n">
        <x:v>2</x:v>
      </x:c>
      <x:c r="E667" s="9" t="n">
        <x:v>119471.0000000149</x:v>
      </x:c>
      <x:c r="F667" s="9" t="n">
        <x:v>37633</x:v>
      </x:c>
      <x:c r="G667" s="9" t="n">
        <x:v>25884.9999999851</x:v>
      </x:c>
      <x:c r="H667" s="9" t="n">
        <x:v>51730</x:v>
      </x:c>
      <x:c r="I667" s="9" t="n">
        <x:v>4117</x:v>
      </x:c>
      <x:c r="J667" s="9" t="n">
        <x:v>106.00000002980232</x:v>
      </x:c>
      <x:c r="K667" s="9" t="n">
        <x:f>F667+G667+I667+J667</x:f>
        <x:v>67741.0000000149</x:v>
      </x:c>
      <x:c r="L667" s="10" t="n">
        <x:f>K667/Sources!$B$4*1000</x:f>
        <x:v>18.92447224438159</x:v>
      </x:c>
      <x:c r="M667" s="10" t="n">
        <x:f>E667/Sources!$B$4*1000</x:f>
        <x:v>33.376029635055545</x:v>
      </x:c>
      <x:c r="N667" s="9" t="n">
        <x:f>Sources!$B$6-K667</x:f>
        <x:v>-8005.000000014901</x:v>
      </x:c>
      <x:c r="O667" s="1" t="str">
        <x:v>keyboard_route</x:v>
      </x:c>
      <x:c r="P667" s="12" t="n">
        <x:v>0</x:v>
      </x:c>
      <x:c r="Q667" s="12" t="n">
        <x:v>-4</x:v>
      </x:c>
      <x:c r="R667" s="12" t="n">
        <x:v>4</x:v>
      </x:c>
      <x:c r="S667" s="12" t="n">
        <x:v>3</x:v>
      </x:c>
      <x:c r="T667" s="1" t="str">
        <x:v>No</x:v>
      </x:c>
      <x:c r="U667" s="1" t="n">
        <x:v>0</x:v>
      </x:c>
    </x:row>
    <x:row r="668" ht="23" customHeight="1">
      <x:c r="A668" s="9" t="n">
        <x:v>786</x:v>
      </x:c>
      <x:c r="B668" s="9" t="n">
        <x:v>124</x:v>
      </x:c>
      <x:c r="C668" s="9" t="n">
        <x:v>423</x:v>
      </x:c>
      <x:c r="D668" s="9" t="n">
        <x:v>2</x:v>
      </x:c>
      <x:c r="E668" s="9" t="n">
        <x:v>119474</x:v>
      </x:c>
      <x:c r="F668" s="9" t="n">
        <x:v>34184</x:v>
      </x:c>
      <x:c r="G668" s="9" t="n">
        <x:v>38297</x:v>
      </x:c>
      <x:c r="H668" s="9" t="n">
        <x:v>42770</x:v>
      </x:c>
      <x:c r="I668" s="9" t="n">
        <x:v>4117</x:v>
      </x:c>
      <x:c r="J668" s="9" t="n">
        <x:v>106</x:v>
      </x:c>
      <x:c r="K668" s="9" t="n">
        <x:f>F668+G668+I668+J668</x:f>
        <x:v>76704</x:v>
      </x:c>
      <x:c r="L668" s="10" t="n">
        <x:f>K668/Sources!$B$4*1000</x:f>
        <x:v>21.428421768688477</x:v>
      </x:c>
      <x:c r="M668" s="10" t="n">
        <x:f>E668/Sources!$B$4*1000</x:f>
        <x:v>33.3768677303959</x:v>
      </x:c>
      <x:c r="N668" s="9" t="n">
        <x:f>Sources!$B$6-K668</x:f>
        <x:v>-16968</x:v>
      </x:c>
      <x:c r="O668" s="1" t="str">
        <x:v>keyboard_route</x:v>
      </x:c>
      <x:c r="P668" s="12" t="n">
        <x:v>0</x:v>
      </x:c>
      <x:c r="Q668" s="12" t="n">
        <x:v>-4</x:v>
      </x:c>
      <x:c r="R668" s="12" t="n">
        <x:v>4</x:v>
      </x:c>
      <x:c r="S668" s="12" t="n">
        <x:v>7</x:v>
      </x:c>
      <x:c r="T668" s="1" t="str">
        <x:v>Yes</x:v>
      </x:c>
      <x:c r="U668" s="1" t="n">
        <x:v>0</x:v>
      </x:c>
    </x:row>
    <x:row r="669" ht="23" customHeight="1">
      <x:c r="A669" s="9" t="n">
        <x:v>787</x:v>
      </x:c>
      <x:c r="B669" s="9" t="n">
        <x:v>124</x:v>
      </x:c>
      <x:c r="C669" s="9" t="n">
        <x:v>419</x:v>
      </x:c>
      <x:c r="D669" s="9" t="n">
        <x:v>2</x:v>
      </x:c>
      <x:c r="E669" s="9" t="n">
        <x:v>119471</x:v>
      </x:c>
      <x:c r="F669" s="9" t="n">
        <x:v>37803</x:v>
      </x:c>
      <x:c r="G669" s="9" t="n">
        <x:v>25884.9999999851</x:v>
      </x:c>
      <x:c r="H669" s="9" t="n">
        <x:v>51560</x:v>
      </x:c>
      <x:c r="I669" s="9" t="n">
        <x:v>4117</x:v>
      </x:c>
      <x:c r="J669" s="9" t="n">
        <x:v>106.00000001490116</x:v>
      </x:c>
      <x:c r="K669" s="9" t="n">
        <x:f>F669+G669+I669+J669</x:f>
        <x:v>67911</x:v>
      </x:c>
      <x:c r="L669" s="10" t="n">
        <x:f>K669/Sources!$B$4*1000</x:f>
        <x:v>18.97196431390023</x:v>
      </x:c>
      <x:c r="M669" s="10" t="n">
        <x:f>E669/Sources!$B$4*1000</x:f>
        <x:v>33.37602963505138</x:v>
      </x:c>
      <x:c r="N669" s="9" t="n">
        <x:f>Sources!$B$6-K669</x:f>
        <x:v>-8175</x:v>
      </x:c>
      <x:c r="O669" s="1" t="str">
        <x:v>keyboard_route</x:v>
      </x:c>
      <x:c r="P669" s="12" t="n">
        <x:v>0</x:v>
      </x:c>
      <x:c r="Q669" s="12" t="n">
        <x:v>-4</x:v>
      </x:c>
      <x:c r="R669" s="12" t="n">
        <x:v>4</x:v>
      </x:c>
      <x:c r="S669" s="12" t="n">
        <x:v>3</x:v>
      </x:c>
      <x:c r="T669" s="1" t="str">
        <x:v>No</x:v>
      </x:c>
      <x:c r="U669" s="1" t="n">
        <x:v>0</x:v>
      </x:c>
    </x:row>
    <x:row r="670" ht="23" customHeight="1">
      <x:c r="A670" s="9" t="n">
        <x:v>788</x:v>
      </x:c>
      <x:c r="B670" s="9" t="n">
        <x:v>124</x:v>
      </x:c>
      <x:c r="C670" s="9" t="n">
        <x:v>415</x:v>
      </x:c>
      <x:c r="D670" s="9" t="n">
        <x:v>2</x:v>
      </x:c>
      <x:c r="E670" s="9" t="n">
        <x:v>119474</x:v>
      </x:c>
      <x:c r="F670" s="9" t="n">
        <x:v>32515</x:v>
      </x:c>
      <x:c r="G670" s="9" t="n">
        <x:v>38271</x:v>
      </x:c>
      <x:c r="H670" s="9" t="n">
        <x:v>44464.9999999851</x:v>
      </x:c>
      <x:c r="I670" s="9" t="n">
        <x:v>4117</x:v>
      </x:c>
      <x:c r="J670" s="9" t="n">
        <x:v>106.00000001490116</x:v>
      </x:c>
      <x:c r="K670" s="9" t="n">
        <x:f>F670+G670+I670+J670</x:f>
        <x:v>75009.0000000149</x:v>
      </x:c>
      <x:c r="L670" s="10" t="n">
        <x:f>K670/Sources!$B$4*1000</x:f>
        <x:v>20.954897899038816</x:v>
      </x:c>
      <x:c r="M670" s="10" t="n">
        <x:f>E670/Sources!$B$4*1000</x:f>
        <x:v>33.3768677303959</x:v>
      </x:c>
      <x:c r="N670" s="9" t="n">
        <x:f>Sources!$B$6-K670</x:f>
        <x:v>-15273.000000014901</x:v>
      </x:c>
      <x:c r="O670" s="1" t="str">
        <x:v>keyboard_route</x:v>
      </x:c>
      <x:c r="P670" s="12" t="n">
        <x:v>0</x:v>
      </x:c>
      <x:c r="Q670" s="12" t="n">
        <x:v>-4</x:v>
      </x:c>
      <x:c r="R670" s="12" t="n">
        <x:v>4</x:v>
      </x:c>
      <x:c r="S670" s="12" t="n">
        <x:v>7</x:v>
      </x:c>
      <x:c r="T670" s="1" t="str">
        <x:v>Yes</x:v>
      </x:c>
      <x:c r="U670" s="1" t="n">
        <x:v>0</x:v>
      </x:c>
    </x:row>
    <x:row r="671" ht="23" customHeight="1">
      <x:c r="A671" s="9" t="n">
        <x:v>789</x:v>
      </x:c>
      <x:c r="B671" s="9" t="n">
        <x:v>124</x:v>
      </x:c>
      <x:c r="C671" s="9" t="n">
        <x:v>411</x:v>
      </x:c>
      <x:c r="D671" s="9" t="n">
        <x:v>2</x:v>
      </x:c>
      <x:c r="E671" s="9" t="n">
        <x:v>119472</x:v>
      </x:c>
      <x:c r="F671" s="9" t="n">
        <x:v>37814</x:v>
      </x:c>
      <x:c r="G671" s="9" t="n">
        <x:v>25885.0000000149</x:v>
      </x:c>
      <x:c r="H671" s="9" t="n">
        <x:v>51550</x:v>
      </x:c>
      <x:c r="I671" s="9" t="n">
        <x:v>4117</x:v>
      </x:c>
      <x:c r="J671" s="9" t="n">
        <x:v>105.99999998509884</x:v>
      </x:c>
      <x:c r="K671" s="9" t="n">
        <x:f>F671+G671+I671+J671</x:f>
        <x:v>67922</x:v>
      </x:c>
      <x:c r="L671" s="10" t="n">
        <x:f>K671/Sources!$B$4*1000</x:f>
        <x:v>18.97503733016347</x:v>
      </x:c>
      <x:c r="M671" s="10" t="n">
        <x:f>E671/Sources!$B$4*1000</x:f>
        <x:v>33.37630900016622</x:v>
      </x:c>
      <x:c r="N671" s="9" t="n">
        <x:f>Sources!$B$6-K671</x:f>
        <x:v>-8186</x:v>
      </x:c>
      <x:c r="O671" s="1" t="str">
        <x:v>keyboard_route</x:v>
      </x:c>
      <x:c r="P671" s="12" t="n">
        <x:v>0</x:v>
      </x:c>
      <x:c r="Q671" s="12" t="n">
        <x:v>-4</x:v>
      </x:c>
      <x:c r="R671" s="12" t="n">
        <x:v>4</x:v>
      </x:c>
      <x:c r="S671" s="12" t="n">
        <x:v>3</x:v>
      </x:c>
      <x:c r="T671" s="1" t="str">
        <x:v>No</x:v>
      </x:c>
      <x:c r="U671" s="1" t="n">
        <x:v>0</x:v>
      </x:c>
    </x:row>
    <x:row r="672" ht="23" customHeight="1">
      <x:c r="A672" s="9" t="n">
        <x:v>790</x:v>
      </x:c>
      <x:c r="B672" s="9" t="n">
        <x:v>124</x:v>
      </x:c>
      <x:c r="C672" s="9" t="n">
        <x:v>407</x:v>
      </x:c>
      <x:c r="D672" s="9" t="n">
        <x:v>2</x:v>
      </x:c>
      <x:c r="E672" s="9" t="n">
        <x:v>119473</x:v>
      </x:c>
      <x:c r="F672" s="9" t="n">
        <x:v>33099</x:v>
      </x:c>
      <x:c r="G672" s="9" t="n">
        <x:v>38270.9999999851</x:v>
      </x:c>
      <x:c r="H672" s="9" t="n">
        <x:v>43880</x:v>
      </x:c>
      <x:c r="I672" s="9" t="n">
        <x:v>4117</x:v>
      </x:c>
      <x:c r="J672" s="9" t="n">
        <x:v>106.00000001490116</x:v>
      </x:c>
      <x:c r="K672" s="9" t="n">
        <x:f>F672+G672+I672+J672</x:f>
        <x:v>75593</x:v>
      </x:c>
      <x:c r="L672" s="10" t="n">
        <x:f>K672/Sources!$B$4*1000</x:f>
        <x:v>21.11804712610122</x:v>
      </x:c>
      <x:c r="M672" s="10" t="n">
        <x:f>E672/Sources!$B$4*1000</x:f>
        <x:v>33.37658836528106</x:v>
      </x:c>
      <x:c r="N672" s="9" t="n">
        <x:f>Sources!$B$6-K672</x:f>
        <x:v>-15857</x:v>
      </x:c>
      <x:c r="O672" s="1" t="str">
        <x:v>keyboard_route</x:v>
      </x:c>
      <x:c r="P672" s="12" t="n">
        <x:v>0</x:v>
      </x:c>
      <x:c r="Q672" s="12" t="n">
        <x:v>-4</x:v>
      </x:c>
      <x:c r="R672" s="12" t="n">
        <x:v>4</x:v>
      </x:c>
      <x:c r="S672" s="12" t="n">
        <x:v>7</x:v>
      </x:c>
      <x:c r="T672" s="1" t="str">
        <x:v>Yes</x:v>
      </x:c>
      <x:c r="U672" s="1" t="n">
        <x:v>0</x:v>
      </x:c>
    </x:row>
    <x:row r="673" ht="23" customHeight="1">
      <x:c r="A673" s="9" t="n">
        <x:v>791</x:v>
      </x:c>
      <x:c r="B673" s="9" t="n">
        <x:v>124</x:v>
      </x:c>
      <x:c r="C673" s="9" t="n">
        <x:v>403</x:v>
      </x:c>
      <x:c r="D673" s="9" t="n">
        <x:v>2</x:v>
      </x:c>
      <x:c r="E673" s="9" t="n">
        <x:v>119470</x:v>
      </x:c>
      <x:c r="F673" s="9" t="n">
        <x:v>40027</x:v>
      </x:c>
      <x:c r="G673" s="9" t="n">
        <x:v>25885.0000000149</x:v>
      </x:c>
      <x:c r="H673" s="9" t="n">
        <x:v>49335</x:v>
      </x:c>
      <x:c r="I673" s="9" t="n">
        <x:v>4117</x:v>
      </x:c>
      <x:c r="J673" s="9" t="n">
        <x:v>105.99999998509884</x:v>
      </x:c>
      <x:c r="K673" s="9" t="n">
        <x:f>F673+G673+I673+J673</x:f>
        <x:v>70135</x:v>
      </x:c>
      <x:c r="L673" s="10" t="n">
        <x:f>K673/Sources!$B$4*1000</x:f>
        <x:v>19.593272329304423</x:v>
      </x:c>
      <x:c r="M673" s="10" t="n">
        <x:f>E673/Sources!$B$4*1000</x:f>
        <x:v>33.37575026993654</x:v>
      </x:c>
      <x:c r="N673" s="9" t="n">
        <x:f>Sources!$B$6-K673</x:f>
        <x:v>-10399</x:v>
      </x:c>
      <x:c r="O673" s="1" t="str">
        <x:v>keyboard_route</x:v>
      </x:c>
      <x:c r="P673" s="12" t="n">
        <x:v>0</x:v>
      </x:c>
      <x:c r="Q673" s="12" t="n">
        <x:v>-4</x:v>
      </x:c>
      <x:c r="R673" s="12" t="n">
        <x:v>4</x:v>
      </x:c>
      <x:c r="S673" s="12" t="n">
        <x:v>3</x:v>
      </x:c>
      <x:c r="T673" s="1" t="str">
        <x:v>No</x:v>
      </x:c>
      <x:c r="U673" s="1" t="n">
        <x:v>0</x:v>
      </x:c>
    </x:row>
    <x:row r="674" ht="23" customHeight="1">
      <x:c r="A674" s="9" t="n">
        <x:v>792</x:v>
      </x:c>
      <x:c r="B674" s="9" t="n">
        <x:v>124</x:v>
      </x:c>
      <x:c r="C674" s="9" t="n">
        <x:v>399</x:v>
      </x:c>
      <x:c r="D674" s="9" t="n">
        <x:v>2</x:v>
      </x:c>
      <x:c r="E674" s="9" t="n">
        <x:v>119470</x:v>
      </x:c>
      <x:c r="F674" s="9" t="n">
        <x:v>33805</x:v>
      </x:c>
      <x:c r="G674" s="9" t="n">
        <x:v>38277.0000000149</x:v>
      </x:c>
      <x:c r="H674" s="9" t="n">
        <x:v>43165</x:v>
      </x:c>
      <x:c r="I674" s="9" t="n">
        <x:v>4117</x:v>
      </x:c>
      <x:c r="J674" s="9" t="n">
        <x:v>105.99999998509884</x:v>
      </x:c>
      <x:c r="K674" s="9" t="n">
        <x:f>F674+G674+I674+J674</x:f>
        <x:v>76305</x:v>
      </x:c>
      <x:c r="L674" s="10" t="n">
        <x:f>K674/Sources!$B$4*1000</x:f>
        <x:v>21.316955087867314</x:v>
      </x:c>
      <x:c r="M674" s="10" t="n">
        <x:f>E674/Sources!$B$4*1000</x:f>
        <x:v>33.37575026993654</x:v>
      </x:c>
      <x:c r="N674" s="9" t="n">
        <x:f>Sources!$B$6-K674</x:f>
        <x:v>-16569</x:v>
      </x:c>
      <x:c r="O674" s="1" t="str">
        <x:v>keyboard_route</x:v>
      </x:c>
      <x:c r="P674" s="12" t="n">
        <x:v>0</x:v>
      </x:c>
      <x:c r="Q674" s="12" t="n">
        <x:v>-4</x:v>
      </x:c>
      <x:c r="R674" s="12" t="n">
        <x:v>4</x:v>
      </x:c>
      <x:c r="S674" s="12" t="n">
        <x:v>7</x:v>
      </x:c>
      <x:c r="T674" s="1" t="str">
        <x:v>Yes</x:v>
      </x:c>
      <x:c r="U674" s="1" t="n">
        <x:v>0</x:v>
      </x:c>
    </x:row>
    <x:row r="675" ht="23" customHeight="1">
      <x:c r="A675" s="9" t="n">
        <x:v>793</x:v>
      </x:c>
      <x:c r="B675" s="9" t="n">
        <x:v>124</x:v>
      </x:c>
      <x:c r="C675" s="9" t="n">
        <x:v>395</x:v>
      </x:c>
      <x:c r="D675" s="9" t="n">
        <x:v>2</x:v>
      </x:c>
      <x:c r="E675" s="9" t="n">
        <x:v>119476</x:v>
      </x:c>
      <x:c r="F675" s="9" t="n">
        <x:v>37932.0000000149</x:v>
      </x:c>
      <x:c r="G675" s="9" t="n">
        <x:v>25891.0000000149</x:v>
      </x:c>
      <x:c r="H675" s="9" t="n">
        <x:v>51430.0000000149</x:v>
      </x:c>
      <x:c r="I675" s="9" t="n">
        <x:v>4117</x:v>
      </x:c>
      <x:c r="J675" s="9" t="n">
        <x:v>105.99999995529652</x:v>
      </x:c>
      <x:c r="K675" s="9" t="n">
        <x:f>F675+G675+I675+J675</x:f>
        <x:v>68045.9999999851</x:v>
      </x:c>
      <x:c r="L675" s="10" t="n">
        <x:f>K675/Sources!$B$4*1000</x:f>
        <x:v>19.00967860439947</x:v>
      </x:c>
      <x:c r="M675" s="10" t="n">
        <x:f>E675/Sources!$B$4*1000</x:f>
        <x:v>33.37742646062558</x:v>
      </x:c>
      <x:c r="N675" s="9" t="n">
        <x:f>Sources!$B$6-K675</x:f>
        <x:v>-8309.999999985099</x:v>
      </x:c>
      <x:c r="O675" s="1" t="str">
        <x:v>keyboard_route</x:v>
      </x:c>
      <x:c r="P675" s="12" t="n">
        <x:v>0</x:v>
      </x:c>
      <x:c r="Q675" s="12" t="n">
        <x:v>-4</x:v>
      </x:c>
      <x:c r="R675" s="12" t="n">
        <x:v>4</x:v>
      </x:c>
      <x:c r="S675" s="12" t="n">
        <x:v>3</x:v>
      </x:c>
      <x:c r="T675" s="1" t="str">
        <x:v>No</x:v>
      </x:c>
      <x:c r="U675" s="1" t="n">
        <x:v>0</x:v>
      </x:c>
    </x:row>
    <x:row r="676" ht="23" customHeight="1">
      <x:c r="A676" s="9" t="n">
        <x:v>794</x:v>
      </x:c>
      <x:c r="B676" s="9" t="n">
        <x:v>124</x:v>
      </x:c>
      <x:c r="C676" s="9" t="n">
        <x:v>391</x:v>
      </x:c>
      <x:c r="D676" s="9" t="n">
        <x:v>2</x:v>
      </x:c>
      <x:c r="E676" s="9" t="n">
        <x:v>119471.9999999851</x:v>
      </x:c>
      <x:c r="F676" s="9" t="n">
        <x:v>31561.9999999851</x:v>
      </x:c>
      <x:c r="G676" s="9" t="n">
        <x:v>38276.9999999851</x:v>
      </x:c>
      <x:c r="H676" s="9" t="n">
        <x:v>45409.9999999851</x:v>
      </x:c>
      <x:c r="I676" s="9" t="n">
        <x:v>4117</x:v>
      </x:c>
      <x:c r="J676" s="9" t="n">
        <x:v>106.00000002980232</x:v>
      </x:c>
      <x:c r="K676" s="9" t="n">
        <x:f>F676+G676+I676+J676</x:f>
        <x:v>74062</x:v>
      </x:c>
      <x:c r="L676" s="10" t="n">
        <x:f>K676/Sources!$B$4*1000</x:f>
        <x:v>20.69033913528116</x:v>
      </x:c>
      <x:c r="M676" s="10" t="n">
        <x:f>E676/Sources!$B$4*1000</x:f>
        <x:v>33.37630900016206</x:v>
      </x:c>
      <x:c r="N676" s="9" t="n">
        <x:f>Sources!$B$6-K676</x:f>
        <x:v>-14326</x:v>
      </x:c>
      <x:c r="O676" s="1" t="str">
        <x:v>keyboard_route</x:v>
      </x:c>
      <x:c r="P676" s="12" t="n">
        <x:v>0</x:v>
      </x:c>
      <x:c r="Q676" s="12" t="n">
        <x:v>-4</x:v>
      </x:c>
      <x:c r="R676" s="12" t="n">
        <x:v>4</x:v>
      </x:c>
      <x:c r="S676" s="12" t="n">
        <x:v>7</x:v>
      </x:c>
      <x:c r="T676" s="1" t="str">
        <x:v>Yes</x:v>
      </x:c>
      <x:c r="U676" s="1" t="n">
        <x:v>0</x:v>
      </x:c>
    </x:row>
    <x:row r="677" ht="23" customHeight="1">
      <x:c r="A677" s="9" t="n">
        <x:v>795</x:v>
      </x:c>
      <x:c r="B677" s="9" t="n">
        <x:v>124</x:v>
      </x:c>
      <x:c r="C677" s="9" t="n">
        <x:v>387</x:v>
      </x:c>
      <x:c r="D677" s="9" t="n">
        <x:v>2</x:v>
      </x:c>
      <x:c r="E677" s="9" t="n">
        <x:v>119468.0000000149</x:v>
      </x:c>
      <x:c r="F677" s="9" t="n">
        <x:v>38674</x:v>
      </x:c>
      <x:c r="G677" s="9" t="n">
        <x:v>25891</x:v>
      </x:c>
      <x:c r="H677" s="9" t="n">
        <x:v>50680.0000000149</x:v>
      </x:c>
      <x:c r="I677" s="9" t="n">
        <x:v>4117.000000014901</x:v>
      </x:c>
      <x:c r="J677" s="9" t="n">
        <x:v>105.99999998509884</x:v>
      </x:c>
      <x:c r="K677" s="9" t="n">
        <x:f>F677+G677+I677+J677</x:f>
        <x:v>68788</x:v>
      </x:c>
      <x:c r="L677" s="10" t="n">
        <x:f>K677/Sources!$B$4*1000</x:f>
        <x:v>19.216967519614922</x:v>
      </x:c>
      <x:c r="M677" s="10" t="n">
        <x:f>E677/Sources!$B$4*1000</x:f>
        <x:v>33.375191539711025</x:v>
      </x:c>
      <x:c r="N677" s="9" t="n">
        <x:f>Sources!$B$6-K677</x:f>
        <x:v>-9052</x:v>
      </x:c>
      <x:c r="O677" s="1" t="str">
        <x:v>keyboard_route</x:v>
      </x:c>
      <x:c r="P677" s="12" t="n">
        <x:v>0</x:v>
      </x:c>
      <x:c r="Q677" s="12" t="n">
        <x:v>-4</x:v>
      </x:c>
      <x:c r="R677" s="12" t="n">
        <x:v>4</x:v>
      </x:c>
      <x:c r="S677" s="12" t="n">
        <x:v>3</x:v>
      </x:c>
      <x:c r="T677" s="1" t="str">
        <x:v>No</x:v>
      </x:c>
      <x:c r="U677" s="1" t="n">
        <x:v>0</x:v>
      </x:c>
    </x:row>
    <x:row r="678" ht="23" customHeight="1">
      <x:c r="A678" s="9" t="n">
        <x:v>796</x:v>
      </x:c>
      <x:c r="B678" s="9" t="n">
        <x:v>124</x:v>
      </x:c>
      <x:c r="C678" s="9" t="n">
        <x:v>383</x:v>
      </x:c>
      <x:c r="D678" s="9" t="n">
        <x:v>2</x:v>
      </x:c>
      <x:c r="E678" s="9" t="n">
        <x:v>119474</x:v>
      </x:c>
      <x:c r="F678" s="9" t="n">
        <x:v>32812.9999999851</x:v>
      </x:c>
      <x:c r="G678" s="9" t="n">
        <x:v>38302.9999999851</x:v>
      </x:c>
      <x:c r="H678" s="9" t="n">
        <x:v>44135</x:v>
      </x:c>
      <x:c r="I678" s="9" t="n">
        <x:v>4117</x:v>
      </x:c>
      <x:c r="J678" s="9" t="n">
        <x:v>106.00000002980232</x:v>
      </x:c>
      <x:c r="K678" s="9" t="n">
        <x:f>F678+G678+I678+J678</x:f>
        <x:v>75339</x:v>
      </x:c>
      <x:c r="L678" s="10" t="n">
        <x:f>K678/Sources!$B$4*1000</x:f>
        <x:v>21.04708838693186</x:v>
      </x:c>
      <x:c r="M678" s="10" t="n">
        <x:f>E678/Sources!$B$4*1000</x:f>
        <x:v>33.3768677303959</x:v>
      </x:c>
      <x:c r="N678" s="9" t="n">
        <x:f>Sources!$B$6-K678</x:f>
        <x:v>-15603</x:v>
      </x:c>
      <x:c r="O678" s="1" t="str">
        <x:v>keyboard_route</x:v>
      </x:c>
      <x:c r="P678" s="12" t="n">
        <x:v>0</x:v>
      </x:c>
      <x:c r="Q678" s="12" t="n">
        <x:v>-4</x:v>
      </x:c>
      <x:c r="R678" s="12" t="n">
        <x:v>4</x:v>
      </x:c>
      <x:c r="S678" s="12" t="n">
        <x:v>7</x:v>
      </x:c>
      <x:c r="T678" s="1" t="str">
        <x:v>Yes</x:v>
      </x:c>
      <x:c r="U678" s="1" t="n">
        <x:v>0</x:v>
      </x:c>
    </x:row>
    <x:row r="679" ht="23" customHeight="1">
      <x:c r="A679" s="9" t="n">
        <x:v>797</x:v>
      </x:c>
      <x:c r="B679" s="9" t="n">
        <x:v>124</x:v>
      </x:c>
      <x:c r="C679" s="9" t="n">
        <x:v>379</x:v>
      </x:c>
      <x:c r="D679" s="9" t="n">
        <x:v>2</x:v>
      </x:c>
      <x:c r="E679" s="9" t="n">
        <x:v>119470</x:v>
      </x:c>
      <x:c r="F679" s="9" t="n">
        <x:v>38321</x:v>
      </x:c>
      <x:c r="G679" s="9" t="n">
        <x:v>25891</x:v>
      </x:c>
      <x:c r="H679" s="9" t="n">
        <x:v>51035</x:v>
      </x:c>
      <x:c r="I679" s="9" t="n">
        <x:v>4117</x:v>
      </x:c>
      <x:c r="J679" s="9" t="n">
        <x:v>106</x:v>
      </x:c>
      <x:c r="K679" s="9" t="n">
        <x:f>F679+G679+I679+J679</x:f>
        <x:v>68435</x:v>
      </x:c>
      <x:c r="L679" s="10" t="n">
        <x:f>K679/Sources!$B$4*1000</x:f>
        <x:v>19.118351634076397</x:v>
      </x:c>
      <x:c r="M679" s="10" t="n">
        <x:f>E679/Sources!$B$4*1000</x:f>
        <x:v>33.37575026993654</x:v>
      </x:c>
      <x:c r="N679" s="9" t="n">
        <x:f>Sources!$B$6-K679</x:f>
        <x:v>-8699</x:v>
      </x:c>
      <x:c r="O679" s="1" t="str">
        <x:v>keyboard_route</x:v>
      </x:c>
      <x:c r="P679" s="12" t="n">
        <x:v>0</x:v>
      </x:c>
      <x:c r="Q679" s="12" t="n">
        <x:v>-4</x:v>
      </x:c>
      <x:c r="R679" s="12" t="n">
        <x:v>4</x:v>
      </x:c>
      <x:c r="S679" s="12" t="n">
        <x:v>3</x:v>
      </x:c>
      <x:c r="T679" s="1" t="str">
        <x:v>No</x:v>
      </x:c>
      <x:c r="U679" s="1" t="n">
        <x:v>0</x:v>
      </x:c>
    </x:row>
    <x:row r="680" ht="23" customHeight="1">
      <x:c r="A680" s="9" t="n">
        <x:v>798</x:v>
      </x:c>
      <x:c r="B680" s="9" t="n">
        <x:v>124</x:v>
      </x:c>
      <x:c r="C680" s="9" t="n">
        <x:v>375</x:v>
      </x:c>
      <x:c r="D680" s="9" t="n">
        <x:v>2</x:v>
      </x:c>
      <x:c r="E680" s="9" t="n">
        <x:v>119475.9999999851</x:v>
      </x:c>
      <x:c r="F680" s="9" t="n">
        <x:v>33670</x:v>
      </x:c>
      <x:c r="G680" s="9" t="n">
        <x:v>38303</x:v>
      </x:c>
      <x:c r="H680" s="9" t="n">
        <x:v>43280.0000000149</x:v>
      </x:c>
      <x:c r="I680" s="9" t="n">
        <x:v>4117</x:v>
      </x:c>
      <x:c r="J680" s="9" t="n">
        <x:v>105.99999997019768</x:v>
      </x:c>
      <x:c r="K680" s="9" t="n">
        <x:f>F680+G680+I680+J680</x:f>
        <x:v>76195.9999999702</x:v>
      </x:c>
      <x:c r="L680" s="10" t="n">
        <x:f>K680/Sources!$B$4*1000</x:f>
        <x:v>21.286504290341426</x:v>
      </x:c>
      <x:c r="M680" s="10" t="n">
        <x:f>E680/Sources!$B$4*1000</x:f>
        <x:v>33.377426460621415</x:v>
      </x:c>
      <x:c r="N680" s="9" t="n">
        <x:f>Sources!$B$6-K680</x:f>
        <x:v>-16459.999999970198</x:v>
      </x:c>
      <x:c r="O680" s="1" t="str">
        <x:v>keyboard_route</x:v>
      </x:c>
      <x:c r="P680" s="12" t="n">
        <x:v>0</x:v>
      </x:c>
      <x:c r="Q680" s="12" t="n">
        <x:v>-4</x:v>
      </x:c>
      <x:c r="R680" s="12" t="n">
        <x:v>4</x:v>
      </x:c>
      <x:c r="S680" s="12" t="n">
        <x:v>7</x:v>
      </x:c>
      <x:c r="T680" s="1" t="str">
        <x:v>Yes</x:v>
      </x:c>
      <x:c r="U680" s="1" t="n">
        <x:v>0</x:v>
      </x:c>
    </x:row>
    <x:row r="681" ht="23" customHeight="1">
      <x:c r="A681" s="9" t="n">
        <x:v>799</x:v>
      </x:c>
      <x:c r="B681" s="9" t="n">
        <x:v>124</x:v>
      </x:c>
      <x:c r="C681" s="9" t="n">
        <x:v>371</x:v>
      </x:c>
      <x:c r="D681" s="9" t="n">
        <x:v>2</x:v>
      </x:c>
      <x:c r="E681" s="9" t="n">
        <x:v>119469.0000000149</x:v>
      </x:c>
      <x:c r="F681" s="9" t="n">
        <x:v>38167</x:v>
      </x:c>
      <x:c r="G681" s="9" t="n">
        <x:v>26754.0000000149</x:v>
      </x:c>
      <x:c r="H681" s="9" t="n">
        <x:v>50325</x:v>
      </x:c>
      <x:c r="I681" s="9" t="n">
        <x:v>4117.000000014901</x:v>
      </x:c>
      <x:c r="J681" s="9" t="n">
        <x:v>105.99999998509884</x:v>
      </x:c>
      <x:c r="K681" s="9" t="n">
        <x:f>F681+G681+I681+J681</x:f>
        <x:v>69144.0000000149</x:v>
      </x:c>
      <x:c r="L681" s="10" t="n">
        <x:f>K681/Sources!$B$4*1000</x:f>
        <x:v>19.31642150050213</x:v>
      </x:c>
      <x:c r="M681" s="10" t="n">
        <x:f>E681/Sources!$B$4*1000</x:f>
        <x:v>33.37547090482587</x:v>
      </x:c>
      <x:c r="N681" s="9" t="n">
        <x:f>Sources!$B$6-K681</x:f>
        <x:v>-9408.000000014901</x:v>
      </x:c>
      <x:c r="O681" s="1" t="str">
        <x:v>keyboard_route</x:v>
      </x:c>
      <x:c r="P681" s="12" t="n">
        <x:v>0</x:v>
      </x:c>
      <x:c r="Q681" s="12" t="n">
        <x:v>-4</x:v>
      </x:c>
      <x:c r="R681" s="12" t="n">
        <x:v>4</x:v>
      </x:c>
      <x:c r="S681" s="12" t="n">
        <x:v>3</x:v>
      </x:c>
      <x:c r="T681" s="1" t="str">
        <x:v>No</x:v>
      </x:c>
      <x:c r="U681" s="1" t="n">
        <x:v>0</x:v>
      </x:c>
    </x:row>
    <x:row r="682" ht="23" customHeight="1">
      <x:c r="A682" s="9" t="n">
        <x:v>800</x:v>
      </x:c>
      <x:c r="B682" s="9" t="n">
        <x:v>124</x:v>
      </x:c>
      <x:c r="C682" s="9" t="n">
        <x:v>367</x:v>
      </x:c>
      <x:c r="D682" s="9" t="n">
        <x:v>2</x:v>
      </x:c>
      <x:c r="E682" s="9" t="n">
        <x:v>119470.9999999851</x:v>
      </x:c>
      <x:c r="F682" s="9" t="n">
        <x:v>32835</x:v>
      </x:c>
      <x:c r="G682" s="9" t="n">
        <x:v>38303</x:v>
      </x:c>
      <x:c r="H682" s="9" t="n">
        <x:v>44109.9999999851</x:v>
      </x:c>
      <x:c r="I682" s="9" t="n">
        <x:v>4117</x:v>
      </x:c>
      <x:c r="J682" s="9" t="n">
        <x:v>106</x:v>
      </x:c>
      <x:c r="K682" s="9" t="n">
        <x:f>F682+G682+I682+J682</x:f>
        <x:v>75361</x:v>
      </x:c>
      <x:c r="L682" s="10" t="n">
        <x:f>K682/Sources!$B$4*1000</x:f>
        <x:v>21.05323441945834</x:v>
      </x:c>
      <x:c r="M682" s="10" t="n">
        <x:f>E682/Sources!$B$4*1000</x:f>
        <x:v>33.37602963504722</x:v>
      </x:c>
      <x:c r="N682" s="9" t="n">
        <x:f>Sources!$B$6-K682</x:f>
        <x:v>-15625</x:v>
      </x:c>
      <x:c r="O682" s="1" t="str">
        <x:v>keyboard_route</x:v>
      </x:c>
      <x:c r="P682" s="12" t="n">
        <x:v>0</x:v>
      </x:c>
      <x:c r="Q682" s="12" t="n">
        <x:v>-4</x:v>
      </x:c>
      <x:c r="R682" s="12" t="n">
        <x:v>4</x:v>
      </x:c>
      <x:c r="S682" s="12" t="n">
        <x:v>7</x:v>
      </x:c>
      <x:c r="T682" s="1" t="str">
        <x:v>Yes</x:v>
      </x:c>
      <x:c r="U682" s="1" t="n">
        <x:v>0</x:v>
      </x:c>
    </x:row>
    <x:row r="683" ht="23" customHeight="1">
      <x:c r="A683" s="9" t="n">
        <x:v>801</x:v>
      </x:c>
      <x:c r="B683" s="9" t="n">
        <x:v>124</x:v>
      </x:c>
      <x:c r="C683" s="9" t="n">
        <x:v>363</x:v>
      </x:c>
      <x:c r="D683" s="9" t="n">
        <x:v>2</x:v>
      </x:c>
      <x:c r="E683" s="9" t="n">
        <x:v>119476.0000000149</x:v>
      </x:c>
      <x:c r="F683" s="9" t="n">
        <x:v>40273.9999999851</x:v>
      </x:c>
      <x:c r="G683" s="9" t="n">
        <x:v>26754</x:v>
      </x:c>
      <x:c r="H683" s="9" t="n">
        <x:v>48224.9999999851</x:v>
      </x:c>
      <x:c r="I683" s="9" t="n">
        <x:v>4117</x:v>
      </x:c>
      <x:c r="J683" s="9" t="n">
        <x:v>106.00000004470348</x:v>
      </x:c>
      <x:c r="K683" s="9" t="n">
        <x:f>F683+G683+I683+J683</x:f>
        <x:v>71251.0000000298</x:v>
      </x:c>
      <x:c r="L683" s="10" t="n">
        <x:f>K683/Sources!$B$4*1000</x:f>
        <x:v>19.905043797474207</x:v>
      </x:c>
      <x:c r="M683" s="10" t="n">
        <x:f>E683/Sources!$B$4*1000</x:f>
        <x:v>33.37742646062974</x:v>
      </x:c>
      <x:c r="N683" s="9" t="n">
        <x:f>Sources!$B$6-K683</x:f>
        <x:v>-11515.000000029802</x:v>
      </x:c>
      <x:c r="O683" s="1" t="str">
        <x:v>keyboard_route</x:v>
      </x:c>
      <x:c r="P683" s="12" t="n">
        <x:v>0</x:v>
      </x:c>
      <x:c r="Q683" s="12" t="n">
        <x:v>-4</x:v>
      </x:c>
      <x:c r="R683" s="12" t="n">
        <x:v>4</x:v>
      </x:c>
      <x:c r="S683" s="12" t="n">
        <x:v>3</x:v>
      </x:c>
      <x:c r="T683" s="1" t="str">
        <x:v>No</x:v>
      </x:c>
      <x:c r="U683" s="1" t="n">
        <x:v>0</x:v>
      </x:c>
    </x:row>
    <x:row r="684" ht="23" customHeight="1">
      <x:c r="A684" s="9" t="n">
        <x:v>802</x:v>
      </x:c>
      <x:c r="B684" s="9" t="n">
        <x:v>128</x:v>
      </x:c>
      <x:c r="C684" s="9" t="n">
        <x:v>363</x:v>
      </x:c>
      <x:c r="D684" s="9" t="n">
        <x:v>2</x:v>
      </x:c>
      <x:c r="E684" s="9" t="n">
        <x:v>117920</x:v>
      </x:c>
      <x:c r="F684" s="9" t="n">
        <x:v>32866.9999999851</x:v>
      </x:c>
      <x:c r="G684" s="9" t="n">
        <x:v>48062</x:v>
      </x:c>
      <x:c r="H684" s="9" t="n">
        <x:v>34320</x:v>
      </x:c>
      <x:c r="I684" s="9" t="n">
        <x:v>2565</x:v>
      </x:c>
      <x:c r="J684" s="9" t="n">
        <x:v>106.00000001490116</x:v>
      </x:c>
      <x:c r="K684" s="9" t="n">
        <x:f>F684+G684+I684+J684</x:f>
        <x:v>83600</x:v>
      </x:c>
      <x:c r="L684" s="10" t="n">
        <x:f>K684/Sources!$B$4*1000</x:f>
        <x:v>23.35492360062522</x:v>
      </x:c>
      <x:c r="M684" s="10" t="n">
        <x:f>E684/Sources!$B$4*1000</x:f>
        <x:v>32.94273434193452</x:v>
      </x:c>
      <x:c r="N684" s="9" t="n">
        <x:f>Sources!$B$6-K684</x:f>
        <x:v>-23864</x:v>
      </x:c>
      <x:c r="O684" s="1" t="str">
        <x:v>keyboard_route</x:v>
      </x:c>
      <x:c r="P684" s="12" t="n">
        <x:v>4</x:v>
      </x:c>
      <x:c r="Q684" s="12" t="n">
        <x:v>0</x:v>
      </x:c>
      <x:c r="R684" s="12" t="n">
        <x:v>0</x:v>
      </x:c>
      <x:c r="S684" s="12" t="n">
        <x:v>3</x:v>
      </x:c>
      <x:c r="T684" s="1" t="str">
        <x:v>Yes</x:v>
      </x:c>
      <x:c r="U684" s="1" t="n">
        <x:v>0</x:v>
      </x:c>
    </x:row>
    <x:row r="685" ht="23" customHeight="1">
      <x:c r="A685" s="9" t="n">
        <x:v>803</x:v>
      </x:c>
      <x:c r="B685" s="9" t="n">
        <x:v>132</x:v>
      </x:c>
      <x:c r="C685" s="9" t="n">
        <x:v>363</x:v>
      </x:c>
      <x:c r="D685" s="9" t="n">
        <x:v>2</x:v>
      </x:c>
      <x:c r="E685" s="9" t="n">
        <x:v>119471.9999999851</x:v>
      </x:c>
      <x:c r="F685" s="9" t="n">
        <x:v>39542</x:v>
      </x:c>
      <x:c r="G685" s="9" t="n">
        <x:v>29534</x:v>
      </x:c>
      <x:c r="H685" s="9" t="n">
        <x:v>47724.9999999851</x:v>
      </x:c>
      <x:c r="I685" s="9" t="n">
        <x:v>2565</x:v>
      </x:c>
      <x:c r="J685" s="9" t="n">
        <x:v>106</x:v>
      </x:c>
      <x:c r="K685" s="9" t="n">
        <x:f>F685+G685+I685+J685</x:f>
        <x:v>71747</x:v>
      </x:c>
      <x:c r="L685" s="10" t="n">
        <x:f>K685/Sources!$B$4*1000</x:f>
        <x:v>20.043608894426526</x:v>
      </x:c>
      <x:c r="M685" s="10" t="n">
        <x:f>E685/Sources!$B$4*1000</x:f>
        <x:v>33.37630900016206</x:v>
      </x:c>
      <x:c r="N685" s="9" t="n">
        <x:f>Sources!$B$6-K685</x:f>
        <x:v>-12011</x:v>
      </x:c>
      <x:c r="O685" s="1" t="str">
        <x:v>keyboard_route</x:v>
      </x:c>
      <x:c r="P685" s="12" t="n">
        <x:v>4</x:v>
      </x:c>
      <x:c r="Q685" s="12" t="n">
        <x:v>0</x:v>
      </x:c>
      <x:c r="R685" s="12" t="n">
        <x:v>4</x:v>
      </x:c>
      <x:c r="S685" s="12" t="n">
        <x:v>3</x:v>
      </x:c>
      <x:c r="T685" s="1" t="str">
        <x:v>No</x:v>
      </x:c>
      <x:c r="U685" s="1" t="n">
        <x:v>0</x:v>
      </x:c>
    </x:row>
    <x:row r="686" ht="23" customHeight="1">
      <x:c r="A686" s="9" t="n">
        <x:v>804</x:v>
      </x:c>
      <x:c r="B686" s="9" t="n">
        <x:v>136</x:v>
      </x:c>
      <x:c r="C686" s="9" t="n">
        <x:v>363</x:v>
      </x:c>
      <x:c r="D686" s="9" t="n">
        <x:v>2</x:v>
      </x:c>
      <x:c r="E686" s="9" t="n">
        <x:v>119469</x:v>
      </x:c>
      <x:c r="F686" s="9" t="n">
        <x:v>35776</x:v>
      </x:c>
      <x:c r="G686" s="9" t="n">
        <x:v>48061.9999999851</x:v>
      </x:c>
      <x:c r="H686" s="9" t="n">
        <x:v>32960</x:v>
      </x:c>
      <x:c r="I686" s="9" t="n">
        <x:v>2565</x:v>
      </x:c>
      <x:c r="J686" s="9" t="n">
        <x:v>106.00000001490116</x:v>
      </x:c>
      <x:c r="K686" s="9" t="n">
        <x:f>F686+G686+I686+J686</x:f>
        <x:v>86509</x:v>
      </x:c>
      <x:c r="L686" s="10" t="n">
        <x:f>K686/Sources!$B$4*1000</x:f>
        <x:v>24.16759671969482</x:v>
      </x:c>
      <x:c r="M686" s="10" t="n">
        <x:f>E686/Sources!$B$4*1000</x:f>
        <x:v>33.375470904821704</x:v>
      </x:c>
      <x:c r="N686" s="9" t="n">
        <x:f>Sources!$B$6-K686</x:f>
        <x:v>-26773</x:v>
      </x:c>
      <x:c r="O686" s="1" t="str">
        <x:v>keyboard_route</x:v>
      </x:c>
      <x:c r="P686" s="12" t="n">
        <x:v>4</x:v>
      </x:c>
      <x:c r="Q686" s="12" t="n">
        <x:v>0</x:v>
      </x:c>
      <x:c r="R686" s="12" t="n">
        <x:v>0</x:v>
      </x:c>
      <x:c r="S686" s="12" t="n">
        <x:v>3</x:v>
      </x:c>
      <x:c r="T686" s="1" t="str">
        <x:v>Yes</x:v>
      </x:c>
      <x:c r="U686" s="1" t="n">
        <x:v>0</x:v>
      </x:c>
    </x:row>
    <x:row r="687" ht="23" customHeight="1">
      <x:c r="A687" s="9" t="n">
        <x:v>805</x:v>
      </x:c>
      <x:c r="B687" s="9" t="n">
        <x:v>140</x:v>
      </x:c>
      <x:c r="C687" s="9" t="n">
        <x:v>363</x:v>
      </x:c>
      <x:c r="D687" s="9" t="n">
        <x:v>2</x:v>
      </x:c>
      <x:c r="E687" s="9" t="n">
        <x:v>119471.0000000149</x:v>
      </x:c>
      <x:c r="F687" s="9" t="n">
        <x:v>40625.9999999851</x:v>
      </x:c>
      <x:c r="G687" s="9" t="n">
        <x:v>29534</x:v>
      </x:c>
      <x:c r="H687" s="9" t="n">
        <x:v>46639.9999999851</x:v>
      </x:c>
      <x:c r="I687" s="9" t="n">
        <x:v>2565</x:v>
      </x:c>
      <x:c r="J687" s="9" t="n">
        <x:v>106.00000004470348</x:v>
      </x:c>
      <x:c r="K687" s="9" t="n">
        <x:f>F687+G687+I687+J687</x:f>
        <x:v>72831.0000000298</x:v>
      </x:c>
      <x:c r="L687" s="10" t="n">
        <x:f>K687/Sources!$B$4*1000</x:f>
        <x:v>20.346440678921425</x:v>
      </x:c>
      <x:c r="M687" s="10" t="n">
        <x:f>E687/Sources!$B$4*1000</x:f>
        <x:v>33.376029635055545</x:v>
      </x:c>
      <x:c r="N687" s="9" t="n">
        <x:f>Sources!$B$6-K687</x:f>
        <x:v>-13095.000000029802</x:v>
      </x:c>
      <x:c r="O687" s="1" t="str">
        <x:v>keyboard_route</x:v>
      </x:c>
      <x:c r="P687" s="12" t="n">
        <x:v>4</x:v>
      </x:c>
      <x:c r="Q687" s="12" t="n">
        <x:v>0</x:v>
      </x:c>
      <x:c r="R687" s="12" t="n">
        <x:v>4</x:v>
      </x:c>
      <x:c r="S687" s="12" t="n">
        <x:v>3</x:v>
      </x:c>
      <x:c r="T687" s="1" t="str">
        <x:v>No</x:v>
      </x:c>
      <x:c r="U687" s="1" t="n">
        <x:v>0</x:v>
      </x:c>
    </x:row>
    <x:row r="688" ht="23" customHeight="1">
      <x:c r="A688" s="9" t="n">
        <x:v>806</x:v>
      </x:c>
      <x:c r="B688" s="9" t="n">
        <x:v>144</x:v>
      </x:c>
      <x:c r="C688" s="9" t="n">
        <x:v>363</x:v>
      </x:c>
      <x:c r="D688" s="9" t="n">
        <x:v>2</x:v>
      </x:c>
      <x:c r="E688" s="9" t="n">
        <x:v>119473.9999999851</x:v>
      </x:c>
      <x:c r="F688" s="9" t="n">
        <x:v>32726</x:v>
      </x:c>
      <x:c r="G688" s="9" t="n">
        <x:v>48062.0000000149</x:v>
      </x:c>
      <x:c r="H688" s="9" t="n">
        <x:v>36015</x:v>
      </x:c>
      <x:c r="I688" s="9" t="n">
        <x:v>2565</x:v>
      </x:c>
      <x:c r="J688" s="9" t="n">
        <x:v>105.99999997019768</x:v>
      </x:c>
      <x:c r="K688" s="9" t="n">
        <x:f>F688+G688+I688+J688</x:f>
        <x:v>83458.9999999851</x:v>
      </x:c>
      <x:c r="L688" s="10" t="n">
        <x:f>K688/Sources!$B$4*1000</x:f>
        <x:v>23.315533119428615</x:v>
      </x:c>
      <x:c r="M688" s="10" t="n">
        <x:f>E688/Sources!$B$4*1000</x:f>
        <x:v>33.37686773039174</x:v>
      </x:c>
      <x:c r="N688" s="9" t="n">
        <x:f>Sources!$B$6-K688</x:f>
        <x:v>-23722.9999999851</x:v>
      </x:c>
      <x:c r="O688" s="1" t="str">
        <x:v>keyboard_route</x:v>
      </x:c>
      <x:c r="P688" s="12" t="n">
        <x:v>4</x:v>
      </x:c>
      <x:c r="Q688" s="12" t="n">
        <x:v>0</x:v>
      </x:c>
      <x:c r="R688" s="12" t="n">
        <x:v>0</x:v>
      </x:c>
      <x:c r="S688" s="12" t="n">
        <x:v>3</x:v>
      </x:c>
      <x:c r="T688" s="1" t="str">
        <x:v>Yes</x:v>
      </x:c>
      <x:c r="U688" s="1" t="n">
        <x:v>0</x:v>
      </x:c>
    </x:row>
    <x:row r="689" ht="23" customHeight="1">
      <x:c r="A689" s="9" t="n">
        <x:v>807</x:v>
      </x:c>
      <x:c r="B689" s="9" t="n">
        <x:v>148</x:v>
      </x:c>
      <x:c r="C689" s="9" t="n">
        <x:v>363</x:v>
      </x:c>
      <x:c r="D689" s="9" t="n">
        <x:v>2</x:v>
      </x:c>
      <x:c r="E689" s="9" t="n">
        <x:v>119472.0000000149</x:v>
      </x:c>
      <x:c r="F689" s="9" t="n">
        <x:v>36777</x:v>
      </x:c>
      <x:c r="G689" s="9" t="n">
        <x:v>29533.9999999851</x:v>
      </x:c>
      <x:c r="H689" s="9" t="n">
        <x:v>50490</x:v>
      </x:c>
      <x:c r="I689" s="9" t="n">
        <x:v>2565</x:v>
      </x:c>
      <x:c r="J689" s="9" t="n">
        <x:v>106.00000002980232</x:v>
      </x:c>
      <x:c r="K689" s="9" t="n">
        <x:f>F689+G689+I689+J689</x:f>
        <x:v>68982.0000000149</x:v>
      </x:c>
      <x:c r="L689" s="10" t="n">
        <x:f>K689/Sources!$B$4*1000</x:f>
        <x:v>19.27116435189805</x:v>
      </x:c>
      <x:c r="M689" s="10" t="n">
        <x:f>E689/Sources!$B$4*1000</x:f>
        <x:v>33.37630900017039</x:v>
      </x:c>
      <x:c r="N689" s="9" t="n">
        <x:f>Sources!$B$6-K689</x:f>
        <x:v>-9246.000000014901</x:v>
      </x:c>
      <x:c r="O689" s="1" t="str">
        <x:v>keyboard_route</x:v>
      </x:c>
      <x:c r="P689" s="12" t="n">
        <x:v>4</x:v>
      </x:c>
      <x:c r="Q689" s="12" t="n">
        <x:v>0</x:v>
      </x:c>
      <x:c r="R689" s="12" t="n">
        <x:v>4</x:v>
      </x:c>
      <x:c r="S689" s="12" t="n">
        <x:v>3</x:v>
      </x:c>
      <x:c r="T689" s="1" t="str">
        <x:v>No</x:v>
      </x:c>
      <x:c r="U689" s="1" t="n">
        <x:v>0</x:v>
      </x:c>
    </x:row>
    <x:row r="690" ht="23" customHeight="1">
      <x:c r="A690" s="9" t="n">
        <x:v>808</x:v>
      </x:c>
      <x:c r="B690" s="9" t="n">
        <x:v>152</x:v>
      </x:c>
      <x:c r="C690" s="9" t="n">
        <x:v>363</x:v>
      </x:c>
      <x:c r="D690" s="9" t="n">
        <x:v>2</x:v>
      </x:c>
      <x:c r="E690" s="9" t="n">
        <x:v>119472</x:v>
      </x:c>
      <x:c r="F690" s="9" t="n">
        <x:v>30604.0000000149</x:v>
      </x:c>
      <x:c r="G690" s="9" t="n">
        <x:v>48062.0000000149</x:v>
      </x:c>
      <x:c r="H690" s="9" t="n">
        <x:v>38135.0000000149</x:v>
      </x:c>
      <x:c r="I690" s="9" t="n">
        <x:v>2565</x:v>
      </x:c>
      <x:c r="J690" s="9" t="n">
        <x:v>105.99999995529652</x:v>
      </x:c>
      <x:c r="K690" s="9" t="n">
        <x:f>F690+G690+I690+J690</x:f>
        <x:v>81336.9999999851</x:v>
      </x:c>
      <x:c r="L690" s="10" t="n">
        <x:f>K690/Sources!$B$4*1000</x:f>
        <x:v>22.722720345738104</x:v>
      </x:c>
      <x:c r="M690" s="10" t="n">
        <x:f>E690/Sources!$B$4*1000</x:f>
        <x:v>33.37630900016622</x:v>
      </x:c>
      <x:c r="N690" s="9" t="n">
        <x:f>Sources!$B$6-K690</x:f>
        <x:v>-21600.9999999851</x:v>
      </x:c>
      <x:c r="O690" s="1" t="str">
        <x:v>keyboard_route</x:v>
      </x:c>
      <x:c r="P690" s="12" t="n">
        <x:v>4</x:v>
      </x:c>
      <x:c r="Q690" s="12" t="n">
        <x:v>0</x:v>
      </x:c>
      <x:c r="R690" s="12" t="n">
        <x:v>0</x:v>
      </x:c>
      <x:c r="S690" s="12" t="n">
        <x:v>3</x:v>
      </x:c>
      <x:c r="T690" s="1" t="str">
        <x:v>Yes</x:v>
      </x:c>
      <x:c r="U690" s="1" t="n">
        <x:v>0</x:v>
      </x:c>
    </x:row>
    <x:row r="691" ht="23" customHeight="1">
      <x:c r="A691" s="9" t="n">
        <x:v>809</x:v>
      </x:c>
      <x:c r="B691" s="9" t="n">
        <x:v>156</x:v>
      </x:c>
      <x:c r="C691" s="9" t="n">
        <x:v>363</x:v>
      </x:c>
      <x:c r="D691" s="9" t="n">
        <x:v>2</x:v>
      </x:c>
      <x:c r="E691" s="9" t="n">
        <x:v>119474</x:v>
      </x:c>
      <x:c r="F691" s="9" t="n">
        <x:v>38142</x:v>
      </x:c>
      <x:c r="G691" s="9" t="n">
        <x:v>28671</x:v>
      </x:c>
      <x:c r="H691" s="9" t="n">
        <x:v>49990</x:v>
      </x:c>
      <x:c r="I691" s="9" t="n">
        <x:v>2564.999999985099</x:v>
      </x:c>
      <x:c r="J691" s="9" t="n">
        <x:v>106.00000001490116</x:v>
      </x:c>
      <x:c r="K691" s="9" t="n">
        <x:f>F691+G691+I691+J691</x:f>
        <x:v>69484</x:v>
      </x:c>
      <x:c r="L691" s="10" t="n">
        <x:f>K691/Sources!$B$4*1000</x:f>
        <x:v>19.411405639543574</x:v>
      </x:c>
      <x:c r="M691" s="10" t="n">
        <x:f>E691/Sources!$B$4*1000</x:f>
        <x:v>33.3768677303959</x:v>
      </x:c>
      <x:c r="N691" s="9" t="n">
        <x:f>Sources!$B$6-K691</x:f>
        <x:v>-9748</x:v>
      </x:c>
      <x:c r="O691" s="1" t="str">
        <x:v>keyboard_route</x:v>
      </x:c>
      <x:c r="P691" s="12" t="n">
        <x:v>4</x:v>
      </x:c>
      <x:c r="Q691" s="12" t="n">
        <x:v>0</x:v>
      </x:c>
      <x:c r="R691" s="12" t="n">
        <x:v>4</x:v>
      </x:c>
      <x:c r="S691" s="12" t="n">
        <x:v>3</x:v>
      </x:c>
      <x:c r="T691" s="1" t="str">
        <x:v>No</x:v>
      </x:c>
      <x:c r="U691" s="1" t="n">
        <x:v>0</x:v>
      </x:c>
    </x:row>
    <x:row r="692" ht="23" customHeight="1">
      <x:c r="A692" s="9" t="n">
        <x:v>810</x:v>
      </x:c>
      <x:c r="B692" s="9" t="n">
        <x:v>160</x:v>
      </x:c>
      <x:c r="C692" s="9" t="n">
        <x:v>363</x:v>
      </x:c>
      <x:c r="D692" s="9" t="n">
        <x:v>2</x:v>
      </x:c>
      <x:c r="E692" s="9" t="n">
        <x:v>119469</x:v>
      </x:c>
      <x:c r="F692" s="9" t="n">
        <x:v>32899</x:v>
      </x:c>
      <x:c r="G692" s="9" t="n">
        <x:v>47199.0000000149</x:v>
      </x:c>
      <x:c r="H692" s="9" t="n">
        <x:v>36700.0000000149</x:v>
      </x:c>
      <x:c r="I692" s="9" t="n">
        <x:v>2565</x:v>
      </x:c>
      <x:c r="J692" s="9" t="n">
        <x:v>105.99999997019768</x:v>
      </x:c>
      <x:c r="K692" s="9" t="n">
        <x:f>F692+G692+I692+J692</x:f>
        <x:v>82768.9999999851</x:v>
      </x:c>
      <x:c r="L692" s="10" t="n">
        <x:f>K692/Sources!$B$4*1000</x:f>
        <x:v>23.122771190189003</x:v>
      </x:c>
      <x:c r="M692" s="10" t="n">
        <x:f>E692/Sources!$B$4*1000</x:f>
        <x:v>33.375470904821704</x:v>
      </x:c>
      <x:c r="N692" s="9" t="n">
        <x:f>Sources!$B$6-K692</x:f>
        <x:v>-23032.9999999851</x:v>
      </x:c>
      <x:c r="O692" s="1" t="str">
        <x:v>keyboard_route</x:v>
      </x:c>
      <x:c r="P692" s="12" t="n">
        <x:v>4</x:v>
      </x:c>
      <x:c r="Q692" s="12" t="n">
        <x:v>0</x:v>
      </x:c>
      <x:c r="R692" s="12" t="n">
        <x:v>0</x:v>
      </x:c>
      <x:c r="S692" s="12" t="n">
        <x:v>3</x:v>
      </x:c>
      <x:c r="T692" s="1" t="str">
        <x:v>Yes</x:v>
      </x:c>
      <x:c r="U692" s="1" t="n">
        <x:v>0</x:v>
      </x:c>
    </x:row>
    <x:row r="693" ht="23" customHeight="1">
      <x:c r="A693" s="9" t="n">
        <x:v>811</x:v>
      </x:c>
      <x:c r="B693" s="9" t="n">
        <x:v>164</x:v>
      </x:c>
      <x:c r="C693" s="9" t="n">
        <x:v>363</x:v>
      </x:c>
      <x:c r="D693" s="9" t="n">
        <x:v>2</x:v>
      </x:c>
      <x:c r="E693" s="9" t="n">
        <x:v>119475</x:v>
      </x:c>
      <x:c r="F693" s="9" t="n">
        <x:v>38898.0000000149</x:v>
      </x:c>
      <x:c r="G693" s="9" t="n">
        <x:v>28671.0000000149</x:v>
      </x:c>
      <x:c r="H693" s="9" t="n">
        <x:v>49235</x:v>
      </x:c>
      <x:c r="I693" s="9" t="n">
        <x:v>2565</x:v>
      </x:c>
      <x:c r="J693" s="9" t="n">
        <x:v>105.99999997019768</x:v>
      </x:c>
      <x:c r="K693" s="9" t="n">
        <x:f>F693+G693+I693+J693</x:f>
        <x:v>70240</x:v>
      </x:c>
      <x:c r="L693" s="10" t="n">
        <x:f>K693/Sources!$B$4*1000</x:f>
        <x:v>19.622605666362624</x:v>
      </x:c>
      <x:c r="M693" s="10" t="n">
        <x:f>E693/Sources!$B$4*1000</x:f>
        <x:v>33.37714709551074</x:v>
      </x:c>
      <x:c r="N693" s="9" t="n">
        <x:f>Sources!$B$6-K693</x:f>
        <x:v>-10504</x:v>
      </x:c>
      <x:c r="O693" s="1" t="str">
        <x:v>keyboard_route</x:v>
      </x:c>
      <x:c r="P693" s="12" t="n">
        <x:v>4</x:v>
      </x:c>
      <x:c r="Q693" s="12" t="n">
        <x:v>0</x:v>
      </x:c>
      <x:c r="R693" s="12" t="n">
        <x:v>4</x:v>
      </x:c>
      <x:c r="S693" s="12" t="n">
        <x:v>3</x:v>
      </x:c>
      <x:c r="T693" s="1" t="str">
        <x:v>No</x:v>
      </x:c>
      <x:c r="U693" s="1" t="n">
        <x:v>0</x:v>
      </x:c>
    </x:row>
    <x:row r="694" ht="23" customHeight="1">
      <x:c r="A694" s="9" t="n">
        <x:v>812</x:v>
      </x:c>
      <x:c r="B694" s="9" t="n">
        <x:v>168</x:v>
      </x:c>
      <x:c r="C694" s="9" t="n">
        <x:v>363</x:v>
      </x:c>
      <x:c r="D694" s="9" t="n">
        <x:v>2</x:v>
      </x:c>
      <x:c r="E694" s="9" t="n">
        <x:v>119471</x:v>
      </x:c>
      <x:c r="F694" s="9" t="n">
        <x:v>31421.0000000149</x:v>
      </x:c>
      <x:c r="G694" s="9" t="n">
        <x:v>47199</x:v>
      </x:c>
      <x:c r="H694" s="9" t="n">
        <x:v>38180</x:v>
      </x:c>
      <x:c r="I694" s="9" t="n">
        <x:v>2565</x:v>
      </x:c>
      <x:c r="J694" s="9" t="n">
        <x:v>105.99999998509884</x:v>
      </x:c>
      <x:c r="K694" s="9" t="n">
        <x:f>F694+G694+I694+J694</x:f>
        <x:v>81291</x:v>
      </x:c>
      <x:c r="L694" s="10" t="n">
        <x:f>K694/Sources!$B$4*1000</x:f>
        <x:v>22.709869550459626</x:v>
      </x:c>
      <x:c r="M694" s="10" t="n">
        <x:f>E694/Sources!$B$4*1000</x:f>
        <x:v>33.37602963505138</x:v>
      </x:c>
      <x:c r="N694" s="9" t="n">
        <x:f>Sources!$B$6-K694</x:f>
        <x:v>-21555</x:v>
      </x:c>
      <x:c r="O694" s="1" t="str">
        <x:v>keyboard_route</x:v>
      </x:c>
      <x:c r="P694" s="12" t="n">
        <x:v>4</x:v>
      </x:c>
      <x:c r="Q694" s="12" t="n">
        <x:v>0</x:v>
      </x:c>
      <x:c r="R694" s="12" t="n">
        <x:v>0</x:v>
      </x:c>
      <x:c r="S694" s="12" t="n">
        <x:v>3</x:v>
      </x:c>
      <x:c r="T694" s="1" t="str">
        <x:v>Yes</x:v>
      </x:c>
      <x:c r="U694" s="1" t="n">
        <x:v>0</x:v>
      </x:c>
    </x:row>
    <x:row r="695" ht="23" customHeight="1">
      <x:c r="A695" s="9" t="n">
        <x:v>813</x:v>
      </x:c>
      <x:c r="B695" s="9" t="n">
        <x:v>172</x:v>
      </x:c>
      <x:c r="C695" s="9" t="n">
        <x:v>363</x:v>
      </x:c>
      <x:c r="D695" s="9" t="n">
        <x:v>2</x:v>
      </x:c>
      <x:c r="E695" s="9" t="n">
        <x:v>119473</x:v>
      </x:c>
      <x:c r="F695" s="9" t="n">
        <x:v>38141</x:v>
      </x:c>
      <x:c r="G695" s="9" t="n">
        <x:v>28671</x:v>
      </x:c>
      <x:c r="H695" s="9" t="n">
        <x:v>49990</x:v>
      </x:c>
      <x:c r="I695" s="9" t="n">
        <x:v>2565</x:v>
      </x:c>
      <x:c r="J695" s="9" t="n">
        <x:v>106</x:v>
      </x:c>
      <x:c r="K695" s="9" t="n">
        <x:f>F695+G695+I695+J695</x:f>
        <x:v>69483</x:v>
      </x:c>
      <x:c r="L695" s="10" t="n">
        <x:f>K695/Sources!$B$4*1000</x:f>
        <x:v>19.411126274428735</x:v>
      </x:c>
      <x:c r="M695" s="10" t="n">
        <x:f>E695/Sources!$B$4*1000</x:f>
        <x:v>33.37658836528106</x:v>
      </x:c>
      <x:c r="N695" s="9" t="n">
        <x:f>Sources!$B$6-K695</x:f>
        <x:v>-9747</x:v>
      </x:c>
      <x:c r="O695" s="1" t="str">
        <x:v>keyboard_route</x:v>
      </x:c>
      <x:c r="P695" s="12" t="n">
        <x:v>4</x:v>
      </x:c>
      <x:c r="Q695" s="12" t="n">
        <x:v>0</x:v>
      </x:c>
      <x:c r="R695" s="12" t="n">
        <x:v>4</x:v>
      </x:c>
      <x:c r="S695" s="12" t="n">
        <x:v>3</x:v>
      </x:c>
      <x:c r="T695" s="1" t="str">
        <x:v>No</x:v>
      </x:c>
      <x:c r="U695" s="1" t="n">
        <x:v>0</x:v>
      </x:c>
    </x:row>
    <x:row r="696" ht="23" customHeight="1">
      <x:c r="A696" s="9" t="n">
        <x:v>814</x:v>
      </x:c>
      <x:c r="B696" s="9" t="n">
        <x:v>176</x:v>
      </x:c>
      <x:c r="C696" s="9" t="n">
        <x:v>363</x:v>
      </x:c>
      <x:c r="D696" s="9" t="n">
        <x:v>2</x:v>
      </x:c>
      <x:c r="E696" s="9" t="n">
        <x:v>119471</x:v>
      </x:c>
      <x:c r="F696" s="9" t="n">
        <x:v>30661.0000000149</x:v>
      </x:c>
      <x:c r="G696" s="9" t="n">
        <x:v>47199.0000000149</x:v>
      </x:c>
      <x:c r="H696" s="9" t="n">
        <x:v>38940</x:v>
      </x:c>
      <x:c r="I696" s="9" t="n">
        <x:v>2565</x:v>
      </x:c>
      <x:c r="J696" s="9" t="n">
        <x:v>105.99999997019768</x:v>
      </x:c>
      <x:c r="K696" s="9" t="n">
        <x:f>F696+G696+I696+J696</x:f>
        <x:v>80531</x:v>
      </x:c>
      <x:c r="L696" s="10" t="n">
        <x:f>K696/Sources!$B$4*1000</x:f>
        <x:v>22.497552063181214</x:v>
      </x:c>
      <x:c r="M696" s="10" t="n">
        <x:f>E696/Sources!$B$4*1000</x:f>
        <x:v>33.37602963505138</x:v>
      </x:c>
      <x:c r="N696" s="9" t="n">
        <x:f>Sources!$B$6-K696</x:f>
        <x:v>-20795</x:v>
      </x:c>
      <x:c r="O696" s="1" t="str">
        <x:v>keyboard_route</x:v>
      </x:c>
      <x:c r="P696" s="12" t="n">
        <x:v>4</x:v>
      </x:c>
      <x:c r="Q696" s="12" t="n">
        <x:v>0</x:v>
      </x:c>
      <x:c r="R696" s="12" t="n">
        <x:v>0</x:v>
      </x:c>
      <x:c r="S696" s="12" t="n">
        <x:v>3</x:v>
      </x:c>
      <x:c r="T696" s="1" t="str">
        <x:v>Yes</x:v>
      </x:c>
      <x:c r="U696" s="1" t="n">
        <x:v>0</x:v>
      </x:c>
    </x:row>
    <x:row r="697" ht="23" customHeight="1">
      <x:c r="A697" s="9" t="n">
        <x:v>815</x:v>
      </x:c>
      <x:c r="B697" s="9" t="n">
        <x:v>180</x:v>
      </x:c>
      <x:c r="C697" s="9" t="n">
        <x:v>363</x:v>
      </x:c>
      <x:c r="D697" s="9" t="n">
        <x:v>2</x:v>
      </x:c>
      <x:c r="E697" s="9" t="n">
        <x:v>119473</x:v>
      </x:c>
      <x:c r="F697" s="9" t="n">
        <x:v>36856</x:v>
      </x:c>
      <x:c r="G697" s="9" t="n">
        <x:v>28671</x:v>
      </x:c>
      <x:c r="H697" s="9" t="n">
        <x:v>51275</x:v>
      </x:c>
      <x:c r="I697" s="9" t="n">
        <x:v>2565</x:v>
      </x:c>
      <x:c r="J697" s="9" t="n">
        <x:v>106</x:v>
      </x:c>
      <x:c r="K697" s="9" t="n">
        <x:f>F697+G697+I697+J697</x:f>
        <x:v>68198</x:v>
      </x:c>
      <x:c r="L697" s="10" t="n">
        <x:f>K697/Sources!$B$4*1000</x:f>
        <x:v>19.052142101859314</x:v>
      </x:c>
      <x:c r="M697" s="10" t="n">
        <x:f>E697/Sources!$B$4*1000</x:f>
        <x:v>33.37658836528106</x:v>
      </x:c>
      <x:c r="N697" s="9" t="n">
        <x:f>Sources!$B$6-K697</x:f>
        <x:v>-8462</x:v>
      </x:c>
      <x:c r="O697" s="1" t="str">
        <x:v>keyboard_route</x:v>
      </x:c>
      <x:c r="P697" s="12" t="n">
        <x:v>4</x:v>
      </x:c>
      <x:c r="Q697" s="12" t="n">
        <x:v>0</x:v>
      </x:c>
      <x:c r="R697" s="12" t="n">
        <x:v>4</x:v>
      </x:c>
      <x:c r="S697" s="12" t="n">
        <x:v>3</x:v>
      </x:c>
      <x:c r="T697" s="1" t="str">
        <x:v>No</x:v>
      </x:c>
      <x:c r="U697" s="1" t="n">
        <x:v>0</x:v>
      </x:c>
    </x:row>
    <x:row r="698" ht="23" customHeight="1">
      <x:c r="A698" s="9" t="n">
        <x:v>816</x:v>
      </x:c>
      <x:c r="B698" s="9" t="n">
        <x:v>184</x:v>
      </x:c>
      <x:c r="C698" s="9" t="n">
        <x:v>363</x:v>
      </x:c>
      <x:c r="D698" s="9" t="n">
        <x:v>2</x:v>
      </x:c>
      <x:c r="E698" s="9" t="n">
        <x:v>119472</x:v>
      </x:c>
      <x:c r="F698" s="9" t="n">
        <x:v>31427</x:v>
      </x:c>
      <x:c r="G698" s="9" t="n">
        <x:v>47199</x:v>
      </x:c>
      <x:c r="H698" s="9" t="n">
        <x:v>38175</x:v>
      </x:c>
      <x:c r="I698" s="9" t="n">
        <x:v>2565</x:v>
      </x:c>
      <x:c r="J698" s="9" t="n">
        <x:v>106</x:v>
      </x:c>
      <x:c r="K698" s="9" t="n">
        <x:f>F698+G698+I698+J698</x:f>
        <x:v>81297</x:v>
      </x:c>
      <x:c r="L698" s="10" t="n">
        <x:f>K698/Sources!$B$4*1000</x:f>
        <x:v>22.711545741148665</x:v>
      </x:c>
      <x:c r="M698" s="10" t="n">
        <x:f>E698/Sources!$B$4*1000</x:f>
        <x:v>33.37630900016622</x:v>
      </x:c>
      <x:c r="N698" s="9" t="n">
        <x:f>Sources!$B$6-K698</x:f>
        <x:v>-21561</x:v>
      </x:c>
      <x:c r="O698" s="1" t="str">
        <x:v>keyboard_route</x:v>
      </x:c>
      <x:c r="P698" s="12" t="n">
        <x:v>4</x:v>
      </x:c>
      <x:c r="Q698" s="12" t="n">
        <x:v>0</x:v>
      </x:c>
      <x:c r="R698" s="12" t="n">
        <x:v>0</x:v>
      </x:c>
      <x:c r="S698" s="12" t="n">
        <x:v>3</x:v>
      </x:c>
      <x:c r="T698" s="1" t="str">
        <x:v>Yes</x:v>
      </x:c>
      <x:c r="U698" s="1" t="n">
        <x:v>0</x:v>
      </x:c>
    </x:row>
    <x:row r="699" ht="23" customHeight="1">
      <x:c r="A699" s="9" t="n">
        <x:v>817</x:v>
      </x:c>
      <x:c r="B699" s="9" t="n">
        <x:v>188</x:v>
      </x:c>
      <x:c r="C699" s="9" t="n">
        <x:v>363</x:v>
      </x:c>
      <x:c r="D699" s="9" t="n">
        <x:v>2</x:v>
      </x:c>
      <x:c r="E699" s="9" t="n">
        <x:v>119470</x:v>
      </x:c>
      <x:c r="F699" s="9" t="n">
        <x:v>38008</x:v>
      </x:c>
      <x:c r="G699" s="9" t="n">
        <x:v>28671</x:v>
      </x:c>
      <x:c r="H699" s="9" t="n">
        <x:v>50120</x:v>
      </x:c>
      <x:c r="I699" s="9" t="n">
        <x:v>2565</x:v>
      </x:c>
      <x:c r="J699" s="9" t="n">
        <x:v>106</x:v>
      </x:c>
      <x:c r="K699" s="9" t="n">
        <x:f>F699+G699+I699+J699</x:f>
        <x:v>69350</x:v>
      </x:c>
      <x:c r="L699" s="10" t="n">
        <x:f>K699/Sources!$B$4*1000</x:f>
        <x:v>19.37397071415501</x:v>
      </x:c>
      <x:c r="M699" s="10" t="n">
        <x:f>E699/Sources!$B$4*1000</x:f>
        <x:v>33.37575026993654</x:v>
      </x:c>
      <x:c r="N699" s="9" t="n">
        <x:f>Sources!$B$6-K699</x:f>
        <x:v>-9614</x:v>
      </x:c>
      <x:c r="O699" s="1" t="str">
        <x:v>keyboard_route</x:v>
      </x:c>
      <x:c r="P699" s="12" t="n">
        <x:v>4</x:v>
      </x:c>
      <x:c r="Q699" s="12" t="n">
        <x:v>0</x:v>
      </x:c>
      <x:c r="R699" s="12" t="n">
        <x:v>4</x:v>
      </x:c>
      <x:c r="S699" s="12" t="n">
        <x:v>3</x:v>
      </x:c>
      <x:c r="T699" s="1" t="str">
        <x:v>No</x:v>
      </x:c>
      <x:c r="U699" s="1" t="n">
        <x:v>0</x:v>
      </x:c>
    </x:row>
    <x:row r="700" ht="23" customHeight="1">
      <x:c r="A700" s="9" t="n">
        <x:v>818</x:v>
      </x:c>
      <x:c r="B700" s="9" t="n">
        <x:v>192</x:v>
      </x:c>
      <x:c r="C700" s="9" t="n">
        <x:v>363</x:v>
      </x:c>
      <x:c r="D700" s="9" t="n">
        <x:v>2</x:v>
      </x:c>
      <x:c r="E700" s="9" t="n">
        <x:v>123844</x:v>
      </x:c>
      <x:c r="F700" s="9" t="n">
        <x:v>37041.9999999851</x:v>
      </x:c>
      <x:c r="G700" s="9" t="n">
        <x:v>47147.9999999851</x:v>
      </x:c>
      <x:c r="H700" s="9" t="n">
        <x:v>32609.9999999851</x:v>
      </x:c>
      <x:c r="I700" s="9" t="n">
        <x:v>6937.999999985099</x:v>
      </x:c>
      <x:c r="J700" s="9" t="n">
        <x:v>106.00000005960464</x:v>
      </x:c>
      <x:c r="K700" s="9" t="n">
        <x:f>F700+G700+I700+J700</x:f>
        <x:v>91234.0000000149</x:v>
      </x:c>
      <x:c r="L700" s="10" t="n">
        <x:f>K700/Sources!$B$4*1000</x:f>
        <x:v>25.487596887318055</x:v>
      </x:c>
      <x:c r="M700" s="10" t="n">
        <x:f>E700/Sources!$B$4*1000</x:f>
        <x:v>34.597693282246766</x:v>
      </x:c>
      <x:c r="N700" s="9" t="n">
        <x:f>Sources!$B$6-K700</x:f>
        <x:v>-31498.0000000149</x:v>
      </x:c>
      <x:c r="O700" s="1" t="str">
        <x:v>keyboard_route</x:v>
      </x:c>
      <x:c r="P700" s="12" t="n">
        <x:v>4</x:v>
      </x:c>
      <x:c r="Q700" s="12" t="n">
        <x:v>0</x:v>
      </x:c>
      <x:c r="R700" s="12" t="n">
        <x:v>0</x:v>
      </x:c>
      <x:c r="S700" s="12" t="n">
        <x:v>3</x:v>
      </x:c>
      <x:c r="T700" s="1" t="str">
        <x:v>Yes</x:v>
      </x:c>
      <x:c r="U700" s="1" t="n">
        <x:v>0</x:v>
      </x:c>
    </x:row>
    <x:row r="701" ht="23" customHeight="1">
      <x:c r="A701" s="9" t="n">
        <x:v>819</x:v>
      </x:c>
      <x:c r="B701" s="9" t="n">
        <x:v>196</x:v>
      </x:c>
      <x:c r="C701" s="9" t="n">
        <x:v>363</x:v>
      </x:c>
      <x:c r="D701" s="9" t="n">
        <x:v>2</x:v>
      </x:c>
      <x:c r="E701" s="9" t="n">
        <x:v>115099</x:v>
      </x:c>
      <x:c r="F701" s="9" t="n">
        <x:v>36566.9999999851</x:v>
      </x:c>
      <x:c r="G701" s="9" t="n">
        <x:v>28671</x:v>
      </x:c>
      <x:c r="H701" s="9" t="n">
        <x:v>47190</x:v>
      </x:c>
      <x:c r="I701" s="9" t="n">
        <x:v>2565</x:v>
      </x:c>
      <x:c r="J701" s="9" t="n">
        <x:v>106.00000001490116</x:v>
      </x:c>
      <x:c r="K701" s="9" t="n">
        <x:f>F701+G701+I701+J701</x:f>
        <x:v>67909</x:v>
      </x:c>
      <x:c r="L701" s="10" t="n">
        <x:f>K701/Sources!$B$4*1000</x:f>
        <x:v>18.97140558367055</x:v>
      </x:c>
      <x:c r="M701" s="10" t="n">
        <x:f>E701/Sources!$B$4*1000</x:f>
        <x:v>32.15464535297084</x:v>
      </x:c>
      <x:c r="N701" s="9" t="n">
        <x:f>Sources!$B$6-K701</x:f>
        <x:v>-8173</x:v>
      </x:c>
      <x:c r="O701" s="1" t="str">
        <x:v>keyboard_route</x:v>
      </x:c>
      <x:c r="P701" s="12" t="n">
        <x:v>4</x:v>
      </x:c>
      <x:c r="Q701" s="12" t="n">
        <x:v>0</x:v>
      </x:c>
      <x:c r="R701" s="12" t="n">
        <x:v>4</x:v>
      </x:c>
      <x:c r="S701" s="12" t="n">
        <x:v>3</x:v>
      </x:c>
      <x:c r="T701" s="1" t="str">
        <x:v>No</x:v>
      </x:c>
      <x:c r="U701" s="1" t="n">
        <x:v>0</x:v>
      </x:c>
    </x:row>
    <x:row r="702" ht="23" customHeight="1">
      <x:c r="A702" s="9" t="n">
        <x:v>820</x:v>
      </x:c>
      <x:c r="B702" s="9" t="n">
        <x:v>200</x:v>
      </x:c>
      <x:c r="C702" s="9" t="n">
        <x:v>363</x:v>
      </x:c>
      <x:c r="D702" s="9" t="n">
        <x:v>2</x:v>
      </x:c>
      <x:c r="E702" s="9" t="n">
        <x:v>119471</x:v>
      </x:c>
      <x:c r="F702" s="9" t="n">
        <x:v>30372.0000000149</x:v>
      </x:c>
      <x:c r="G702" s="9" t="n">
        <x:v>47147.9999999851</x:v>
      </x:c>
      <x:c r="H702" s="9" t="n">
        <x:v>39280</x:v>
      </x:c>
      <x:c r="I702" s="9" t="n">
        <x:v>2565</x:v>
      </x:c>
      <x:c r="J702" s="9" t="n">
        <x:v>106</x:v>
      </x:c>
      <x:c r="K702" s="9" t="n">
        <x:f>F702+G702+I702+J702</x:f>
        <x:v>80191</x:v>
      </x:c>
      <x:c r="L702" s="10" t="n">
        <x:f>K702/Sources!$B$4*1000</x:f>
        <x:v>22.40256792413561</x:v>
      </x:c>
      <x:c r="M702" s="10" t="n">
        <x:f>E702/Sources!$B$4*1000</x:f>
        <x:v>33.37602963505138</x:v>
      </x:c>
      <x:c r="N702" s="9" t="n">
        <x:f>Sources!$B$6-K702</x:f>
        <x:v>-20455</x:v>
      </x:c>
      <x:c r="O702" s="1" t="str">
        <x:v>keyboard_route</x:v>
      </x:c>
      <x:c r="P702" s="12" t="n">
        <x:v>4</x:v>
      </x:c>
      <x:c r="Q702" s="12" t="n">
        <x:v>0</x:v>
      </x:c>
      <x:c r="R702" s="12" t="n">
        <x:v>0</x:v>
      </x:c>
      <x:c r="S702" s="12" t="n">
        <x:v>3</x:v>
      </x:c>
      <x:c r="T702" s="1" t="str">
        <x:v>Yes</x:v>
      </x:c>
      <x:c r="U702" s="1" t="n">
        <x:v>0</x:v>
      </x:c>
    </x:row>
    <x:row r="703" ht="23" customHeight="1">
      <x:c r="A703" s="9" t="n">
        <x:v>821</x:v>
      </x:c>
      <x:c r="B703" s="9" t="n">
        <x:v>204</x:v>
      </x:c>
      <x:c r="C703" s="9" t="n">
        <x:v>363</x:v>
      </x:c>
      <x:c r="D703" s="9" t="n">
        <x:v>2</x:v>
      </x:c>
      <x:c r="E703" s="9" t="n">
        <x:v>119475.9999999851</x:v>
      </x:c>
      <x:c r="F703" s="9" t="n">
        <x:v>34953.9999999851</x:v>
      </x:c>
      <x:c r="G703" s="9" t="n">
        <x:v>28671</x:v>
      </x:c>
      <x:c r="H703" s="9" t="n">
        <x:v>53180</x:v>
      </x:c>
      <x:c r="I703" s="9" t="n">
        <x:v>2565</x:v>
      </x:c>
      <x:c r="J703" s="9" t="n">
        <x:v>106</x:v>
      </x:c>
      <x:c r="K703" s="9" t="n">
        <x:f>F703+G703+I703+J703</x:f>
        <x:v>66295.9999999851</x:v>
      </x:c>
      <x:c r="L703" s="10" t="n">
        <x:f>K703/Sources!$B$4*1000</x:f>
        <x:v>18.520789653429446</x:v>
      </x:c>
      <x:c r="M703" s="10" t="n">
        <x:f>E703/Sources!$B$4*1000</x:f>
        <x:v>33.377426460621415</x:v>
      </x:c>
      <x:c r="N703" s="9" t="n">
        <x:f>Sources!$B$6-K703</x:f>
        <x:v>-6559.999999985099</x:v>
      </x:c>
      <x:c r="O703" s="1" t="str">
        <x:v>keyboard_route</x:v>
      </x:c>
      <x:c r="P703" s="12" t="n">
        <x:v>4</x:v>
      </x:c>
      <x:c r="Q703" s="12" t="n">
        <x:v>0</x:v>
      </x:c>
      <x:c r="R703" s="12" t="n">
        <x:v>4</x:v>
      </x:c>
      <x:c r="S703" s="12" t="n">
        <x:v>3</x:v>
      </x:c>
      <x:c r="T703" s="1" t="str">
        <x:v>No</x:v>
      </x:c>
      <x:c r="U703" s="1" t="n">
        <x:v>0</x:v>
      </x:c>
    </x:row>
    <x:row r="704" ht="23" customHeight="1">
      <x:c r="A704" s="9" t="n">
        <x:v>822</x:v>
      </x:c>
      <x:c r="B704" s="9" t="n">
        <x:v>208</x:v>
      </x:c>
      <x:c r="C704" s="9" t="n">
        <x:v>363</x:v>
      </x:c>
      <x:c r="D704" s="9" t="n">
        <x:v>2</x:v>
      </x:c>
      <x:c r="E704" s="9" t="n">
        <x:v>119471.0000000149</x:v>
      </x:c>
      <x:c r="F704" s="9" t="n">
        <x:v>33382</x:v>
      </x:c>
      <x:c r="G704" s="9" t="n">
        <x:v>47148</x:v>
      </x:c>
      <x:c r="H704" s="9" t="n">
        <x:v>36270.0000000149</x:v>
      </x:c>
      <x:c r="I704" s="9" t="n">
        <x:v>2565</x:v>
      </x:c>
      <x:c r="J704" s="9" t="n">
        <x:v>106</x:v>
      </x:c>
      <x:c r="K704" s="9" t="n">
        <x:f>F704+G704+I704+J704</x:f>
        <x:v>83201</x:v>
      </x:c>
      <x:c r="L704" s="10" t="n">
        <x:f>K704/Sources!$B$4*1000</x:f>
        <x:v>23.243456919804053</x:v>
      </x:c>
      <x:c r="M704" s="10" t="n">
        <x:f>E704/Sources!$B$4*1000</x:f>
        <x:v>33.376029635055545</x:v>
      </x:c>
      <x:c r="N704" s="9" t="n">
        <x:f>Sources!$B$6-K704</x:f>
        <x:v>-23465</x:v>
      </x:c>
      <x:c r="O704" s="1" t="str">
        <x:v>keyboard_route</x:v>
      </x:c>
      <x:c r="P704" s="12" t="n">
        <x:v>4</x:v>
      </x:c>
      <x:c r="Q704" s="12" t="n">
        <x:v>0</x:v>
      </x:c>
      <x:c r="R704" s="12" t="n">
        <x:v>0</x:v>
      </x:c>
      <x:c r="S704" s="12" t="n">
        <x:v>3</x:v>
      </x:c>
      <x:c r="T704" s="1" t="str">
        <x:v>Yes</x:v>
      </x:c>
      <x:c r="U704" s="1" t="n">
        <x:v>0</x:v>
      </x:c>
    </x:row>
    <x:row r="705" ht="23" customHeight="1">
      <x:c r="A705" s="9" t="n">
        <x:v>823</x:v>
      </x:c>
      <x:c r="B705" s="9" t="n">
        <x:v>212</x:v>
      </x:c>
      <x:c r="C705" s="9" t="n">
        <x:v>363</x:v>
      </x:c>
      <x:c r="D705" s="9" t="n">
        <x:v>2</x:v>
      </x:c>
      <x:c r="E705" s="9" t="n">
        <x:v>119469</x:v>
      </x:c>
      <x:c r="F705" s="9" t="n">
        <x:v>37902</x:v>
      </x:c>
      <x:c r="G705" s="9" t="n">
        <x:v>28671</x:v>
      </x:c>
      <x:c r="H705" s="9" t="n">
        <x:v>50224.9999999851</x:v>
      </x:c>
      <x:c r="I705" s="9" t="n">
        <x:v>2565</x:v>
      </x:c>
      <x:c r="J705" s="9" t="n">
        <x:v>106.00000001490116</x:v>
      </x:c>
      <x:c r="K705" s="9" t="n">
        <x:f>F705+G705+I705+J705</x:f>
        <x:v>69244.0000000149</x:v>
      </x:c>
      <x:c r="L705" s="10" t="n">
        <x:f>K705/Sources!$B$4*1000</x:f>
        <x:v>19.344358011986134</x:v>
      </x:c>
      <x:c r="M705" s="10" t="n">
        <x:f>E705/Sources!$B$4*1000</x:f>
        <x:v>33.375470904821704</x:v>
      </x:c>
      <x:c r="N705" s="9" t="n">
        <x:f>Sources!$B$6-K705</x:f>
        <x:v>-9508.000000014901</x:v>
      </x:c>
      <x:c r="O705" s="1" t="str">
        <x:v>keyboard_route</x:v>
      </x:c>
      <x:c r="P705" s="12" t="n">
        <x:v>4</x:v>
      </x:c>
      <x:c r="Q705" s="12" t="n">
        <x:v>0</x:v>
      </x:c>
      <x:c r="R705" s="12" t="n">
        <x:v>4</x:v>
      </x:c>
      <x:c r="S705" s="12" t="n">
        <x:v>3</x:v>
      </x:c>
      <x:c r="T705" s="1" t="str">
        <x:v>No</x:v>
      </x:c>
      <x:c r="U705" s="1" t="n">
        <x:v>0</x:v>
      </x:c>
    </x:row>
    <x:row r="706" ht="23" customHeight="1">
      <x:c r="A706" s="9" t="n">
        <x:v>824</x:v>
      </x:c>
      <x:c r="B706" s="9" t="n">
        <x:v>216</x:v>
      </x:c>
      <x:c r="C706" s="9" t="n">
        <x:v>363</x:v>
      </x:c>
      <x:c r="D706" s="9" t="n">
        <x:v>2</x:v>
      </x:c>
      <x:c r="E706" s="9" t="n">
        <x:v>119473.9999999851</x:v>
      </x:c>
      <x:c r="F706" s="9" t="n">
        <x:v>32752</x:v>
      </x:c>
      <x:c r="G706" s="9" t="n">
        <x:v>48211.0000000149</x:v>
      </x:c>
      <x:c r="H706" s="9" t="n">
        <x:v>35839.9999999851</x:v>
      </x:c>
      <x:c r="I706" s="9" t="n">
        <x:v>2565</x:v>
      </x:c>
      <x:c r="J706" s="9" t="n">
        <x:v>105.99999998509884</x:v>
      </x:c>
      <x:c r="K706" s="9" t="n">
        <x:f>F706+G706+I706+J706</x:f>
        <x:v>83634</x:v>
      </x:c>
      <x:c r="L706" s="10" t="n">
        <x:f>K706/Sources!$B$4*1000</x:f>
        <x:v>23.36442201452978</x:v>
      </x:c>
      <x:c r="M706" s="10" t="n">
        <x:f>E706/Sources!$B$4*1000</x:f>
        <x:v>33.37686773039174</x:v>
      </x:c>
      <x:c r="N706" s="9" t="n">
        <x:f>Sources!$B$6-K706</x:f>
        <x:v>-23898</x:v>
      </x:c>
      <x:c r="O706" s="1" t="str">
        <x:v>keyboard_route</x:v>
      </x:c>
      <x:c r="P706" s="12" t="n">
        <x:v>4</x:v>
      </x:c>
      <x:c r="Q706" s="12" t="n">
        <x:v>0</x:v>
      </x:c>
      <x:c r="R706" s="12" t="n">
        <x:v>0</x:v>
      </x:c>
      <x:c r="S706" s="12" t="n">
        <x:v>3</x:v>
      </x:c>
      <x:c r="T706" s="1" t="str">
        <x:v>Yes</x:v>
      </x:c>
      <x:c r="U706" s="1" t="n">
        <x:v>0</x:v>
      </x:c>
    </x:row>
    <x:row r="707" ht="23" customHeight="1">
      <x:c r="A707" s="9" t="n">
        <x:v>825</x:v>
      </x:c>
      <x:c r="B707" s="9" t="n">
        <x:v>220</x:v>
      </x:c>
      <x:c r="C707" s="9" t="n">
        <x:v>363</x:v>
      </x:c>
      <x:c r="D707" s="9" t="n">
        <x:v>2</x:v>
      </x:c>
      <x:c r="E707" s="9" t="n">
        <x:v>119474.0000000149</x:v>
      </x:c>
      <x:c r="F707" s="9" t="n">
        <x:v>39324</x:v>
      </x:c>
      <x:c r="G707" s="9" t="n">
        <x:v>29534</x:v>
      </x:c>
      <x:c r="H707" s="9" t="n">
        <x:v>47945.0000000149</x:v>
      </x:c>
      <x:c r="I707" s="9" t="n">
        <x:v>2565</x:v>
      </x:c>
      <x:c r="J707" s="9" t="n">
        <x:v>106</x:v>
      </x:c>
      <x:c r="K707" s="9" t="n">
        <x:f>F707+G707+I707+J707</x:f>
        <x:v>71529</x:v>
      </x:c>
      <x:c r="L707" s="10" t="n">
        <x:f>K707/Sources!$B$4*1000</x:f>
        <x:v>19.982707299391404</x:v>
      </x:c>
      <x:c r="M707" s="10" t="n">
        <x:f>E707/Sources!$B$4*1000</x:f>
        <x:v>33.376867730400065</x:v>
      </x:c>
      <x:c r="N707" s="9" t="n">
        <x:f>Sources!$B$6-K707</x:f>
        <x:v>-11793</x:v>
      </x:c>
      <x:c r="O707" s="1" t="str">
        <x:v>keyboard_route</x:v>
      </x:c>
      <x:c r="P707" s="12" t="n">
        <x:v>4</x:v>
      </x:c>
      <x:c r="Q707" s="12" t="n">
        <x:v>0</x:v>
      </x:c>
      <x:c r="R707" s="12" t="n">
        <x:v>4</x:v>
      </x:c>
      <x:c r="S707" s="12" t="n">
        <x:v>3</x:v>
      </x:c>
      <x:c r="T707" s="1" t="str">
        <x:v>No</x:v>
      </x:c>
      <x:c r="U707" s="1" t="n">
        <x:v>0</x:v>
      </x:c>
    </x:row>
    <x:row r="708" ht="23" customHeight="1">
      <x:c r="A708" s="9" t="n">
        <x:v>826</x:v>
      </x:c>
      <x:c r="B708" s="9" t="n">
        <x:v>220</x:v>
      </x:c>
      <x:c r="C708" s="9" t="n">
        <x:v>359</x:v>
      </x:c>
      <x:c r="D708" s="9" t="n">
        <x:v>2</x:v>
      </x:c>
      <x:c r="E708" s="9" t="n">
        <x:v>121023</x:v>
      </x:c>
      <x:c r="F708" s="9" t="n">
        <x:v>33447.9999999851</x:v>
      </x:c>
      <x:c r="G708" s="9" t="n">
        <x:v>38251.9999999851</x:v>
      </x:c>
      <x:c r="H708" s="9" t="n">
        <x:v>45099.9999999851</x:v>
      </x:c>
      <x:c r="I708" s="9" t="n">
        <x:v>4117</x:v>
      </x:c>
      <x:c r="J708" s="9" t="n">
        <x:v>106.00000004470348</x:v>
      </x:c>
      <x:c r="K708" s="9" t="n">
        <x:f>F708+G708+I708+J708</x:f>
        <x:v>75923.0000000149</x:v>
      </x:c>
      <x:c r="L708" s="10" t="n">
        <x:f>K708/Sources!$B$4*1000</x:f>
        <x:v>21.21023761400259</x:v>
      </x:c>
      <x:c r="M708" s="10" t="n">
        <x:f>E708/Sources!$B$4*1000</x:f>
        <x:v>33.80960429328309</x:v>
      </x:c>
      <x:c r="N708" s="9" t="n">
        <x:f>Sources!$B$6-K708</x:f>
        <x:v>-16187.000000014901</x:v>
      </x:c>
      <x:c r="O708" s="1" t="str">
        <x:v>keyboard_route</x:v>
      </x:c>
      <x:c r="P708" s="12" t="n">
        <x:v>0</x:v>
      </x:c>
      <x:c r="Q708" s="12" t="n">
        <x:v>-4</x:v>
      </x:c>
      <x:c r="R708" s="12" t="n">
        <x:v>4</x:v>
      </x:c>
      <x:c r="S708" s="12" t="n">
        <x:v>7</x:v>
      </x:c>
      <x:c r="T708" s="1" t="str">
        <x:v>Yes</x:v>
      </x:c>
      <x:c r="U708" s="1" t="n">
        <x:v>0</x:v>
      </x:c>
    </x:row>
    <x:row r="709" ht="23" customHeight="1">
      <x:c r="A709" s="9" t="n">
        <x:v>827</x:v>
      </x:c>
      <x:c r="B709" s="9" t="n">
        <x:v>220</x:v>
      </x:c>
      <x:c r="C709" s="9" t="n">
        <x:v>355</x:v>
      </x:c>
      <x:c r="D709" s="9" t="n">
        <x:v>2</x:v>
      </x:c>
      <x:c r="E709" s="9" t="n">
        <x:v>119471</x:v>
      </x:c>
      <x:c r="F709" s="9" t="n">
        <x:v>39749</x:v>
      </x:c>
      <x:c r="G709" s="9" t="n">
        <x:v>26754.0000000149</x:v>
      </x:c>
      <x:c r="H709" s="9" t="n">
        <x:v>48745</x:v>
      </x:c>
      <x:c r="I709" s="9" t="n">
        <x:v>4117</x:v>
      </x:c>
      <x:c r="J709" s="9" t="n">
        <x:v>105.99999998509884</x:v>
      </x:c>
      <x:c r="K709" s="9" t="n">
        <x:f>F709+G709+I709+J709</x:f>
        <x:v>70726</x:v>
      </x:c>
      <x:c r="L709" s="10" t="n">
        <x:f>K709/Sources!$B$4*1000</x:f>
        <x:v>19.75837711217487</x:v>
      </x:c>
      <x:c r="M709" s="10" t="n">
        <x:f>E709/Sources!$B$4*1000</x:f>
        <x:v>33.37602963505138</x:v>
      </x:c>
      <x:c r="N709" s="9" t="n">
        <x:f>Sources!$B$6-K709</x:f>
        <x:v>-10990</x:v>
      </x:c>
      <x:c r="O709" s="1" t="str">
        <x:v>keyboard_route</x:v>
      </x:c>
      <x:c r="P709" s="12" t="n">
        <x:v>0</x:v>
      </x:c>
      <x:c r="Q709" s="12" t="n">
        <x:v>-4</x:v>
      </x:c>
      <x:c r="R709" s="12" t="n">
        <x:v>4</x:v>
      </x:c>
      <x:c r="S709" s="12" t="n">
        <x:v>3</x:v>
      </x:c>
      <x:c r="T709" s="1" t="str">
        <x:v>No</x:v>
      </x:c>
      <x:c r="U709" s="1" t="n">
        <x:v>0</x:v>
      </x:c>
    </x:row>
    <x:row r="710" ht="23" customHeight="1">
      <x:c r="A710" s="9" t="n">
        <x:v>828</x:v>
      </x:c>
      <x:c r="B710" s="9" t="n">
        <x:v>220</x:v>
      </x:c>
      <x:c r="C710" s="9" t="n">
        <x:v>351</x:v>
      </x:c>
      <x:c r="D710" s="9" t="n">
        <x:v>2</x:v>
      </x:c>
      <x:c r="E710" s="9" t="n">
        <x:v>119471</x:v>
      </x:c>
      <x:c r="F710" s="9" t="n">
        <x:v>35032.0000000149</x:v>
      </x:c>
      <x:c r="G710" s="9" t="n">
        <x:v>38226</x:v>
      </x:c>
      <x:c r="H710" s="9" t="n">
        <x:v>41990</x:v>
      </x:c>
      <x:c r="I710" s="9" t="n">
        <x:v>4117</x:v>
      </x:c>
      <x:c r="J710" s="9" t="n">
        <x:v>105.99999998509884</x:v>
      </x:c>
      <x:c r="K710" s="9" t="n">
        <x:f>F710+G710+I710+J710</x:f>
        <x:v>77481</x:v>
      </x:c>
      <x:c r="L710" s="10" t="n">
        <x:f>K710/Sources!$B$4*1000</x:f>
        <x:v>21.645488462919168</x:v>
      </x:c>
      <x:c r="M710" s="10" t="n">
        <x:f>E710/Sources!$B$4*1000</x:f>
        <x:v>33.37602963505138</x:v>
      </x:c>
      <x:c r="N710" s="9" t="n">
        <x:f>Sources!$B$6-K710</x:f>
        <x:v>-17745</x:v>
      </x:c>
      <x:c r="O710" s="1" t="str">
        <x:v>keyboard_route</x:v>
      </x:c>
      <x:c r="P710" s="12" t="n">
        <x:v>0</x:v>
      </x:c>
      <x:c r="Q710" s="12" t="n">
        <x:v>-4</x:v>
      </x:c>
      <x:c r="R710" s="12" t="n">
        <x:v>4</x:v>
      </x:c>
      <x:c r="S710" s="12" t="n">
        <x:v>7</x:v>
      </x:c>
      <x:c r="T710" s="1" t="str">
        <x:v>Yes</x:v>
      </x:c>
      <x:c r="U710" s="1" t="n">
        <x:v>0</x:v>
      </x:c>
    </x:row>
    <x:row r="711" ht="23" customHeight="1">
      <x:c r="A711" s="9" t="n">
        <x:v>829</x:v>
      </x:c>
      <x:c r="B711" s="9" t="n">
        <x:v>220</x:v>
      </x:c>
      <x:c r="C711" s="9" t="n">
        <x:v>347</x:v>
      </x:c>
      <x:c r="D711" s="9" t="n">
        <x:v>2</x:v>
      </x:c>
      <x:c r="E711" s="9" t="n">
        <x:v>119473</x:v>
      </x:c>
      <x:c r="F711" s="9" t="n">
        <x:v>41800.9999999851</x:v>
      </x:c>
      <x:c r="G711" s="9" t="n">
        <x:v>26754</x:v>
      </x:c>
      <x:c r="H711" s="9" t="n">
        <x:v>46695.0000000149</x:v>
      </x:c>
      <x:c r="I711" s="9" t="n">
        <x:v>4117</x:v>
      </x:c>
      <x:c r="J711" s="9" t="n">
        <x:v>106</x:v>
      </x:c>
      <x:c r="K711" s="9" t="n">
        <x:f>F711+G711+I711+J711</x:f>
        <x:v>72777.9999999851</x:v>
      </x:c>
      <x:c r="L711" s="10" t="n">
        <x:f>K711/Sources!$B$4*1000</x:f>
        <x:v>20.33163432782242</x:v>
      </x:c>
      <x:c r="M711" s="10" t="n">
        <x:f>E711/Sources!$B$4*1000</x:f>
        <x:v>33.37658836528106</x:v>
      </x:c>
      <x:c r="N711" s="9" t="n">
        <x:f>Sources!$B$6-K711</x:f>
        <x:v>-13041.999999985099</x:v>
      </x:c>
      <x:c r="O711" s="1" t="str">
        <x:v>keyboard_route</x:v>
      </x:c>
      <x:c r="P711" s="12" t="n">
        <x:v>0</x:v>
      </x:c>
      <x:c r="Q711" s="12" t="n">
        <x:v>-4</x:v>
      </x:c>
      <x:c r="R711" s="12" t="n">
        <x:v>4</x:v>
      </x:c>
      <x:c r="S711" s="12" t="n">
        <x:v>3</x:v>
      </x:c>
      <x:c r="T711" s="1" t="str">
        <x:v>No</x:v>
      </x:c>
      <x:c r="U711" s="1" t="n">
        <x:v>0</x:v>
      </x:c>
    </x:row>
    <x:row r="712" ht="23" customHeight="1">
      <x:c r="A712" s="9" t="n">
        <x:v>830</x:v>
      </x:c>
      <x:c r="B712" s="9" t="n">
        <x:v>220</x:v>
      </x:c>
      <x:c r="C712" s="9" t="n">
        <x:v>343</x:v>
      </x:c>
      <x:c r="D712" s="9" t="n">
        <x:v>2</x:v>
      </x:c>
      <x:c r="E712" s="9" t="n">
        <x:v>119471</x:v>
      </x:c>
      <x:c r="F712" s="9" t="n">
        <x:v>35151.9999999851</x:v>
      </x:c>
      <x:c r="G712" s="9" t="n">
        <x:v>38226</x:v>
      </x:c>
      <x:c r="H712" s="9" t="n">
        <x:v>41870</x:v>
      </x:c>
      <x:c r="I712" s="9" t="n">
        <x:v>4117</x:v>
      </x:c>
      <x:c r="J712" s="9" t="n">
        <x:v>106.00000001490116</x:v>
      </x:c>
      <x:c r="K712" s="9" t="n">
        <x:f>F712+G712+I712+J712</x:f>
        <x:v>77601</x:v>
      </x:c>
      <x:c r="L712" s="10" t="n">
        <x:f>K712/Sources!$B$4*1000</x:f>
        <x:v>21.67901227669997</x:v>
      </x:c>
      <x:c r="M712" s="10" t="n">
        <x:f>E712/Sources!$B$4*1000</x:f>
        <x:v>33.37602963505138</x:v>
      </x:c>
      <x:c r="N712" s="9" t="n">
        <x:f>Sources!$B$6-K712</x:f>
        <x:v>-17865</x:v>
      </x:c>
      <x:c r="O712" s="1" t="str">
        <x:v>keyboard_route</x:v>
      </x:c>
      <x:c r="P712" s="12" t="n">
        <x:v>0</x:v>
      </x:c>
      <x:c r="Q712" s="12" t="n">
        <x:v>-4</x:v>
      </x:c>
      <x:c r="R712" s="12" t="n">
        <x:v>4</x:v>
      </x:c>
      <x:c r="S712" s="12" t="n">
        <x:v>7</x:v>
      </x:c>
      <x:c r="T712" s="1" t="str">
        <x:v>Yes</x:v>
      </x:c>
      <x:c r="U712" s="1" t="n">
        <x:v>0</x:v>
      </x:c>
    </x:row>
    <x:row r="713" ht="23" customHeight="1">
      <x:c r="A713" s="9" t="n">
        <x:v>831</x:v>
      </x:c>
      <x:c r="B713" s="9" t="n">
        <x:v>220</x:v>
      </x:c>
      <x:c r="C713" s="9" t="n">
        <x:v>339</x:v>
      </x:c>
      <x:c r="D713" s="9" t="n">
        <x:v>2</x:v>
      </x:c>
      <x:c r="E713" s="9" t="n">
        <x:v>119471.9999999851</x:v>
      </x:c>
      <x:c r="F713" s="9" t="n">
        <x:v>39935</x:v>
      </x:c>
      <x:c r="G713" s="9" t="n">
        <x:v>26754</x:v>
      </x:c>
      <x:c r="H713" s="9" t="n">
        <x:v>48559.9999999851</x:v>
      </x:c>
      <x:c r="I713" s="9" t="n">
        <x:v>4117</x:v>
      </x:c>
      <x:c r="J713" s="9" t="n">
        <x:v>106</x:v>
      </x:c>
      <x:c r="K713" s="9" t="n">
        <x:f>F713+G713+I713+J713</x:f>
        <x:v>70912</x:v>
      </x:c>
      <x:c r="L713" s="10" t="n">
        <x:f>K713/Sources!$B$4*1000</x:f>
        <x:v>19.810339023535114</x:v>
      </x:c>
      <x:c r="M713" s="10" t="n">
        <x:f>E713/Sources!$B$4*1000</x:f>
        <x:v>33.37630900016206</x:v>
      </x:c>
      <x:c r="N713" s="9" t="n">
        <x:f>Sources!$B$6-K713</x:f>
        <x:v>-11176</x:v>
      </x:c>
      <x:c r="O713" s="1" t="str">
        <x:v>keyboard_route</x:v>
      </x:c>
      <x:c r="P713" s="12" t="n">
        <x:v>0</x:v>
      </x:c>
      <x:c r="Q713" s="12" t="n">
        <x:v>-4</x:v>
      </x:c>
      <x:c r="R713" s="12" t="n">
        <x:v>4</x:v>
      </x:c>
      <x:c r="S713" s="12" t="n">
        <x:v>3</x:v>
      </x:c>
      <x:c r="T713" s="1" t="str">
        <x:v>No</x:v>
      </x:c>
      <x:c r="U713" s="1" t="n">
        <x:v>0</x:v>
      </x:c>
    </x:row>
    <x:row r="714" ht="23" customHeight="1">
      <x:c r="A714" s="9" t="n">
        <x:v>832</x:v>
      </x:c>
      <x:c r="B714" s="9" t="n">
        <x:v>220</x:v>
      </x:c>
      <x:c r="C714" s="9" t="n">
        <x:v>335</x:v>
      </x:c>
      <x:c r="D714" s="9" t="n">
        <x:v>2</x:v>
      </x:c>
      <x:c r="E714" s="9" t="n">
        <x:v>119475</x:v>
      </x:c>
      <x:c r="F714" s="9" t="n">
        <x:v>31445.9999999851</x:v>
      </x:c>
      <x:c r="G714" s="9" t="n">
        <x:v>38225.9999999851</x:v>
      </x:c>
      <x:c r="H714" s="9" t="n">
        <x:v>45579.9999999851</x:v>
      </x:c>
      <x:c r="I714" s="9" t="n">
        <x:v>4117</x:v>
      </x:c>
      <x:c r="J714" s="9" t="n">
        <x:v>106.00000004470348</x:v>
      </x:c>
      <x:c r="K714" s="9" t="n">
        <x:f>F714+G714+I714+J714</x:f>
        <x:v>73895.0000000149</x:v>
      </x:c>
      <x:c r="L714" s="10" t="n">
        <x:f>K714/Sources!$B$4*1000</x:f>
        <x:v>20.64368516110704</x:v>
      </x:c>
      <x:c r="M714" s="10" t="n">
        <x:f>E714/Sources!$B$4*1000</x:f>
        <x:v>33.37714709551074</x:v>
      </x:c>
      <x:c r="N714" s="9" t="n">
        <x:f>Sources!$B$6-K714</x:f>
        <x:v>-14159.000000014901</x:v>
      </x:c>
      <x:c r="O714" s="1" t="str">
        <x:v>keyboard_route</x:v>
      </x:c>
      <x:c r="P714" s="12" t="n">
        <x:v>0</x:v>
      </x:c>
      <x:c r="Q714" s="12" t="n">
        <x:v>-4</x:v>
      </x:c>
      <x:c r="R714" s="12" t="n">
        <x:v>4</x:v>
      </x:c>
      <x:c r="S714" s="12" t="n">
        <x:v>7</x:v>
      </x:c>
      <x:c r="T714" s="1" t="str">
        <x:v>Yes</x:v>
      </x:c>
      <x:c r="U714" s="1" t="n">
        <x:v>0</x:v>
      </x:c>
    </x:row>
    <x:row r="715" ht="23" customHeight="1">
      <x:c r="A715" s="9" t="n">
        <x:v>833</x:v>
      </x:c>
      <x:c r="B715" s="9" t="n">
        <x:v>220</x:v>
      </x:c>
      <x:c r="C715" s="9" t="n">
        <x:v>331</x:v>
      </x:c>
      <x:c r="D715" s="9" t="n">
        <x:v>2</x:v>
      </x:c>
      <x:c r="E715" s="9" t="n">
        <x:v>119468.0000000149</x:v>
      </x:c>
      <x:c r="F715" s="9" t="n">
        <x:v>36096</x:v>
      </x:c>
      <x:c r="G715" s="9" t="n">
        <x:v>26754</x:v>
      </x:c>
      <x:c r="H715" s="9" t="n">
        <x:v>52395</x:v>
      </x:c>
      <x:c r="I715" s="9" t="n">
        <x:v>4117</x:v>
      </x:c>
      <x:c r="J715" s="9" t="n">
        <x:v>106.00000001490116</x:v>
      </x:c>
      <x:c r="K715" s="9" t="n">
        <x:f>F715+G715+I715+J715</x:f>
        <x:v>67073.0000000149</x:v>
      </x:c>
      <x:c r="L715" s="10" t="n">
        <x:f>K715/Sources!$B$4*1000</x:f>
        <x:v>18.737856347668462</x:v>
      </x:c>
      <x:c r="M715" s="10" t="n">
        <x:f>E715/Sources!$B$4*1000</x:f>
        <x:v>33.375191539711025</x:v>
      </x:c>
      <x:c r="N715" s="9" t="n">
        <x:f>Sources!$B$6-K715</x:f>
        <x:v>-7337.000000014901</x:v>
      </x:c>
      <x:c r="O715" s="1" t="str">
        <x:v>keyboard_route</x:v>
      </x:c>
      <x:c r="P715" s="12" t="n">
        <x:v>0</x:v>
      </x:c>
      <x:c r="Q715" s="12" t="n">
        <x:v>-4</x:v>
      </x:c>
      <x:c r="R715" s="12" t="n">
        <x:v>4</x:v>
      </x:c>
      <x:c r="S715" s="12" t="n">
        <x:v>3</x:v>
      </x:c>
      <x:c r="T715" s="1" t="str">
        <x:v>No</x:v>
      </x:c>
      <x:c r="U715" s="1" t="n">
        <x:v>0</x:v>
      </x:c>
    </x:row>
    <x:row r="716" ht="23" customHeight="1">
      <x:c r="A716" s="9" t="n">
        <x:v>834</x:v>
      </x:c>
      <x:c r="B716" s="9" t="n">
        <x:v>220</x:v>
      </x:c>
      <x:c r="C716" s="9" t="n">
        <x:v>327</x:v>
      </x:c>
      <x:c r="D716" s="9" t="n">
        <x:v>2</x:v>
      </x:c>
      <x:c r="E716" s="9" t="n">
        <x:v>119472</x:v>
      </x:c>
      <x:c r="F716" s="9" t="n">
        <x:v>31428</x:v>
      </x:c>
      <x:c r="G716" s="9" t="n">
        <x:v>38226</x:v>
      </x:c>
      <x:c r="H716" s="9" t="n">
        <x:v>45594.9999999851</x:v>
      </x:c>
      <x:c r="I716" s="9" t="n">
        <x:v>4117</x:v>
      </x:c>
      <x:c r="J716" s="9" t="n">
        <x:v>106.00000001490116</x:v>
      </x:c>
      <x:c r="K716" s="9" t="n">
        <x:f>F716+G716+I716+J716</x:f>
        <x:v>73877.0000000149</x:v>
      </x:c>
      <x:c r="L716" s="10" t="n">
        <x:f>K716/Sources!$B$4*1000</x:f>
        <x:v>20.63865658903992</x:v>
      </x:c>
      <x:c r="M716" s="10" t="n">
        <x:f>E716/Sources!$B$4*1000</x:f>
        <x:v>33.37630900016622</x:v>
      </x:c>
      <x:c r="N716" s="9" t="n">
        <x:f>Sources!$B$6-K716</x:f>
        <x:v>-14141.000000014901</x:v>
      </x:c>
      <x:c r="O716" s="1" t="str">
        <x:v>keyboard_route</x:v>
      </x:c>
      <x:c r="P716" s="12" t="n">
        <x:v>0</x:v>
      </x:c>
      <x:c r="Q716" s="12" t="n">
        <x:v>-4</x:v>
      </x:c>
      <x:c r="R716" s="12" t="n">
        <x:v>4</x:v>
      </x:c>
      <x:c r="S716" s="12" t="n">
        <x:v>7</x:v>
      </x:c>
      <x:c r="T716" s="1" t="str">
        <x:v>Yes</x:v>
      </x:c>
      <x:c r="U716" s="1" t="n">
        <x:v>0</x:v>
      </x:c>
    </x:row>
    <x:row r="717" ht="23" customHeight="1">
      <x:c r="A717" s="9" t="n">
        <x:v>835</x:v>
      </x:c>
      <x:c r="B717" s="9" t="n">
        <x:v>220</x:v>
      </x:c>
      <x:c r="C717" s="9" t="n">
        <x:v>323</x:v>
      </x:c>
      <x:c r="D717" s="9" t="n">
        <x:v>2</x:v>
      </x:c>
      <x:c r="E717" s="9" t="n">
        <x:v>119473.9999999851</x:v>
      </x:c>
      <x:c r="F717" s="9" t="n">
        <x:v>40619.9999999851</x:v>
      </x:c>
      <x:c r="G717" s="9" t="n">
        <x:v>25890.9999999851</x:v>
      </x:c>
      <x:c r="H717" s="9" t="n">
        <x:v>48740</x:v>
      </x:c>
      <x:c r="I717" s="9" t="n">
        <x:v>4117</x:v>
      </x:c>
      <x:c r="J717" s="9" t="n">
        <x:v>106.00000001490116</x:v>
      </x:c>
      <x:c r="K717" s="9" t="n">
        <x:f>F717+G717+I717+J717</x:f>
        <x:v>70733.9999999851</x:v>
      </x:c>
      <x:c r="L717" s="10" t="n">
        <x:f>K717/Sources!$B$4*1000</x:f>
        <x:v>19.760612033089426</x:v>
      </x:c>
      <x:c r="M717" s="10" t="n">
        <x:f>E717/Sources!$B$4*1000</x:f>
        <x:v>33.37686773039174</x:v>
      </x:c>
      <x:c r="N717" s="9" t="n">
        <x:f>Sources!$B$6-K717</x:f>
        <x:v>-10997.999999985099</x:v>
      </x:c>
      <x:c r="O717" s="1" t="str">
        <x:v>keyboard_route</x:v>
      </x:c>
      <x:c r="P717" s="12" t="n">
        <x:v>0</x:v>
      </x:c>
      <x:c r="Q717" s="12" t="n">
        <x:v>-4</x:v>
      </x:c>
      <x:c r="R717" s="12" t="n">
        <x:v>4</x:v>
      </x:c>
      <x:c r="S717" s="12" t="n">
        <x:v>3</x:v>
      </x:c>
      <x:c r="T717" s="1" t="str">
        <x:v>No</x:v>
      </x:c>
      <x:c r="U717" s="1" t="n">
        <x:v>0</x:v>
      </x:c>
    </x:row>
    <x:row r="718" ht="23" customHeight="1">
      <x:c r="A718" s="9" t="n">
        <x:v>836</x:v>
      </x:c>
      <x:c r="B718" s="9" t="n">
        <x:v>220</x:v>
      </x:c>
      <x:c r="C718" s="9" t="n">
        <x:v>319</x:v>
      </x:c>
      <x:c r="D718" s="9" t="n">
        <x:v>2</x:v>
      </x:c>
      <x:c r="E718" s="9" t="n">
        <x:v>119471.0000000149</x:v>
      </x:c>
      <x:c r="F718" s="9" t="n">
        <x:v>34941</x:v>
      </x:c>
      <x:c r="G718" s="9" t="n">
        <x:v>38252</x:v>
      </x:c>
      <x:c r="H718" s="9" t="n">
        <x:v>42054.9999999851</x:v>
      </x:c>
      <x:c r="I718" s="9" t="n">
        <x:v>4117</x:v>
      </x:c>
      <x:c r="J718" s="9" t="n">
        <x:v>106.00000002980232</x:v>
      </x:c>
      <x:c r="K718" s="9" t="n">
        <x:f>F718+G718+I718+J718</x:f>
        <x:v>77416.0000000298</x:v>
      </x:c>
      <x:c r="L718" s="10" t="n">
        <x:f>K718/Sources!$B$4*1000</x:f>
        <x:v>21.627329730462897</x:v>
      </x:c>
      <x:c r="M718" s="10" t="n">
        <x:f>E718/Sources!$B$4*1000</x:f>
        <x:v>33.376029635055545</x:v>
      </x:c>
      <x:c r="N718" s="9" t="n">
        <x:f>Sources!$B$6-K718</x:f>
        <x:v>-17680.000000029802</x:v>
      </x:c>
      <x:c r="O718" s="1" t="str">
        <x:v>keyboard_route</x:v>
      </x:c>
      <x:c r="P718" s="12" t="n">
        <x:v>0</x:v>
      </x:c>
      <x:c r="Q718" s="12" t="n">
        <x:v>-4</x:v>
      </x:c>
      <x:c r="R718" s="12" t="n">
        <x:v>4</x:v>
      </x:c>
      <x:c r="S718" s="12" t="n">
        <x:v>7</x:v>
      </x:c>
      <x:c r="T718" s="1" t="str">
        <x:v>Yes</x:v>
      </x:c>
      <x:c r="U718" s="1" t="n">
        <x:v>0</x:v>
      </x:c>
    </x:row>
    <x:row r="719" ht="23" customHeight="1">
      <x:c r="A719" s="9" t="n">
        <x:v>837</x:v>
      </x:c>
      <x:c r="B719" s="9" t="n">
        <x:v>220</x:v>
      </x:c>
      <x:c r="C719" s="9" t="n">
        <x:v>315</x:v>
      </x:c>
      <x:c r="D719" s="9" t="n">
        <x:v>2</x:v>
      </x:c>
      <x:c r="E719" s="9" t="n">
        <x:v>119472.9999999851</x:v>
      </x:c>
      <x:c r="F719" s="9" t="n">
        <x:v>38774</x:v>
      </x:c>
      <x:c r="G719" s="9" t="n">
        <x:v>26091</x:v>
      </x:c>
      <x:c r="H719" s="9" t="n">
        <x:v>50385</x:v>
      </x:c>
      <x:c r="I719" s="9" t="n">
        <x:v>4117</x:v>
      </x:c>
      <x:c r="J719" s="9" t="n">
        <x:v>105.99999998509884</x:v>
      </x:c>
      <x:c r="K719" s="9" t="n">
        <x:f>F719+G719+I719+J719</x:f>
        <x:v>69087.9999999851</x:v>
      </x:c>
      <x:c r="L719" s="10" t="n">
        <x:f>K719/Sources!$B$4*1000</x:f>
        <x:v>19.300777054062767</x:v>
      </x:c>
      <x:c r="M719" s="10" t="n">
        <x:f>E719/Sources!$B$4*1000</x:f>
        <x:v>33.376588365276895</x:v>
      </x:c>
      <x:c r="N719" s="9" t="n">
        <x:f>Sources!$B$6-K719</x:f>
        <x:v>-9351.999999985099</x:v>
      </x:c>
      <x:c r="O719" s="1" t="str">
        <x:v>keyboard_route</x:v>
      </x:c>
      <x:c r="P719" s="12" t="n">
        <x:v>0</x:v>
      </x:c>
      <x:c r="Q719" s="12" t="n">
        <x:v>-4</x:v>
      </x:c>
      <x:c r="R719" s="12" t="n">
        <x:v>4</x:v>
      </x:c>
      <x:c r="S719" s="12" t="n">
        <x:v>3</x:v>
      </x:c>
      <x:c r="T719" s="1" t="str">
        <x:v>No</x:v>
      </x:c>
      <x:c r="U719" s="1" t="n">
        <x:v>0</x:v>
      </x:c>
    </x:row>
    <x:row r="720" ht="23" customHeight="1">
      <x:c r="A720" s="9" t="n">
        <x:v>838</x:v>
      </x:c>
      <x:c r="B720" s="9" t="n">
        <x:v>220</x:v>
      </x:c>
      <x:c r="C720" s="9" t="n">
        <x:v>311</x:v>
      </x:c>
      <x:c r="D720" s="9" t="n">
        <x:v>2</x:v>
      </x:c>
      <x:c r="E720" s="9" t="n">
        <x:v>119471</x:v>
      </x:c>
      <x:c r="F720" s="9" t="n">
        <x:v>31446</x:v>
      </x:c>
      <x:c r="G720" s="9" t="n">
        <x:v>38252</x:v>
      </x:c>
      <x:c r="H720" s="9" t="n">
        <x:v>45549.9999999851</x:v>
      </x:c>
      <x:c r="I720" s="9" t="n">
        <x:v>4117</x:v>
      </x:c>
      <x:c r="J720" s="9" t="n">
        <x:v>106.00000001490116</x:v>
      </x:c>
      <x:c r="K720" s="9" t="n">
        <x:f>F720+G720+I720+J720</x:f>
        <x:v>73921.0000000149</x:v>
      </x:c>
      <x:c r="L720" s="10" t="n">
        <x:f>K720/Sources!$B$4*1000</x:f>
        <x:v>20.65094865409288</x:v>
      </x:c>
      <x:c r="M720" s="10" t="n">
        <x:f>E720/Sources!$B$4*1000</x:f>
        <x:v>33.37602963505138</x:v>
      </x:c>
      <x:c r="N720" s="9" t="n">
        <x:f>Sources!$B$6-K720</x:f>
        <x:v>-14185.000000014901</x:v>
      </x:c>
      <x:c r="O720" s="1" t="str">
        <x:v>keyboard_route</x:v>
      </x:c>
      <x:c r="P720" s="12" t="n">
        <x:v>0</x:v>
      </x:c>
      <x:c r="Q720" s="12" t="n">
        <x:v>-4</x:v>
      </x:c>
      <x:c r="R720" s="12" t="n">
        <x:v>4</x:v>
      </x:c>
      <x:c r="S720" s="12" t="n">
        <x:v>7</x:v>
      </x:c>
      <x:c r="T720" s="1" t="str">
        <x:v>Yes</x:v>
      </x:c>
      <x:c r="U720" s="1" t="n">
        <x:v>0</x:v>
      </x:c>
    </x:row>
    <x:row r="721" ht="23" customHeight="1">
      <x:c r="A721" s="9" t="n">
        <x:v>839</x:v>
      </x:c>
      <x:c r="B721" s="9" t="n">
        <x:v>220</x:v>
      </x:c>
      <x:c r="C721" s="9" t="n">
        <x:v>307</x:v>
      </x:c>
      <x:c r="D721" s="9" t="n">
        <x:v>2</x:v>
      </x:c>
      <x:c r="E721" s="9" t="n">
        <x:v>119472.0000000149</x:v>
      </x:c>
      <x:c r="F721" s="9" t="n">
        <x:v>36047.9999999851</x:v>
      </x:c>
      <x:c r="G721" s="9" t="n">
        <x:v>26091</x:v>
      </x:c>
      <x:c r="H721" s="9" t="n">
        <x:v>53110.0000000149</x:v>
      </x:c>
      <x:c r="I721" s="9" t="n">
        <x:v>4117</x:v>
      </x:c>
      <x:c r="J721" s="9" t="n">
        <x:v>106.00000001490116</x:v>
      </x:c>
      <x:c r="K721" s="9" t="n">
        <x:f>F721+G721+I721+J721</x:f>
        <x:v>66362</x:v>
      </x:c>
      <x:c r="L721" s="10" t="n">
        <x:f>K721/Sources!$B$4*1000</x:f>
        <x:v>18.539227751013048</x:v>
      </x:c>
      <x:c r="M721" s="10" t="n">
        <x:f>E721/Sources!$B$4*1000</x:f>
        <x:v>33.37630900017039</x:v>
      </x:c>
      <x:c r="N721" s="9" t="n">
        <x:f>Sources!$B$6-K721</x:f>
        <x:v>-6626</x:v>
      </x:c>
      <x:c r="O721" s="1" t="str">
        <x:v>keyboard_route</x:v>
      </x:c>
      <x:c r="P721" s="12" t="n">
        <x:v>0</x:v>
      </x:c>
      <x:c r="Q721" s="12" t="n">
        <x:v>-4</x:v>
      </x:c>
      <x:c r="R721" s="12" t="n">
        <x:v>4</x:v>
      </x:c>
      <x:c r="S721" s="12" t="n">
        <x:v>3</x:v>
      </x:c>
      <x:c r="T721" s="1" t="str">
        <x:v>No</x:v>
      </x:c>
      <x:c r="U721" s="1" t="n">
        <x:v>0</x:v>
      </x:c>
    </x:row>
    <x:row r="722" ht="23" customHeight="1">
      <x:c r="A722" s="9" t="n">
        <x:v>840</x:v>
      </x:c>
      <x:c r="B722" s="9" t="n">
        <x:v>220</x:v>
      </x:c>
      <x:c r="C722" s="9" t="n">
        <x:v>303</x:v>
      </x:c>
      <x:c r="D722" s="9" t="n">
        <x:v>2</x:v>
      </x:c>
      <x:c r="E722" s="9" t="n">
        <x:v>119471.9999999851</x:v>
      </x:c>
      <x:c r="F722" s="9" t="n">
        <x:v>33027.0000000149</x:v>
      </x:c>
      <x:c r="G722" s="9" t="n">
        <x:v>38252</x:v>
      </x:c>
      <x:c r="H722" s="9" t="n">
        <x:v>43969.9999999851</x:v>
      </x:c>
      <x:c r="I722" s="9" t="n">
        <x:v>4117</x:v>
      </x:c>
      <x:c r="J722" s="9" t="n">
        <x:v>105.99999998509884</x:v>
      </x:c>
      <x:c r="K722" s="9" t="n">
        <x:f>F722+G722+I722+J722</x:f>
        <x:v>75502</x:v>
      </x:c>
      <x:c r="L722" s="10" t="n">
        <x:f>K722/Sources!$B$4*1000</x:f>
        <x:v>21.09262490065078</x:v>
      </x:c>
      <x:c r="M722" s="10" t="n">
        <x:f>E722/Sources!$B$4*1000</x:f>
        <x:v>33.37630900016206</x:v>
      </x:c>
      <x:c r="N722" s="9" t="n">
        <x:f>Sources!$B$6-K722</x:f>
        <x:v>-15766</x:v>
      </x:c>
      <x:c r="O722" s="1" t="str">
        <x:v>keyboard_route</x:v>
      </x:c>
      <x:c r="P722" s="12" t="n">
        <x:v>0</x:v>
      </x:c>
      <x:c r="Q722" s="12" t="n">
        <x:v>-4</x:v>
      </x:c>
      <x:c r="R722" s="12" t="n">
        <x:v>4</x:v>
      </x:c>
      <x:c r="S722" s="12" t="n">
        <x:v>7</x:v>
      </x:c>
      <x:c r="T722" s="1" t="str">
        <x:v>Yes</x:v>
      </x:c>
      <x:c r="U722" s="1" t="n">
        <x:v>0</x:v>
      </x:c>
    </x:row>
    <x:row r="723" ht="23" customHeight="1">
      <x:c r="A723" s="9" t="n">
        <x:v>841</x:v>
      </x:c>
      <x:c r="B723" s="9" t="n">
        <x:v>220</x:v>
      </x:c>
      <x:c r="C723" s="9" t="n">
        <x:v>299</x:v>
      </x:c>
      <x:c r="D723" s="9" t="n">
        <x:v>2</x:v>
      </x:c>
      <x:c r="E723" s="9" t="n">
        <x:v>119473.0000000149</x:v>
      </x:c>
      <x:c r="F723" s="9" t="n">
        <x:v>38679</x:v>
      </x:c>
      <x:c r="G723" s="9" t="n">
        <x:v>26091</x:v>
      </x:c>
      <x:c r="H723" s="9" t="n">
        <x:v>50480</x:v>
      </x:c>
      <x:c r="I723" s="9" t="n">
        <x:v>4117</x:v>
      </x:c>
      <x:c r="J723" s="9" t="n">
        <x:v>106.00000001490116</x:v>
      </x:c>
      <x:c r="K723" s="9" t="n">
        <x:f>F723+G723+I723+J723</x:f>
        <x:v>68993.0000000149</x:v>
      </x:c>
      <x:c r="L723" s="10" t="n">
        <x:f>K723/Sources!$B$4*1000</x:f>
        <x:v>19.274237368161288</x:v>
      </x:c>
      <x:c r="M723" s="10" t="n">
        <x:f>E723/Sources!$B$4*1000</x:f>
        <x:v>33.37658836528522</x:v>
      </x:c>
      <x:c r="N723" s="9" t="n">
        <x:f>Sources!$B$6-K723</x:f>
        <x:v>-9257.000000014901</x:v>
      </x:c>
      <x:c r="O723" s="1" t="str">
        <x:v>keyboard_route</x:v>
      </x:c>
      <x:c r="P723" s="12" t="n">
        <x:v>0</x:v>
      </x:c>
      <x:c r="Q723" s="12" t="n">
        <x:v>-4</x:v>
      </x:c>
      <x:c r="R723" s="12" t="n">
        <x:v>4</x:v>
      </x:c>
      <x:c r="S723" s="12" t="n">
        <x:v>3</x:v>
      </x:c>
      <x:c r="T723" s="1" t="str">
        <x:v>No</x:v>
      </x:c>
      <x:c r="U723" s="1" t="n">
        <x:v>0</x:v>
      </x:c>
    </x:row>
    <x:row r="724" ht="23" customHeight="1">
      <x:c r="A724" s="9" t="n">
        <x:v>842</x:v>
      </x:c>
      <x:c r="B724" s="9" t="n">
        <x:v>220</x:v>
      </x:c>
      <x:c r="C724" s="9" t="n">
        <x:v>295</x:v>
      </x:c>
      <x:c r="D724" s="9" t="n">
        <x:v>2</x:v>
      </x:c>
      <x:c r="E724" s="9" t="n">
        <x:v>119471.9999999851</x:v>
      </x:c>
      <x:c r="F724" s="9" t="n">
        <x:v>33767.0000000149</x:v>
      </x:c>
      <x:c r="G724" s="9" t="n">
        <x:v>38252.0000000149</x:v>
      </x:c>
      <x:c r="H724" s="9" t="n">
        <x:v>43230</x:v>
      </x:c>
      <x:c r="I724" s="9" t="n">
        <x:v>4117</x:v>
      </x:c>
      <x:c r="J724" s="9" t="n">
        <x:v>105.99999995529652</x:v>
      </x:c>
      <x:c r="K724" s="9" t="n">
        <x:f>F724+G724+I724+J724</x:f>
        <x:v>76241.9999999851</x:v>
      </x:c>
      <x:c r="L724" s="10" t="n">
        <x:f>K724/Sources!$B$4*1000</x:f>
        <x:v>21.29935508562823</x:v>
      </x:c>
      <x:c r="M724" s="10" t="n">
        <x:f>E724/Sources!$B$4*1000</x:f>
        <x:v>33.37630900016206</x:v>
      </x:c>
      <x:c r="N724" s="9" t="n">
        <x:f>Sources!$B$6-K724</x:f>
        <x:v>-16505.9999999851</x:v>
      </x:c>
      <x:c r="O724" s="1" t="str">
        <x:v>keyboard_route</x:v>
      </x:c>
      <x:c r="P724" s="12" t="n">
        <x:v>0</x:v>
      </x:c>
      <x:c r="Q724" s="12" t="n">
        <x:v>-4</x:v>
      </x:c>
      <x:c r="R724" s="12" t="n">
        <x:v>4</x:v>
      </x:c>
      <x:c r="S724" s="12" t="n">
        <x:v>7</x:v>
      </x:c>
      <x:c r="T724" s="1" t="str">
        <x:v>Yes</x:v>
      </x:c>
      <x:c r="U724" s="1" t="n">
        <x:v>0</x:v>
      </x:c>
    </x:row>
    <x:row r="725" ht="23" customHeight="1">
      <x:c r="A725" s="9" t="n">
        <x:v>843</x:v>
      </x:c>
      <x:c r="B725" s="9" t="n">
        <x:v>220</x:v>
      </x:c>
      <x:c r="C725" s="9" t="n">
        <x:v>291</x:v>
      </x:c>
      <x:c r="D725" s="9" t="n">
        <x:v>2</x:v>
      </x:c>
      <x:c r="E725" s="9" t="n">
        <x:v>119474</x:v>
      </x:c>
      <x:c r="F725" s="9" t="n">
        <x:v>40135</x:v>
      </x:c>
      <x:c r="G725" s="9" t="n">
        <x:v>26091</x:v>
      </x:c>
      <x:c r="H725" s="9" t="n">
        <x:v>49025</x:v>
      </x:c>
      <x:c r="I725" s="9" t="n">
        <x:v>4117</x:v>
      </x:c>
      <x:c r="J725" s="9" t="n">
        <x:v>106</x:v>
      </x:c>
      <x:c r="K725" s="9" t="n">
        <x:f>F725+G725+I725+J725</x:f>
        <x:v>70449</x:v>
      </x:c>
      <x:c r="L725" s="10" t="n">
        <x:f>K725/Sources!$B$4*1000</x:f>
        <x:v>19.680992975364187</x:v>
      </x:c>
      <x:c r="M725" s="10" t="n">
        <x:f>E725/Sources!$B$4*1000</x:f>
        <x:v>33.3768677303959</x:v>
      </x:c>
      <x:c r="N725" s="9" t="n">
        <x:f>Sources!$B$6-K725</x:f>
        <x:v>-10713</x:v>
      </x:c>
      <x:c r="O725" s="1" t="str">
        <x:v>keyboard_route</x:v>
      </x:c>
      <x:c r="P725" s="12" t="n">
        <x:v>0</x:v>
      </x:c>
      <x:c r="Q725" s="12" t="n">
        <x:v>-4</x:v>
      </x:c>
      <x:c r="R725" s="12" t="n">
        <x:v>4</x:v>
      </x:c>
      <x:c r="S725" s="12" t="n">
        <x:v>3</x:v>
      </x:c>
      <x:c r="T725" s="1" t="str">
        <x:v>No</x:v>
      </x:c>
      <x:c r="U725" s="1" t="n">
        <x:v>0</x:v>
      </x:c>
    </x:row>
    <x:row r="726" ht="23" customHeight="1">
      <x:c r="A726" s="9" t="n">
        <x:v>844</x:v>
      </x:c>
      <x:c r="B726" s="9" t="n">
        <x:v>220</x:v>
      </x:c>
      <x:c r="C726" s="9" t="n">
        <x:v>287</x:v>
      </x:c>
      <x:c r="D726" s="9" t="n">
        <x:v>2</x:v>
      </x:c>
      <x:c r="E726" s="9" t="n">
        <x:v>119472.0000000149</x:v>
      </x:c>
      <x:c r="F726" s="9" t="n">
        <x:v>32149.9999999851</x:v>
      </x:c>
      <x:c r="G726" s="9" t="n">
        <x:v>39088.9999999851</x:v>
      </x:c>
      <x:c r="H726" s="9" t="n">
        <x:v>44009.9999999851</x:v>
      </x:c>
      <x:c r="I726" s="9" t="n">
        <x:v>4117</x:v>
      </x:c>
      <x:c r="J726" s="9" t="n">
        <x:v>106.00000005960464</x:v>
      </x:c>
      <x:c r="K726" s="9" t="n">
        <x:f>F726+G726+I726+J726</x:f>
        <x:v>75462.0000000298</x:v>
      </x:c>
      <x:c r="L726" s="10" t="n">
        <x:f>K726/Sources!$B$4*1000</x:f>
        <x:v>21.08145029606551</x:v>
      </x:c>
      <x:c r="M726" s="10" t="n">
        <x:f>E726/Sources!$B$4*1000</x:f>
        <x:v>33.37630900017039</x:v>
      </x:c>
      <x:c r="N726" s="9" t="n">
        <x:f>Sources!$B$6-K726</x:f>
        <x:v>-15726.000000029802</x:v>
      </x:c>
      <x:c r="O726" s="1" t="str">
        <x:v>keyboard_route</x:v>
      </x:c>
      <x:c r="P726" s="12" t="n">
        <x:v>0</x:v>
      </x:c>
      <x:c r="Q726" s="12" t="n">
        <x:v>-4</x:v>
      </x:c>
      <x:c r="R726" s="12" t="n">
        <x:v>4</x:v>
      </x:c>
      <x:c r="S726" s="12" t="n">
        <x:v>7</x:v>
      </x:c>
      <x:c r="T726" s="1" t="str">
        <x:v>Yes</x:v>
      </x:c>
      <x:c r="U726" s="1" t="n">
        <x:v>0</x:v>
      </x:c>
    </x:row>
    <x:row r="727" ht="23" customHeight="1">
      <x:c r="A727" s="9" t="n">
        <x:v>845</x:v>
      </x:c>
      <x:c r="B727" s="9" t="n">
        <x:v>220</x:v>
      </x:c>
      <x:c r="C727" s="9" t="n">
        <x:v>283</x:v>
      </x:c>
      <x:c r="D727" s="9" t="n">
        <x:v>2</x:v>
      </x:c>
      <x:c r="E727" s="9" t="n">
        <x:v>119469</x:v>
      </x:c>
      <x:c r="F727" s="9" t="n">
        <x:v>37764.9999999851</x:v>
      </x:c>
      <x:c r="G727" s="9" t="n">
        <x:v>26091</x:v>
      </x:c>
      <x:c r="H727" s="9" t="n">
        <x:v>51389.9999999851</x:v>
      </x:c>
      <x:c r="I727" s="9" t="n">
        <x:v>4117.000000014901</x:v>
      </x:c>
      <x:c r="J727" s="9" t="n">
        <x:v>106.00000001490116</x:v>
      </x:c>
      <x:c r="K727" s="9" t="n">
        <x:f>F727+G727+I727+J727</x:f>
        <x:v>68079.0000000149</x:v>
      </x:c>
      <x:c r="L727" s="10" t="n">
        <x:f>K727/Sources!$B$4*1000</x:f>
        <x:v>19.018897653197516</x:v>
      </x:c>
      <x:c r="M727" s="10" t="n">
        <x:f>E727/Sources!$B$4*1000</x:f>
        <x:v>33.375470904821704</x:v>
      </x:c>
      <x:c r="N727" s="9" t="n">
        <x:f>Sources!$B$6-K727</x:f>
        <x:v>-8343.000000014901</x:v>
      </x:c>
      <x:c r="O727" s="1" t="str">
        <x:v>keyboard_route</x:v>
      </x:c>
      <x:c r="P727" s="12" t="n">
        <x:v>0</x:v>
      </x:c>
      <x:c r="Q727" s="12" t="n">
        <x:v>-4</x:v>
      </x:c>
      <x:c r="R727" s="12" t="n">
        <x:v>4</x:v>
      </x:c>
      <x:c r="S727" s="12" t="n">
        <x:v>3</x:v>
      </x:c>
      <x:c r="T727" s="1" t="str">
        <x:v>No</x:v>
      </x:c>
      <x:c r="U727" s="1" t="n">
        <x:v>0</x:v>
      </x:c>
    </x:row>
    <x:row r="728" ht="23" customHeight="1">
      <x:c r="A728" s="9" t="n">
        <x:v>846</x:v>
      </x:c>
      <x:c r="B728" s="9" t="n">
        <x:v>220</x:v>
      </x:c>
      <x:c r="C728" s="9" t="n">
        <x:v>279</x:v>
      </x:c>
      <x:c r="D728" s="9" t="n">
        <x:v>2</x:v>
      </x:c>
      <x:c r="E728" s="9" t="n">
        <x:v>119472.0000000149</x:v>
      </x:c>
      <x:c r="F728" s="9" t="n">
        <x:v>31340</x:v>
      </x:c>
      <x:c r="G728" s="9" t="n">
        <x:v>39089.0000000149</x:v>
      </x:c>
      <x:c r="H728" s="9" t="n">
        <x:v>44820</x:v>
      </x:c>
      <x:c r="I728" s="9" t="n">
        <x:v>4116.999999985099</x:v>
      </x:c>
      <x:c r="J728" s="9" t="n">
        <x:v>106.00000001490116</x:v>
      </x:c>
      <x:c r="K728" s="9" t="n">
        <x:f>F728+G728+I728+J728</x:f>
        <x:v>74652.0000000149</x:v>
      </x:c>
      <x:c r="L728" s="10" t="n">
        <x:f>K728/Sources!$B$4*1000</x:f>
        <x:v>20.855164553040932</x:v>
      </x:c>
      <x:c r="M728" s="10" t="n">
        <x:f>E728/Sources!$B$4*1000</x:f>
        <x:v>33.37630900017039</x:v>
      </x:c>
      <x:c r="N728" s="9" t="n">
        <x:f>Sources!$B$6-K728</x:f>
        <x:v>-14916.000000014901</x:v>
      </x:c>
      <x:c r="O728" s="1" t="str">
        <x:v>keyboard_route</x:v>
      </x:c>
      <x:c r="P728" s="12" t="n">
        <x:v>0</x:v>
      </x:c>
      <x:c r="Q728" s="12" t="n">
        <x:v>-4</x:v>
      </x:c>
      <x:c r="R728" s="12" t="n">
        <x:v>4</x:v>
      </x:c>
      <x:c r="S728" s="12" t="n">
        <x:v>7</x:v>
      </x:c>
      <x:c r="T728" s="1" t="str">
        <x:v>Yes</x:v>
      </x:c>
      <x:c r="U728" s="1" t="n">
        <x:v>0</x:v>
      </x:c>
    </x:row>
    <x:row r="729" ht="23" customHeight="1">
      <x:c r="A729" s="9" t="n">
        <x:v>847</x:v>
      </x:c>
      <x:c r="B729" s="9" t="n">
        <x:v>220</x:v>
      </x:c>
      <x:c r="C729" s="9" t="n">
        <x:v>275</x:v>
      </x:c>
      <x:c r="D729" s="9" t="n">
        <x:v>2</x:v>
      </x:c>
      <x:c r="E729" s="9" t="n">
        <x:v>119474.9999999851</x:v>
      </x:c>
      <x:c r="F729" s="9" t="n">
        <x:v>39206.0000000149</x:v>
      </x:c>
      <x:c r="G729" s="9" t="n">
        <x:v>26091.000000029802</x:v>
      </x:c>
      <x:c r="H729" s="9" t="n">
        <x:v>49955</x:v>
      </x:c>
      <x:c r="I729" s="9" t="n">
        <x:v>4117.000000014901</x:v>
      </x:c>
      <x:c r="J729" s="9" t="n">
        <x:v>105.9999999254942</x:v>
      </x:c>
      <x:c r="K729" s="9" t="n">
        <x:f>F729+G729+I729+J729</x:f>
        <x:v>69519.9999999851</x:v>
      </x:c>
      <x:c r="L729" s="10" t="n">
        <x:f>K729/Sources!$B$4*1000</x:f>
        <x:v>19.42146278367365</x:v>
      </x:c>
      <x:c r="M729" s="10" t="n">
        <x:f>E729/Sources!$B$4*1000</x:f>
        <x:v>33.37714709550658</x:v>
      </x:c>
      <x:c r="N729" s="9" t="n">
        <x:f>Sources!$B$6-K729</x:f>
        <x:v>-9783.999999985099</x:v>
      </x:c>
      <x:c r="O729" s="1" t="str">
        <x:v>keyboard_route</x:v>
      </x:c>
      <x:c r="P729" s="12" t="n">
        <x:v>0</x:v>
      </x:c>
      <x:c r="Q729" s="12" t="n">
        <x:v>-4</x:v>
      </x:c>
      <x:c r="R729" s="12" t="n">
        <x:v>4</x:v>
      </x:c>
      <x:c r="S729" s="12" t="n">
        <x:v>3</x:v>
      </x:c>
      <x:c r="T729" s="1" t="str">
        <x:v>No</x:v>
      </x:c>
      <x:c r="U729" s="1" t="n">
        <x:v>0</x:v>
      </x:c>
    </x:row>
    <x:row r="730" ht="23" customHeight="1">
      <x:c r="A730" s="9" t="n">
        <x:v>848</x:v>
      </x:c>
      <x:c r="B730" s="9" t="n">
        <x:v>220</x:v>
      </x:c>
      <x:c r="C730" s="9" t="n">
        <x:v>271</x:v>
      </x:c>
      <x:c r="D730" s="9" t="n">
        <x:v>2</x:v>
      </x:c>
      <x:c r="E730" s="9" t="n">
        <x:v>119467.9999999851</x:v>
      </x:c>
      <x:c r="F730" s="9" t="n">
        <x:v>32126</x:v>
      </x:c>
      <x:c r="G730" s="9" t="n">
        <x:v>39088.9999999702</x:v>
      </x:c>
      <x:c r="H730" s="9" t="n">
        <x:v>44030</x:v>
      </x:c>
      <x:c r="I730" s="9" t="n">
        <x:v>4117</x:v>
      </x:c>
      <x:c r="J730" s="9" t="n">
        <x:v>106.00000001490116</x:v>
      </x:c>
      <x:c r="K730" s="9" t="n">
        <x:f>F730+G730+I730+J730</x:f>
        <x:v>75437.9999999851</x:v>
      </x:c>
      <x:c r="L730" s="10" t="n">
        <x:f>K730/Sources!$B$4*1000</x:f>
        <x:v>21.074745533296856</x:v>
      </x:c>
      <x:c r="M730" s="10" t="n">
        <x:f>E730/Sources!$B$4*1000</x:f>
        <x:v>33.3751915397027</x:v>
      </x:c>
      <x:c r="N730" s="9" t="n">
        <x:f>Sources!$B$6-K730</x:f>
        <x:v>-15701.999999985099</x:v>
      </x:c>
      <x:c r="O730" s="1" t="str">
        <x:v>keyboard_route</x:v>
      </x:c>
      <x:c r="P730" s="12" t="n">
        <x:v>0</x:v>
      </x:c>
      <x:c r="Q730" s="12" t="n">
        <x:v>-4</x:v>
      </x:c>
      <x:c r="R730" s="12" t="n">
        <x:v>4</x:v>
      </x:c>
      <x:c r="S730" s="12" t="n">
        <x:v>7</x:v>
      </x:c>
      <x:c r="T730" s="1" t="str">
        <x:v>Yes</x:v>
      </x:c>
      <x:c r="U730" s="1" t="n">
        <x:v>0</x:v>
      </x:c>
    </x:row>
    <x:row r="731" ht="23" customHeight="1">
      <x:c r="A731" s="9" t="n">
        <x:v>849</x:v>
      </x:c>
      <x:c r="B731" s="9" t="n">
        <x:v>220</x:v>
      </x:c>
      <x:c r="C731" s="9" t="n">
        <x:v>267</x:v>
      </x:c>
      <x:c r="D731" s="9" t="n">
        <x:v>2</x:v>
      </x:c>
      <x:c r="E731" s="9" t="n">
        <x:v>119473.0000000149</x:v>
      </x:c>
      <x:c r="F731" s="9" t="n">
        <x:v>40394</x:v>
      </x:c>
      <x:c r="G731" s="9" t="n">
        <x:v>26091</x:v>
      </x:c>
      <x:c r="H731" s="9" t="n">
        <x:v>48764.9999999851</x:v>
      </x:c>
      <x:c r="I731" s="9" t="n">
        <x:v>4116.999999985099</x:v>
      </x:c>
      <x:c r="J731" s="9" t="n">
        <x:v>106.00000004470348</x:v>
      </x:c>
      <x:c r="K731" s="9" t="n">
        <x:f>F731+G731+I731+J731</x:f>
        <x:v>70708.0000000298</x:v>
      </x:c>
      <x:c r="L731" s="10" t="n">
        <x:f>K731/Sources!$B$4*1000</x:f>
        <x:v>19.75334854011608</x:v>
      </x:c>
      <x:c r="M731" s="10" t="n">
        <x:f>E731/Sources!$B$4*1000</x:f>
        <x:v>33.37658836528522</x:v>
      </x:c>
      <x:c r="N731" s="9" t="n">
        <x:f>Sources!$B$6-K731</x:f>
        <x:v>-10972.000000029802</x:v>
      </x:c>
      <x:c r="O731" s="1" t="str">
        <x:v>keyboard_route</x:v>
      </x:c>
      <x:c r="P731" s="12" t="n">
        <x:v>0</x:v>
      </x:c>
      <x:c r="Q731" s="12" t="n">
        <x:v>-4</x:v>
      </x:c>
      <x:c r="R731" s="12" t="n">
        <x:v>4</x:v>
      </x:c>
      <x:c r="S731" s="12" t="n">
        <x:v>3</x:v>
      </x:c>
      <x:c r="T731" s="1" t="str">
        <x:v>No</x:v>
      </x:c>
      <x:c r="U731" s="1" t="n">
        <x:v>0</x:v>
      </x:c>
    </x:row>
    <x:row r="732" ht="23" customHeight="1">
      <x:c r="A732" s="9" t="n">
        <x:v>850</x:v>
      </x:c>
      <x:c r="B732" s="9" t="n">
        <x:v>220</x:v>
      </x:c>
      <x:c r="C732" s="9" t="n">
        <x:v>263</x:v>
      </x:c>
      <x:c r="D732" s="9" t="n">
        <x:v>2</x:v>
      </x:c>
      <x:c r="E732" s="9" t="n">
        <x:v>119474</x:v>
      </x:c>
      <x:c r="F732" s="9" t="n">
        <x:v>32822.0000000149</x:v>
      </x:c>
      <x:c r="G732" s="9" t="n">
        <x:v>39289</x:v>
      </x:c>
      <x:c r="H732" s="9" t="n">
        <x:v>43140.0000000149</x:v>
      </x:c>
      <x:c r="I732" s="9" t="n">
        <x:v>4116.999999985099</x:v>
      </x:c>
      <x:c r="J732" s="9" t="n">
        <x:v>105.99999998509884</x:v>
      </x:c>
      <x:c r="K732" s="9" t="n">
        <x:f>F732+G732+I732+J732</x:f>
        <x:v>76333.9999999851</x:v>
      </x:c>
      <x:c r="L732" s="10" t="n">
        <x:f>K732/Sources!$B$4*1000</x:f>
        <x:v>21.32505667619351</x:v>
      </x:c>
      <x:c r="M732" s="10" t="n">
        <x:f>E732/Sources!$B$4*1000</x:f>
        <x:v>33.3768677303959</x:v>
      </x:c>
      <x:c r="N732" s="9" t="n">
        <x:f>Sources!$B$6-K732</x:f>
        <x:v>-16597.9999999851</x:v>
      </x:c>
      <x:c r="O732" s="1" t="str">
        <x:v>keyboard_route</x:v>
      </x:c>
      <x:c r="P732" s="12" t="n">
        <x:v>0</x:v>
      </x:c>
      <x:c r="Q732" s="12" t="n">
        <x:v>-4</x:v>
      </x:c>
      <x:c r="R732" s="12" t="n">
        <x:v>4</x:v>
      </x:c>
      <x:c r="S732" s="12" t="n">
        <x:v>7</x:v>
      </x:c>
      <x:c r="T732" s="1" t="str">
        <x:v>Yes</x:v>
      </x:c>
      <x:c r="U732" s="1" t="n">
        <x:v>0</x:v>
      </x:c>
    </x:row>
    <x:row r="733" ht="23" customHeight="1">
      <x:c r="A733" s="9" t="n">
        <x:v>851</x:v>
      </x:c>
      <x:c r="B733" s="9" t="n">
        <x:v>220</x:v>
      </x:c>
      <x:c r="C733" s="9" t="n">
        <x:v>259</x:v>
      </x:c>
      <x:c r="D733" s="9" t="n">
        <x:v>2</x:v>
      </x:c>
      <x:c r="E733" s="9" t="n">
        <x:v>119473</x:v>
      </x:c>
      <x:c r="F733" s="9" t="n">
        <x:v>35924.0000000149</x:v>
      </x:c>
      <x:c r="G733" s="9" t="n">
        <x:v>26091</x:v>
      </x:c>
      <x:c r="H733" s="9" t="n">
        <x:v>53234.9999999851</x:v>
      </x:c>
      <x:c r="I733" s="9" t="n">
        <x:v>4117</x:v>
      </x:c>
      <x:c r="J733" s="9" t="n">
        <x:v>106</x:v>
      </x:c>
      <x:c r="K733" s="9" t="n">
        <x:f>F733+G733+I733+J733</x:f>
        <x:v>66238.0000000149</x:v>
      </x:c>
      <x:c r="L733" s="10" t="n">
        <x:f>K733/Sources!$B$4*1000</x:f>
        <x:v>18.50458647677705</x:v>
      </x:c>
      <x:c r="M733" s="10" t="n">
        <x:f>E733/Sources!$B$4*1000</x:f>
        <x:v>33.37658836528106</x:v>
      </x:c>
      <x:c r="N733" s="9" t="n">
        <x:f>Sources!$B$6-K733</x:f>
        <x:v>-6502.000000014901</x:v>
      </x:c>
      <x:c r="O733" s="1" t="str">
        <x:v>keyboard_route</x:v>
      </x:c>
      <x:c r="P733" s="12" t="n">
        <x:v>0</x:v>
      </x:c>
      <x:c r="Q733" s="12" t="n">
        <x:v>-4</x:v>
      </x:c>
      <x:c r="R733" s="12" t="n">
        <x:v>4</x:v>
      </x:c>
      <x:c r="S733" s="12" t="n">
        <x:v>3</x:v>
      </x:c>
      <x:c r="T733" s="1" t="str">
        <x:v>No</x:v>
      </x:c>
      <x:c r="U733" s="1" t="n">
        <x:v>0</x:v>
      </x:c>
    </x:row>
    <x:row r="734" ht="23" customHeight="1">
      <x:c r="A734" s="9" t="n">
        <x:v>852</x:v>
      </x:c>
      <x:c r="B734" s="9" t="n">
        <x:v>220</x:v>
      </x:c>
      <x:c r="C734" s="9" t="n">
        <x:v>255</x:v>
      </x:c>
      <x:c r="D734" s="9" t="n">
        <x:v>2</x:v>
      </x:c>
      <x:c r="E734" s="9" t="n">
        <x:v>119467.9999999851</x:v>
      </x:c>
      <x:c r="F734" s="9" t="n">
        <x:v>31320</x:v>
      </x:c>
      <x:c r="G734" s="9" t="n">
        <x:v>39315.0000000149</x:v>
      </x:c>
      <x:c r="H734" s="9" t="n">
        <x:v>44610</x:v>
      </x:c>
      <x:c r="I734" s="9" t="n">
        <x:v>4117.000000014901</x:v>
      </x:c>
      <x:c r="J734" s="9" t="n">
        <x:v>105.99999995529652</x:v>
      </x:c>
      <x:c r="K734" s="9" t="n">
        <x:f>F734+G734+I734+J734</x:f>
        <x:v>74857.9999999851</x:v>
      </x:c>
      <x:c r="L734" s="10" t="n">
        <x:f>K734/Sources!$B$4*1000</x:f>
        <x:v>20.91271376668965</x:v>
      </x:c>
      <x:c r="M734" s="10" t="n">
        <x:f>E734/Sources!$B$4*1000</x:f>
        <x:v>33.3751915397027</x:v>
      </x:c>
      <x:c r="N734" s="9" t="n">
        <x:f>Sources!$B$6-K734</x:f>
        <x:v>-15121.999999985099</x:v>
      </x:c>
      <x:c r="O734" s="1" t="str">
        <x:v>keyboard_route</x:v>
      </x:c>
      <x:c r="P734" s="12" t="n">
        <x:v>0</x:v>
      </x:c>
      <x:c r="Q734" s="12" t="n">
        <x:v>-4</x:v>
      </x:c>
      <x:c r="R734" s="12" t="n">
        <x:v>4</x:v>
      </x:c>
      <x:c r="S734" s="12" t="n">
        <x:v>7</x:v>
      </x:c>
      <x:c r="T734" s="1" t="str">
        <x:v>Yes</x:v>
      </x:c>
      <x:c r="U734" s="1" t="n">
        <x:v>0</x:v>
      </x:c>
    </x:row>
    <x:row r="735" ht="23" customHeight="1">
      <x:c r="A735" s="9" t="n">
        <x:v>853</x:v>
      </x:c>
      <x:c r="B735" s="9" t="n">
        <x:v>220</x:v>
      </x:c>
      <x:c r="C735" s="9" t="n">
        <x:v>251</x:v>
      </x:c>
      <x:c r="D735" s="9" t="n">
        <x:v>2</x:v>
      </x:c>
      <x:c r="E735" s="9" t="n">
        <x:v>122297.0000000149</x:v>
      </x:c>
      <x:c r="F735" s="9" t="n">
        <x:v>51285</x:v>
      </x:c>
      <x:c r="G735" s="9" t="n">
        <x:v>44838</x:v>
      </x:c>
      <x:c r="H735" s="9" t="n">
        <x:v>19130.0000000149</x:v>
      </x:c>
      <x:c r="I735" s="9" t="n">
        <x:v>6937.999999985099</x:v>
      </x:c>
      <x:c r="J735" s="9" t="n">
        <x:v>106.00000001490116</x:v>
      </x:c>
      <x:c r="K735" s="9" t="n">
        <x:f>F735+G735+I735+J735</x:f>
        <x:v>103167</x:v>
      </x:c>
      <x:c r="L735" s="10" t="n">
        <x:f>K735/Sources!$B$4*1000</x:f>
        <x:v>28.821260802699783</x:v>
      </x:c>
      <x:c r="M735" s="10" t="n">
        <x:f>E735/Sources!$B$4*1000</x:f>
        <x:v>34.16551544959343</x:v>
      </x:c>
      <x:c r="N735" s="9" t="n">
        <x:f>Sources!$B$6-K735</x:f>
        <x:v>-43431</x:v>
      </x:c>
      <x:c r="O735" s="1" t="str">
        <x:v>keyboard_route</x:v>
      </x:c>
      <x:c r="P735" s="12" t="n">
        <x:v>0</x:v>
      </x:c>
      <x:c r="Q735" s="12" t="n">
        <x:v>-4</x:v>
      </x:c>
      <x:c r="R735" s="12" t="n">
        <x:v>4</x:v>
      </x:c>
      <x:c r="S735" s="12" t="n">
        <x:v>3</x:v>
      </x:c>
      <x:c r="T735" s="1" t="str">
        <x:v>No</x:v>
      </x:c>
      <x:c r="U735" s="1" t="n">
        <x:v>0</x:v>
      </x:c>
    </x:row>
    <x:row r="736" ht="23" customHeight="1">
      <x:c r="A736" s="9" t="n">
        <x:v>854</x:v>
      </x:c>
      <x:c r="B736" s="9" t="n">
        <x:v>220</x:v>
      </x:c>
      <x:c r="C736" s="9" t="n">
        <x:v>247</x:v>
      </x:c>
      <x:c r="D736" s="9" t="n">
        <x:v>2</x:v>
      </x:c>
      <x:c r="E736" s="9" t="n">
        <x:v>116647</x:v>
      </x:c>
      <x:c r="F736" s="9" t="n">
        <x:v>35399</x:v>
      </x:c>
      <x:c r="G736" s="9" t="n">
        <x:v>51070</x:v>
      </x:c>
      <x:c r="H736" s="9" t="n">
        <x:v>25955</x:v>
      </x:c>
      <x:c r="I736" s="9" t="n">
        <x:v>4116.999999985099</x:v>
      </x:c>
      <x:c r="J736" s="9" t="n">
        <x:v>106.00000001490116</x:v>
      </x:c>
      <x:c r="K736" s="9" t="n">
        <x:f>F736+G736+I736+J736</x:f>
        <x:v>90692</x:v>
      </x:c>
      <x:c r="L736" s="10" t="n">
        <x:f>K736/Sources!$B$4*1000</x:f>
        <x:v>25.336180995070603</x:v>
      </x:c>
      <x:c r="M736" s="10" t="n">
        <x:f>E736/Sources!$B$4*1000</x:f>
        <x:v>32.58710255074318</x:v>
      </x:c>
      <x:c r="N736" s="9" t="n">
        <x:f>Sources!$B$6-K736</x:f>
        <x:v>-30956</x:v>
      </x:c>
      <x:c r="O736" s="1" t="str">
        <x:v>keyboard_route</x:v>
      </x:c>
      <x:c r="P736" s="12" t="n">
        <x:v>0</x:v>
      </x:c>
      <x:c r="Q736" s="12" t="n">
        <x:v>-4</x:v>
      </x:c>
      <x:c r="R736" s="12" t="n">
        <x:v>4</x:v>
      </x:c>
      <x:c r="S736" s="12" t="n">
        <x:v>7</x:v>
      </x:c>
      <x:c r="T736" s="1" t="str">
        <x:v>Yes</x:v>
      </x:c>
      <x:c r="U736" s="1" t="n">
        <x:v>0</x:v>
      </x:c>
    </x:row>
    <x:row r="737" ht="23" customHeight="1">
      <x:c r="A737" s="9" t="n">
        <x:v>855</x:v>
      </x:c>
      <x:c r="B737" s="9" t="n">
        <x:v>220</x:v>
      </x:c>
      <x:c r="C737" s="9" t="n">
        <x:v>243</x:v>
      </x:c>
      <x:c r="D737" s="9" t="n">
        <x:v>2</x:v>
      </x:c>
      <x:c r="E737" s="9" t="n">
        <x:v>119473</x:v>
      </x:c>
      <x:c r="F737" s="9" t="n">
        <x:v>42089</x:v>
      </x:c>
      <x:c r="G737" s="9" t="n">
        <x:v>25891</x:v>
      </x:c>
      <x:c r="H737" s="9" t="n">
        <x:v>47270</x:v>
      </x:c>
      <x:c r="I737" s="9" t="n">
        <x:v>4117.000000014901</x:v>
      </x:c>
      <x:c r="J737" s="9" t="n">
        <x:v>105.99999998509884</x:v>
      </x:c>
      <x:c r="K737" s="9" t="n">
        <x:f>F737+G737+I737+J737</x:f>
        <x:v>72203</x:v>
      </x:c>
      <x:c r="L737" s="10" t="n">
        <x:f>K737/Sources!$B$4*1000</x:f>
        <x:v>20.17099938679357</x:v>
      </x:c>
      <x:c r="M737" s="10" t="n">
        <x:f>E737/Sources!$B$4*1000</x:f>
        <x:v>33.37658836528106</x:v>
      </x:c>
      <x:c r="N737" s="9" t="n">
        <x:f>Sources!$B$6-K737</x:f>
        <x:v>-12467</x:v>
      </x:c>
      <x:c r="O737" s="1" t="str">
        <x:v>keyboard_route</x:v>
      </x:c>
      <x:c r="P737" s="12" t="n">
        <x:v>0</x:v>
      </x:c>
      <x:c r="Q737" s="12" t="n">
        <x:v>-4</x:v>
      </x:c>
      <x:c r="R737" s="12" t="n">
        <x:v>4</x:v>
      </x:c>
      <x:c r="S737" s="12" t="n">
        <x:v>3</x:v>
      </x:c>
      <x:c r="T737" s="1" t="str">
        <x:v>No</x:v>
      </x:c>
      <x:c r="U737" s="1" t="n">
        <x:v>0</x:v>
      </x:c>
    </x:row>
    <x:row r="738" ht="23" customHeight="1">
      <x:c r="A738" s="9" t="n">
        <x:v>856</x:v>
      </x:c>
      <x:c r="B738" s="9" t="n">
        <x:v>220</x:v>
      </x:c>
      <x:c r="C738" s="9" t="n">
        <x:v>247</x:v>
      </x:c>
      <x:c r="D738" s="9" t="n">
        <x:v>2</x:v>
      </x:c>
      <x:c r="E738" s="9" t="n">
        <x:v>119472.9999999851</x:v>
      </x:c>
      <x:c r="F738" s="9" t="n">
        <x:v>36981</x:v>
      </x:c>
      <x:c r="G738" s="9" t="n">
        <x:v>24609</x:v>
      </x:c>
      <x:c r="H738" s="9" t="n">
        <x:v>53660</x:v>
      </x:c>
      <x:c r="I738" s="9" t="n">
        <x:v>4116.999999985099</x:v>
      </x:c>
      <x:c r="J738" s="9" t="n">
        <x:v>106</x:v>
      </x:c>
      <x:c r="K738" s="9" t="n">
        <x:f>F738+G738+I738+J738</x:f>
        <x:v>65812.9999999851</x:v>
      </x:c>
      <x:c r="L738" s="10" t="n">
        <x:f>K738/Sources!$B$4*1000</x:f>
        <x:v>18.385856302961717</x:v>
      </x:c>
      <x:c r="M738" s="10" t="n">
        <x:f>E738/Sources!$B$4*1000</x:f>
        <x:v>33.376588365276895</x:v>
      </x:c>
      <x:c r="N738" s="9" t="n">
        <x:f>Sources!$B$6-K738</x:f>
        <x:v>-6076.999999985099</x:v>
      </x:c>
      <x:c r="O738" s="1" t="str">
        <x:v>keyboard_route</x:v>
      </x:c>
      <x:c r="P738" s="12" t="n">
        <x:v>0</x:v>
      </x:c>
      <x:c r="Q738" s="12" t="n">
        <x:v>4</x:v>
      </x:c>
      <x:c r="R738" s="12" t="n">
        <x:v>4</x:v>
      </x:c>
      <x:c r="S738" s="12" t="n">
        <x:v>7</x:v>
      </x:c>
      <x:c r="T738" s="1" t="str">
        <x:v>No</x:v>
      </x:c>
      <x:c r="U738" s="1" t="n">
        <x:v>0</x:v>
      </x:c>
    </x:row>
    <x:row r="739" ht="23" customHeight="1">
      <x:c r="A739" s="9" t="n">
        <x:v>857</x:v>
      </x:c>
      <x:c r="B739" s="9" t="n">
        <x:v>220</x:v>
      </x:c>
      <x:c r="C739" s="9" t="n">
        <x:v>251</x:v>
      </x:c>
      <x:c r="D739" s="9" t="n">
        <x:v>2</x:v>
      </x:c>
      <x:c r="E739" s="9" t="n">
        <x:v>119470.0000000149</x:v>
      </x:c>
      <x:c r="F739" s="9" t="n">
        <x:v>36057</x:v>
      </x:c>
      <x:c r="G739" s="9" t="n">
        <x:v>43560.0000000149</x:v>
      </x:c>
      <x:c r="H739" s="9" t="n">
        <x:v>35629.9999999851</x:v>
      </x:c>
      <x:c r="I739" s="9" t="n">
        <x:v>4117</x:v>
      </x:c>
      <x:c r="J739" s="9" t="n">
        <x:v>106.00000001490116</x:v>
      </x:c>
      <x:c r="K739" s="9" t="n">
        <x:f>F739+G739+I739+J739</x:f>
        <x:v>83840.0000000298</x:v>
      </x:c>
      <x:c r="L739" s="10" t="n">
        <x:f>K739/Sources!$B$4*1000</x:f>
        <x:v>23.42197122819515</x:v>
      </x:c>
      <x:c r="M739" s="10" t="n">
        <x:f>E739/Sources!$B$4*1000</x:f>
        <x:v>33.3757502699407</x:v>
      </x:c>
      <x:c r="N739" s="9" t="n">
        <x:f>Sources!$B$6-K739</x:f>
        <x:v>-24104.000000029802</x:v>
      </x:c>
      <x:c r="O739" s="1" t="str">
        <x:v>keyboard_route</x:v>
      </x:c>
      <x:c r="P739" s="12" t="n">
        <x:v>0</x:v>
      </x:c>
      <x:c r="Q739" s="12" t="n">
        <x:v>4</x:v>
      </x:c>
      <x:c r="R739" s="12" t="n">
        <x:v>4</x:v>
      </x:c>
      <x:c r="S739" s="12" t="n">
        <x:v>3</x:v>
      </x:c>
      <x:c r="T739" s="1" t="str">
        <x:v>Yes</x:v>
      </x:c>
      <x:c r="U739" s="1" t="n">
        <x:v>0</x:v>
      </x:c>
    </x:row>
    <x:row r="740" ht="23" customHeight="1">
      <x:c r="A740" s="9" t="n">
        <x:v>858</x:v>
      </x:c>
      <x:c r="B740" s="9" t="n">
        <x:v>220</x:v>
      </x:c>
      <x:c r="C740" s="9" t="n">
        <x:v>255</x:v>
      </x:c>
      <x:c r="D740" s="9" t="n">
        <x:v>2</x:v>
      </x:c>
      <x:c r="E740" s="9" t="n">
        <x:v>119474.9999999851</x:v>
      </x:c>
      <x:c r="F740" s="9" t="n">
        <x:v>38126.9999999851</x:v>
      </x:c>
      <x:c r="G740" s="9" t="n">
        <x:v>25900</x:v>
      </x:c>
      <x:c r="H740" s="9" t="n">
        <x:v>51225</x:v>
      </x:c>
      <x:c r="I740" s="9" t="n">
        <x:v>4117</x:v>
      </x:c>
      <x:c r="J740" s="9" t="n">
        <x:v>106</x:v>
      </x:c>
      <x:c r="K740" s="9" t="n">
        <x:f>F740+G740+I740+J740</x:f>
        <x:v>68249.9999999851</x:v>
      </x:c>
      <x:c r="L740" s="10" t="n">
        <x:f>K740/Sources!$B$4*1000</x:f>
        <x:v>19.066669087826835</x:v>
      </x:c>
      <x:c r="M740" s="10" t="n">
        <x:f>E740/Sources!$B$4*1000</x:f>
        <x:v>33.37714709550658</x:v>
      </x:c>
      <x:c r="N740" s="9" t="n">
        <x:f>Sources!$B$6-K740</x:f>
        <x:v>-8513.999999985099</x:v>
      </x:c>
      <x:c r="O740" s="1" t="str">
        <x:v>keyboard_route</x:v>
      </x:c>
      <x:c r="P740" s="12" t="n">
        <x:v>0</x:v>
      </x:c>
      <x:c r="Q740" s="12" t="n">
        <x:v>4</x:v>
      </x:c>
      <x:c r="R740" s="12" t="n">
        <x:v>4</x:v>
      </x:c>
      <x:c r="S740" s="12" t="n">
        <x:v>7</x:v>
      </x:c>
      <x:c r="T740" s="1" t="str">
        <x:v>No</x:v>
      </x:c>
      <x:c r="U740" s="1" t="n">
        <x:v>0</x:v>
      </x:c>
    </x:row>
    <x:row r="741" ht="23" customHeight="1">
      <x:c r="A741" s="9" t="n">
        <x:v>859</x:v>
      </x:c>
      <x:c r="B741" s="9" t="n">
        <x:v>220</x:v>
      </x:c>
      <x:c r="C741" s="9" t="n">
        <x:v>259</x:v>
      </x:c>
      <x:c r="D741" s="9" t="n">
        <x:v>2</x:v>
      </x:c>
      <x:c r="E741" s="9" t="n">
        <x:v>119472</x:v>
      </x:c>
      <x:c r="F741" s="9" t="n">
        <x:v>36755</x:v>
      </x:c>
      <x:c r="G741" s="9" t="n">
        <x:v>43534</x:v>
      </x:c>
      <x:c r="H741" s="9" t="n">
        <x:v>34960</x:v>
      </x:c>
      <x:c r="I741" s="9" t="n">
        <x:v>4117.000000014901</x:v>
      </x:c>
      <x:c r="J741" s="9" t="n">
        <x:v>105.99999998509884</x:v>
      </x:c>
      <x:c r="K741" s="9" t="n">
        <x:f>F741+G741+I741+J741</x:f>
        <x:v>84512</x:v>
      </x:c>
      <x:c r="L741" s="10" t="n">
        <x:f>K741/Sources!$B$4*1000</x:f>
        <x:v>23.60970458535931</x:v>
      </x:c>
      <x:c r="M741" s="10" t="n">
        <x:f>E741/Sources!$B$4*1000</x:f>
        <x:v>33.37630900016622</x:v>
      </x:c>
      <x:c r="N741" s="9" t="n">
        <x:f>Sources!$B$6-K741</x:f>
        <x:v>-24776</x:v>
      </x:c>
      <x:c r="O741" s="1" t="str">
        <x:v>keyboard_route</x:v>
      </x:c>
      <x:c r="P741" s="12" t="n">
        <x:v>0</x:v>
      </x:c>
      <x:c r="Q741" s="12" t="n">
        <x:v>4</x:v>
      </x:c>
      <x:c r="R741" s="12" t="n">
        <x:v>4</x:v>
      </x:c>
      <x:c r="S741" s="12" t="n">
        <x:v>3</x:v>
      </x:c>
      <x:c r="T741" s="1" t="str">
        <x:v>Yes</x:v>
      </x:c>
      <x:c r="U741" s="1" t="n">
        <x:v>0</x:v>
      </x:c>
    </x:row>
    <x:row r="742" ht="23" customHeight="1">
      <x:c r="A742" s="9" t="n">
        <x:v>860</x:v>
      </x:c>
      <x:c r="B742" s="9" t="n">
        <x:v>220</x:v>
      </x:c>
      <x:c r="C742" s="9" t="n">
        <x:v>263</x:v>
      </x:c>
      <x:c r="D742" s="9" t="n">
        <x:v>2</x:v>
      </x:c>
      <x:c r="E742" s="9" t="n">
        <x:v>119471</x:v>
      </x:c>
      <x:c r="F742" s="9" t="n">
        <x:v>38213</x:v>
      </x:c>
      <x:c r="G742" s="9" t="n">
        <x:v>25900</x:v>
      </x:c>
      <x:c r="H742" s="9" t="n">
        <x:v>51135.0000000149</x:v>
      </x:c>
      <x:c r="I742" s="9" t="n">
        <x:v>4117.000000014901</x:v>
      </x:c>
      <x:c r="J742" s="9" t="n">
        <x:v>105.99999997019768</x:v>
      </x:c>
      <x:c r="K742" s="9" t="n">
        <x:f>F742+G742+I742+J742</x:f>
        <x:v>68335.9999999851</x:v>
      </x:c>
      <x:c r="L742" s="10" t="n">
        <x:f>K742/Sources!$B$4*1000</x:f>
        <x:v>19.090694487703075</x:v>
      </x:c>
      <x:c r="M742" s="10" t="n">
        <x:f>E742/Sources!$B$4*1000</x:f>
        <x:v>33.37602963505138</x:v>
      </x:c>
      <x:c r="N742" s="9" t="n">
        <x:f>Sources!$B$6-K742</x:f>
        <x:v>-8599.999999985099</x:v>
      </x:c>
      <x:c r="O742" s="1" t="str">
        <x:v>keyboard_route</x:v>
      </x:c>
      <x:c r="P742" s="12" t="n">
        <x:v>0</x:v>
      </x:c>
      <x:c r="Q742" s="12" t="n">
        <x:v>4</x:v>
      </x:c>
      <x:c r="R742" s="12" t="n">
        <x:v>4</x:v>
      </x:c>
      <x:c r="S742" s="12" t="n">
        <x:v>7</x:v>
      </x:c>
      <x:c r="T742" s="1" t="str">
        <x:v>No</x:v>
      </x:c>
      <x:c r="U742" s="1" t="n">
        <x:v>0</x:v>
      </x:c>
    </x:row>
    <x:row r="743" ht="23" customHeight="1">
      <x:c r="A743" s="9" t="n">
        <x:v>861</x:v>
      </x:c>
      <x:c r="B743" s="9" t="n">
        <x:v>220</x:v>
      </x:c>
      <x:c r="C743" s="9" t="n">
        <x:v>267</x:v>
      </x:c>
      <x:c r="D743" s="9" t="n">
        <x:v>2</x:v>
      </x:c>
      <x:c r="E743" s="9" t="n">
        <x:v>119474</x:v>
      </x:c>
      <x:c r="F743" s="9" t="n">
        <x:v>37547</x:v>
      </x:c>
      <x:c r="G743" s="9" t="n">
        <x:v>43534</x:v>
      </x:c>
      <x:c r="H743" s="9" t="n">
        <x:v>34170</x:v>
      </x:c>
      <x:c r="I743" s="9" t="n">
        <x:v>4117.000000014901</x:v>
      </x:c>
      <x:c r="J743" s="9" t="n">
        <x:v>105.99999998509884</x:v>
      </x:c>
      <x:c r="K743" s="9" t="n">
        <x:f>F743+G743+I743+J743</x:f>
        <x:v>85304</x:v>
      </x:c>
      <x:c r="L743" s="10" t="n">
        <x:f>K743/Sources!$B$4*1000</x:f>
        <x:v>23.830961756312604</x:v>
      </x:c>
      <x:c r="M743" s="10" t="n">
        <x:f>E743/Sources!$B$4*1000</x:f>
        <x:v>33.3768677303959</x:v>
      </x:c>
      <x:c r="N743" s="9" t="n">
        <x:f>Sources!$B$6-K743</x:f>
        <x:v>-25568</x:v>
      </x:c>
      <x:c r="O743" s="1" t="str">
        <x:v>keyboard_route</x:v>
      </x:c>
      <x:c r="P743" s="12" t="n">
        <x:v>0</x:v>
      </x:c>
      <x:c r="Q743" s="12" t="n">
        <x:v>4</x:v>
      </x:c>
      <x:c r="R743" s="12" t="n">
        <x:v>4</x:v>
      </x:c>
      <x:c r="S743" s="12" t="n">
        <x:v>3</x:v>
      </x:c>
      <x:c r="T743" s="1" t="str">
        <x:v>Yes</x:v>
      </x:c>
      <x:c r="U743" s="1" t="n">
        <x:v>0</x:v>
      </x:c>
    </x:row>
    <x:row r="744" ht="23" customHeight="1">
      <x:c r="A744" s="9" t="n">
        <x:v>862</x:v>
      </x:c>
      <x:c r="B744" s="9" t="n">
        <x:v>220</x:v>
      </x:c>
      <x:c r="C744" s="9" t="n">
        <x:v>271</x:v>
      </x:c>
      <x:c r="D744" s="9" t="n">
        <x:v>2</x:v>
      </x:c>
      <x:c r="E744" s="9" t="n">
        <x:v>119471</x:v>
      </x:c>
      <x:c r="F744" s="9" t="n">
        <x:v>39728</x:v>
      </x:c>
      <x:c r="G744" s="9" t="n">
        <x:v>25900</x:v>
      </x:c>
      <x:c r="H744" s="9" t="n">
        <x:v>49620.0000000149</x:v>
      </x:c>
      <x:c r="I744" s="9" t="n">
        <x:v>4117.000000014901</x:v>
      </x:c>
      <x:c r="J744" s="9" t="n">
        <x:v>105.99999997019768</x:v>
      </x:c>
      <x:c r="K744" s="9" t="n">
        <x:f>F744+G744+I744+J744</x:f>
        <x:v>69850.9999999851</x:v>
      </x:c>
      <x:c r="L744" s="10" t="n">
        <x:f>K744/Sources!$B$4*1000</x:f>
        <x:v>19.513932636685695</x:v>
      </x:c>
      <x:c r="M744" s="10" t="n">
        <x:f>E744/Sources!$B$4*1000</x:f>
        <x:v>33.37602963505138</x:v>
      </x:c>
      <x:c r="N744" s="9" t="n">
        <x:f>Sources!$B$6-K744</x:f>
        <x:v>-10114.999999985099</x:v>
      </x:c>
      <x:c r="O744" s="1" t="str">
        <x:v>keyboard_route</x:v>
      </x:c>
      <x:c r="P744" s="12" t="n">
        <x:v>0</x:v>
      </x:c>
      <x:c r="Q744" s="12" t="n">
        <x:v>4</x:v>
      </x:c>
      <x:c r="R744" s="12" t="n">
        <x:v>4</x:v>
      </x:c>
      <x:c r="S744" s="12" t="n">
        <x:v>7</x:v>
      </x:c>
      <x:c r="T744" s="1" t="str">
        <x:v>No</x:v>
      </x:c>
      <x:c r="U744" s="1" t="n">
        <x:v>0</x:v>
      </x:c>
    </x:row>
    <x:row r="745" ht="23" customHeight="1">
      <x:c r="A745" s="9" t="n">
        <x:v>863</x:v>
      </x:c>
      <x:c r="B745" s="9" t="n">
        <x:v>220</x:v>
      </x:c>
      <x:c r="C745" s="9" t="n">
        <x:v>275</x:v>
      </x:c>
      <x:c r="D745" s="9" t="n">
        <x:v>2</x:v>
      </x:c>
      <x:c r="E745" s="9" t="n">
        <x:v>119470.0000000149</x:v>
      </x:c>
      <x:c r="F745" s="9" t="n">
        <x:v>39173</x:v>
      </x:c>
      <x:c r="G745" s="9" t="n">
        <x:v>43533.9999999851</x:v>
      </x:c>
      <x:c r="H745" s="9" t="n">
        <x:v>32540</x:v>
      </x:c>
      <x:c r="I745" s="9" t="n">
        <x:v>4117.000000014901</x:v>
      </x:c>
      <x:c r="J745" s="9" t="n">
        <x:v>106.00000001490116</x:v>
      </x:c>
      <x:c r="K745" s="9" t="n">
        <x:f>F745+G745+I745+J745</x:f>
        <x:v>86930.0000000149</x:v>
      </x:c>
      <x:c r="L745" s="10" t="n">
        <x:f>K745/Sources!$B$4*1000</x:f>
        <x:v>24.28520943304663</x:v>
      </x:c>
      <x:c r="M745" s="10" t="n">
        <x:f>E745/Sources!$B$4*1000</x:f>
        <x:v>33.3757502699407</x:v>
      </x:c>
      <x:c r="N745" s="9" t="n">
        <x:f>Sources!$B$6-K745</x:f>
        <x:v>-27194.0000000149</x:v>
      </x:c>
      <x:c r="O745" s="1" t="str">
        <x:v>keyboard_route</x:v>
      </x:c>
      <x:c r="P745" s="12" t="n">
        <x:v>0</x:v>
      </x:c>
      <x:c r="Q745" s="12" t="n">
        <x:v>4</x:v>
      </x:c>
      <x:c r="R745" s="12" t="n">
        <x:v>4</x:v>
      </x:c>
      <x:c r="S745" s="12" t="n">
        <x:v>3</x:v>
      </x:c>
      <x:c r="T745" s="1" t="str">
        <x:v>Yes</x:v>
      </x:c>
      <x:c r="U745" s="1" t="n">
        <x:v>0</x:v>
      </x:c>
    </x:row>
    <x:row r="746" ht="23" customHeight="1">
      <x:c r="A746" s="9" t="n">
        <x:v>864</x:v>
      </x:c>
      <x:c r="B746" s="9" t="n">
        <x:v>220</x:v>
      </x:c>
      <x:c r="C746" s="9" t="n">
        <x:v>279</x:v>
      </x:c>
      <x:c r="D746" s="9" t="n">
        <x:v>2</x:v>
      </x:c>
      <x:c r="E746" s="9" t="n">
        <x:v>119471</x:v>
      </x:c>
      <x:c r="F746" s="9" t="n">
        <x:v>36553</x:v>
      </x:c>
      <x:c r="G746" s="9" t="n">
        <x:v>25900</x:v>
      </x:c>
      <x:c r="H746" s="9" t="n">
        <x:v>52794.9999999851</x:v>
      </x:c>
      <x:c r="I746" s="9" t="n">
        <x:v>4117.000000014901</x:v>
      </x:c>
      <x:c r="J746" s="9" t="n">
        <x:v>106</x:v>
      </x:c>
      <x:c r="K746" s="9" t="n">
        <x:f>F746+G746+I746+J746</x:f>
        <x:v>66676.0000000149</x:v>
      </x:c>
      <x:c r="L746" s="10" t="n">
        <x:f>K746/Sources!$B$4*1000</x:f>
        <x:v>18.626948397076976</x:v>
      </x:c>
      <x:c r="M746" s="10" t="n">
        <x:f>E746/Sources!$B$4*1000</x:f>
        <x:v>33.37602963505138</x:v>
      </x:c>
      <x:c r="N746" s="9" t="n">
        <x:f>Sources!$B$6-K746</x:f>
        <x:v>-6940.000000014901</x:v>
      </x:c>
      <x:c r="O746" s="1" t="str">
        <x:v>keyboard_route</x:v>
      </x:c>
      <x:c r="P746" s="12" t="n">
        <x:v>0</x:v>
      </x:c>
      <x:c r="Q746" s="12" t="n">
        <x:v>4</x:v>
      </x:c>
      <x:c r="R746" s="12" t="n">
        <x:v>4</x:v>
      </x:c>
      <x:c r="S746" s="12" t="n">
        <x:v>7</x:v>
      </x:c>
      <x:c r="T746" s="1" t="str">
        <x:v>No</x:v>
      </x:c>
      <x:c r="U746" s="1" t="n">
        <x:v>0</x:v>
      </x:c>
    </x:row>
    <x:row r="747" ht="23" customHeight="1">
      <x:c r="A747" s="9" t="n">
        <x:v>865</x:v>
      </x:c>
      <x:c r="B747" s="9" t="n">
        <x:v>220</x:v>
      </x:c>
      <x:c r="C747" s="9" t="n">
        <x:v>283</x:v>
      </x:c>
      <x:c r="D747" s="9" t="n">
        <x:v>2</x:v>
      </x:c>
      <x:c r="E747" s="9" t="n">
        <x:v>119472.9999999851</x:v>
      </x:c>
      <x:c r="F747" s="9" t="n">
        <x:v>36790.9999999851</x:v>
      </x:c>
      <x:c r="G747" s="9" t="n">
        <x:v>43534</x:v>
      </x:c>
      <x:c r="H747" s="9" t="n">
        <x:v>34925</x:v>
      </x:c>
      <x:c r="I747" s="9" t="n">
        <x:v>4117.000000014901</x:v>
      </x:c>
      <x:c r="J747" s="9" t="n">
        <x:v>105.99999998509884</x:v>
      </x:c>
      <x:c r="K747" s="9" t="n">
        <x:f>F747+G747+I747+J747</x:f>
        <x:v>84547.9999999851</x:v>
      </x:c>
      <x:c r="L747" s="10" t="n">
        <x:f>K747/Sources!$B$4*1000</x:f>
        <x:v>23.61976172948939</x:v>
      </x:c>
      <x:c r="M747" s="10" t="n">
        <x:f>E747/Sources!$B$4*1000</x:f>
        <x:v>33.376588365276895</x:v>
      </x:c>
      <x:c r="N747" s="9" t="n">
        <x:f>Sources!$B$6-K747</x:f>
        <x:v>-24811.9999999851</x:v>
      </x:c>
      <x:c r="O747" s="1" t="str">
        <x:v>keyboard_route</x:v>
      </x:c>
      <x:c r="P747" s="12" t="n">
        <x:v>0</x:v>
      </x:c>
      <x:c r="Q747" s="12" t="n">
        <x:v>4</x:v>
      </x:c>
      <x:c r="R747" s="12" t="n">
        <x:v>4</x:v>
      </x:c>
      <x:c r="S747" s="12" t="n">
        <x:v>3</x:v>
      </x:c>
      <x:c r="T747" s="1" t="str">
        <x:v>Yes</x:v>
      </x:c>
      <x:c r="U747" s="1" t="n">
        <x:v>0</x:v>
      </x:c>
    </x:row>
    <x:row r="748" ht="23" customHeight="1">
      <x:c r="A748" s="9" t="n">
        <x:v>866</x:v>
      </x:c>
      <x:c r="B748" s="9" t="n">
        <x:v>220</x:v>
      </x:c>
      <x:c r="C748" s="9" t="n">
        <x:v>287</x:v>
      </x:c>
      <x:c r="D748" s="9" t="n">
        <x:v>2</x:v>
      </x:c>
      <x:c r="E748" s="9" t="n">
        <x:v>119471</x:v>
      </x:c>
      <x:c r="F748" s="9" t="n">
        <x:v>36572.9999999851</x:v>
      </x:c>
      <x:c r="G748" s="9" t="n">
        <x:v>25900</x:v>
      </x:c>
      <x:c r="H748" s="9" t="n">
        <x:v>52775</x:v>
      </x:c>
      <x:c r="I748" s="9" t="n">
        <x:v>4117</x:v>
      </x:c>
      <x:c r="J748" s="9" t="n">
        <x:v>106.00000001490116</x:v>
      </x:c>
      <x:c r="K748" s="9" t="n">
        <x:f>F748+G748+I748+J748</x:f>
        <x:v>66696</x:v>
      </x:c>
      <x:c r="L748" s="10" t="n">
        <x:f>K748/Sources!$B$4*1000</x:f>
        <x:v>18.632535699369612</x:v>
      </x:c>
      <x:c r="M748" s="10" t="n">
        <x:f>E748/Sources!$B$4*1000</x:f>
        <x:v>33.37602963505138</x:v>
      </x:c>
      <x:c r="N748" s="9" t="n">
        <x:f>Sources!$B$6-K748</x:f>
        <x:v>-6960</x:v>
      </x:c>
      <x:c r="O748" s="1" t="str">
        <x:v>keyboard_route</x:v>
      </x:c>
      <x:c r="P748" s="12" t="n">
        <x:v>0</x:v>
      </x:c>
      <x:c r="Q748" s="12" t="n">
        <x:v>4</x:v>
      </x:c>
      <x:c r="R748" s="12" t="n">
        <x:v>4</x:v>
      </x:c>
      <x:c r="S748" s="12" t="n">
        <x:v>7</x:v>
      </x:c>
      <x:c r="T748" s="1" t="str">
        <x:v>No</x:v>
      </x:c>
      <x:c r="U748" s="1" t="n">
        <x:v>0</x:v>
      </x:c>
    </x:row>
    <x:row r="749" ht="23" customHeight="1">
      <x:c r="A749" s="9" t="n">
        <x:v>867</x:v>
      </x:c>
      <x:c r="B749" s="9" t="n">
        <x:v>220</x:v>
      </x:c>
      <x:c r="C749" s="9" t="n">
        <x:v>291</x:v>
      </x:c>
      <x:c r="D749" s="9" t="n">
        <x:v>2</x:v>
      </x:c>
      <x:c r="E749" s="9" t="n">
        <x:v>119472.0000000149</x:v>
      </x:c>
      <x:c r="F749" s="9" t="n">
        <x:v>37272.0000000149</x:v>
      </x:c>
      <x:c r="G749" s="9" t="n">
        <x:v>42697.0000000149</x:v>
      </x:c>
      <x:c r="H749" s="9" t="n">
        <x:v>35280</x:v>
      </x:c>
      <x:c r="I749" s="9" t="n">
        <x:v>4117.000000014901</x:v>
      </x:c>
      <x:c r="J749" s="9" t="n">
        <x:v>105.99999997019768</x:v>
      </x:c>
      <x:c r="K749" s="9" t="n">
        <x:f>F749+G749+I749+J749</x:f>
        <x:v>84192.0000000149</x:v>
      </x:c>
      <x:c r="L749" s="10" t="n">
        <x:f>K749/Sources!$B$4*1000</x:f>
        <x:v>23.52030774861467</x:v>
      </x:c>
      <x:c r="M749" s="10" t="n">
        <x:f>E749/Sources!$B$4*1000</x:f>
        <x:v>33.37630900017039</x:v>
      </x:c>
      <x:c r="N749" s="9" t="n">
        <x:f>Sources!$B$6-K749</x:f>
        <x:v>-24456.0000000149</x:v>
      </x:c>
      <x:c r="O749" s="1" t="str">
        <x:v>keyboard_route</x:v>
      </x:c>
      <x:c r="P749" s="12" t="n">
        <x:v>0</x:v>
      </x:c>
      <x:c r="Q749" s="12" t="n">
        <x:v>4</x:v>
      </x:c>
      <x:c r="R749" s="12" t="n">
        <x:v>4</x:v>
      </x:c>
      <x:c r="S749" s="12" t="n">
        <x:v>3</x:v>
      </x:c>
      <x:c r="T749" s="1" t="str">
        <x:v>Yes</x:v>
      </x:c>
      <x:c r="U749" s="1" t="n">
        <x:v>0</x:v>
      </x:c>
    </x:row>
    <x:row r="750" ht="23" customHeight="1">
      <x:c r="A750" s="9" t="n">
        <x:v>868</x:v>
      </x:c>
      <x:c r="B750" s="9" t="n">
        <x:v>220</x:v>
      </x:c>
      <x:c r="C750" s="9" t="n">
        <x:v>295</x:v>
      </x:c>
      <x:c r="D750" s="9" t="n">
        <x:v>2</x:v>
      </x:c>
      <x:c r="E750" s="9" t="n">
        <x:v>119475</x:v>
      </x:c>
      <x:c r="F750" s="9" t="n">
        <x:v>36091.9999999851</x:v>
      </x:c>
      <x:c r="G750" s="9" t="n">
        <x:v>25900</x:v>
      </x:c>
      <x:c r="H750" s="9" t="n">
        <x:v>53260</x:v>
      </x:c>
      <x:c r="I750" s="9" t="n">
        <x:v>4116.999999985099</x:v>
      </x:c>
      <x:c r="J750" s="9" t="n">
        <x:v>106.00000002980232</x:v>
      </x:c>
      <x:c r="K750" s="9" t="n">
        <x:f>F750+G750+I750+J750</x:f>
        <x:v>66215</x:v>
      </x:c>
      <x:c r="L750" s="10" t="n">
        <x:f>K750/Sources!$B$4*1000</x:f>
        <x:v>18.498161079131567</x:v>
      </x:c>
      <x:c r="M750" s="10" t="n">
        <x:f>E750/Sources!$B$4*1000</x:f>
        <x:v>33.37714709551074</x:v>
      </x:c>
      <x:c r="N750" s="9" t="n">
        <x:f>Sources!$B$6-K750</x:f>
        <x:v>-6479</x:v>
      </x:c>
      <x:c r="O750" s="1" t="str">
        <x:v>keyboard_route</x:v>
      </x:c>
      <x:c r="P750" s="12" t="n">
        <x:v>0</x:v>
      </x:c>
      <x:c r="Q750" s="12" t="n">
        <x:v>4</x:v>
      </x:c>
      <x:c r="R750" s="12" t="n">
        <x:v>4</x:v>
      </x:c>
      <x:c r="S750" s="12" t="n">
        <x:v>7</x:v>
      </x:c>
      <x:c r="T750" s="1" t="str">
        <x:v>No</x:v>
      </x:c>
      <x:c r="U750" s="1" t="n">
        <x:v>0</x:v>
      </x:c>
    </x:row>
    <x:row r="751" ht="23" customHeight="1">
      <x:c r="A751" s="9" t="n">
        <x:v>869</x:v>
      </x:c>
      <x:c r="B751" s="9" t="n">
        <x:v>220</x:v>
      </x:c>
      <x:c r="C751" s="9" t="n">
        <x:v>299</x:v>
      </x:c>
      <x:c r="D751" s="9" t="n">
        <x:v>2</x:v>
      </x:c>
      <x:c r="E751" s="9" t="n">
        <x:v>119473</x:v>
      </x:c>
      <x:c r="F751" s="9" t="n">
        <x:v>34898</x:v>
      </x:c>
      <x:c r="G751" s="9" t="n">
        <x:v>42697</x:v>
      </x:c>
      <x:c r="H751" s="9" t="n">
        <x:v>37655</x:v>
      </x:c>
      <x:c r="I751" s="9" t="n">
        <x:v>4117.000000014901</x:v>
      </x:c>
      <x:c r="J751" s="9" t="n">
        <x:v>105.99999998509884</x:v>
      </x:c>
      <x:c r="K751" s="9" t="n">
        <x:f>F751+G751+I751+J751</x:f>
        <x:v>81818</x:v>
      </x:c>
      <x:c r="L751" s="10" t="n">
        <x:f>K751/Sources!$B$4*1000</x:f>
        <x:v>22.857094965980316</x:v>
      </x:c>
      <x:c r="M751" s="10" t="n">
        <x:f>E751/Sources!$B$4*1000</x:f>
        <x:v>33.37658836528106</x:v>
      </x:c>
      <x:c r="N751" s="9" t="n">
        <x:f>Sources!$B$6-K751</x:f>
        <x:v>-22082</x:v>
      </x:c>
      <x:c r="O751" s="1" t="str">
        <x:v>keyboard_route</x:v>
      </x:c>
      <x:c r="P751" s="12" t="n">
        <x:v>0</x:v>
      </x:c>
      <x:c r="Q751" s="12" t="n">
        <x:v>4</x:v>
      </x:c>
      <x:c r="R751" s="12" t="n">
        <x:v>4</x:v>
      </x:c>
      <x:c r="S751" s="12" t="n">
        <x:v>3</x:v>
      </x:c>
      <x:c r="T751" s="1" t="str">
        <x:v>Yes</x:v>
      </x:c>
      <x:c r="U751" s="1" t="n">
        <x:v>0</x:v>
      </x:c>
    </x:row>
    <x:row r="752" ht="23" customHeight="1">
      <x:c r="A752" s="9" t="n">
        <x:v>870</x:v>
      </x:c>
      <x:c r="B752" s="9" t="n">
        <x:v>220</x:v>
      </x:c>
      <x:c r="C752" s="9" t="n">
        <x:v>303</x:v>
      </x:c>
      <x:c r="D752" s="9" t="n">
        <x:v>2</x:v>
      </x:c>
      <x:c r="E752" s="9" t="n">
        <x:v>119471</x:v>
      </x:c>
      <x:c r="F752" s="9" t="n">
        <x:v>34419.9999999851</x:v>
      </x:c>
      <x:c r="G752" s="9" t="n">
        <x:v>26763</x:v>
      </x:c>
      <x:c r="H752" s="9" t="n">
        <x:v>54064.9999999851</x:v>
      </x:c>
      <x:c r="I752" s="9" t="n">
        <x:v>4117.000000014901</x:v>
      </x:c>
      <x:c r="J752" s="9" t="n">
        <x:v>106.00000001490116</x:v>
      </x:c>
      <x:c r="K752" s="9" t="n">
        <x:f>F752+G752+I752+J752</x:f>
        <x:v>65406.0000000149</x:v>
      </x:c>
      <x:c r="L752" s="10" t="n">
        <x:f>K752/Sources!$B$4*1000</x:f>
        <x:v>18.272154701230157</x:v>
      </x:c>
      <x:c r="M752" s="10" t="n">
        <x:f>E752/Sources!$B$4*1000</x:f>
        <x:v>33.37602963505138</x:v>
      </x:c>
      <x:c r="N752" s="9" t="n">
        <x:f>Sources!$B$6-K752</x:f>
        <x:v>-5670.000000014901</x:v>
      </x:c>
      <x:c r="O752" s="1" t="str">
        <x:v>keyboard_route</x:v>
      </x:c>
      <x:c r="P752" s="12" t="n">
        <x:v>0</x:v>
      </x:c>
      <x:c r="Q752" s="12" t="n">
        <x:v>4</x:v>
      </x:c>
      <x:c r="R752" s="12" t="n">
        <x:v>4</x:v>
      </x:c>
      <x:c r="S752" s="12" t="n">
        <x:v>7</x:v>
      </x:c>
      <x:c r="T752" s="1" t="str">
        <x:v>No</x:v>
      </x:c>
      <x:c r="U752" s="1" t="n">
        <x:v>0</x:v>
      </x:c>
    </x:row>
    <x:row r="753" ht="23" customHeight="1">
      <x:c r="A753" s="9" t="n">
        <x:v>871</x:v>
      </x:c>
      <x:c r="B753" s="9" t="n">
        <x:v>220</x:v>
      </x:c>
      <x:c r="C753" s="9" t="n">
        <x:v>307</x:v>
      </x:c>
      <x:c r="D753" s="9" t="n">
        <x:v>2</x:v>
      </x:c>
      <x:c r="E753" s="9" t="n">
        <x:v>119470.9999999851</x:v>
      </x:c>
      <x:c r="F753" s="9" t="n">
        <x:v>34055.9999999851</x:v>
      </x:c>
      <x:c r="G753" s="9" t="n">
        <x:v>42697.0000000149</x:v>
      </x:c>
      <x:c r="H753" s="9" t="n">
        <x:v>38495.0000000149</x:v>
      </x:c>
      <x:c r="I753" s="9" t="n">
        <x:v>4117.000000014901</x:v>
      </x:c>
      <x:c r="J753" s="9" t="n">
        <x:v>105.99999995529652</x:v>
      </x:c>
      <x:c r="K753" s="9" t="n">
        <x:f>F753+G753+I753+J753</x:f>
        <x:v>80975.9999999702</x:v>
      </x:c>
      <x:c r="L753" s="10" t="n">
        <x:f>K753/Sources!$B$4*1000</x:f>
        <x:v>22.621869539276695</x:v>
      </x:c>
      <x:c r="M753" s="10" t="n">
        <x:f>E753/Sources!$B$4*1000</x:f>
        <x:v>33.37602963504722</x:v>
      </x:c>
      <x:c r="N753" s="9" t="n">
        <x:f>Sources!$B$6-K753</x:f>
        <x:v>-21239.999999970198</x:v>
      </x:c>
      <x:c r="O753" s="1" t="str">
        <x:v>keyboard_route</x:v>
      </x:c>
      <x:c r="P753" s="12" t="n">
        <x:v>0</x:v>
      </x:c>
      <x:c r="Q753" s="12" t="n">
        <x:v>4</x:v>
      </x:c>
      <x:c r="R753" s="12" t="n">
        <x:v>4</x:v>
      </x:c>
      <x:c r="S753" s="12" t="n">
        <x:v>3</x:v>
      </x:c>
      <x:c r="T753" s="1" t="str">
        <x:v>Yes</x:v>
      </x:c>
      <x:c r="U753" s="1" t="n">
        <x:v>0</x:v>
      </x:c>
    </x:row>
    <x:row r="754" ht="23" customHeight="1">
      <x:c r="A754" s="9" t="n">
        <x:v>872</x:v>
      </x:c>
      <x:c r="B754" s="9" t="n">
        <x:v>220</x:v>
      </x:c>
      <x:c r="C754" s="9" t="n">
        <x:v>311</x:v>
      </x:c>
      <x:c r="D754" s="9" t="n">
        <x:v>2</x:v>
      </x:c>
      <x:c r="E754" s="9" t="n">
        <x:v>119471</x:v>
      </x:c>
      <x:c r="F754" s="9" t="n">
        <x:v>36049.9999999851</x:v>
      </x:c>
      <x:c r="G754" s="9" t="n">
        <x:v>26763</x:v>
      </x:c>
      <x:c r="H754" s="9" t="n">
        <x:v>52435</x:v>
      </x:c>
      <x:c r="I754" s="9" t="n">
        <x:v>4117.000000014901</x:v>
      </x:c>
      <x:c r="J754" s="9" t="n">
        <x:v>106</x:v>
      </x:c>
      <x:c r="K754" s="9" t="n">
        <x:f>F754+G754+I754+J754</x:f>
        <x:v>67036</x:v>
      </x:c>
      <x:c r="L754" s="10" t="n">
        <x:f>K754/Sources!$B$4*1000</x:f>
        <x:v>18.727519838415216</x:v>
      </x:c>
      <x:c r="M754" s="10" t="n">
        <x:f>E754/Sources!$B$4*1000</x:f>
        <x:v>33.37602963505138</x:v>
      </x:c>
      <x:c r="N754" s="9" t="n">
        <x:f>Sources!$B$6-K754</x:f>
        <x:v>-7300</x:v>
      </x:c>
      <x:c r="O754" s="1" t="str">
        <x:v>keyboard_route</x:v>
      </x:c>
      <x:c r="P754" s="12" t="n">
        <x:v>0</x:v>
      </x:c>
      <x:c r="Q754" s="12" t="n">
        <x:v>4</x:v>
      </x:c>
      <x:c r="R754" s="12" t="n">
        <x:v>4</x:v>
      </x:c>
      <x:c r="S754" s="12" t="n">
        <x:v>7</x:v>
      </x:c>
      <x:c r="T754" s="1" t="str">
        <x:v>No</x:v>
      </x:c>
      <x:c r="U754" s="1" t="n">
        <x:v>0</x:v>
      </x:c>
    </x:row>
    <x:row r="755" ht="23" customHeight="1">
      <x:c r="A755" s="9" t="n">
        <x:v>873</x:v>
      </x:c>
      <x:c r="B755" s="9" t="n">
        <x:v>220</x:v>
      </x:c>
      <x:c r="C755" s="9" t="n">
        <x:v>315</x:v>
      </x:c>
      <x:c r="D755" s="9" t="n">
        <x:v>2</x:v>
      </x:c>
      <x:c r="E755" s="9" t="n">
        <x:v>119472.0000000149</x:v>
      </x:c>
      <x:c r="F755" s="9" t="n">
        <x:v>35707</x:v>
      </x:c>
      <x:c r="G755" s="9" t="n">
        <x:v>42697.0000000149</x:v>
      </x:c>
      <x:c r="H755" s="9" t="n">
        <x:v>36844.9999999851</x:v>
      </x:c>
      <x:c r="I755" s="9" t="n">
        <x:v>4117.000000014901</x:v>
      </x:c>
      <x:c r="J755" s="9" t="n">
        <x:v>106</x:v>
      </x:c>
      <x:c r="K755" s="9" t="n">
        <x:f>F755+G755+I755+J755</x:f>
        <x:v>82627.0000000298</x:v>
      </x:c>
      <x:c r="L755" s="10" t="n">
        <x:f>K755/Sources!$B$4*1000</x:f>
        <x:v>23.08310134389421</x:v>
      </x:c>
      <x:c r="M755" s="10" t="n">
        <x:f>E755/Sources!$B$4*1000</x:f>
        <x:v>33.37630900017039</x:v>
      </x:c>
      <x:c r="N755" s="9" t="n">
        <x:f>Sources!$B$6-K755</x:f>
        <x:v>-22891.000000029802</x:v>
      </x:c>
      <x:c r="O755" s="1" t="str">
        <x:v>keyboard_route</x:v>
      </x:c>
      <x:c r="P755" s="12" t="n">
        <x:v>0</x:v>
      </x:c>
      <x:c r="Q755" s="12" t="n">
        <x:v>4</x:v>
      </x:c>
      <x:c r="R755" s="12" t="n">
        <x:v>4</x:v>
      </x:c>
      <x:c r="S755" s="12" t="n">
        <x:v>3</x:v>
      </x:c>
      <x:c r="T755" s="1" t="str">
        <x:v>Yes</x:v>
      </x:c>
      <x:c r="U755" s="1" t="n">
        <x:v>0</x:v>
      </x:c>
    </x:row>
    <x:row r="756" ht="23" customHeight="1">
      <x:c r="A756" s="9" t="n">
        <x:v>874</x:v>
      </x:c>
      <x:c r="B756" s="9" t="n">
        <x:v>220</x:v>
      </x:c>
      <x:c r="C756" s="9" t="n">
        <x:v>319</x:v>
      </x:c>
      <x:c r="D756" s="9" t="n">
        <x:v>2</x:v>
      </x:c>
      <x:c r="E756" s="9" t="n">
        <x:v>119472</x:v>
      </x:c>
      <x:c r="F756" s="9" t="n">
        <x:v>37080.9999999851</x:v>
      </x:c>
      <x:c r="G756" s="9" t="n">
        <x:v>26763</x:v>
      </x:c>
      <x:c r="H756" s="9" t="n">
        <x:v>51404.9999999851</x:v>
      </x:c>
      <x:c r="I756" s="9" t="n">
        <x:v>4116.999999985099</x:v>
      </x:c>
      <x:c r="J756" s="9" t="n">
        <x:v>106.00000004470348</x:v>
      </x:c>
      <x:c r="K756" s="9" t="n">
        <x:f>F756+G756+I756+J756</x:f>
        <x:v>68067.0000000149</x:v>
      </x:c>
      <x:c r="L756" s="10" t="n">
        <x:f>K756/Sources!$B$4*1000</x:f>
        <x:v>19.015545271819438</x:v>
      </x:c>
      <x:c r="M756" s="10" t="n">
        <x:f>E756/Sources!$B$4*1000</x:f>
        <x:v>33.37630900016622</x:v>
      </x:c>
      <x:c r="N756" s="9" t="n">
        <x:f>Sources!$B$6-K756</x:f>
        <x:v>-8331.000000014901</x:v>
      </x:c>
      <x:c r="O756" s="1" t="str">
        <x:v>keyboard_route</x:v>
      </x:c>
      <x:c r="P756" s="12" t="n">
        <x:v>0</x:v>
      </x:c>
      <x:c r="Q756" s="12" t="n">
        <x:v>4</x:v>
      </x:c>
      <x:c r="R756" s="12" t="n">
        <x:v>4</x:v>
      </x:c>
      <x:c r="S756" s="12" t="n">
        <x:v>7</x:v>
      </x:c>
      <x:c r="T756" s="1" t="str">
        <x:v>No</x:v>
      </x:c>
      <x:c r="U756" s="1" t="n">
        <x:v>0</x:v>
      </x:c>
    </x:row>
    <x:row r="757" ht="23" customHeight="1">
      <x:c r="A757" s="9" t="n">
        <x:v>875</x:v>
      </x:c>
      <x:c r="B757" s="9" t="n">
        <x:v>220</x:v>
      </x:c>
      <x:c r="C757" s="9" t="n">
        <x:v>323</x:v>
      </x:c>
      <x:c r="D757" s="9" t="n">
        <x:v>2</x:v>
      </x:c>
      <x:c r="E757" s="9" t="n">
        <x:v>119471.9999999851</x:v>
      </x:c>
      <x:c r="F757" s="9" t="n">
        <x:v>43793.0000000149</x:v>
      </x:c>
      <x:c r="G757" s="9" t="n">
        <x:v>42671</x:v>
      </x:c>
      <x:c r="H757" s="9" t="n">
        <x:v>28785.0000000149</x:v>
      </x:c>
      <x:c r="I757" s="9" t="n">
        <x:v>4116.999999985099</x:v>
      </x:c>
      <x:c r="J757" s="9" t="n">
        <x:v>105.99999997019768</x:v>
      </x:c>
      <x:c r="K757" s="9" t="n">
        <x:f>F757+G757+I757+J757</x:f>
        <x:v>90686.9999999702</x:v>
      </x:c>
      <x:c r="L757" s="10" t="n">
        <x:f>K757/Sources!$B$4*1000</x:f>
        <x:v>25.334784169488074</x:v>
      </x:c>
      <x:c r="M757" s="10" t="n">
        <x:f>E757/Sources!$B$4*1000</x:f>
        <x:v>33.37630900016206</x:v>
      </x:c>
      <x:c r="N757" s="9" t="n">
        <x:f>Sources!$B$6-K757</x:f>
        <x:v>-30950.999999970198</x:v>
      </x:c>
      <x:c r="O757" s="1" t="str">
        <x:v>keyboard_route</x:v>
      </x:c>
      <x:c r="P757" s="12" t="n">
        <x:v>0</x:v>
      </x:c>
      <x:c r="Q757" s="12" t="n">
        <x:v>4</x:v>
      </x:c>
      <x:c r="R757" s="12" t="n">
        <x:v>4</x:v>
      </x:c>
      <x:c r="S757" s="12" t="n">
        <x:v>3</x:v>
      </x:c>
      <x:c r="T757" s="1" t="str">
        <x:v>Yes</x:v>
      </x:c>
      <x:c r="U757" s="1" t="n">
        <x:v>0</x:v>
      </x:c>
    </x:row>
    <x:row r="758" ht="23" customHeight="1">
      <x:c r="A758" s="9" t="n">
        <x:v>876</x:v>
      </x:c>
      <x:c r="B758" s="9" t="n">
        <x:v>220</x:v>
      </x:c>
      <x:c r="C758" s="9" t="n">
        <x:v>327</x:v>
      </x:c>
      <x:c r="D758" s="9" t="n">
        <x:v>2</x:v>
      </x:c>
      <x:c r="E758" s="9" t="n">
        <x:v>119475.0000000149</x:v>
      </x:c>
      <x:c r="F758" s="9" t="n">
        <x:v>47134</x:v>
      </x:c>
      <x:c r="G758" s="9" t="n">
        <x:v>26763</x:v>
      </x:c>
      <x:c r="H758" s="9" t="n">
        <x:v>41354.9999999851</x:v>
      </x:c>
      <x:c r="I758" s="9" t="n">
        <x:v>4117.000000014901</x:v>
      </x:c>
      <x:c r="J758" s="9" t="n">
        <x:v>106.00000001490116</x:v>
      </x:c>
      <x:c r="K758" s="9" t="n">
        <x:f>F758+G758+I758+J758</x:f>
        <x:v>78120.0000000298</x:v>
      </x:c>
      <x:c r="L758" s="10" t="n">
        <x:f>K758/Sources!$B$4*1000</x:f>
        <x:v>21.824002771310266</x:v>
      </x:c>
      <x:c r="M758" s="10" t="n">
        <x:f>E758/Sources!$B$4*1000</x:f>
        <x:v>33.37714709551491</x:v>
      </x:c>
      <x:c r="N758" s="9" t="n">
        <x:f>Sources!$B$6-K758</x:f>
        <x:v>-18384.000000029802</x:v>
      </x:c>
      <x:c r="O758" s="1" t="str">
        <x:v>keyboard_route</x:v>
      </x:c>
      <x:c r="P758" s="12" t="n">
        <x:v>0</x:v>
      </x:c>
      <x:c r="Q758" s="12" t="n">
        <x:v>4</x:v>
      </x:c>
      <x:c r="R758" s="12" t="n">
        <x:v>4</x:v>
      </x:c>
      <x:c r="S758" s="12" t="n">
        <x:v>7</x:v>
      </x:c>
      <x:c r="T758" s="1" t="str">
        <x:v>No</x:v>
      </x:c>
      <x:c r="U758" s="1" t="n">
        <x:v>0</x:v>
      </x:c>
    </x:row>
    <x:row r="759" ht="23" customHeight="1">
      <x:c r="A759" s="9" t="n">
        <x:v>877</x:v>
      </x:c>
      <x:c r="B759" s="9" t="n">
        <x:v>220</x:v>
      </x:c>
      <x:c r="C759" s="9" t="n">
        <x:v>331</x:v>
      </x:c>
      <x:c r="D759" s="9" t="n">
        <x:v>2</x:v>
      </x:c>
      <x:c r="E759" s="9" t="n">
        <x:v>119469</x:v>
      </x:c>
      <x:c r="F759" s="9" t="n">
        <x:v>41020</x:v>
      </x:c>
      <x:c r="G759" s="9" t="n">
        <x:v>42671</x:v>
      </x:c>
      <x:c r="H759" s="9" t="n">
        <x:v>31554.9999999851</x:v>
      </x:c>
      <x:c r="I759" s="9" t="n">
        <x:v>4117</x:v>
      </x:c>
      <x:c r="J759" s="9" t="n">
        <x:v>106.00000001490116</x:v>
      </x:c>
      <x:c r="K759" s="9" t="n">
        <x:f>F759+G759+I759+J759</x:f>
        <x:v>87914.0000000149</x:v>
      </x:c>
      <x:c r="L759" s="10" t="n">
        <x:f>K759/Sources!$B$4*1000</x:f>
        <x:v>24.560104706049206</x:v>
      </x:c>
      <x:c r="M759" s="10" t="n">
        <x:f>E759/Sources!$B$4*1000</x:f>
        <x:v>33.375470904821704</x:v>
      </x:c>
      <x:c r="N759" s="9" t="n">
        <x:f>Sources!$B$6-K759</x:f>
        <x:v>-28178.0000000149</x:v>
      </x:c>
      <x:c r="O759" s="1" t="str">
        <x:v>keyboard_route</x:v>
      </x:c>
      <x:c r="P759" s="12" t="n">
        <x:v>0</x:v>
      </x:c>
      <x:c r="Q759" s="12" t="n">
        <x:v>4</x:v>
      </x:c>
      <x:c r="R759" s="12" t="n">
        <x:v>4</x:v>
      </x:c>
      <x:c r="S759" s="12" t="n">
        <x:v>3</x:v>
      </x:c>
      <x:c r="T759" s="1" t="str">
        <x:v>Yes</x:v>
      </x:c>
      <x:c r="U759" s="1" t="n">
        <x:v>0</x:v>
      </x:c>
    </x:row>
    <x:row r="760" ht="23" customHeight="1">
      <x:c r="A760" s="9" t="n">
        <x:v>878</x:v>
      </x:c>
      <x:c r="B760" s="9" t="n">
        <x:v>220</x:v>
      </x:c>
      <x:c r="C760" s="9" t="n">
        <x:v>335</x:v>
      </x:c>
      <x:c r="D760" s="9" t="n">
        <x:v>2</x:v>
      </x:c>
      <x:c r="E760" s="9" t="n">
        <x:v>119472.9999999851</x:v>
      </x:c>
      <x:c r="F760" s="9" t="n">
        <x:v>41597</x:v>
      </x:c>
      <x:c r="G760" s="9" t="n">
        <x:v>26763</x:v>
      </x:c>
      <x:c r="H760" s="9" t="n">
        <x:v>46890.0000000149</x:v>
      </x:c>
      <x:c r="I760" s="9" t="n">
        <x:v>4117.000000014901</x:v>
      </x:c>
      <x:c r="J760" s="9" t="n">
        <x:v>105.99999995529652</x:v>
      </x:c>
      <x:c r="K760" s="9" t="n">
        <x:f>F760+G760+I760+J760</x:f>
        <x:v>72582.9999999702</x:v>
      </x:c>
      <x:c r="L760" s="10" t="n">
        <x:f>K760/Sources!$B$4*1000</x:f>
        <x:v>20.277158130424453</x:v>
      </x:c>
      <x:c r="M760" s="10" t="n">
        <x:f>E760/Sources!$B$4*1000</x:f>
        <x:v>33.376588365276895</x:v>
      </x:c>
      <x:c r="N760" s="9" t="n">
        <x:f>Sources!$B$6-K760</x:f>
        <x:v>-12846.999999970198</x:v>
      </x:c>
      <x:c r="O760" s="1" t="str">
        <x:v>keyboard_route</x:v>
      </x:c>
      <x:c r="P760" s="12" t="n">
        <x:v>0</x:v>
      </x:c>
      <x:c r="Q760" s="12" t="n">
        <x:v>4</x:v>
      </x:c>
      <x:c r="R760" s="12" t="n">
        <x:v>4</x:v>
      </x:c>
      <x:c r="S760" s="12" t="n">
        <x:v>7</x:v>
      </x:c>
      <x:c r="T760" s="1" t="str">
        <x:v>No</x:v>
      </x:c>
      <x:c r="U760" s="1" t="n">
        <x:v>0</x:v>
      </x:c>
    </x:row>
    <x:row r="761" ht="23" customHeight="1">
      <x:c r="A761" s="9" t="n">
        <x:v>879</x:v>
      </x:c>
      <x:c r="B761" s="9" t="n">
        <x:v>220</x:v>
      </x:c>
      <x:c r="C761" s="9" t="n">
        <x:v>339</x:v>
      </x:c>
      <x:c r="D761" s="9" t="n">
        <x:v>2</x:v>
      </x:c>
      <x:c r="E761" s="9" t="n">
        <x:v>119473.0000000149</x:v>
      </x:c>
      <x:c r="F761" s="9" t="n">
        <x:v>38079</x:v>
      </x:c>
      <x:c r="G761" s="9" t="n">
        <x:v>42671</x:v>
      </x:c>
      <x:c r="H761" s="9" t="n">
        <x:v>34500.0000000149</x:v>
      </x:c>
      <x:c r="I761" s="9" t="n">
        <x:v>4116.999999985099</x:v>
      </x:c>
      <x:c r="J761" s="9" t="n">
        <x:v>106.00000001490116</x:v>
      </x:c>
      <x:c r="K761" s="9" t="n">
        <x:f>F761+G761+I761+J761</x:f>
        <x:v>84973</x:v>
      </x:c>
      <x:c r="L761" s="10" t="n">
        <x:f>K761/Sources!$B$4*1000</x:f>
        <x:v>23.73849190330056</x:v>
      </x:c>
      <x:c r="M761" s="10" t="n">
        <x:f>E761/Sources!$B$4*1000</x:f>
        <x:v>33.37658836528522</x:v>
      </x:c>
      <x:c r="N761" s="9" t="n">
        <x:f>Sources!$B$6-K761</x:f>
        <x:v>-25237</x:v>
      </x:c>
      <x:c r="O761" s="1" t="str">
        <x:v>keyboard_route</x:v>
      </x:c>
      <x:c r="P761" s="12" t="n">
        <x:v>0</x:v>
      </x:c>
      <x:c r="Q761" s="12" t="n">
        <x:v>4</x:v>
      </x:c>
      <x:c r="R761" s="12" t="n">
        <x:v>4</x:v>
      </x:c>
      <x:c r="S761" s="12" t="n">
        <x:v>3</x:v>
      </x:c>
      <x:c r="T761" s="1" t="str">
        <x:v>Yes</x:v>
      </x:c>
      <x:c r="U761" s="1" t="n">
        <x:v>0</x:v>
      </x:c>
    </x:row>
    <x:row r="762" ht="23" customHeight="1">
      <x:c r="A762" s="9" t="n">
        <x:v>880</x:v>
      </x:c>
      <x:c r="B762" s="9" t="n">
        <x:v>220</x:v>
      </x:c>
      <x:c r="C762" s="9" t="n">
        <x:v>343</x:v>
      </x:c>
      <x:c r="D762" s="9" t="n">
        <x:v>2</x:v>
      </x:c>
      <x:c r="E762" s="9" t="n">
        <x:v>119471</x:v>
      </x:c>
      <x:c r="F762" s="9" t="n">
        <x:v>46033</x:v>
      </x:c>
      <x:c r="G762" s="9" t="n">
        <x:v>25899.9999999851</x:v>
      </x:c>
      <x:c r="H762" s="9" t="n">
        <x:v>43314.9999999851</x:v>
      </x:c>
      <x:c r="I762" s="9" t="n">
        <x:v>4116.999999985099</x:v>
      </x:c>
      <x:c r="J762" s="9" t="n">
        <x:v>106.00000004470348</x:v>
      </x:c>
      <x:c r="K762" s="9" t="n">
        <x:f>F762+G762+I762+J762</x:f>
        <x:v>76156.0000000149</x:v>
      </x:c>
      <x:c r="L762" s="10" t="n">
        <x:f>K762/Sources!$B$4*1000</x:f>
        <x:v>21.275329685760312</x:v>
      </x:c>
      <x:c r="M762" s="10" t="n">
        <x:f>E762/Sources!$B$4*1000</x:f>
        <x:v>33.37602963505138</x:v>
      </x:c>
      <x:c r="N762" s="9" t="n">
        <x:f>Sources!$B$6-K762</x:f>
        <x:v>-16420.0000000149</x:v>
      </x:c>
      <x:c r="O762" s="1" t="str">
        <x:v>keyboard_route</x:v>
      </x:c>
      <x:c r="P762" s="12" t="n">
        <x:v>0</x:v>
      </x:c>
      <x:c r="Q762" s="12" t="n">
        <x:v>4</x:v>
      </x:c>
      <x:c r="R762" s="12" t="n">
        <x:v>4</x:v>
      </x:c>
      <x:c r="S762" s="12" t="n">
        <x:v>7</x:v>
      </x:c>
      <x:c r="T762" s="1" t="str">
        <x:v>No</x:v>
      </x:c>
      <x:c r="U762" s="1" t="n">
        <x:v>0</x:v>
      </x:c>
    </x:row>
    <x:row r="763" ht="23" customHeight="1">
      <x:c r="A763" s="9" t="n">
        <x:v>881</x:v>
      </x:c>
      <x:c r="B763" s="9" t="n">
        <x:v>220</x:v>
      </x:c>
      <x:c r="C763" s="9" t="n">
        <x:v>347</x:v>
      </x:c>
      <x:c r="D763" s="9" t="n">
        <x:v>2</x:v>
      </x:c>
      <x:c r="E763" s="9" t="n">
        <x:v>119474</x:v>
      </x:c>
      <x:c r="F763" s="9" t="n">
        <x:v>48095.0000000149</x:v>
      </x:c>
      <x:c r="G763" s="9" t="n">
        <x:v>42026</x:v>
      </x:c>
      <x:c r="H763" s="9" t="n">
        <x:v>25130.0000000149</x:v>
      </x:c>
      <x:c r="I763" s="9" t="n">
        <x:v>4116.999999985099</x:v>
      </x:c>
      <x:c r="J763" s="9" t="n">
        <x:v>105.99999998509884</x:v>
      </x:c>
      <x:c r="K763" s="9" t="n">
        <x:f>F763+G763+I763+J763</x:f>
        <x:v>94343.9999999851</x:v>
      </x:c>
      <x:c r="L763" s="10" t="n">
        <x:f>K763/Sources!$B$4*1000</x:f>
        <x:v>26.35642239446217</x:v>
      </x:c>
      <x:c r="M763" s="10" t="n">
        <x:f>E763/Sources!$B$4*1000</x:f>
        <x:v>33.3768677303959</x:v>
      </x:c>
      <x:c r="N763" s="9" t="n">
        <x:f>Sources!$B$6-K763</x:f>
        <x:v>-34607.9999999851</x:v>
      </x:c>
      <x:c r="O763" s="1" t="str">
        <x:v>keyboard_route</x:v>
      </x:c>
      <x:c r="P763" s="12" t="n">
        <x:v>0</x:v>
      </x:c>
      <x:c r="Q763" s="12" t="n">
        <x:v>4</x:v>
      </x:c>
      <x:c r="R763" s="12" t="n">
        <x:v>4</x:v>
      </x:c>
      <x:c r="S763" s="12" t="n">
        <x:v>3</x:v>
      </x:c>
      <x:c r="T763" s="1" t="str">
        <x:v>Yes</x:v>
      </x:c>
      <x:c r="U763" s="1" t="n">
        <x:v>0</x:v>
      </x:c>
    </x:row>
    <x:row r="764" ht="23" customHeight="1">
      <x:c r="A764" s="9" t="n">
        <x:v>882</x:v>
      </x:c>
      <x:c r="B764" s="9" t="n">
        <x:v>220</x:v>
      </x:c>
      <x:c r="C764" s="9" t="n">
        <x:v>351</x:v>
      </x:c>
      <x:c r="D764" s="9" t="n">
        <x:v>2</x:v>
      </x:c>
      <x:c r="E764" s="9" t="n">
        <x:v>119469.9999999851</x:v>
      </x:c>
      <x:c r="F764" s="9" t="n">
        <x:v>46022.0000000149</x:v>
      </x:c>
      <x:c r="G764" s="9" t="n">
        <x:v>25900</x:v>
      </x:c>
      <x:c r="H764" s="9" t="n">
        <x:v>43325.0000000149</x:v>
      </x:c>
      <x:c r="I764" s="9" t="n">
        <x:v>4117.000000014901</x:v>
      </x:c>
      <x:c r="J764" s="9" t="n">
        <x:v>105.99999994039536</x:v>
      </x:c>
      <x:c r="K764" s="9" t="n">
        <x:f>F764+G764+I764+J764</x:f>
        <x:v>76144.9999999702</x:v>
      </x:c>
      <x:c r="L764" s="10" t="n">
        <x:f>K764/Sources!$B$4*1000</x:f>
        <x:v>21.272256669484587</x:v>
      </x:c>
      <x:c r="M764" s="10" t="n">
        <x:f>E764/Sources!$B$4*1000</x:f>
        <x:v>33.375750269932375</x:v>
      </x:c>
      <x:c r="N764" s="9" t="n">
        <x:f>Sources!$B$6-K764</x:f>
        <x:v>-16408.999999970198</x:v>
      </x:c>
      <x:c r="O764" s="1" t="str">
        <x:v>keyboard_route</x:v>
      </x:c>
      <x:c r="P764" s="12" t="n">
        <x:v>0</x:v>
      </x:c>
      <x:c r="Q764" s="12" t="n">
        <x:v>4</x:v>
      </x:c>
      <x:c r="R764" s="12" t="n">
        <x:v>4</x:v>
      </x:c>
      <x:c r="S764" s="12" t="n">
        <x:v>7</x:v>
      </x:c>
      <x:c r="T764" s="1" t="str">
        <x:v>No</x:v>
      </x:c>
      <x:c r="U764" s="1" t="n">
        <x:v>0</x:v>
      </x:c>
    </x:row>
    <x:row r="765" ht="23" customHeight="1">
      <x:c r="A765" s="9" t="n">
        <x:v>883</x:v>
      </x:c>
      <x:c r="B765" s="9" t="n">
        <x:v>220</x:v>
      </x:c>
      <x:c r="C765" s="9" t="n">
        <x:v>355</x:v>
      </x:c>
      <x:c r="D765" s="9" t="n">
        <x:v>2</x:v>
      </x:c>
      <x:c r="E765" s="9" t="n">
        <x:v>119472.0000000149</x:v>
      </x:c>
      <x:c r="F765" s="9" t="n">
        <x:v>48609</x:v>
      </x:c>
      <x:c r="G765" s="9" t="n">
        <x:v>42269.9999999851</x:v>
      </x:c>
      <x:c r="H765" s="9" t="n">
        <x:v>24370</x:v>
      </x:c>
      <x:c r="I765" s="9" t="n">
        <x:v>4117</x:v>
      </x:c>
      <x:c r="J765" s="9" t="n">
        <x:v>106.00000002980232</x:v>
      </x:c>
      <x:c r="K765" s="9" t="n">
        <x:f>F765+G765+I765+J765</x:f>
        <x:v>95102.0000000149</x:v>
      </x:c>
      <x:c r="L765" s="10" t="n">
        <x:f>K765/Sources!$B$4*1000</x:f>
        <x:v>26.56818115151923</x:v>
      </x:c>
      <x:c r="M765" s="10" t="n">
        <x:f>E765/Sources!$B$4*1000</x:f>
        <x:v>33.37630900017039</x:v>
      </x:c>
      <x:c r="N765" s="9" t="n">
        <x:f>Sources!$B$6-K765</x:f>
        <x:v>-35366.0000000149</x:v>
      </x:c>
      <x:c r="O765" s="1" t="str">
        <x:v>keyboard_route</x:v>
      </x:c>
      <x:c r="P765" s="12" t="n">
        <x:v>0</x:v>
      </x:c>
      <x:c r="Q765" s="12" t="n">
        <x:v>4</x:v>
      </x:c>
      <x:c r="R765" s="12" t="n">
        <x:v>4</x:v>
      </x:c>
      <x:c r="S765" s="12" t="n">
        <x:v>3</x:v>
      </x:c>
      <x:c r="T765" s="1" t="str">
        <x:v>Yes</x:v>
      </x:c>
      <x:c r="U765" s="1" t="n">
        <x:v>0</x:v>
      </x:c>
    </x:row>
    <x:row r="766" ht="23" customHeight="1">
      <x:c r="A766" s="9" t="n">
        <x:v>884</x:v>
      </x:c>
      <x:c r="B766" s="9" t="n">
        <x:v>220</x:v>
      </x:c>
      <x:c r="C766" s="9" t="n">
        <x:v>359</x:v>
      </x:c>
      <x:c r="D766" s="9" t="n">
        <x:v>2</x:v>
      </x:c>
      <x:c r="E766" s="9" t="n">
        <x:v>119474</x:v>
      </x:c>
      <x:c r="F766" s="9" t="n">
        <x:v>44386</x:v>
      </x:c>
      <x:c r="G766" s="9" t="n">
        <x:v>25900</x:v>
      </x:c>
      <x:c r="H766" s="9" t="n">
        <x:v>44965</x:v>
      </x:c>
      <x:c r="I766" s="9" t="n">
        <x:v>4116.999999985099</x:v>
      </x:c>
      <x:c r="J766" s="9" t="n">
        <x:v>106.00000001490116</x:v>
      </x:c>
      <x:c r="K766" s="9" t="n">
        <x:f>F766+G766+I766+J766</x:f>
        <x:v>74509</x:v>
      </x:c>
      <x:c r="L766" s="10" t="n">
        <x:f>K766/Sources!$B$4*1000</x:f>
        <x:v>20.815215341614646</x:v>
      </x:c>
      <x:c r="M766" s="10" t="n">
        <x:f>E766/Sources!$B$4*1000</x:f>
        <x:v>33.3768677303959</x:v>
      </x:c>
      <x:c r="N766" s="9" t="n">
        <x:f>Sources!$B$6-K766</x:f>
        <x:v>-14773</x:v>
      </x:c>
      <x:c r="O766" s="1" t="str">
        <x:v>keyboard_route</x:v>
      </x:c>
      <x:c r="P766" s="12" t="n">
        <x:v>0</x:v>
      </x:c>
      <x:c r="Q766" s="12" t="n">
        <x:v>4</x:v>
      </x:c>
      <x:c r="R766" s="12" t="n">
        <x:v>4</x:v>
      </x:c>
      <x:c r="S766" s="12" t="n">
        <x:v>7</x:v>
      </x:c>
      <x:c r="T766" s="1" t="str">
        <x:v>No</x:v>
      </x:c>
      <x:c r="U766" s="1" t="n">
        <x:v>0</x:v>
      </x:c>
    </x:row>
    <x:row r="767" ht="23" customHeight="1">
      <x:c r="A767" s="9" t="n">
        <x:v>885</x:v>
      </x:c>
      <x:c r="B767" s="9" t="n">
        <x:v>220</x:v>
      </x:c>
      <x:c r="C767" s="9" t="n">
        <x:v>363</x:v>
      </x:c>
      <x:c r="D767" s="9" t="n">
        <x:v>2</x:v>
      </x:c>
      <x:c r="E767" s="9" t="n">
        <x:v>119467.9999999851</x:v>
      </x:c>
      <x:c r="F767" s="9" t="n">
        <x:v>44404.9999999702</x:v>
      </x:c>
      <x:c r="G767" s="9" t="n">
        <x:v>39299.9999999851</x:v>
      </x:c>
      <x:c r="H767" s="9" t="n">
        <x:v>31540.0000000149</x:v>
      </x:c>
      <x:c r="I767" s="9" t="n">
        <x:v>4117.000000014901</x:v>
      </x:c>
      <x:c r="J767" s="9" t="n">
        <x:v>106</x:v>
      </x:c>
      <x:c r="K767" s="9" t="n">
        <x:f>F767+G767+I767+J767</x:f>
        <x:v>87927.9999999702</x:v>
      </x:c>
      <x:c r="L767" s="10" t="n">
        <x:f>K767/Sources!$B$4*1000</x:f>
        <x:v>24.564015817644478</x:v>
      </x:c>
      <x:c r="M767" s="10" t="n">
        <x:f>E767/Sources!$B$4*1000</x:f>
        <x:v>33.3751915397027</x:v>
      </x:c>
      <x:c r="N767" s="9" t="n">
        <x:f>Sources!$B$6-K767</x:f>
        <x:v>-28191.999999970198</x:v>
      </x:c>
      <x:c r="O767" s="1" t="str">
        <x:v>keyboard_route</x:v>
      </x:c>
      <x:c r="P767" s="12" t="n">
        <x:v>0</x:v>
      </x:c>
      <x:c r="Q767" s="12" t="n">
        <x:v>4</x:v>
      </x:c>
      <x:c r="R767" s="12" t="n">
        <x:v>4</x:v>
      </x:c>
      <x:c r="S767" s="12" t="n">
        <x:v>3</x:v>
      </x:c>
      <x:c r="T767" s="1" t="str">
        <x:v>Yes</x:v>
      </x:c>
      <x:c r="U767" s="1" t="n">
        <x:v>0</x:v>
      </x:c>
    </x:row>
    <x:row r="768" ht="23" customHeight="1">
      <x:c r="A768" s="9" t="n">
        <x:v>886</x:v>
      </x:c>
      <x:c r="B768" s="9" t="n">
        <x:v>224</x:v>
      </x:c>
      <x:c r="C768" s="9" t="n">
        <x:v>363</x:v>
      </x:c>
      <x:c r="D768" s="9" t="n">
        <x:v>2</x:v>
      </x:c>
      <x:c r="E768" s="9" t="n">
        <x:v>119816.0000000149</x:v>
      </x:c>
      <x:c r="F768" s="9" t="n">
        <x:v>49975</x:v>
      </x:c>
      <x:c r="G768" s="9" t="n">
        <x:v>48624</x:v>
      </x:c>
      <x:c r="H768" s="9" t="n">
        <x:v>16649.9999999851</x:v>
      </x:c>
      <x:c r="I768" s="9" t="n">
        <x:v>4461</x:v>
      </x:c>
      <x:c r="J768" s="9" t="n">
        <x:v>106.00000002980232</x:v>
      </x:c>
      <x:c r="K768" s="9" t="n">
        <x:f>F768+G768+I768+J768</x:f>
        <x:v>103166.0000000298</x:v>
      </x:c>
      <x:c r="L768" s="10" t="n">
        <x:f>K768/Sources!$B$4*1000</x:f>
        <x:v>28.820981437593268</x:v>
      </x:c>
      <x:c r="M768" s="10" t="n">
        <x:f>E768/Sources!$B$4*1000</x:f>
        <x:v>33.47241059967535</x:v>
      </x:c>
      <x:c r="N768" s="9" t="n">
        <x:f>Sources!$B$6-K768</x:f>
        <x:v>-43430.0000000298</x:v>
      </x:c>
      <x:c r="O768" s="1" t="str">
        <x:v>keyboard_route</x:v>
      </x:c>
      <x:c r="P768" s="12" t="n">
        <x:v>4</x:v>
      </x:c>
      <x:c r="Q768" s="12" t="n">
        <x:v>0</x:v>
      </x:c>
      <x:c r="R768" s="12" t="n">
        <x:v>0</x:v>
      </x:c>
      <x:c r="S768" s="12" t="n">
        <x:v>3</x:v>
      </x:c>
      <x:c r="T768" s="1" t="str">
        <x:v>Yes</x:v>
      </x:c>
      <x:c r="U768" s="1" t="n">
        <x:v>0</x:v>
      </x:c>
    </x:row>
    <x:row r="769" ht="23" customHeight="1">
      <x:c r="A769" s="9" t="n">
        <x:v>887</x:v>
      </x:c>
      <x:c r="B769" s="9" t="n">
        <x:v>228</x:v>
      </x:c>
      <x:c r="C769" s="9" t="n">
        <x:v>363</x:v>
      </x:c>
      <x:c r="D769" s="9" t="n">
        <x:v>2</x:v>
      </x:c>
      <x:c r="E769" s="9" t="n">
        <x:v>117577</x:v>
      </x:c>
      <x:c r="F769" s="9" t="n">
        <x:v>41442.0000000149</x:v>
      </x:c>
      <x:c r="G769" s="9" t="n">
        <x:v>29534.0000000149</x:v>
      </x:c>
      <x:c r="H769" s="9" t="n">
        <x:v>43930.0000000149</x:v>
      </x:c>
      <x:c r="I769" s="9" t="n">
        <x:v>2565.000000014901</x:v>
      </x:c>
      <x:c r="J769" s="9" t="n">
        <x:v>105.99999994039536</x:v>
      </x:c>
      <x:c r="K769" s="9" t="n">
        <x:f>F769+G769+I769+J769</x:f>
        <x:v>73646.9999999851</x:v>
      </x:c>
      <x:c r="L769" s="10" t="n">
        <x:f>K769/Sources!$B$4*1000</x:f>
        <x:v>20.574402612618393</x:v>
      </x:c>
      <x:c r="M769" s="10" t="n">
        <x:f>E769/Sources!$B$4*1000</x:f>
        <x:v>32.8469121075444</x:v>
      </x:c>
      <x:c r="N769" s="9" t="n">
        <x:f>Sources!$B$6-K769</x:f>
        <x:v>-13910.999999985099</x:v>
      </x:c>
      <x:c r="O769" s="1" t="str">
        <x:v>keyboard_route</x:v>
      </x:c>
      <x:c r="P769" s="12" t="n">
        <x:v>4</x:v>
      </x:c>
      <x:c r="Q769" s="12" t="n">
        <x:v>0</x:v>
      </x:c>
      <x:c r="R769" s="12" t="n">
        <x:v>4</x:v>
      </x:c>
      <x:c r="S769" s="12" t="n">
        <x:v>3</x:v>
      </x:c>
      <x:c r="T769" s="1" t="str">
        <x:v>No</x:v>
      </x:c>
      <x:c r="U769" s="1" t="n">
        <x:v>0</x:v>
      </x:c>
    </x:row>
    <x:row r="770" ht="23" customHeight="1">
      <x:c r="A770" s="9" t="n">
        <x:v>888</x:v>
      </x:c>
      <x:c r="B770" s="9" t="n">
        <x:v>232</x:v>
      </x:c>
      <x:c r="C770" s="9" t="n">
        <x:v>363</x:v>
      </x:c>
      <x:c r="D770" s="9" t="n">
        <x:v>2</x:v>
      </x:c>
      <x:c r="E770" s="9" t="n">
        <x:v>119475</x:v>
      </x:c>
      <x:c r="F770" s="9" t="n">
        <x:v>38546</x:v>
      </x:c>
      <x:c r="G770" s="9" t="n">
        <x:v>47333.0000000149</x:v>
      </x:c>
      <x:c r="H770" s="9" t="n">
        <x:v>30925</x:v>
      </x:c>
      <x:c r="I770" s="9" t="n">
        <x:v>2564.999999985099</x:v>
      </x:c>
      <x:c r="J770" s="9" t="n">
        <x:v>106</x:v>
      </x:c>
      <x:c r="K770" s="9" t="n">
        <x:f>F770+G770+I770+J770</x:f>
        <x:v>88550</x:v>
      </x:c>
      <x:c r="L770" s="10" t="n">
        <x:f>K770/Sources!$B$4*1000</x:f>
        <x:v>24.737780919083292</x:v>
      </x:c>
      <x:c r="M770" s="10" t="n">
        <x:f>E770/Sources!$B$4*1000</x:f>
        <x:v>33.37714709551074</x:v>
      </x:c>
      <x:c r="N770" s="9" t="n">
        <x:f>Sources!$B$6-K770</x:f>
        <x:v>-28814</x:v>
      </x:c>
      <x:c r="O770" s="1" t="str">
        <x:v>keyboard_route</x:v>
      </x:c>
      <x:c r="P770" s="12" t="n">
        <x:v>4</x:v>
      </x:c>
      <x:c r="Q770" s="12" t="n">
        <x:v>0</x:v>
      </x:c>
      <x:c r="R770" s="12" t="n">
        <x:v>0</x:v>
      </x:c>
      <x:c r="S770" s="12" t="n">
        <x:v>3</x:v>
      </x:c>
      <x:c r="T770" s="1" t="str">
        <x:v>Yes</x:v>
      </x:c>
      <x:c r="U770" s="1" t="n">
        <x:v>0</x:v>
      </x:c>
    </x:row>
    <x:row r="771" ht="23" customHeight="1">
      <x:c r="A771" s="9" t="n">
        <x:v>889</x:v>
      </x:c>
      <x:c r="B771" s="9" t="n">
        <x:v>236</x:v>
      </x:c>
      <x:c r="C771" s="9" t="n">
        <x:v>363</x:v>
      </x:c>
      <x:c r="D771" s="9" t="n">
        <x:v>2</x:v>
      </x:c>
      <x:c r="E771" s="9" t="n">
        <x:v>119471</x:v>
      </x:c>
      <x:c r="F771" s="9" t="n">
        <x:v>40676.0000000149</x:v>
      </x:c>
      <x:c r="G771" s="9" t="n">
        <x:v>29534</x:v>
      </x:c>
      <x:c r="H771" s="9" t="n">
        <x:v>46589.9999999851</x:v>
      </x:c>
      <x:c r="I771" s="9" t="n">
        <x:v>2564.999999985099</x:v>
      </x:c>
      <x:c r="J771" s="9" t="n">
        <x:v>106.00000001490116</x:v>
      </x:c>
      <x:c r="K771" s="9" t="n">
        <x:f>F771+G771+I771+J771</x:f>
        <x:v>72881.0000000149</x:v>
      </x:c>
      <x:c r="L771" s="10" t="n">
        <x:f>K771/Sources!$B$4*1000</x:f>
        <x:v>20.360408934659265</x:v>
      </x:c>
      <x:c r="M771" s="10" t="n">
        <x:f>E771/Sources!$B$4*1000</x:f>
        <x:v>33.37602963505138</x:v>
      </x:c>
      <x:c r="N771" s="9" t="n">
        <x:f>Sources!$B$6-K771</x:f>
        <x:v>-13145.000000014901</x:v>
      </x:c>
      <x:c r="O771" s="1" t="str">
        <x:v>keyboard_route</x:v>
      </x:c>
      <x:c r="P771" s="12" t="n">
        <x:v>4</x:v>
      </x:c>
      <x:c r="Q771" s="12" t="n">
        <x:v>0</x:v>
      </x:c>
      <x:c r="R771" s="12" t="n">
        <x:v>4</x:v>
      </x:c>
      <x:c r="S771" s="12" t="n">
        <x:v>3</x:v>
      </x:c>
      <x:c r="T771" s="1" t="str">
        <x:v>No</x:v>
      </x:c>
      <x:c r="U771" s="1" t="n">
        <x:v>0</x:v>
      </x:c>
    </x:row>
    <x:row r="772" ht="23" customHeight="1">
      <x:c r="A772" s="9" t="n">
        <x:v>890</x:v>
      </x:c>
      <x:c r="B772" s="9" t="n">
        <x:v>240</x:v>
      </x:c>
      <x:c r="C772" s="9" t="n">
        <x:v>363</x:v>
      </x:c>
      <x:c r="D772" s="9" t="n">
        <x:v>2</x:v>
      </x:c>
      <x:c r="E772" s="9" t="n">
        <x:v>119469</x:v>
      </x:c>
      <x:c r="F772" s="9" t="n">
        <x:v>36350.0000000149</x:v>
      </x:c>
      <x:c r="G772" s="9" t="n">
        <x:v>47332.9999999851</x:v>
      </x:c>
      <x:c r="H772" s="9" t="n">
        <x:v>33114.9999999851</x:v>
      </x:c>
      <x:c r="I772" s="9" t="n">
        <x:v>2564.999999985099</x:v>
      </x:c>
      <x:c r="J772" s="9" t="n">
        <x:v>106.00000002980232</x:v>
      </x:c>
      <x:c r="K772" s="9" t="n">
        <x:f>F772+G772+I772+J772</x:f>
        <x:v>86354.0000000149</x:v>
      </x:c>
      <x:c r="L772" s="10" t="n">
        <x:f>K772/Sources!$B$4*1000</x:f>
        <x:v>24.124295126898783</x:v>
      </x:c>
      <x:c r="M772" s="10" t="n">
        <x:f>E772/Sources!$B$4*1000</x:f>
        <x:v>33.375470904821704</x:v>
      </x:c>
      <x:c r="N772" s="9" t="n">
        <x:f>Sources!$B$6-K772</x:f>
        <x:v>-26618.0000000149</x:v>
      </x:c>
      <x:c r="O772" s="1" t="str">
        <x:v>keyboard_route</x:v>
      </x:c>
      <x:c r="P772" s="12" t="n">
        <x:v>4</x:v>
      </x:c>
      <x:c r="Q772" s="12" t="n">
        <x:v>0</x:v>
      </x:c>
      <x:c r="R772" s="12" t="n">
        <x:v>0</x:v>
      </x:c>
      <x:c r="S772" s="12" t="n">
        <x:v>3</x:v>
      </x:c>
      <x:c r="T772" s="1" t="str">
        <x:v>Yes</x:v>
      </x:c>
      <x:c r="U772" s="1" t="n">
        <x:v>0</x:v>
      </x:c>
    </x:row>
    <x:row r="773" ht="23" customHeight="1">
      <x:c r="A773" s="9" t="n">
        <x:v>891</x:v>
      </x:c>
      <x:c r="B773" s="9" t="n">
        <x:v>244</x:v>
      </x:c>
      <x:c r="C773" s="9" t="n">
        <x:v>363</x:v>
      </x:c>
      <x:c r="D773" s="9" t="n">
        <x:v>2</x:v>
      </x:c>
      <x:c r="E773" s="9" t="n">
        <x:v>119476</x:v>
      </x:c>
      <x:c r="F773" s="9" t="n">
        <x:v>37231</x:v>
      </x:c>
      <x:c r="G773" s="9" t="n">
        <x:v>29534.0000000149</x:v>
      </x:c>
      <x:c r="H773" s="9" t="n">
        <x:v>50040</x:v>
      </x:c>
      <x:c r="I773" s="9" t="n">
        <x:v>2564.999999985099</x:v>
      </x:c>
      <x:c r="J773" s="9" t="n">
        <x:v>106</x:v>
      </x:c>
      <x:c r="K773" s="9" t="n">
        <x:f>F773+G773+I773+J773</x:f>
        <x:v>69436</x:v>
      </x:c>
      <x:c r="L773" s="10" t="n">
        <x:f>K773/Sources!$B$4*1000</x:f>
        <x:v>19.397996114031255</x:v>
      </x:c>
      <x:c r="M773" s="10" t="n">
        <x:f>E773/Sources!$B$4*1000</x:f>
        <x:v>33.37742646062558</x:v>
      </x:c>
      <x:c r="N773" s="9" t="n">
        <x:f>Sources!$B$6-K773</x:f>
        <x:v>-9700</x:v>
      </x:c>
      <x:c r="O773" s="1" t="str">
        <x:v>keyboard_route</x:v>
      </x:c>
      <x:c r="P773" s="12" t="n">
        <x:v>4</x:v>
      </x:c>
      <x:c r="Q773" s="12" t="n">
        <x:v>0</x:v>
      </x:c>
      <x:c r="R773" s="12" t="n">
        <x:v>4</x:v>
      </x:c>
      <x:c r="S773" s="12" t="n">
        <x:v>3</x:v>
      </x:c>
      <x:c r="T773" s="1" t="str">
        <x:v>No</x:v>
      </x:c>
      <x:c r="U773" s="1" t="n">
        <x:v>0</x:v>
      </x:c>
    </x:row>
    <x:row r="774" ht="23" customHeight="1">
      <x:c r="A774" s="9" t="n">
        <x:v>892</x:v>
      </x:c>
      <x:c r="B774" s="9" t="n">
        <x:v>248</x:v>
      </x:c>
      <x:c r="C774" s="9" t="n">
        <x:v>363</x:v>
      </x:c>
      <x:c r="D774" s="9" t="n">
        <x:v>2</x:v>
      </x:c>
      <x:c r="E774" s="9" t="n">
        <x:v>119469</x:v>
      </x:c>
      <x:c r="F774" s="9" t="n">
        <x:v>34104</x:v>
      </x:c>
      <x:c r="G774" s="9" t="n">
        <x:v>46464.0000000149</x:v>
      </x:c>
      <x:c r="H774" s="9" t="n">
        <x:v>36230</x:v>
      </x:c>
      <x:c r="I774" s="9" t="n">
        <x:v>2564.999999985099</x:v>
      </x:c>
      <x:c r="J774" s="9" t="n">
        <x:v>106</x:v>
      </x:c>
      <x:c r="K774" s="9" t="n">
        <x:f>F774+G774+I774+J774</x:f>
        <x:v>83239</x:v>
      </x:c>
      <x:c r="L774" s="10" t="n">
        <x:f>K774/Sources!$B$4*1000</x:f>
        <x:v>23.254072794167975</x:v>
      </x:c>
      <x:c r="M774" s="10" t="n">
        <x:f>E774/Sources!$B$4*1000</x:f>
        <x:v>33.375470904821704</x:v>
      </x:c>
      <x:c r="N774" s="9" t="n">
        <x:f>Sources!$B$6-K774</x:f>
        <x:v>-23503</x:v>
      </x:c>
      <x:c r="O774" s="1" t="str">
        <x:v>keyboard_route</x:v>
      </x:c>
      <x:c r="P774" s="12" t="n">
        <x:v>4</x:v>
      </x:c>
      <x:c r="Q774" s="12" t="n">
        <x:v>0</x:v>
      </x:c>
      <x:c r="R774" s="12" t="n">
        <x:v>0</x:v>
      </x:c>
      <x:c r="S774" s="12" t="n">
        <x:v>3</x:v>
      </x:c>
      <x:c r="T774" s="1" t="str">
        <x:v>Yes</x:v>
      </x:c>
      <x:c r="U774" s="1" t="n">
        <x:v>0</x:v>
      </x:c>
    </x:row>
    <x:row r="775" ht="23" customHeight="1">
      <x:c r="A775" s="9" t="n">
        <x:v>893</x:v>
      </x:c>
      <x:c r="B775" s="9" t="n">
        <x:v>252</x:v>
      </x:c>
      <x:c r="C775" s="9" t="n">
        <x:v>363</x:v>
      </x:c>
      <x:c r="D775" s="9" t="n">
        <x:v>2</x:v>
      </x:c>
      <x:c r="E775" s="9" t="n">
        <x:v>119473</x:v>
      </x:c>
      <x:c r="F775" s="9" t="n">
        <x:v>37102.0000000149</x:v>
      </x:c>
      <x:c r="G775" s="9" t="n">
        <x:v>28665</x:v>
      </x:c>
      <x:c r="H775" s="9" t="n">
        <x:v>51035</x:v>
      </x:c>
      <x:c r="I775" s="9" t="n">
        <x:v>2565.000000014901</x:v>
      </x:c>
      <x:c r="J775" s="9" t="n">
        <x:v>105.99999997019768</x:v>
      </x:c>
      <x:c r="K775" s="9" t="n">
        <x:f>F775+G775+I775+J775</x:f>
        <x:v>68438</x:v>
      </x:c>
      <x:c r="L775" s="10" t="n">
        <x:f>K775/Sources!$B$4*1000</x:f>
        <x:v>19.119189729420917</x:v>
      </x:c>
      <x:c r="M775" s="10" t="n">
        <x:f>E775/Sources!$B$4*1000</x:f>
        <x:v>33.37658836528106</x:v>
      </x:c>
      <x:c r="N775" s="9" t="n">
        <x:f>Sources!$B$6-K775</x:f>
        <x:v>-8702</x:v>
      </x:c>
      <x:c r="O775" s="1" t="str">
        <x:v>keyboard_route</x:v>
      </x:c>
      <x:c r="P775" s="12" t="n">
        <x:v>4</x:v>
      </x:c>
      <x:c r="Q775" s="12" t="n">
        <x:v>0</x:v>
      </x:c>
      <x:c r="R775" s="12" t="n">
        <x:v>4</x:v>
      </x:c>
      <x:c r="S775" s="12" t="n">
        <x:v>3</x:v>
      </x:c>
      <x:c r="T775" s="1" t="str">
        <x:v>No</x:v>
      </x:c>
      <x:c r="U775" s="1" t="n">
        <x:v>0</x:v>
      </x:c>
    </x:row>
    <x:row r="776" ht="23" customHeight="1">
      <x:c r="A776" s="9" t="n">
        <x:v>894</x:v>
      </x:c>
      <x:c r="B776" s="9" t="n">
        <x:v>256</x:v>
      </x:c>
      <x:c r="C776" s="9" t="n">
        <x:v>363</x:v>
      </x:c>
      <x:c r="D776" s="9" t="n">
        <x:v>2</x:v>
      </x:c>
      <x:c r="E776" s="9" t="n">
        <x:v>119474</x:v>
      </x:c>
      <x:c r="F776" s="9" t="n">
        <x:v>32711.9999999851</x:v>
      </x:c>
      <x:c r="G776" s="9" t="n">
        <x:v>46461.0000000149</x:v>
      </x:c>
      <x:c r="H776" s="9" t="n">
        <x:v>37630</x:v>
      </x:c>
      <x:c r="I776" s="9" t="n">
        <x:v>2565.000000014901</x:v>
      </x:c>
      <x:c r="J776" s="9" t="n">
        <x:v>105.99999998509884</x:v>
      </x:c>
      <x:c r="K776" s="9" t="n">
        <x:f>F776+G776+I776+J776</x:f>
        <x:v>81844</x:v>
      </x:c>
      <x:c r="L776" s="10" t="n">
        <x:f>K776/Sources!$B$4*1000</x:f>
        <x:v>22.864358458966155</x:v>
      </x:c>
      <x:c r="M776" s="10" t="n">
        <x:f>E776/Sources!$B$4*1000</x:f>
        <x:v>33.3768677303959</x:v>
      </x:c>
      <x:c r="N776" s="9" t="n">
        <x:f>Sources!$B$6-K776</x:f>
        <x:v>-22108</x:v>
      </x:c>
      <x:c r="O776" s="1" t="str">
        <x:v>keyboard_route</x:v>
      </x:c>
      <x:c r="P776" s="12" t="n">
        <x:v>4</x:v>
      </x:c>
      <x:c r="Q776" s="12" t="n">
        <x:v>0</x:v>
      </x:c>
      <x:c r="R776" s="12" t="n">
        <x:v>0</x:v>
      </x:c>
      <x:c r="S776" s="12" t="n">
        <x:v>3</x:v>
      </x:c>
      <x:c r="T776" s="1" t="str">
        <x:v>Yes</x:v>
      </x:c>
      <x:c r="U776" s="1" t="n">
        <x:v>0</x:v>
      </x:c>
    </x:row>
    <x:row r="777" ht="23" customHeight="1">
      <x:c r="A777" s="9" t="n">
        <x:v>895</x:v>
      </x:c>
      <x:c r="B777" s="9" t="n">
        <x:v>260</x:v>
      </x:c>
      <x:c r="C777" s="9" t="n">
        <x:v>363</x:v>
      </x:c>
      <x:c r="D777" s="9" t="n">
        <x:v>2</x:v>
      </x:c>
      <x:c r="E777" s="9" t="n">
        <x:v>119472</x:v>
      </x:c>
      <x:c r="F777" s="9" t="n">
        <x:v>39634</x:v>
      </x:c>
      <x:c r="G777" s="9" t="n">
        <x:v>28662</x:v>
      </x:c>
      <x:c r="H777" s="9" t="n">
        <x:v>48505</x:v>
      </x:c>
      <x:c r="I777" s="9" t="n">
        <x:v>2564.999999985099</x:v>
      </x:c>
      <x:c r="J777" s="9" t="n">
        <x:v>106.00000001490116</x:v>
      </x:c>
      <x:c r="K777" s="9" t="n">
        <x:f>F777+G777+I777+J777</x:f>
        <x:v>70967</x:v>
      </x:c>
      <x:c r="L777" s="10" t="n">
        <x:f>K777/Sources!$B$4*1000</x:f>
        <x:v>19.825704104851315</x:v>
      </x:c>
      <x:c r="M777" s="10" t="n">
        <x:f>E777/Sources!$B$4*1000</x:f>
        <x:v>33.37630900016622</x:v>
      </x:c>
      <x:c r="N777" s="9" t="n">
        <x:f>Sources!$B$6-K777</x:f>
        <x:v>-11231</x:v>
      </x:c>
      <x:c r="O777" s="1" t="str">
        <x:v>keyboard_route</x:v>
      </x:c>
      <x:c r="P777" s="12" t="n">
        <x:v>4</x:v>
      </x:c>
      <x:c r="Q777" s="12" t="n">
        <x:v>0</x:v>
      </x:c>
      <x:c r="R777" s="12" t="n">
        <x:v>4</x:v>
      </x:c>
      <x:c r="S777" s="12" t="n">
        <x:v>3</x:v>
      </x:c>
      <x:c r="T777" s="1" t="str">
        <x:v>No</x:v>
      </x:c>
      <x:c r="U777" s="1" t="n">
        <x:v>0</x:v>
      </x:c>
    </x:row>
    <x:row r="778" ht="23" customHeight="1">
      <x:c r="A778" s="9" t="n">
        <x:v>896</x:v>
      </x:c>
      <x:c r="B778" s="9" t="n">
        <x:v>264</x:v>
      </x:c>
      <x:c r="C778" s="9" t="n">
        <x:v>363</x:v>
      </x:c>
      <x:c r="D778" s="9" t="n">
        <x:v>2</x:v>
      </x:c>
      <x:c r="E778" s="9" t="n">
        <x:v>119469</x:v>
      </x:c>
      <x:c r="F778" s="9" t="n">
        <x:v>33341</x:v>
      </x:c>
      <x:c r="G778" s="9" t="n">
        <x:v>49037.0000000149</x:v>
      </x:c>
      <x:c r="H778" s="9" t="n">
        <x:v>34420.0000000149</x:v>
      </x:c>
      <x:c r="I778" s="9" t="n">
        <x:v>2564.999999985099</x:v>
      </x:c>
      <x:c r="J778" s="9" t="n">
        <x:v>105.99999998509884</x:v>
      </x:c>
      <x:c r="K778" s="9" t="n">
        <x:f>F778+G778+I778+J778</x:f>
        <x:v>85048.9999999851</x:v>
      </x:c>
      <x:c r="L778" s="10" t="n">
        <x:f>K778/Sources!$B$4*1000</x:f>
        <x:v>23.75972365202424</x:v>
      </x:c>
      <x:c r="M778" s="10" t="n">
        <x:f>E778/Sources!$B$4*1000</x:f>
        <x:v>33.375470904821704</x:v>
      </x:c>
      <x:c r="N778" s="9" t="n">
        <x:f>Sources!$B$6-K778</x:f>
        <x:v>-25312.9999999851</x:v>
      </x:c>
      <x:c r="O778" s="1" t="str">
        <x:v>keyboard_route</x:v>
      </x:c>
      <x:c r="P778" s="12" t="n">
        <x:v>4</x:v>
      </x:c>
      <x:c r="Q778" s="12" t="n">
        <x:v>0</x:v>
      </x:c>
      <x:c r="R778" s="12" t="n">
        <x:v>0</x:v>
      </x:c>
      <x:c r="S778" s="12" t="n">
        <x:v>3</x:v>
      </x:c>
      <x:c r="T778" s="1" t="str">
        <x:v>Yes</x:v>
      </x:c>
      <x:c r="U778" s="1" t="n">
        <x:v>0</x:v>
      </x:c>
    </x:row>
    <x:row r="779" ht="23" customHeight="1">
      <x:c r="A779" s="9" t="n">
        <x:v>897</x:v>
      </x:c>
      <x:c r="B779" s="9" t="n">
        <x:v>268</x:v>
      </x:c>
      <x:c r="C779" s="9" t="n">
        <x:v>363</x:v>
      </x:c>
      <x:c r="D779" s="9" t="n">
        <x:v>2</x:v>
      </x:c>
      <x:c r="E779" s="9" t="n">
        <x:v>119473</x:v>
      </x:c>
      <x:c r="F779" s="9" t="n">
        <x:v>37909.0000000149</x:v>
      </x:c>
      <x:c r="G779" s="9" t="n">
        <x:v>31238</x:v>
      </x:c>
      <x:c r="H779" s="9" t="n">
        <x:v>47654.9999999851</x:v>
      </x:c>
      <x:c r="I779" s="9" t="n">
        <x:v>2565.000000014901</x:v>
      </x:c>
      <x:c r="J779" s="9" t="n">
        <x:v>105.99999998509884</x:v>
      </x:c>
      <x:c r="K779" s="9" t="n">
        <x:f>F779+G779+I779+J779</x:f>
        <x:v>71818.0000000149</x:v>
      </x:c>
      <x:c r="L779" s="10" t="n">
        <x:f>K779/Sources!$B$4*1000</x:f>
        <x:v>20.06344381758433</x:v>
      </x:c>
      <x:c r="M779" s="10" t="n">
        <x:f>E779/Sources!$B$4*1000</x:f>
        <x:v>33.37658836528106</x:v>
      </x:c>
      <x:c r="N779" s="9" t="n">
        <x:f>Sources!$B$6-K779</x:f>
        <x:v>-12082.000000014901</x:v>
      </x:c>
      <x:c r="O779" s="1" t="str">
        <x:v>keyboard_route</x:v>
      </x:c>
      <x:c r="P779" s="12" t="n">
        <x:v>4</x:v>
      </x:c>
      <x:c r="Q779" s="12" t="n">
        <x:v>0</x:v>
      </x:c>
      <x:c r="R779" s="12" t="n">
        <x:v>4</x:v>
      </x:c>
      <x:c r="S779" s="12" t="n">
        <x:v>3</x:v>
      </x:c>
      <x:c r="T779" s="1" t="str">
        <x:v>No</x:v>
      </x:c>
      <x:c r="U779" s="1" t="n">
        <x:v>0</x:v>
      </x:c>
    </x:row>
    <x:row r="780" ht="23" customHeight="1">
      <x:c r="A780" s="9" t="n">
        <x:v>898</x:v>
      </x:c>
      <x:c r="B780" s="9" t="n">
        <x:v>272</x:v>
      </x:c>
      <x:c r="C780" s="9" t="n">
        <x:v>363</x:v>
      </x:c>
      <x:c r="D780" s="9" t="n">
        <x:v>2</x:v>
      </x:c>
      <x:c r="E780" s="9" t="n">
        <x:v>119472.9999999851</x:v>
      </x:c>
      <x:c r="F780" s="9" t="n">
        <x:v>32334.9999999851</x:v>
      </x:c>
      <x:c r="G780" s="9" t="n">
        <x:v>49037</x:v>
      </x:c>
      <x:c r="H780" s="9" t="n">
        <x:v>35430.0000000149</x:v>
      </x:c>
      <x:c r="I780" s="9" t="n">
        <x:v>2565.000000014901</x:v>
      </x:c>
      <x:c r="J780" s="9" t="n">
        <x:v>105.99999997019768</x:v>
      </x:c>
      <x:c r="K780" s="9" t="n">
        <x:f>F780+G780+I780+J780</x:f>
        <x:v>84042.9999999702</x:v>
      </x:c>
      <x:c r="L780" s="10" t="n">
        <x:f>K780/Sources!$B$4*1000</x:f>
        <x:v>23.47868234649102</x:v>
      </x:c>
      <x:c r="M780" s="10" t="n">
        <x:f>E780/Sources!$B$4*1000</x:f>
        <x:v>33.376588365276895</x:v>
      </x:c>
      <x:c r="N780" s="9" t="n">
        <x:f>Sources!$B$6-K780</x:f>
        <x:v>-24306.999999970198</x:v>
      </x:c>
      <x:c r="O780" s="1" t="str">
        <x:v>keyboard_route</x:v>
      </x:c>
      <x:c r="P780" s="12" t="n">
        <x:v>4</x:v>
      </x:c>
      <x:c r="Q780" s="12" t="n">
        <x:v>0</x:v>
      </x:c>
      <x:c r="R780" s="12" t="n">
        <x:v>0</x:v>
      </x:c>
      <x:c r="S780" s="12" t="n">
        <x:v>3</x:v>
      </x:c>
      <x:c r="T780" s="1" t="str">
        <x:v>Yes</x:v>
      </x:c>
      <x:c r="U780" s="1" t="n">
        <x:v>0</x:v>
      </x:c>
    </x:row>
    <x:row r="781" ht="23" customHeight="1">
      <x:c r="A781" s="9" t="n">
        <x:v>899</x:v>
      </x:c>
      <x:c r="B781" s="9" t="n">
        <x:v>276</x:v>
      </x:c>
      <x:c r="C781" s="9" t="n">
        <x:v>363</x:v>
      </x:c>
      <x:c r="D781" s="9" t="n">
        <x:v>2</x:v>
      </x:c>
      <x:c r="E781" s="9" t="n">
        <x:v>119471</x:v>
      </x:c>
      <x:c r="F781" s="9" t="n">
        <x:v>44712</x:v>
      </x:c>
      <x:c r="G781" s="9" t="n">
        <x:v>31238</x:v>
      </x:c>
      <x:c r="H781" s="9" t="n">
        <x:v>40850.0000000149</x:v>
      </x:c>
      <x:c r="I781" s="9" t="n">
        <x:v>2565</x:v>
      </x:c>
      <x:c r="J781" s="9" t="n">
        <x:v>105.99999998509884</x:v>
      </x:c>
      <x:c r="K781" s="9" t="n">
        <x:f>F781+G781+I781+J781</x:f>
        <x:v>78620.9999999851</x:v>
      </x:c>
      <x:c r="L781" s="10" t="n">
        <x:f>K781/Sources!$B$4*1000</x:f>
        <x:v>21.963964693832622</x:v>
      </x:c>
      <x:c r="M781" s="10" t="n">
        <x:f>E781/Sources!$B$4*1000</x:f>
        <x:v>33.37602963505138</x:v>
      </x:c>
      <x:c r="N781" s="9" t="n">
        <x:f>Sources!$B$6-K781</x:f>
        <x:v>-18884.9999999851</x:v>
      </x:c>
      <x:c r="O781" s="1" t="str">
        <x:v>keyboard_route</x:v>
      </x:c>
      <x:c r="P781" s="12" t="n">
        <x:v>4</x:v>
      </x:c>
      <x:c r="Q781" s="12" t="n">
        <x:v>0</x:v>
      </x:c>
      <x:c r="R781" s="12" t="n">
        <x:v>4</x:v>
      </x:c>
      <x:c r="S781" s="12" t="n">
        <x:v>3</x:v>
      </x:c>
      <x:c r="T781" s="1" t="str">
        <x:v>No</x:v>
      </x:c>
      <x:c r="U781" s="1" t="n">
        <x:v>0</x:v>
      </x:c>
    </x:row>
    <x:row r="782" ht="23" customHeight="1">
      <x:c r="A782" s="9" t="n">
        <x:v>900</x:v>
      </x:c>
      <x:c r="B782" s="9" t="n">
        <x:v>280</x:v>
      </x:c>
      <x:c r="C782" s="9" t="n">
        <x:v>363</x:v>
      </x:c>
      <x:c r="D782" s="9" t="n">
        <x:v>2</x:v>
      </x:c>
      <x:c r="E782" s="9" t="n">
        <x:v>119472.0000000149</x:v>
      </x:c>
      <x:c r="F782" s="9" t="n">
        <x:v>36649.0000000149</x:v>
      </x:c>
      <x:c r="G782" s="9" t="n">
        <x:v>49037</x:v>
      </x:c>
      <x:c r="H782" s="9" t="n">
        <x:v>31115</x:v>
      </x:c>
      <x:c r="I782" s="9" t="n">
        <x:v>2565.000000014901</x:v>
      </x:c>
      <x:c r="J782" s="9" t="n">
        <x:v>105.99999998509884</x:v>
      </x:c>
      <x:c r="K782" s="9" t="n">
        <x:f>F782+G782+I782+J782</x:f>
        <x:v>88357.0000000149</x:v>
      </x:c>
      <x:c r="L782" s="10" t="n">
        <x:f>K782/Sources!$B$4*1000</x:f>
        <x:v>24.683863451923333</x:v>
      </x:c>
      <x:c r="M782" s="10" t="n">
        <x:f>E782/Sources!$B$4*1000</x:f>
        <x:v>33.37630900017039</x:v>
      </x:c>
      <x:c r="N782" s="9" t="n">
        <x:f>Sources!$B$6-K782</x:f>
        <x:v>-28621.0000000149</x:v>
      </x:c>
      <x:c r="O782" s="1" t="str">
        <x:v>keyboard_route</x:v>
      </x:c>
      <x:c r="P782" s="12" t="n">
        <x:v>4</x:v>
      </x:c>
      <x:c r="Q782" s="12" t="n">
        <x:v>0</x:v>
      </x:c>
      <x:c r="R782" s="12" t="n">
        <x:v>0</x:v>
      </x:c>
      <x:c r="S782" s="12" t="n">
        <x:v>3</x:v>
      </x:c>
      <x:c r="T782" s="1" t="str">
        <x:v>Yes</x:v>
      </x:c>
      <x:c r="U782" s="1" t="n">
        <x:v>0</x:v>
      </x:c>
    </x:row>
    <x:row r="783" ht="23" customHeight="1">
      <x:c r="A783" s="9" t="n">
        <x:v>901</x:v>
      </x:c>
      <x:c r="B783" s="9" t="n">
        <x:v>284</x:v>
      </x:c>
      <x:c r="C783" s="9" t="n">
        <x:v>363</x:v>
      </x:c>
      <x:c r="D783" s="9" t="n">
        <x:v>2</x:v>
      </x:c>
      <x:c r="E783" s="9" t="n">
        <x:v>119470</x:v>
      </x:c>
      <x:c r="F783" s="9" t="n">
        <x:v>38900.9999999851</x:v>
      </x:c>
      <x:c r="G783" s="9" t="n">
        <x:v>31237.9999999851</x:v>
      </x:c>
      <x:c r="H783" s="9" t="n">
        <x:v>46659.9999999851</x:v>
      </x:c>
      <x:c r="I783" s="9" t="n">
        <x:v>2564.999999985099</x:v>
      </x:c>
      <x:c r="J783" s="9" t="n">
        <x:v>106.00000005960464</x:v>
      </x:c>
      <x:c r="K783" s="9" t="n">
        <x:f>F783+G783+I783+J783</x:f>
        <x:v>72810.0000000149</x:v>
      </x:c>
      <x:c r="L783" s="10" t="n">
        <x:f>K783/Sources!$B$4*1000</x:f>
        <x:v>20.340574011505623</x:v>
      </x:c>
      <x:c r="M783" s="10" t="n">
        <x:f>E783/Sources!$B$4*1000</x:f>
        <x:v>33.37575026993654</x:v>
      </x:c>
      <x:c r="N783" s="9" t="n">
        <x:f>Sources!$B$6-K783</x:f>
        <x:v>-13074.000000014901</x:v>
      </x:c>
      <x:c r="O783" s="1" t="str">
        <x:v>keyboard_route</x:v>
      </x:c>
      <x:c r="P783" s="12" t="n">
        <x:v>4</x:v>
      </x:c>
      <x:c r="Q783" s="12" t="n">
        <x:v>0</x:v>
      </x:c>
      <x:c r="R783" s="12" t="n">
        <x:v>4</x:v>
      </x:c>
      <x:c r="S783" s="12" t="n">
        <x:v>3</x:v>
      </x:c>
      <x:c r="T783" s="1" t="str">
        <x:v>No</x:v>
      </x:c>
      <x:c r="U783" s="1" t="n">
        <x:v>0</x:v>
      </x:c>
    </x:row>
    <x:row r="784" ht="23" customHeight="1">
      <x:c r="A784" s="9" t="n">
        <x:v>902</x:v>
      </x:c>
      <x:c r="B784" s="9" t="n">
        <x:v>288</x:v>
      </x:c>
      <x:c r="C784" s="9" t="n">
        <x:v>363</x:v>
      </x:c>
      <x:c r="D784" s="9" t="n">
        <x:v>2</x:v>
      </x:c>
      <x:c r="E784" s="9" t="n">
        <x:v>119476</x:v>
      </x:c>
      <x:c r="F784" s="9" t="n">
        <x:v>35993.0000000149</x:v>
      </x:c>
      <x:c r="G784" s="9" t="n">
        <x:v>49037.0000000149</x:v>
      </x:c>
      <x:c r="H784" s="9" t="n">
        <x:v>31774.9999999851</x:v>
      </x:c>
      <x:c r="I784" s="9" t="n">
        <x:v>2564.999999985099</x:v>
      </x:c>
      <x:c r="J784" s="9" t="n">
        <x:v>106</x:v>
      </x:c>
      <x:c r="K784" s="9" t="n">
        <x:f>F784+G784+I784+J784</x:f>
        <x:v>87701.0000000149</x:v>
      </x:c>
      <x:c r="L784" s="10" t="n">
        <x:f>K784/Sources!$B$4*1000</x:f>
        <x:v>24.50059993658828</x:v>
      </x:c>
      <x:c r="M784" s="10" t="n">
        <x:f>E784/Sources!$B$4*1000</x:f>
        <x:v>33.37742646062558</x:v>
      </x:c>
      <x:c r="N784" s="9" t="n">
        <x:f>Sources!$B$6-K784</x:f>
        <x:v>-27965.0000000149</x:v>
      </x:c>
      <x:c r="O784" s="1" t="str">
        <x:v>keyboard_route</x:v>
      </x:c>
      <x:c r="P784" s="12" t="n">
        <x:v>4</x:v>
      </x:c>
      <x:c r="Q784" s="12" t="n">
        <x:v>0</x:v>
      </x:c>
      <x:c r="R784" s="12" t="n">
        <x:v>0</x:v>
      </x:c>
      <x:c r="S784" s="12" t="n">
        <x:v>3</x:v>
      </x:c>
      <x:c r="T784" s="1" t="str">
        <x:v>Yes</x:v>
      </x:c>
      <x:c r="U784" s="1" t="n">
        <x:v>0</x:v>
      </x:c>
    </x:row>
    <x:row r="785" ht="23" customHeight="1">
      <x:c r="A785" s="9" t="n">
        <x:v>903</x:v>
      </x:c>
      <x:c r="B785" s="9" t="n">
        <x:v>292</x:v>
      </x:c>
      <x:c r="C785" s="9" t="n">
        <x:v>363</x:v>
      </x:c>
      <x:c r="D785" s="9" t="n">
        <x:v>2</x:v>
      </x:c>
      <x:c r="E785" s="9" t="n">
        <x:v>119469.9999999851</x:v>
      </x:c>
      <x:c r="F785" s="9" t="n">
        <x:v>44511</x:v>
      </x:c>
      <x:c r="G785" s="9" t="n">
        <x:v>31237.9999999851</x:v>
      </x:c>
      <x:c r="H785" s="9" t="n">
        <x:v>41050</x:v>
      </x:c>
      <x:c r="I785" s="9" t="n">
        <x:v>2565.000000014901</x:v>
      </x:c>
      <x:c r="J785" s="9" t="n">
        <x:v>105.99999998509884</x:v>
      </x:c>
      <x:c r="K785" s="9" t="n">
        <x:f>F785+G785+I785+J785</x:f>
        <x:v>78419.9999999851</x:v>
      </x:c>
      <x:c r="L785" s="10" t="n">
        <x:f>K785/Sources!$B$4*1000</x:f>
        <x:v>21.907812305749783</x:v>
      </x:c>
      <x:c r="M785" s="10" t="n">
        <x:f>E785/Sources!$B$4*1000</x:f>
        <x:v>33.375750269932375</x:v>
      </x:c>
      <x:c r="N785" s="9" t="n">
        <x:f>Sources!$B$6-K785</x:f>
        <x:v>-18683.9999999851</x:v>
      </x:c>
      <x:c r="O785" s="1" t="str">
        <x:v>keyboard_route</x:v>
      </x:c>
      <x:c r="P785" s="12" t="n">
        <x:v>4</x:v>
      </x:c>
      <x:c r="Q785" s="12" t="n">
        <x:v>0</x:v>
      </x:c>
      <x:c r="R785" s="12" t="n">
        <x:v>4</x:v>
      </x:c>
      <x:c r="S785" s="12" t="n">
        <x:v>3</x:v>
      </x:c>
      <x:c r="T785" s="1" t="str">
        <x:v>No</x:v>
      </x:c>
      <x:c r="U785" s="1" t="n">
        <x:v>0</x:v>
      </x:c>
    </x:row>
    <x:row r="786" ht="23" customHeight="1">
      <x:c r="A786" s="9" t="n">
        <x:v>904</x:v>
      </x:c>
      <x:c r="B786" s="9" t="n">
        <x:v>296</x:v>
      </x:c>
      <x:c r="C786" s="9" t="n">
        <x:v>363</x:v>
      </x:c>
      <x:c r="D786" s="9" t="n">
        <x:v>2</x:v>
      </x:c>
      <x:c r="E786" s="9" t="n">
        <x:v>119470.0000000149</x:v>
      </x:c>
      <x:c r="F786" s="9" t="n">
        <x:v>37867</x:v>
      </x:c>
      <x:c r="G786" s="9" t="n">
        <x:v>49037.0000000149</x:v>
      </x:c>
      <x:c r="H786" s="9" t="n">
        <x:v>29895</x:v>
      </x:c>
      <x:c r="I786" s="9" t="n">
        <x:v>2565.000000014901</x:v>
      </x:c>
      <x:c r="J786" s="9" t="n">
        <x:v>105.99999998509884</x:v>
      </x:c>
      <x:c r="K786" s="9" t="n">
        <x:f>F786+G786+I786+J786</x:f>
        <x:v>89575.0000000149</x:v>
      </x:c>
      <x:c r="L786" s="10" t="n">
        <x:f>K786/Sources!$B$4*1000</x:f>
        <x:v>25.024130161798467</x:v>
      </x:c>
      <x:c r="M786" s="10" t="n">
        <x:f>E786/Sources!$B$4*1000</x:f>
        <x:v>33.3757502699407</x:v>
      </x:c>
      <x:c r="N786" s="9" t="n">
        <x:f>Sources!$B$6-K786</x:f>
        <x:v>-29839.0000000149</x:v>
      </x:c>
      <x:c r="O786" s="1" t="str">
        <x:v>keyboard_route</x:v>
      </x:c>
      <x:c r="P786" s="12" t="n">
        <x:v>4</x:v>
      </x:c>
      <x:c r="Q786" s="12" t="n">
        <x:v>0</x:v>
      </x:c>
      <x:c r="R786" s="12" t="n">
        <x:v>0</x:v>
      </x:c>
      <x:c r="S786" s="12" t="n">
        <x:v>3</x:v>
      </x:c>
      <x:c r="T786" s="1" t="str">
        <x:v>Yes</x:v>
      </x:c>
      <x:c r="U786" s="1" t="n">
        <x:v>0</x:v>
      </x:c>
    </x:row>
    <x:row r="787" ht="23" customHeight="1">
      <x:c r="A787" s="9" t="n">
        <x:v>905</x:v>
      </x:c>
      <x:c r="B787" s="9" t="n">
        <x:v>300</x:v>
      </x:c>
      <x:c r="C787" s="9" t="n">
        <x:v>363</x:v>
      </x:c>
      <x:c r="D787" s="9" t="n">
        <x:v>2</x:v>
      </x:c>
      <x:c r="E787" s="9" t="n">
        <x:v>119472.9999999851</x:v>
      </x:c>
      <x:c r="F787" s="9" t="n">
        <x:v>38824</x:v>
      </x:c>
      <x:c r="G787" s="9" t="n">
        <x:v>31238</x:v>
      </x:c>
      <x:c r="H787" s="9" t="n">
        <x:v>46740</x:v>
      </x:c>
      <x:c r="I787" s="9" t="n">
        <x:v>2565.000000014901</x:v>
      </x:c>
      <x:c r="J787" s="9" t="n">
        <x:v>105.99999997019768</x:v>
      </x:c>
      <x:c r="K787" s="9" t="n">
        <x:f>F787+G787+I787+J787</x:f>
        <x:v>72732.9999999851</x:v>
      </x:c>
      <x:c r="L787" s="10" t="n">
        <x:f>K787/Sources!$B$4*1000</x:f>
        <x:v>20.319062897654618</x:v>
      </x:c>
      <x:c r="M787" s="10" t="n">
        <x:f>E787/Sources!$B$4*1000</x:f>
        <x:v>33.376588365276895</x:v>
      </x:c>
      <x:c r="N787" s="9" t="n">
        <x:f>Sources!$B$6-K787</x:f>
        <x:v>-12996.999999985099</x:v>
      </x:c>
      <x:c r="O787" s="1" t="str">
        <x:v>keyboard_route</x:v>
      </x:c>
      <x:c r="P787" s="12" t="n">
        <x:v>4</x:v>
      </x:c>
      <x:c r="Q787" s="12" t="n">
        <x:v>0</x:v>
      </x:c>
      <x:c r="R787" s="12" t="n">
        <x:v>4</x:v>
      </x:c>
      <x:c r="S787" s="12" t="n">
        <x:v>3</x:v>
      </x:c>
      <x:c r="T787" s="1" t="str">
        <x:v>No</x:v>
      </x:c>
      <x:c r="U787" s="1" t="n">
        <x:v>0</x:v>
      </x:c>
    </x:row>
    <x:row r="788" ht="23" customHeight="1">
      <x:c r="A788" s="9" t="n">
        <x:v>906</x:v>
      </x:c>
      <x:c r="B788" s="9" t="n">
        <x:v>304</x:v>
      </x:c>
      <x:c r="C788" s="9" t="n">
        <x:v>363</x:v>
      </x:c>
      <x:c r="D788" s="9" t="n">
        <x:v>2</x:v>
      </x:c>
      <x:c r="E788" s="9" t="n">
        <x:v>119474.0000000149</x:v>
      </x:c>
      <x:c r="F788" s="9" t="n">
        <x:v>33116</x:v>
      </x:c>
      <x:c r="G788" s="9" t="n">
        <x:v>49037.0000000149</x:v>
      </x:c>
      <x:c r="H788" s="9" t="n">
        <x:v>34650</x:v>
      </x:c>
      <x:c r="I788" s="9" t="n">
        <x:v>2565.000000014901</x:v>
      </x:c>
      <x:c r="J788" s="9" t="n">
        <x:v>105.99999998509884</x:v>
      </x:c>
      <x:c r="K788" s="9" t="n">
        <x:f>F788+G788+I788+J788</x:f>
        <x:v>84824.0000000149</x:v>
      </x:c>
      <x:c r="L788" s="10" t="n">
        <x:f>K788/Sources!$B$4*1000</x:f>
        <x:v>23.696866501193558</x:v>
      </x:c>
      <x:c r="M788" s="10" t="n">
        <x:f>E788/Sources!$B$4*1000</x:f>
        <x:v>33.376867730400065</x:v>
      </x:c>
      <x:c r="N788" s="9" t="n">
        <x:f>Sources!$B$6-K788</x:f>
        <x:v>-25088.0000000149</x:v>
      </x:c>
      <x:c r="O788" s="1" t="str">
        <x:v>keyboard_route</x:v>
      </x:c>
      <x:c r="P788" s="12" t="n">
        <x:v>4</x:v>
      </x:c>
      <x:c r="Q788" s="12" t="n">
        <x:v>0</x:v>
      </x:c>
      <x:c r="R788" s="12" t="n">
        <x:v>0</x:v>
      </x:c>
      <x:c r="S788" s="12" t="n">
        <x:v>3</x:v>
      </x:c>
      <x:c r="T788" s="1" t="str">
        <x:v>Yes</x:v>
      </x:c>
      <x:c r="U788" s="1" t="n">
        <x:v>0</x:v>
      </x:c>
    </x:row>
    <x:row r="789" ht="23" customHeight="1">
      <x:c r="A789" s="9" t="n">
        <x:v>907</x:v>
      </x:c>
      <x:c r="B789" s="9" t="n">
        <x:v>308</x:v>
      </x:c>
      <x:c r="C789" s="9" t="n">
        <x:v>363</x:v>
      </x:c>
      <x:c r="D789" s="9" t="n">
        <x:v>2</x:v>
      </x:c>
      <x:c r="E789" s="9" t="n">
        <x:v>119470.9999999851</x:v>
      </x:c>
      <x:c r="F789" s="9" t="n">
        <x:v>41811.9999999851</x:v>
      </x:c>
      <x:c r="G789" s="9" t="n">
        <x:v>31238</x:v>
      </x:c>
      <x:c r="H789" s="9" t="n">
        <x:v>43750</x:v>
      </x:c>
      <x:c r="I789" s="9" t="n">
        <x:v>2565.000000014901</x:v>
      </x:c>
      <x:c r="J789" s="9" t="n">
        <x:v>105.99999998509884</x:v>
      </x:c>
      <x:c r="K789" s="9" t="n">
        <x:f>F789+G789+I789+J789</x:f>
        <x:v>75720.9999999851</x:v>
      </x:c>
      <x:c r="L789" s="10" t="n">
        <x:f>K789/Sources!$B$4*1000</x:f>
        <x:v>21.15380586079658</x:v>
      </x:c>
      <x:c r="M789" s="10" t="n">
        <x:f>E789/Sources!$B$4*1000</x:f>
        <x:v>33.37602963504722</x:v>
      </x:c>
      <x:c r="N789" s="9" t="n">
        <x:f>Sources!$B$6-K789</x:f>
        <x:v>-15984.999999985099</x:v>
      </x:c>
      <x:c r="O789" s="1" t="str">
        <x:v>keyboard_route</x:v>
      </x:c>
      <x:c r="P789" s="12" t="n">
        <x:v>4</x:v>
      </x:c>
      <x:c r="Q789" s="12" t="n">
        <x:v>0</x:v>
      </x:c>
      <x:c r="R789" s="12" t="n">
        <x:v>4</x:v>
      </x:c>
      <x:c r="S789" s="12" t="n">
        <x:v>3</x:v>
      </x:c>
      <x:c r="T789" s="1" t="str">
        <x:v>No</x:v>
      </x:c>
      <x:c r="U789" s="1" t="n">
        <x:v>0</x:v>
      </x:c>
    </x:row>
    <x:row r="790" ht="23" customHeight="1">
      <x:c r="A790" s="9" t="n">
        <x:v>908</x:v>
      </x:c>
      <x:c r="B790" s="9" t="n">
        <x:v>312</x:v>
      </x:c>
      <x:c r="C790" s="9" t="n">
        <x:v>363</x:v>
      </x:c>
      <x:c r="D790" s="9" t="n">
        <x:v>2</x:v>
      </x:c>
      <x:c r="E790" s="9" t="n">
        <x:v>123844.0000000149</x:v>
      </x:c>
      <x:c r="F790" s="9" t="n">
        <x:v>46529</x:v>
      </x:c>
      <x:c r="G790" s="9" t="n">
        <x:v>50600.9999999851</x:v>
      </x:c>
      <x:c r="H790" s="9" t="n">
        <x:v>19670</x:v>
      </x:c>
      <x:c r="I790" s="9" t="n">
        <x:v>6937.999999970198</x:v>
      </x:c>
      <x:c r="J790" s="9" t="n">
        <x:v>106.00000005960464</x:v>
      </x:c>
      <x:c r="K790" s="9" t="n">
        <x:f>F790+G790+I790+J790</x:f>
        <x:v>104174.0000000149</x:v>
      </x:c>
      <x:c r="L790" s="10" t="n">
        <x:f>K790/Sources!$B$4*1000</x:f>
        <x:v>29.102581473347843</x:v>
      </x:c>
      <x:c r="M790" s="10" t="n">
        <x:f>E790/Sources!$B$4*1000</x:f>
        <x:v>34.59769328225093</x:v>
      </x:c>
      <x:c r="N790" s="9" t="n">
        <x:f>Sources!$B$6-K790</x:f>
        <x:v>-44438.0000000149</x:v>
      </x:c>
      <x:c r="O790" s="1" t="str">
        <x:v>keyboard_route</x:v>
      </x:c>
      <x:c r="P790" s="12" t="n">
        <x:v>4</x:v>
      </x:c>
      <x:c r="Q790" s="12" t="n">
        <x:v>0</x:v>
      </x:c>
      <x:c r="R790" s="12" t="n">
        <x:v>0</x:v>
      </x:c>
      <x:c r="S790" s="12" t="n">
        <x:v>3</x:v>
      </x:c>
      <x:c r="T790" s="1" t="str">
        <x:v>Yes</x:v>
      </x:c>
      <x:c r="U790" s="1" t="n">
        <x:v>0</x:v>
      </x:c>
    </x:row>
    <x:row r="791" ht="23" customHeight="1">
      <x:c r="A791" s="9" t="n">
        <x:v>909</x:v>
      </x:c>
      <x:c r="B791" s="9" t="n">
        <x:v>316</x:v>
      </x:c>
      <x:c r="C791" s="9" t="n">
        <x:v>363</x:v>
      </x:c>
      <x:c r="D791" s="9" t="n">
        <x:v>2</x:v>
      </x:c>
      <x:c r="E791" s="9" t="n">
        <x:v>115102</x:v>
      </x:c>
      <x:c r="F791" s="9" t="n">
        <x:v>47567.0000000149</x:v>
      </x:c>
      <x:c r="G791" s="9" t="n">
        <x:v>31244</x:v>
      </x:c>
      <x:c r="H791" s="9" t="n">
        <x:v>33619.9999999851</x:v>
      </x:c>
      <x:c r="I791" s="9" t="n">
        <x:v>2565.000000014901</x:v>
      </x:c>
      <x:c r="J791" s="9" t="n">
        <x:v>105.99999998509884</x:v>
      </x:c>
      <x:c r="K791" s="9" t="n">
        <x:f>F791+G791+I791+J791</x:f>
        <x:v>81482.0000000149</x:v>
      </x:c>
      <x:c r="L791" s="10" t="n">
        <x:f>K791/Sources!$B$4*1000</x:f>
        <x:v>22.76322828739823</x:v>
      </x:c>
      <x:c r="M791" s="10" t="n">
        <x:f>E791/Sources!$B$4*1000</x:f>
        <x:v>32.15548344831536</x:v>
      </x:c>
      <x:c r="N791" s="9" t="n">
        <x:f>Sources!$B$6-K791</x:f>
        <x:v>-21746.0000000149</x:v>
      </x:c>
      <x:c r="O791" s="1" t="str">
        <x:v>keyboard_route</x:v>
      </x:c>
      <x:c r="P791" s="12" t="n">
        <x:v>4</x:v>
      </x:c>
      <x:c r="Q791" s="12" t="n">
        <x:v>0</x:v>
      </x:c>
      <x:c r="R791" s="12" t="n">
        <x:v>4</x:v>
      </x:c>
      <x:c r="S791" s="12" t="n">
        <x:v>3</x:v>
      </x:c>
      <x:c r="T791" s="1" t="str">
        <x:v>No</x:v>
      </x:c>
      <x:c r="U791" s="1" t="n">
        <x:v>0</x:v>
      </x:c>
    </x:row>
    <x:row r="792" ht="23" customHeight="1">
      <x:c r="A792" s="9" t="n">
        <x:v>910</x:v>
      </x:c>
      <x:c r="B792" s="9" t="n">
        <x:v>316</x:v>
      </x:c>
      <x:c r="C792" s="9" t="n">
        <x:v>367</x:v>
      </x:c>
      <x:c r="D792" s="9" t="n">
        <x:v>2</x:v>
      </x:c>
      <x:c r="E792" s="9" t="n">
        <x:v>121021</x:v>
      </x:c>
      <x:c r="F792" s="9" t="n">
        <x:v>42063</x:v>
      </x:c>
      <x:c r="G792" s="9" t="n">
        <x:v>28045</x:v>
      </x:c>
      <x:c r="H792" s="9" t="n">
        <x:v>46690</x:v>
      </x:c>
      <x:c r="I792" s="9" t="n">
        <x:v>4116.999999985099</x:v>
      </x:c>
      <x:c r="J792" s="9" t="n">
        <x:v>106.00000001490116</x:v>
      </x:c>
      <x:c r="K792" s="9" t="n">
        <x:f>F792+G792+I792+J792</x:f>
        <x:v>74331</x:v>
      </x:c>
      <x:c r="L792" s="10" t="n">
        <x:f>K792/Sources!$B$4*1000</x:f>
        <x:v>20.765488351173126</x:v>
      </x:c>
      <x:c r="M792" s="10" t="n">
        <x:f>E792/Sources!$B$4*1000</x:f>
        <x:v>33.8090455630534</x:v>
      </x:c>
      <x:c r="N792" s="9" t="n">
        <x:f>Sources!$B$6-K792</x:f>
        <x:v>-14595</x:v>
      </x:c>
      <x:c r="O792" s="1" t="str">
        <x:v>keyboard_route</x:v>
      </x:c>
      <x:c r="P792" s="12" t="n">
        <x:v>0</x:v>
      </x:c>
      <x:c r="Q792" s="12" t="n">
        <x:v>4</x:v>
      </x:c>
      <x:c r="R792" s="12" t="n">
        <x:v>4</x:v>
      </x:c>
      <x:c r="S792" s="12" t="n">
        <x:v>7</x:v>
      </x:c>
      <x:c r="T792" s="1" t="str">
        <x:v>No</x:v>
      </x:c>
      <x:c r="U792" s="1" t="n">
        <x:v>0</x:v>
      </x:c>
    </x:row>
    <x:row r="793" ht="23" customHeight="1">
      <x:c r="A793" s="9" t="n">
        <x:v>911</x:v>
      </x:c>
      <x:c r="B793" s="9" t="n">
        <x:v>316</x:v>
      </x:c>
      <x:c r="C793" s="9" t="n">
        <x:v>371</x:v>
      </x:c>
      <x:c r="D793" s="9" t="n">
        <x:v>2</x:v>
      </x:c>
      <x:c r="E793" s="9" t="n">
        <x:v>119473</x:v>
      </x:c>
      <x:c r="F793" s="9" t="n">
        <x:v>42490.0000000149</x:v>
      </x:c>
      <x:c r="G793" s="9" t="n">
        <x:v>41010</x:v>
      </x:c>
      <x:c r="H793" s="9" t="n">
        <x:v>31750</x:v>
      </x:c>
      <x:c r="I793" s="9" t="n">
        <x:v>4117.000000014901</x:v>
      </x:c>
      <x:c r="J793" s="9" t="n">
        <x:v>105.99999997019768</x:v>
      </x:c>
      <x:c r="K793" s="9" t="n">
        <x:f>F793+G793+I793+J793</x:f>
        <x:v>87723</x:v>
      </x:c>
      <x:c r="L793" s="10" t="n">
        <x:f>K793/Sources!$B$4*1000</x:f>
        <x:v>24.5067459691106</x:v>
      </x:c>
      <x:c r="M793" s="10" t="n">
        <x:f>E793/Sources!$B$4*1000</x:f>
        <x:v>33.37658836528106</x:v>
      </x:c>
      <x:c r="N793" s="9" t="n">
        <x:f>Sources!$B$6-K793</x:f>
        <x:v>-27987</x:v>
      </x:c>
      <x:c r="O793" s="1" t="str">
        <x:v>keyboard_route</x:v>
      </x:c>
      <x:c r="P793" s="12" t="n">
        <x:v>0</x:v>
      </x:c>
      <x:c r="Q793" s="12" t="n">
        <x:v>4</x:v>
      </x:c>
      <x:c r="R793" s="12" t="n">
        <x:v>4</x:v>
      </x:c>
      <x:c r="S793" s="12" t="n">
        <x:v>3</x:v>
      </x:c>
      <x:c r="T793" s="1" t="str">
        <x:v>Yes</x:v>
      </x:c>
      <x:c r="U793" s="1" t="n">
        <x:v>0</x:v>
      </x:c>
    </x:row>
    <x:row r="794" ht="23" customHeight="1">
      <x:c r="A794" s="9" t="n">
        <x:v>912</x:v>
      </x:c>
      <x:c r="B794" s="9" t="n">
        <x:v>316</x:v>
      </x:c>
      <x:c r="C794" s="9" t="n">
        <x:v>375</x:v>
      </x:c>
      <x:c r="D794" s="9" t="n">
        <x:v>2</x:v>
      </x:c>
      <x:c r="E794" s="9" t="n">
        <x:v>119472.9999999851</x:v>
      </x:c>
      <x:c r="F794" s="9" t="n">
        <x:v>46098.9999999851</x:v>
      </x:c>
      <x:c r="G794" s="9" t="n">
        <x:v>29335.9999999851</x:v>
      </x:c>
      <x:c r="H794" s="9" t="n">
        <x:v>39815</x:v>
      </x:c>
      <x:c r="I794" s="9" t="n">
        <x:v>4116.999999985099</x:v>
      </x:c>
      <x:c r="J794" s="9" t="n">
        <x:v>106.00000002980232</x:v>
      </x:c>
      <x:c r="K794" s="9" t="n">
        <x:f>F794+G794+I794+J794</x:f>
        <x:v>79657.9999999851</x:v>
      </x:c>
      <x:c r="L794" s="10" t="n">
        <x:f>K794/Sources!$B$4*1000</x:f>
        <x:v>22.25366631792172</x:v>
      </x:c>
      <x:c r="M794" s="10" t="n">
        <x:f>E794/Sources!$B$4*1000</x:f>
        <x:v>33.376588365276895</x:v>
      </x:c>
      <x:c r="N794" s="9" t="n">
        <x:f>Sources!$B$6-K794</x:f>
        <x:v>-19921.9999999851</x:v>
      </x:c>
      <x:c r="O794" s="1" t="str">
        <x:v>keyboard_route</x:v>
      </x:c>
      <x:c r="P794" s="12" t="n">
        <x:v>0</x:v>
      </x:c>
      <x:c r="Q794" s="12" t="n">
        <x:v>4</x:v>
      </x:c>
      <x:c r="R794" s="12" t="n">
        <x:v>4</x:v>
      </x:c>
      <x:c r="S794" s="12" t="n">
        <x:v>7</x:v>
      </x:c>
      <x:c r="T794" s="1" t="str">
        <x:v>No</x:v>
      </x:c>
      <x:c r="U794" s="1" t="n">
        <x:v>0</x:v>
      </x:c>
    </x:row>
    <x:row r="795" ht="23" customHeight="1">
      <x:c r="A795" s="9" t="n">
        <x:v>913</x:v>
      </x:c>
      <x:c r="B795" s="9" t="n">
        <x:v>316</x:v>
      </x:c>
      <x:c r="C795" s="9" t="n">
        <x:v>379</x:v>
      </x:c>
      <x:c r="D795" s="9" t="n">
        <x:v>2</x:v>
      </x:c>
      <x:c r="E795" s="9" t="n">
        <x:v>119473.0000000149</x:v>
      </x:c>
      <x:c r="F795" s="9" t="n">
        <x:v>42440</x:v>
      </x:c>
      <x:c r="G795" s="9" t="n">
        <x:v>41010</x:v>
      </x:c>
      <x:c r="H795" s="9" t="n">
        <x:v>31799.9999999851</x:v>
      </x:c>
      <x:c r="I795" s="9" t="n">
        <x:v>4116.999999985099</x:v>
      </x:c>
      <x:c r="J795" s="9" t="n">
        <x:v>106.00000004470348</x:v>
      </x:c>
      <x:c r="K795" s="9" t="n">
        <x:f>F795+G795+I795+J795</x:f>
        <x:v>87673.0000000298</x:v>
      </x:c>
      <x:c r="L795" s="10" t="n">
        <x:f>K795/Sources!$B$4*1000</x:f>
        <x:v>24.492777713376924</x:v>
      </x:c>
      <x:c r="M795" s="10" t="n">
        <x:f>E795/Sources!$B$4*1000</x:f>
        <x:v>33.37658836528522</x:v>
      </x:c>
      <x:c r="N795" s="9" t="n">
        <x:f>Sources!$B$6-K795</x:f>
        <x:v>-27937.000000029802</x:v>
      </x:c>
      <x:c r="O795" s="1" t="str">
        <x:v>keyboard_route</x:v>
      </x:c>
      <x:c r="P795" s="12" t="n">
        <x:v>0</x:v>
      </x:c>
      <x:c r="Q795" s="12" t="n">
        <x:v>4</x:v>
      </x:c>
      <x:c r="R795" s="12" t="n">
        <x:v>4</x:v>
      </x:c>
      <x:c r="S795" s="12" t="n">
        <x:v>3</x:v>
      </x:c>
      <x:c r="T795" s="1" t="str">
        <x:v>Yes</x:v>
      </x:c>
      <x:c r="U795" s="1" t="n">
        <x:v>0</x:v>
      </x:c>
    </x:row>
    <x:row r="796" ht="23" customHeight="1">
      <x:c r="A796" s="9" t="n">
        <x:v>914</x:v>
      </x:c>
      <x:c r="B796" s="9" t="n">
        <x:v>316</x:v>
      </x:c>
      <x:c r="C796" s="9" t="n">
        <x:v>383</x:v>
      </x:c>
      <x:c r="D796" s="9" t="n">
        <x:v>2</x:v>
      </x:c>
      <x:c r="E796" s="9" t="n">
        <x:v>119469</x:v>
      </x:c>
      <x:c r="F796" s="9" t="n">
        <x:v>44345</x:v>
      </x:c>
      <x:c r="G796" s="9" t="n">
        <x:v>29335.9999999851</x:v>
      </x:c>
      <x:c r="H796" s="9" t="n">
        <x:v>41564.9999999851</x:v>
      </x:c>
      <x:c r="I796" s="9" t="n">
        <x:v>4116.999999985099</x:v>
      </x:c>
      <x:c r="J796" s="9" t="n">
        <x:v>106.00000004470348</x:v>
      </x:c>
      <x:c r="K796" s="9" t="n">
        <x:f>F796+G796+I796+J796</x:f>
        <x:v>77904.0000000149</x:v>
      </x:c>
      <x:c r="L796" s="10" t="n">
        <x:f>K796/Sources!$B$4*1000</x:f>
        <x:v>21.76365990650066</x:v>
      </x:c>
      <x:c r="M796" s="10" t="n">
        <x:f>E796/Sources!$B$4*1000</x:f>
        <x:v>33.375470904821704</x:v>
      </x:c>
      <x:c r="N796" s="9" t="n">
        <x:f>Sources!$B$6-K796</x:f>
        <x:v>-18168.0000000149</x:v>
      </x:c>
      <x:c r="O796" s="1" t="str">
        <x:v>keyboard_route</x:v>
      </x:c>
      <x:c r="P796" s="12" t="n">
        <x:v>0</x:v>
      </x:c>
      <x:c r="Q796" s="12" t="n">
        <x:v>4</x:v>
      </x:c>
      <x:c r="R796" s="12" t="n">
        <x:v>4</x:v>
      </x:c>
      <x:c r="S796" s="12" t="n">
        <x:v>7</x:v>
      </x:c>
      <x:c r="T796" s="1" t="str">
        <x:v>No</x:v>
      </x:c>
      <x:c r="U796" s="1" t="n">
        <x:v>0</x:v>
      </x:c>
    </x:row>
    <x:row r="797" ht="23" customHeight="1">
      <x:c r="A797" s="9" t="n">
        <x:v>915</x:v>
      </x:c>
      <x:c r="B797" s="9" t="n">
        <x:v>316</x:v>
      </x:c>
      <x:c r="C797" s="9" t="n">
        <x:v>387</x:v>
      </x:c>
      <x:c r="D797" s="9" t="n">
        <x:v>2</x:v>
      </x:c>
      <x:c r="E797" s="9" t="n">
        <x:v>119474</x:v>
      </x:c>
      <x:c r="F797" s="9" t="n">
        <x:v>39854.0000000149</x:v>
      </x:c>
      <x:c r="G797" s="9" t="n">
        <x:v>41847.0000000149</x:v>
      </x:c>
      <x:c r="H797" s="9" t="n">
        <x:v>33550.0000000149</x:v>
      </x:c>
      <x:c r="I797" s="9" t="n">
        <x:v>4116.999999985099</x:v>
      </x:c>
      <x:c r="J797" s="9" t="n">
        <x:v>105.99999997019768</x:v>
      </x:c>
      <x:c r="K797" s="9" t="n">
        <x:f>F797+G797+I797+J797</x:f>
        <x:v>85923.9999999851</x:v>
      </x:c>
      <x:c r="L797" s="10" t="n">
        <x:f>K797/Sources!$B$4*1000</x:f>
        <x:v>24.00416812750925</x:v>
      </x:c>
      <x:c r="M797" s="10" t="n">
        <x:f>E797/Sources!$B$4*1000</x:f>
        <x:v>33.3768677303959</x:v>
      </x:c>
      <x:c r="N797" s="9" t="n">
        <x:f>Sources!$B$6-K797</x:f>
        <x:v>-26187.9999999851</x:v>
      </x:c>
      <x:c r="O797" s="1" t="str">
        <x:v>keyboard_route</x:v>
      </x:c>
      <x:c r="P797" s="12" t="n">
        <x:v>0</x:v>
      </x:c>
      <x:c r="Q797" s="12" t="n">
        <x:v>4</x:v>
      </x:c>
      <x:c r="R797" s="12" t="n">
        <x:v>4</x:v>
      </x:c>
      <x:c r="S797" s="12" t="n">
        <x:v>3</x:v>
      </x:c>
      <x:c r="T797" s="1" t="str">
        <x:v>Yes</x:v>
      </x:c>
      <x:c r="U797" s="1" t="n">
        <x:v>0</x:v>
      </x:c>
    </x:row>
    <x:row r="798" ht="23" customHeight="1">
      <x:c r="A798" s="9" t="n">
        <x:v>916</x:v>
      </x:c>
      <x:c r="B798" s="9" t="n">
        <x:v>316</x:v>
      </x:c>
      <x:c r="C798" s="9" t="n">
        <x:v>391</x:v>
      </x:c>
      <x:c r="D798" s="9" t="n">
        <x:v>2</x:v>
      </x:c>
      <x:c r="E798" s="9" t="n">
        <x:v>119469</x:v>
      </x:c>
      <x:c r="F798" s="9" t="n">
        <x:v>45933.0000000149</x:v>
      </x:c>
      <x:c r="G798" s="9" t="n">
        <x:v>28473.0000000149</x:v>
      </x:c>
      <x:c r="H798" s="9" t="n">
        <x:v>40840.0000000149</x:v>
      </x:c>
      <x:c r="I798" s="9" t="n">
        <x:v>4116.999999985099</x:v>
      </x:c>
      <x:c r="J798" s="9" t="n">
        <x:v>105.99999997019768</x:v>
      </x:c>
      <x:c r="K798" s="9" t="n">
        <x:f>F798+G798+I798+J798</x:f>
        <x:v>78628.9999999851</x:v>
      </x:c>
      <x:c r="L798" s="10" t="n">
        <x:f>K798/Sources!$B$4*1000</x:f>
        <x:v>21.966199614751343</x:v>
      </x:c>
      <x:c r="M798" s="10" t="n">
        <x:f>E798/Sources!$B$4*1000</x:f>
        <x:v>33.375470904821704</x:v>
      </x:c>
      <x:c r="N798" s="9" t="n">
        <x:f>Sources!$B$6-K798</x:f>
        <x:v>-18892.9999999851</x:v>
      </x:c>
      <x:c r="O798" s="1" t="str">
        <x:v>keyboard_route</x:v>
      </x:c>
      <x:c r="P798" s="12" t="n">
        <x:v>0</x:v>
      </x:c>
      <x:c r="Q798" s="12" t="n">
        <x:v>4</x:v>
      </x:c>
      <x:c r="R798" s="12" t="n">
        <x:v>4</x:v>
      </x:c>
      <x:c r="S798" s="12" t="n">
        <x:v>7</x:v>
      </x:c>
      <x:c r="T798" s="1" t="str">
        <x:v>No</x:v>
      </x:c>
      <x:c r="U798" s="1" t="n">
        <x:v>0</x:v>
      </x:c>
    </x:row>
    <x:row r="799" ht="23" customHeight="1">
      <x:c r="A799" s="9" t="n">
        <x:v>917</x:v>
      </x:c>
      <x:c r="B799" s="9" t="n">
        <x:v>316</x:v>
      </x:c>
      <x:c r="C799" s="9" t="n">
        <x:v>395</x:v>
      </x:c>
      <x:c r="D799" s="9" t="n">
        <x:v>2</x:v>
      </x:c>
      <x:c r="E799" s="9" t="n">
        <x:v>119471.9999999851</x:v>
      </x:c>
      <x:c r="F799" s="9" t="n">
        <x:v>43302.0000000149</x:v>
      </x:c>
      <x:c r="G799" s="9" t="n">
        <x:v>41847.0000000149</x:v>
      </x:c>
      <x:c r="H799" s="9" t="n">
        <x:v>30100</x:v>
      </x:c>
      <x:c r="I799" s="9" t="n">
        <x:v>4117.000000014901</x:v>
      </x:c>
      <x:c r="J799" s="9" t="n">
        <x:v>105.99999994039536</x:v>
      </x:c>
      <x:c r="K799" s="9" t="n">
        <x:f>F799+G799+I799+J799</x:f>
        <x:v>89371.9999999851</x:v>
      </x:c>
      <x:c r="L799" s="10" t="n">
        <x:f>K799/Sources!$B$4*1000</x:f>
        <x:v>24.967419043477623</x:v>
      </x:c>
      <x:c r="M799" s="10" t="n">
        <x:f>E799/Sources!$B$4*1000</x:f>
        <x:v>33.37630900016206</x:v>
      </x:c>
      <x:c r="N799" s="9" t="n">
        <x:f>Sources!$B$6-K799</x:f>
        <x:v>-29635.9999999851</x:v>
      </x:c>
      <x:c r="O799" s="1" t="str">
        <x:v>keyboard_route</x:v>
      </x:c>
      <x:c r="P799" s="12" t="n">
        <x:v>0</x:v>
      </x:c>
      <x:c r="Q799" s="12" t="n">
        <x:v>4</x:v>
      </x:c>
      <x:c r="R799" s="12" t="n">
        <x:v>4</x:v>
      </x:c>
      <x:c r="S799" s="12" t="n">
        <x:v>3</x:v>
      </x:c>
      <x:c r="T799" s="1" t="str">
        <x:v>Yes</x:v>
      </x:c>
      <x:c r="U799" s="1" t="n">
        <x:v>0</x:v>
      </x:c>
    </x:row>
    <x:row r="800" ht="23" customHeight="1">
      <x:c r="A800" s="9" t="n">
        <x:v>918</x:v>
      </x:c>
      <x:c r="B800" s="9" t="n">
        <x:v>316</x:v>
      </x:c>
      <x:c r="C800" s="9" t="n">
        <x:v>399</x:v>
      </x:c>
      <x:c r="D800" s="9" t="n">
        <x:v>2</x:v>
      </x:c>
      <x:c r="E800" s="9" t="n">
        <x:v>121368</x:v>
      </x:c>
      <x:c r="F800" s="9" t="n">
        <x:v>47134</x:v>
      </x:c>
      <x:c r="G800" s="9" t="n">
        <x:v>27610</x:v>
      </x:c>
      <x:c r="H800" s="9" t="n">
        <x:v>40504.9999999851</x:v>
      </x:c>
      <x:c r="I800" s="9" t="n">
        <x:v>6013.000000014901</x:v>
      </x:c>
      <x:c r="J800" s="9" t="n">
        <x:v>106</x:v>
      </x:c>
      <x:c r="K800" s="9" t="n">
        <x:f>F800+G800+I800+J800</x:f>
        <x:v>80863.0000000149</x:v>
      </x:c>
      <x:c r="L800" s="10" t="n">
        <x:f>K800/Sources!$B$4*1000</x:f>
        <x:v>22.59030128131226</x:v>
      </x:c>
      <x:c r="M800" s="10" t="n">
        <x:f>E800/Sources!$B$4*1000</x:f>
        <x:v>33.90598525790289</x:v>
      </x:c>
      <x:c r="N800" s="9" t="n">
        <x:f>Sources!$B$6-K800</x:f>
        <x:v>-21127.0000000149</x:v>
      </x:c>
      <x:c r="O800" s="1" t="str">
        <x:v>keyboard_route</x:v>
      </x:c>
      <x:c r="P800" s="12" t="n">
        <x:v>0</x:v>
      </x:c>
      <x:c r="Q800" s="12" t="n">
        <x:v>4</x:v>
      </x:c>
      <x:c r="R800" s="12" t="n">
        <x:v>4</x:v>
      </x:c>
      <x:c r="S800" s="12" t="n">
        <x:v>7</x:v>
      </x:c>
      <x:c r="T800" s="1" t="str">
        <x:v>No</x:v>
      </x:c>
      <x:c r="U800" s="1" t="n">
        <x:v>0</x:v>
      </x:c>
    </x:row>
    <x:row r="801" ht="23" customHeight="1">
      <x:c r="A801" s="9" t="n">
        <x:v>919</x:v>
      </x:c>
      <x:c r="B801" s="9" t="n">
        <x:v>316</x:v>
      </x:c>
      <x:c r="C801" s="9" t="n">
        <x:v>403</x:v>
      </x:c>
      <x:c r="D801" s="9" t="n">
        <x:v>2</x:v>
      </x:c>
      <x:c r="E801" s="9" t="n">
        <x:v>117580.0000000149</x:v>
      </x:c>
      <x:c r="F801" s="9" t="n">
        <x:v>43398</x:v>
      </x:c>
      <x:c r="G801" s="9" t="n">
        <x:v>40984</x:v>
      </x:c>
      <x:c r="H801" s="9" t="n">
        <x:v>28975.0000000149</x:v>
      </x:c>
      <x:c r="I801" s="9" t="n">
        <x:v>4117.000000014901</x:v>
      </x:c>
      <x:c r="J801" s="9" t="n">
        <x:v>105.99999998509884</x:v>
      </x:c>
      <x:c r="K801" s="9" t="n">
        <x:f>F801+G801+I801+J801</x:f>
        <x:v>88605</x:v>
      </x:c>
      <x:c r="L801" s="10" t="n">
        <x:f>K801/Sources!$B$4*1000</x:f>
        <x:v>24.753146000399493</x:v>
      </x:c>
      <x:c r="M801" s="10" t="n">
        <x:f>E801/Sources!$B$4*1000</x:f>
        <x:v>32.84775020289308</x:v>
      </x:c>
      <x:c r="N801" s="9" t="n">
        <x:f>Sources!$B$6-K801</x:f>
        <x:v>-28869</x:v>
      </x:c>
      <x:c r="O801" s="1" t="str">
        <x:v>keyboard_route</x:v>
      </x:c>
      <x:c r="P801" s="12" t="n">
        <x:v>0</x:v>
      </x:c>
      <x:c r="Q801" s="12" t="n">
        <x:v>4</x:v>
      </x:c>
      <x:c r="R801" s="12" t="n">
        <x:v>4</x:v>
      </x:c>
      <x:c r="S801" s="12" t="n">
        <x:v>3</x:v>
      </x:c>
      <x:c r="T801" s="1" t="str">
        <x:v>Yes</x:v>
      </x:c>
      <x:c r="U801" s="1" t="n">
        <x:v>0</x:v>
      </x:c>
    </x:row>
    <x:row r="802" ht="23" customHeight="1">
      <x:c r="A802" s="9" t="n">
        <x:v>920</x:v>
      </x:c>
      <x:c r="B802" s="9" t="n">
        <x:v>316</x:v>
      </x:c>
      <x:c r="C802" s="9" t="n">
        <x:v>407</x:v>
      </x:c>
      <x:c r="D802" s="9" t="n">
        <x:v>2</x:v>
      </x:c>
      <x:c r="E802" s="9" t="n">
        <x:v>119470</x:v>
      </x:c>
      <x:c r="F802" s="9" t="n">
        <x:v>43727</x:v>
      </x:c>
      <x:c r="G802" s="9" t="n">
        <x:v>27610</x:v>
      </x:c>
      <x:c r="H802" s="9" t="n">
        <x:v>43910</x:v>
      </x:c>
      <x:c r="I802" s="9" t="n">
        <x:v>4116.999999985099</x:v>
      </x:c>
      <x:c r="J802" s="9" t="n">
        <x:v>106.00000001490116</x:v>
      </x:c>
      <x:c r="K802" s="9" t="n">
        <x:f>F802+G802+I802+J802</x:f>
        <x:v>75560</x:v>
      </x:c>
      <x:c r="L802" s="10" t="n">
        <x:f>K802/Sources!$B$4*1000</x:f>
        <x:v>21.1088280773115</x:v>
      </x:c>
      <x:c r="M802" s="10" t="n">
        <x:f>E802/Sources!$B$4*1000</x:f>
        <x:v>33.37575026993654</x:v>
      </x:c>
      <x:c r="N802" s="9" t="n">
        <x:f>Sources!$B$6-K802</x:f>
        <x:v>-15824</x:v>
      </x:c>
      <x:c r="O802" s="1" t="str">
        <x:v>keyboard_route</x:v>
      </x:c>
      <x:c r="P802" s="12" t="n">
        <x:v>0</x:v>
      </x:c>
      <x:c r="Q802" s="12" t="n">
        <x:v>4</x:v>
      </x:c>
      <x:c r="R802" s="12" t="n">
        <x:v>4</x:v>
      </x:c>
      <x:c r="S802" s="12" t="n">
        <x:v>7</x:v>
      </x:c>
      <x:c r="T802" s="1" t="str">
        <x:v>No</x:v>
      </x:c>
      <x:c r="U802" s="1" t="n">
        <x:v>0</x:v>
      </x:c>
    </x:row>
    <x:row r="803" ht="23" customHeight="1">
      <x:c r="A803" s="9" t="n">
        <x:v>921</x:v>
      </x:c>
      <x:c r="B803" s="9" t="n">
        <x:v>316</x:v>
      </x:c>
      <x:c r="C803" s="9" t="n">
        <x:v>411</x:v>
      </x:c>
      <x:c r="D803" s="9" t="n">
        <x:v>2</x:v>
      </x:c>
      <x:c r="E803" s="9" t="n">
        <x:v>119471.9999999851</x:v>
      </x:c>
      <x:c r="F803" s="9" t="n">
        <x:v>46721.0000000149</x:v>
      </x:c>
      <x:c r="G803" s="9" t="n">
        <x:v>40977.9999999851</x:v>
      </x:c>
      <x:c r="H803" s="9" t="n">
        <x:v>27550.0000000149</x:v>
      </x:c>
      <x:c r="I803" s="9" t="n">
        <x:v>4117.000000014901</x:v>
      </x:c>
      <x:c r="J803" s="9" t="n">
        <x:v>105.99999995529652</x:v>
      </x:c>
      <x:c r="K803" s="9" t="n">
        <x:f>F803+G803+I803+J803</x:f>
        <x:v>91921.9999999702</x:v>
      </x:c>
      <x:c r="L803" s="10" t="n">
        <x:f>K803/Sources!$B$4*1000</x:f>
        <x:v>25.679800086315495</x:v>
      </x:c>
      <x:c r="M803" s="10" t="n">
        <x:f>E803/Sources!$B$4*1000</x:f>
        <x:v>33.37630900016206</x:v>
      </x:c>
      <x:c r="N803" s="9" t="n">
        <x:f>Sources!$B$6-K803</x:f>
        <x:v>-32185.999999970198</x:v>
      </x:c>
      <x:c r="O803" s="1" t="str">
        <x:v>keyboard_route</x:v>
      </x:c>
      <x:c r="P803" s="12" t="n">
        <x:v>0</x:v>
      </x:c>
      <x:c r="Q803" s="12" t="n">
        <x:v>4</x:v>
      </x:c>
      <x:c r="R803" s="12" t="n">
        <x:v>4</x:v>
      </x:c>
      <x:c r="S803" s="12" t="n">
        <x:v>3</x:v>
      </x:c>
      <x:c r="T803" s="1" t="str">
        <x:v>Yes</x:v>
      </x:c>
      <x:c r="U803" s="1" t="n">
        <x:v>0</x:v>
      </x:c>
    </x:row>
    <x:row r="804" ht="23" customHeight="1">
      <x:c r="A804" s="9" t="n">
        <x:v>922</x:v>
      </x:c>
      <x:c r="B804" s="9" t="n">
        <x:v>316</x:v>
      </x:c>
      <x:c r="C804" s="9" t="n">
        <x:v>415</x:v>
      </x:c>
      <x:c r="D804" s="9" t="n">
        <x:v>2</x:v>
      </x:c>
      <x:c r="E804" s="9" t="n">
        <x:v>119472.0000000149</x:v>
      </x:c>
      <x:c r="F804" s="9" t="n">
        <x:v>47284.9999999851</x:v>
      </x:c>
      <x:c r="G804" s="9" t="n">
        <x:v>27604</x:v>
      </x:c>
      <x:c r="H804" s="9" t="n">
        <x:v>40360</x:v>
      </x:c>
      <x:c r="I804" s="9" t="n">
        <x:v>4117.000000014901</x:v>
      </x:c>
      <x:c r="J804" s="9" t="n">
        <x:v>106.00000001490116</x:v>
      </x:c>
      <x:c r="K804" s="9" t="n">
        <x:f>F804+G804+I804+J804</x:f>
        <x:v>79112.0000000149</x:v>
      </x:c>
      <x:c r="L804" s="10" t="n">
        <x:f>K804/Sources!$B$4*1000</x:f>
        <x:v>22.101132965227396</x:v>
      </x:c>
      <x:c r="M804" s="10" t="n">
        <x:f>E804/Sources!$B$4*1000</x:f>
        <x:v>33.37630900017039</x:v>
      </x:c>
      <x:c r="N804" s="9" t="n">
        <x:f>Sources!$B$6-K804</x:f>
        <x:v>-19376.0000000149</x:v>
      </x:c>
      <x:c r="O804" s="1" t="str">
        <x:v>keyboard_route</x:v>
      </x:c>
      <x:c r="P804" s="12" t="n">
        <x:v>0</x:v>
      </x:c>
      <x:c r="Q804" s="12" t="n">
        <x:v>4</x:v>
      </x:c>
      <x:c r="R804" s="12" t="n">
        <x:v>4</x:v>
      </x:c>
      <x:c r="S804" s="12" t="n">
        <x:v>7</x:v>
      </x:c>
      <x:c r="T804" s="1" t="str">
        <x:v>No</x:v>
      </x:c>
      <x:c r="U804" s="1" t="n">
        <x:v>0</x:v>
      </x:c>
    </x:row>
    <x:row r="805" ht="23" customHeight="1">
      <x:c r="A805" s="9" t="n">
        <x:v>923</x:v>
      </x:c>
      <x:c r="B805" s="9" t="n">
        <x:v>316</x:v>
      </x:c>
      <x:c r="C805" s="9" t="n">
        <x:v>419</x:v>
      </x:c>
      <x:c r="D805" s="9" t="n">
        <x:v>2</x:v>
      </x:c>
      <x:c r="E805" s="9" t="n">
        <x:v>119470.9999999851</x:v>
      </x:c>
      <x:c r="F805" s="9" t="n">
        <x:v>47664</x:v>
      </x:c>
      <x:c r="G805" s="9" t="n">
        <x:v>41004</x:v>
      </x:c>
      <x:c r="H805" s="9" t="n">
        <x:v>26580</x:v>
      </x:c>
      <x:c r="I805" s="9" t="n">
        <x:v>4117.000000014901</x:v>
      </x:c>
      <x:c r="J805" s="9" t="n">
        <x:v>105.99999997019768</x:v>
      </x:c>
      <x:c r="K805" s="9" t="n">
        <x:f>F805+G805+I805+J805</x:f>
        <x:v>92890.9999999851</x:v>
      </x:c>
      <x:c r="L805" s="10" t="n">
        <x:f>K805/Sources!$B$4*1000</x:f>
        <x:v>25.95050488259963</x:v>
      </x:c>
      <x:c r="M805" s="10" t="n">
        <x:f>E805/Sources!$B$4*1000</x:f>
        <x:v>33.37602963504722</x:v>
      </x:c>
      <x:c r="N805" s="9" t="n">
        <x:f>Sources!$B$6-K805</x:f>
        <x:v>-33154.9999999851</x:v>
      </x:c>
      <x:c r="O805" s="1" t="str">
        <x:v>keyboard_route</x:v>
      </x:c>
      <x:c r="P805" s="12" t="n">
        <x:v>0</x:v>
      </x:c>
      <x:c r="Q805" s="12" t="n">
        <x:v>4</x:v>
      </x:c>
      <x:c r="R805" s="12" t="n">
        <x:v>4</x:v>
      </x:c>
      <x:c r="S805" s="12" t="n">
        <x:v>3</x:v>
      </x:c>
      <x:c r="T805" s="1" t="str">
        <x:v>Yes</x:v>
      </x:c>
      <x:c r="U805" s="1" t="n">
        <x:v>0</x:v>
      </x:c>
    </x:row>
    <x:row r="806" ht="23" customHeight="1">
      <x:c r="A806" s="9" t="n">
        <x:v>924</x:v>
      </x:c>
      <x:c r="B806" s="9" t="n">
        <x:v>316</x:v>
      </x:c>
      <x:c r="C806" s="9" t="n">
        <x:v>423</x:v>
      </x:c>
      <x:c r="D806" s="9" t="n">
        <x:v>2</x:v>
      </x:c>
      <x:c r="E806" s="9" t="n">
        <x:v>119473</x:v>
      </x:c>
      <x:c r="F806" s="9" t="n">
        <x:v>44121</x:v>
      </x:c>
      <x:c r="G806" s="9" t="n">
        <x:v>27604</x:v>
      </x:c>
      <x:c r="H806" s="9" t="n">
        <x:v>43525.0000000149</x:v>
      </x:c>
      <x:c r="I806" s="9" t="n">
        <x:v>4116.999999985099</x:v>
      </x:c>
      <x:c r="J806" s="9" t="n">
        <x:v>106</x:v>
      </x:c>
      <x:c r="K806" s="9" t="n">
        <x:f>F806+G806+I806+J806</x:f>
        <x:v>75947.9999999851</x:v>
      </x:c>
      <x:c r="L806" s="10" t="n">
        <x:f>K806/Sources!$B$4*1000</x:f>
        <x:v>21.217221741865266</x:v>
      </x:c>
      <x:c r="M806" s="10" t="n">
        <x:f>E806/Sources!$B$4*1000</x:f>
        <x:v>33.37658836528106</x:v>
      </x:c>
      <x:c r="N806" s="9" t="n">
        <x:f>Sources!$B$6-K806</x:f>
        <x:v>-16211.999999985099</x:v>
      </x:c>
      <x:c r="O806" s="1" t="str">
        <x:v>keyboard_route</x:v>
      </x:c>
      <x:c r="P806" s="12" t="n">
        <x:v>0</x:v>
      </x:c>
      <x:c r="Q806" s="12" t="n">
        <x:v>4</x:v>
      </x:c>
      <x:c r="R806" s="12" t="n">
        <x:v>4</x:v>
      </x:c>
      <x:c r="S806" s="12" t="n">
        <x:v>7</x:v>
      </x:c>
      <x:c r="T806" s="1" t="str">
        <x:v>No</x:v>
      </x:c>
      <x:c r="U806" s="1" t="n">
        <x:v>0</x:v>
      </x:c>
    </x:row>
    <x:row r="807" ht="23" customHeight="1">
      <x:c r="A807" s="9" t="n">
        <x:v>925</x:v>
      </x:c>
      <x:c r="B807" s="9" t="n">
        <x:v>316</x:v>
      </x:c>
      <x:c r="C807" s="9" t="n">
        <x:v>427</x:v>
      </x:c>
      <x:c r="D807" s="9" t="n">
        <x:v>2</x:v>
      </x:c>
      <x:c r="E807" s="9" t="n">
        <x:v>119472</x:v>
      </x:c>
      <x:c r="F807" s="9" t="n">
        <x:v>40139</x:v>
      </x:c>
      <x:c r="G807" s="9" t="n">
        <x:v>41010.0000000149</x:v>
      </x:c>
      <x:c r="H807" s="9" t="n">
        <x:v>34100</x:v>
      </x:c>
      <x:c r="I807" s="9" t="n">
        <x:v>4117.000000014901</x:v>
      </x:c>
      <x:c r="J807" s="9" t="n">
        <x:v>105.99999997019768</x:v>
      </x:c>
      <x:c r="K807" s="9" t="n">
        <x:f>F807+G807+I807+J807</x:f>
        <x:v>85372</x:v>
      </x:c>
      <x:c r="L807" s="10" t="n">
        <x:f>K807/Sources!$B$4*1000</x:f>
        <x:v>23.849958584121723</x:v>
      </x:c>
      <x:c r="M807" s="10" t="n">
        <x:f>E807/Sources!$B$4*1000</x:f>
        <x:v>33.37630900016622</x:v>
      </x:c>
      <x:c r="N807" s="9" t="n">
        <x:f>Sources!$B$6-K807</x:f>
        <x:v>-25636</x:v>
      </x:c>
      <x:c r="O807" s="1" t="str">
        <x:v>keyboard_route</x:v>
      </x:c>
      <x:c r="P807" s="12" t="n">
        <x:v>0</x:v>
      </x:c>
      <x:c r="Q807" s="12" t="n">
        <x:v>4</x:v>
      </x:c>
      <x:c r="R807" s="12" t="n">
        <x:v>4</x:v>
      </x:c>
      <x:c r="S807" s="12" t="n">
        <x:v>3</x:v>
      </x:c>
      <x:c r="T807" s="1" t="str">
        <x:v>Yes</x:v>
      </x:c>
      <x:c r="U807" s="1" t="n">
        <x:v>0</x:v>
      </x:c>
    </x:row>
    <x:row r="808" ht="23" customHeight="1">
      <x:c r="A808" s="9" t="n">
        <x:v>926</x:v>
      </x:c>
      <x:c r="B808" s="9" t="n">
        <x:v>316</x:v>
      </x:c>
      <x:c r="C808" s="9" t="n">
        <x:v>431</x:v>
      </x:c>
      <x:c r="D808" s="9" t="n">
        <x:v>2</x:v>
      </x:c>
      <x:c r="E808" s="9" t="n">
        <x:v>119472.0000000149</x:v>
      </x:c>
      <x:c r="F808" s="9" t="n">
        <x:v>41399</x:v>
      </x:c>
      <x:c r="G808" s="9" t="n">
        <x:v>27610</x:v>
      </x:c>
      <x:c r="H808" s="9" t="n">
        <x:v>46239.9999999851</x:v>
      </x:c>
      <x:c r="I808" s="9" t="n">
        <x:v>4117.000000014901</x:v>
      </x:c>
      <x:c r="J808" s="9" t="n">
        <x:v>106.00000001490116</x:v>
      </x:c>
      <x:c r="K808" s="9" t="n">
        <x:f>F808+G808+I808+J808</x:f>
        <x:v>73232.0000000298</x:v>
      </x:c>
      <x:c r="L808" s="10" t="n">
        <x:f>K808/Sources!$B$4*1000</x:f>
        <x:v>20.458466089972273</x:v>
      </x:c>
      <x:c r="M808" s="10" t="n">
        <x:f>E808/Sources!$B$4*1000</x:f>
        <x:v>33.37630900017039</x:v>
      </x:c>
      <x:c r="N808" s="9" t="n">
        <x:f>Sources!$B$6-K808</x:f>
        <x:v>-13496.000000029802</x:v>
      </x:c>
      <x:c r="O808" s="1" t="str">
        <x:v>keyboard_route</x:v>
      </x:c>
      <x:c r="P808" s="12" t="n">
        <x:v>0</x:v>
      </x:c>
      <x:c r="Q808" s="12" t="n">
        <x:v>4</x:v>
      </x:c>
      <x:c r="R808" s="12" t="n">
        <x:v>4</x:v>
      </x:c>
      <x:c r="S808" s="12" t="n">
        <x:v>7</x:v>
      </x:c>
      <x:c r="T808" s="1" t="str">
        <x:v>No</x:v>
      </x:c>
      <x:c r="U808" s="1" t="n">
        <x:v>0</x:v>
      </x:c>
    </x:row>
    <x:row r="809" ht="23" customHeight="1">
      <x:c r="A809" s="9" t="n">
        <x:v>927</x:v>
      </x:c>
      <x:c r="B809" s="9" t="n">
        <x:v>316</x:v>
      </x:c>
      <x:c r="C809" s="9" t="n">
        <x:v>435</x:v>
      </x:c>
      <x:c r="D809" s="9" t="n">
        <x:v>2</x:v>
      </x:c>
      <x:c r="E809" s="9" t="n">
        <x:v>119474</x:v>
      </x:c>
      <x:c r="F809" s="9" t="n">
        <x:v>44074.9999999851</x:v>
      </x:c>
      <x:c r="G809" s="9" t="n">
        <x:v>40141.0000000149</x:v>
      </x:c>
      <x:c r="H809" s="9" t="n">
        <x:v>31035</x:v>
      </x:c>
      <x:c r="I809" s="9" t="n">
        <x:v>4117</x:v>
      </x:c>
      <x:c r="J809" s="9" t="n">
        <x:v>106</x:v>
      </x:c>
      <x:c r="K809" s="9" t="n">
        <x:f>F809+G809+I809+J809</x:f>
        <x:v>88439</x:v>
      </x:c>
      <x:c r="L809" s="10" t="n">
        <x:f>K809/Sources!$B$4*1000</x:f>
        <x:v>24.706771391336048</x:v>
      </x:c>
      <x:c r="M809" s="10" t="n">
        <x:f>E809/Sources!$B$4*1000</x:f>
        <x:v>33.3768677303959</x:v>
      </x:c>
      <x:c r="N809" s="9" t="n">
        <x:f>Sources!$B$6-K809</x:f>
        <x:v>-28703</x:v>
      </x:c>
      <x:c r="O809" s="1" t="str">
        <x:v>keyboard_route</x:v>
      </x:c>
      <x:c r="P809" s="12" t="n">
        <x:v>0</x:v>
      </x:c>
      <x:c r="Q809" s="12" t="n">
        <x:v>4</x:v>
      </x:c>
      <x:c r="R809" s="12" t="n">
        <x:v>4</x:v>
      </x:c>
      <x:c r="S809" s="12" t="n">
        <x:v>3</x:v>
      </x:c>
      <x:c r="T809" s="1" t="str">
        <x:v>Yes</x:v>
      </x:c>
      <x:c r="U809" s="1" t="n">
        <x:v>0</x:v>
      </x:c>
    </x:row>
    <x:row r="810" ht="23" customHeight="1">
      <x:c r="A810" s="9" t="n">
        <x:v>928</x:v>
      </x:c>
      <x:c r="B810" s="9" t="n">
        <x:v>320</x:v>
      </x:c>
      <x:c r="C810" s="9" t="n">
        <x:v>435</x:v>
      </x:c>
      <x:c r="D810" s="9" t="n">
        <x:v>2</x:v>
      </x:c>
      <x:c r="E810" s="9" t="n">
        <x:v>119813</x:v>
      </x:c>
      <x:c r="F810" s="9" t="n">
        <x:v>50637.9999999851</x:v>
      </x:c>
      <x:c r="G810" s="9" t="n">
        <x:v>50187.9999999851</x:v>
      </x:c>
      <x:c r="H810" s="9" t="n">
        <x:v>14419.999999985099</x:v>
      </x:c>
      <x:c r="I810" s="9" t="n">
        <x:v>4461</x:v>
      </x:c>
      <x:c r="J810" s="9" t="n">
        <x:v>106.00000004470348</x:v>
      </x:c>
      <x:c r="K810" s="9" t="n">
        <x:f>F810+G810+I810+J810</x:f>
        <x:v>105393.0000000149</x:v>
      </x:c>
      <x:c r="L810" s="10" t="n">
        <x:f>K810/Sources!$B$4*1000</x:f>
        <x:v>29.44312754833782</x:v>
      </x:c>
      <x:c r="M810" s="10" t="n">
        <x:f>E810/Sources!$B$4*1000</x:f>
        <x:v>33.471572504326666</x:v>
      </x:c>
      <x:c r="N810" s="9" t="n">
        <x:f>Sources!$B$6-K810</x:f>
        <x:v>-45657.0000000149</x:v>
      </x:c>
      <x:c r="O810" s="1" t="str">
        <x:v>keyboard_route</x:v>
      </x:c>
      <x:c r="P810" s="12" t="n">
        <x:v>4</x:v>
      </x:c>
      <x:c r="Q810" s="12" t="n">
        <x:v>0</x:v>
      </x:c>
      <x:c r="R810" s="12" t="n">
        <x:v>0</x:v>
      </x:c>
      <x:c r="S810" s="12" t="n">
        <x:v>3</x:v>
      </x:c>
      <x:c r="T810" s="1" t="str">
        <x:v>Yes</x:v>
      </x:c>
      <x:c r="U810" s="1" t="n">
        <x:v>0</x:v>
      </x:c>
    </x:row>
    <x:row r="811" ht="23" customHeight="1">
      <x:c r="A811" s="9" t="n">
        <x:v>929</x:v>
      </x:c>
      <x:c r="B811" s="9" t="n">
        <x:v>324</x:v>
      </x:c>
      <x:c r="C811" s="9" t="n">
        <x:v>435</x:v>
      </x:c>
      <x:c r="D811" s="9" t="n">
        <x:v>2</x:v>
      </x:c>
      <x:c r="E811" s="9" t="n">
        <x:v>117575.9999999851</x:v>
      </x:c>
      <x:c r="F811" s="9" t="n">
        <x:v>46363</x:v>
      </x:c>
      <x:c r="G811" s="9" t="n">
        <x:v>27802</x:v>
      </x:c>
      <x:c r="H811" s="9" t="n">
        <x:v>40740.0000000149</x:v>
      </x:c>
      <x:c r="I811" s="9" t="n">
        <x:v>2564.999999985099</x:v>
      </x:c>
      <x:c r="J811" s="9" t="n">
        <x:v>105.99999998509884</x:v>
      </x:c>
      <x:c r="K811" s="9" t="n">
        <x:f>F811+G811+I811+J811</x:f>
        <x:v>76835.9999999702</x:v>
      </x:c>
      <x:c r="L811" s="10" t="n">
        <x:f>K811/Sources!$B$4*1000</x:f>
        <x:v>21.465297963839035</x:v>
      </x:c>
      <x:c r="M811" s="10" t="n">
        <x:f>E811/Sources!$B$4*1000</x:f>
        <x:v>32.84663274242539</x:v>
      </x:c>
      <x:c r="N811" s="9" t="n">
        <x:f>Sources!$B$6-K811</x:f>
        <x:v>-17099.999999970198</x:v>
      </x:c>
      <x:c r="O811" s="1" t="str">
        <x:v>keyboard_route</x:v>
      </x:c>
      <x:c r="P811" s="12" t="n">
        <x:v>4</x:v>
      </x:c>
      <x:c r="Q811" s="12" t="n">
        <x:v>0</x:v>
      </x:c>
      <x:c r="R811" s="12" t="n">
        <x:v>4</x:v>
      </x:c>
      <x:c r="S811" s="12" t="n">
        <x:v>3</x:v>
      </x:c>
      <x:c r="T811" s="1" t="str">
        <x:v>No</x:v>
      </x:c>
      <x:c r="U811" s="1" t="n">
        <x:v>0</x:v>
      </x:c>
    </x:row>
    <x:row r="812" ht="23" customHeight="1">
      <x:c r="A812" s="9" t="n">
        <x:v>930</x:v>
      </x:c>
      <x:c r="B812" s="9" t="n">
        <x:v>328</x:v>
      </x:c>
      <x:c r="C812" s="9" t="n">
        <x:v>435</x:v>
      </x:c>
      <x:c r="D812" s="9" t="n">
        <x:v>2</x:v>
      </x:c>
      <x:c r="E812" s="9" t="n">
        <x:v>119472</x:v>
      </x:c>
      <x:c r="F812" s="9" t="n">
        <x:v>34968.0000000149</x:v>
      </x:c>
      <x:c r="G812" s="9" t="n">
        <x:v>47332.9999999851</x:v>
      </x:c>
      <x:c r="H812" s="9" t="n">
        <x:v>34500.0000000149</x:v>
      </x:c>
      <x:c r="I812" s="9" t="n">
        <x:v>2565.000000014901</x:v>
      </x:c>
      <x:c r="J812" s="9" t="n">
        <x:v>105.99999997019768</x:v>
      </x:c>
      <x:c r="K812" s="9" t="n">
        <x:f>F812+G812+I812+J812</x:f>
        <x:v>84971.9999999851</x:v>
      </x:c>
      <x:c r="L812" s="10" t="n">
        <x:f>K812/Sources!$B$4*1000</x:f>
        <x:v>23.738212538181557</x:v>
      </x:c>
      <x:c r="M812" s="10" t="n">
        <x:f>E812/Sources!$B$4*1000</x:f>
        <x:v>33.37630900016622</x:v>
      </x:c>
      <x:c r="N812" s="9" t="n">
        <x:f>Sources!$B$6-K812</x:f>
        <x:v>-25235.9999999851</x:v>
      </x:c>
      <x:c r="O812" s="1" t="str">
        <x:v>keyboard_route</x:v>
      </x:c>
      <x:c r="P812" s="12" t="n">
        <x:v>4</x:v>
      </x:c>
      <x:c r="Q812" s="12" t="n">
        <x:v>0</x:v>
      </x:c>
      <x:c r="R812" s="12" t="n">
        <x:v>0</x:v>
      </x:c>
      <x:c r="S812" s="12" t="n">
        <x:v>3</x:v>
      </x:c>
      <x:c r="T812" s="1" t="str">
        <x:v>Yes</x:v>
      </x:c>
      <x:c r="U812" s="1" t="n">
        <x:v>0</x:v>
      </x:c>
    </x:row>
    <x:row r="813" ht="23" customHeight="1">
      <x:c r="A813" s="9" t="n">
        <x:v>931</x:v>
      </x:c>
      <x:c r="B813" s="9" t="n">
        <x:v>332</x:v>
      </x:c>
      <x:c r="C813" s="9" t="n">
        <x:v>435</x:v>
      </x:c>
      <x:c r="D813" s="9" t="n">
        <x:v>2</x:v>
      </x:c>
      <x:c r="E813" s="9" t="n">
        <x:v>119475.0000000149</x:v>
      </x:c>
      <x:c r="F813" s="9" t="n">
        <x:v>39986.9999999851</x:v>
      </x:c>
      <x:c r="G813" s="9" t="n">
        <x:v>27802.0000000149</x:v>
      </x:c>
      <x:c r="H813" s="9" t="n">
        <x:v>49014.9999999851</x:v>
      </x:c>
      <x:c r="I813" s="9" t="n">
        <x:v>2564.999999985099</x:v>
      </x:c>
      <x:c r="J813" s="9" t="n">
        <x:v>106.00000004470348</x:v>
      </x:c>
      <x:c r="K813" s="9" t="n">
        <x:f>F813+G813+I813+J813</x:f>
        <x:v>70460.0000000298</x:v>
      </x:c>
      <x:c r="L813" s="10" t="n">
        <x:f>K813/Sources!$B$4*1000</x:f>
        <x:v>19.68406599163575</x:v>
      </x:c>
      <x:c r="M813" s="10" t="n">
        <x:f>E813/Sources!$B$4*1000</x:f>
        <x:v>33.37714709551491</x:v>
      </x:c>
      <x:c r="N813" s="9" t="n">
        <x:f>Sources!$B$6-K813</x:f>
        <x:v>-10724.000000029802</x:v>
      </x:c>
      <x:c r="O813" s="1" t="str">
        <x:v>keyboard_route</x:v>
      </x:c>
      <x:c r="P813" s="12" t="n">
        <x:v>4</x:v>
      </x:c>
      <x:c r="Q813" s="12" t="n">
        <x:v>0</x:v>
      </x:c>
      <x:c r="R813" s="12" t="n">
        <x:v>4</x:v>
      </x:c>
      <x:c r="S813" s="12" t="n">
        <x:v>3</x:v>
      </x:c>
      <x:c r="T813" s="1" t="str">
        <x:v>No</x:v>
      </x:c>
      <x:c r="U813" s="1" t="n">
        <x:v>0</x:v>
      </x:c>
    </x:row>
    <x:row r="814" ht="23" customHeight="1">
      <x:c r="A814" s="9" t="n">
        <x:v>932</x:v>
      </x:c>
      <x:c r="B814" s="9" t="n">
        <x:v>336</x:v>
      </x:c>
      <x:c r="C814" s="9" t="n">
        <x:v>435</x:v>
      </x:c>
      <x:c r="D814" s="9" t="n">
        <x:v>2</x:v>
      </x:c>
      <x:c r="E814" s="9" t="n">
        <x:v>119469.9999999851</x:v>
      </x:c>
      <x:c r="F814" s="9" t="n">
        <x:v>35583</x:v>
      </x:c>
      <x:c r="G814" s="9" t="n">
        <x:v>47276</x:v>
      </x:c>
      <x:c r="H814" s="9" t="n">
        <x:v>33940.0000000149</x:v>
      </x:c>
      <x:c r="I814" s="9" t="n">
        <x:v>2565.000000014901</x:v>
      </x:c>
      <x:c r="J814" s="9" t="n">
        <x:v>105.99999995529652</x:v>
      </x:c>
      <x:c r="K814" s="9" t="n">
        <x:f>F814+G814+I814+J814</x:f>
        <x:v>85529.9999999702</x:v>
      </x:c>
      <x:c r="L814" s="10" t="n">
        <x:f>K814/Sources!$B$4*1000</x:f>
        <x:v>23.89409827225812</x:v>
      </x:c>
      <x:c r="M814" s="10" t="n">
        <x:f>E814/Sources!$B$4*1000</x:f>
        <x:v>33.375750269932375</x:v>
      </x:c>
      <x:c r="N814" s="9" t="n">
        <x:f>Sources!$B$6-K814</x:f>
        <x:v>-25793.999999970198</x:v>
      </x:c>
      <x:c r="O814" s="1" t="str">
        <x:v>keyboard_route</x:v>
      </x:c>
      <x:c r="P814" s="12" t="n">
        <x:v>4</x:v>
      </x:c>
      <x:c r="Q814" s="12" t="n">
        <x:v>0</x:v>
      </x:c>
      <x:c r="R814" s="12" t="n">
        <x:v>0</x:v>
      </x:c>
      <x:c r="S814" s="12" t="n">
        <x:v>3</x:v>
      </x:c>
      <x:c r="T814" s="1" t="str">
        <x:v>Yes</x:v>
      </x:c>
      <x:c r="U814" s="1" t="n">
        <x:v>0</x:v>
      </x:c>
    </x:row>
    <x:row r="815" ht="23" customHeight="1">
      <x:c r="A815" s="9" t="n">
        <x:v>933</x:v>
      </x:c>
      <x:c r="B815" s="9" t="n">
        <x:v>340</x:v>
      </x:c>
      <x:c r="C815" s="9" t="n">
        <x:v>435</x:v>
      </x:c>
      <x:c r="D815" s="9" t="n">
        <x:v>2</x:v>
      </x:c>
      <x:c r="E815" s="9" t="n">
        <x:v>119472.0000000149</x:v>
      </x:c>
      <x:c r="F815" s="9" t="n">
        <x:v>36269</x:v>
      </x:c>
      <x:c r="G815" s="9" t="n">
        <x:v>27802</x:v>
      </x:c>
      <x:c r="H815" s="9" t="n">
        <x:v>52730</x:v>
      </x:c>
      <x:c r="I815" s="9" t="n">
        <x:v>2565.000000014901</x:v>
      </x:c>
      <x:c r="J815" s="9" t="n">
        <x:v>106</x:v>
      </x:c>
      <x:c r="K815" s="9" t="n">
        <x:f>F815+G815+I815+J815</x:f>
        <x:v>66742.0000000149</x:v>
      </x:c>
      <x:c r="L815" s="10" t="n">
        <x:f>K815/Sources!$B$4*1000</x:f>
        <x:v>18.645386494656417</x:v>
      </x:c>
      <x:c r="M815" s="10" t="n">
        <x:f>E815/Sources!$B$4*1000</x:f>
        <x:v>33.37630900017039</x:v>
      </x:c>
      <x:c r="N815" s="9" t="n">
        <x:f>Sources!$B$6-K815</x:f>
        <x:v>-7006.000000014901</x:v>
      </x:c>
      <x:c r="O815" s="1" t="str">
        <x:v>keyboard_route</x:v>
      </x:c>
      <x:c r="P815" s="12" t="n">
        <x:v>4</x:v>
      </x:c>
      <x:c r="Q815" s="12" t="n">
        <x:v>0</x:v>
      </x:c>
      <x:c r="R815" s="12" t="n">
        <x:v>4</x:v>
      </x:c>
      <x:c r="S815" s="12" t="n">
        <x:v>3</x:v>
      </x:c>
      <x:c r="T815" s="1" t="str">
        <x:v>No</x:v>
      </x:c>
      <x:c r="U815" s="1" t="n">
        <x:v>0</x:v>
      </x:c>
    </x:row>
    <x:row r="816" ht="23" customHeight="1">
      <x:c r="A816" s="9" t="n">
        <x:v>934</x:v>
      </x:c>
      <x:c r="B816" s="9" t="n">
        <x:v>344</x:v>
      </x:c>
      <x:c r="C816" s="9" t="n">
        <x:v>435</x:v>
      </x:c>
      <x:c r="D816" s="9" t="n">
        <x:v>2</x:v>
      </x:c>
      <x:c r="E816" s="9" t="n">
        <x:v>119472</x:v>
      </x:c>
      <x:c r="F816" s="9" t="n">
        <x:v>34095</x:v>
      </x:c>
      <x:c r="G816" s="9" t="n">
        <x:v>47276.0000000149</x:v>
      </x:c>
      <x:c r="H816" s="9" t="n">
        <x:v>35429.9999999851</x:v>
      </x:c>
      <x:c r="I816" s="9" t="n">
        <x:v>2564.999999985099</x:v>
      </x:c>
      <x:c r="J816" s="9" t="n">
        <x:v>106.00000001490116</x:v>
      </x:c>
      <x:c r="K816" s="9" t="n">
        <x:f>F816+G816+I816+J816</x:f>
        <x:v>84042.0000000149</x:v>
      </x:c>
      <x:c r="L816" s="10" t="n">
        <x:f>K816/Sources!$B$4*1000</x:f>
        <x:v>23.478402981388665</x:v>
      </x:c>
      <x:c r="M816" s="10" t="n">
        <x:f>E816/Sources!$B$4*1000</x:f>
        <x:v>33.37630900016622</x:v>
      </x:c>
      <x:c r="N816" s="9" t="n">
        <x:f>Sources!$B$6-K816</x:f>
        <x:v>-24306.0000000149</x:v>
      </x:c>
      <x:c r="O816" s="1" t="str">
        <x:v>keyboard_route</x:v>
      </x:c>
      <x:c r="P816" s="12" t="n">
        <x:v>4</x:v>
      </x:c>
      <x:c r="Q816" s="12" t="n">
        <x:v>0</x:v>
      </x:c>
      <x:c r="R816" s="12" t="n">
        <x:v>0</x:v>
      </x:c>
      <x:c r="S816" s="12" t="n">
        <x:v>3</x:v>
      </x:c>
      <x:c r="T816" s="1" t="str">
        <x:v>Yes</x:v>
      </x:c>
      <x:c r="U816" s="1" t="n">
        <x:v>0</x:v>
      </x:c>
    </x:row>
    <x:row r="817" ht="23" customHeight="1">
      <x:c r="A817" s="9" t="n">
        <x:v>935</x:v>
      </x:c>
      <x:c r="B817" s="9" t="n">
        <x:v>348</x:v>
      </x:c>
      <x:c r="C817" s="9" t="n">
        <x:v>435</x:v>
      </x:c>
      <x:c r="D817" s="9" t="n">
        <x:v>2</x:v>
      </x:c>
      <x:c r="E817" s="9" t="n">
        <x:v>119471.9999999851</x:v>
      </x:c>
      <x:c r="F817" s="9" t="n">
        <x:v>39129.0000000149</x:v>
      </x:c>
      <x:c r="G817" s="9" t="n">
        <x:v>27802</x:v>
      </x:c>
      <x:c r="H817" s="9" t="n">
        <x:v>49870.0000000149</x:v>
      </x:c>
      <x:c r="I817" s="9" t="n">
        <x:v>2564.999999985099</x:v>
      </x:c>
      <x:c r="J817" s="9" t="n">
        <x:v>105.99999997019768</x:v>
      </x:c>
      <x:c r="K817" s="9" t="n">
        <x:f>F817+G817+I817+J817</x:f>
        <x:v>69601.9999999702</x:v>
      </x:c>
      <x:c r="L817" s="10" t="n">
        <x:f>K817/Sources!$B$4*1000</x:f>
        <x:v>19.44437072308637</x:v>
      </x:c>
      <x:c r="M817" s="10" t="n">
        <x:f>E817/Sources!$B$4*1000</x:f>
        <x:v>33.37630900016206</x:v>
      </x:c>
      <x:c r="N817" s="9" t="n">
        <x:f>Sources!$B$6-K817</x:f>
        <x:v>-9865.999999970198</x:v>
      </x:c>
      <x:c r="O817" s="1" t="str">
        <x:v>keyboard_route</x:v>
      </x:c>
      <x:c r="P817" s="12" t="n">
        <x:v>4</x:v>
      </x:c>
      <x:c r="Q817" s="12" t="n">
        <x:v>0</x:v>
      </x:c>
      <x:c r="R817" s="12" t="n">
        <x:v>4</x:v>
      </x:c>
      <x:c r="S817" s="12" t="n">
        <x:v>3</x:v>
      </x:c>
      <x:c r="T817" s="1" t="str">
        <x:v>No</x:v>
      </x:c>
      <x:c r="U817" s="1" t="n">
        <x:v>0</x:v>
      </x:c>
    </x:row>
    <x:row r="818" ht="23" customHeight="1">
      <x:c r="A818" s="9" t="n">
        <x:v>936</x:v>
      </x:c>
      <x:c r="B818" s="9" t="n">
        <x:v>352</x:v>
      </x:c>
      <x:c r="C818" s="9" t="n">
        <x:v>435</x:v>
      </x:c>
      <x:c r="D818" s="9" t="n">
        <x:v>2</x:v>
      </x:c>
      <x:c r="E818" s="9" t="n">
        <x:v>119472</x:v>
      </x:c>
      <x:c r="F818" s="9" t="n">
        <x:v>31115.0000000149</x:v>
      </x:c>
      <x:c r="G818" s="9" t="n">
        <x:v>47275.9999999851</x:v>
      </x:c>
      <x:c r="H818" s="9" t="n">
        <x:v>38410</x:v>
      </x:c>
      <x:c r="I818" s="9" t="n">
        <x:v>2565.000000014901</x:v>
      </x:c>
      <x:c r="J818" s="9" t="n">
        <x:v>105.99999998509884</x:v>
      </x:c>
      <x:c r="K818" s="9" t="n">
        <x:f>F818+G818+I818+J818</x:f>
        <x:v>81062</x:v>
      </x:c>
      <x:c r="L818" s="10" t="n">
        <x:f>K818/Sources!$B$4*1000</x:f>
        <x:v>22.645894939161263</x:v>
      </x:c>
      <x:c r="M818" s="10" t="n">
        <x:f>E818/Sources!$B$4*1000</x:f>
        <x:v>33.37630900016622</x:v>
      </x:c>
      <x:c r="N818" s="9" t="n">
        <x:f>Sources!$B$6-K818</x:f>
        <x:v>-21326</x:v>
      </x:c>
      <x:c r="O818" s="1" t="str">
        <x:v>keyboard_route</x:v>
      </x:c>
      <x:c r="P818" s="12" t="n">
        <x:v>4</x:v>
      </x:c>
      <x:c r="Q818" s="12" t="n">
        <x:v>0</x:v>
      </x:c>
      <x:c r="R818" s="12" t="n">
        <x:v>0</x:v>
      </x:c>
      <x:c r="S818" s="12" t="n">
        <x:v>3</x:v>
      </x:c>
      <x:c r="T818" s="1" t="str">
        <x:v>Yes</x:v>
      </x:c>
      <x:c r="U818" s="1" t="n">
        <x:v>0</x:v>
      </x:c>
    </x:row>
    <x:row r="819" ht="23" customHeight="1">
      <x:c r="A819" s="9" t="n">
        <x:v>937</x:v>
      </x:c>
      <x:c r="B819" s="9" t="n">
        <x:v>356</x:v>
      </x:c>
      <x:c r="C819" s="9" t="n">
        <x:v>435</x:v>
      </x:c>
      <x:c r="D819" s="9" t="n">
        <x:v>2</x:v>
      </x:c>
      <x:c r="E819" s="9" t="n">
        <x:v>119472.0000000149</x:v>
      </x:c>
      <x:c r="F819" s="9" t="n">
        <x:v>37444</x:v>
      </x:c>
      <x:c r="G819" s="9" t="n">
        <x:v>27802</x:v>
      </x:c>
      <x:c r="H819" s="9" t="n">
        <x:v>51555</x:v>
      </x:c>
      <x:c r="I819" s="9" t="n">
        <x:v>2565</x:v>
      </x:c>
      <x:c r="J819" s="9" t="n">
        <x:v>106.00000001490116</x:v>
      </x:c>
      <x:c r="K819" s="9" t="n">
        <x:f>F819+G819+I819+J819</x:f>
        <x:v>67917.0000000149</x:v>
      </x:c>
      <x:c r="L819" s="10" t="n">
        <x:f>K819/Sources!$B$4*1000</x:f>
        <x:v>18.973640504593433</x:v>
      </x:c>
      <x:c r="M819" s="10" t="n">
        <x:f>E819/Sources!$B$4*1000</x:f>
        <x:v>33.37630900017039</x:v>
      </x:c>
      <x:c r="N819" s="9" t="n">
        <x:f>Sources!$B$6-K819</x:f>
        <x:v>-8181.000000014901</x:v>
      </x:c>
      <x:c r="O819" s="1" t="str">
        <x:v>keyboard_route</x:v>
      </x:c>
      <x:c r="P819" s="12" t="n">
        <x:v>4</x:v>
      </x:c>
      <x:c r="Q819" s="12" t="n">
        <x:v>0</x:v>
      </x:c>
      <x:c r="R819" s="12" t="n">
        <x:v>4</x:v>
      </x:c>
      <x:c r="S819" s="12" t="n">
        <x:v>3</x:v>
      </x:c>
      <x:c r="T819" s="1" t="str">
        <x:v>No</x:v>
      </x:c>
      <x:c r="U819" s="1" t="n">
        <x:v>0</x:v>
      </x:c>
    </x:row>
    <x:row r="820" ht="23" customHeight="1">
      <x:c r="A820" s="9" t="n">
        <x:v>938</x:v>
      </x:c>
      <x:c r="B820" s="9" t="n">
        <x:v>360</x:v>
      </x:c>
      <x:c r="C820" s="9" t="n">
        <x:v>435</x:v>
      </x:c>
      <x:c r="D820" s="9" t="n">
        <x:v>2</x:v>
      </x:c>
      <x:c r="E820" s="9" t="n">
        <x:v>119474</x:v>
      </x:c>
      <x:c r="F820" s="9" t="n">
        <x:v>33246.9999999851</x:v>
      </x:c>
      <x:c r="G820" s="9" t="n">
        <x:v>47276.0000000149</x:v>
      </x:c>
      <x:c r="H820" s="9" t="n">
        <x:v>36279.9999999851</x:v>
      </x:c>
      <x:c r="I820" s="9" t="n">
        <x:v>2564.999999985099</x:v>
      </x:c>
      <x:c r="J820" s="9" t="n">
        <x:v>106.00000002980232</x:v>
      </x:c>
      <x:c r="K820" s="9" t="n">
        <x:f>F820+G820+I820+J820</x:f>
        <x:v>83194.0000000149</x:v>
      </x:c>
      <x:c r="L820" s="10" t="n">
        <x:f>K820/Sources!$B$4*1000</x:f>
        <x:v>23.241501364004336</x:v>
      </x:c>
      <x:c r="M820" s="10" t="n">
        <x:f>E820/Sources!$B$4*1000</x:f>
        <x:v>33.3768677303959</x:v>
      </x:c>
      <x:c r="N820" s="9" t="n">
        <x:f>Sources!$B$6-K820</x:f>
        <x:v>-23458.0000000149</x:v>
      </x:c>
      <x:c r="O820" s="1" t="str">
        <x:v>keyboard_route</x:v>
      </x:c>
      <x:c r="P820" s="12" t="n">
        <x:v>4</x:v>
      </x:c>
      <x:c r="Q820" s="12" t="n">
        <x:v>0</x:v>
      </x:c>
      <x:c r="R820" s="12" t="n">
        <x:v>0</x:v>
      </x:c>
      <x:c r="S820" s="12" t="n">
        <x:v>3</x:v>
      </x:c>
      <x:c r="T820" s="1" t="str">
        <x:v>Yes</x:v>
      </x:c>
      <x:c r="U820" s="1" t="n">
        <x:v>0</x:v>
      </x:c>
    </x:row>
    <x:row r="821" ht="23" customHeight="1">
      <x:c r="A821" s="9" t="n">
        <x:v>939</x:v>
      </x:c>
      <x:c r="B821" s="9" t="n">
        <x:v>364</x:v>
      </x:c>
      <x:c r="C821" s="9" t="n">
        <x:v>435</x:v>
      </x:c>
      <x:c r="D821" s="9" t="n">
        <x:v>2</x:v>
      </x:c>
      <x:c r="E821" s="9" t="n">
        <x:v>119468</x:v>
      </x:c>
      <x:c r="F821" s="9" t="n">
        <x:v>37425</x:v>
      </x:c>
      <x:c r="G821" s="9" t="n">
        <x:v>27802</x:v>
      </x:c>
      <x:c r="H821" s="9" t="n">
        <x:v>51570</x:v>
      </x:c>
      <x:c r="I821" s="9" t="n">
        <x:v>2565.000000014901</x:v>
      </x:c>
      <x:c r="J821" s="9" t="n">
        <x:v>105.99999998509884</x:v>
      </x:c>
      <x:c r="K821" s="9" t="n">
        <x:f>F821+G821+I821+J821</x:f>
        <x:v>67898</x:v>
      </x:c>
      <x:c r="L821" s="10" t="n">
        <x:f>K821/Sources!$B$4*1000</x:f>
        <x:v>18.96833256740731</x:v>
      </x:c>
      <x:c r="M821" s="10" t="n">
        <x:f>E821/Sources!$B$4*1000</x:f>
        <x:v>33.37519153970686</x:v>
      </x:c>
      <x:c r="N821" s="9" t="n">
        <x:f>Sources!$B$6-K821</x:f>
        <x:v>-8162</x:v>
      </x:c>
      <x:c r="O821" s="1" t="str">
        <x:v>keyboard_route</x:v>
      </x:c>
      <x:c r="P821" s="12" t="n">
        <x:v>4</x:v>
      </x:c>
      <x:c r="Q821" s="12" t="n">
        <x:v>0</x:v>
      </x:c>
      <x:c r="R821" s="12" t="n">
        <x:v>4</x:v>
      </x:c>
      <x:c r="S821" s="12" t="n">
        <x:v>3</x:v>
      </x:c>
      <x:c r="T821" s="1" t="str">
        <x:v>No</x:v>
      </x:c>
      <x:c r="U821" s="1" t="n">
        <x:v>0</x:v>
      </x:c>
    </x:row>
    <x:row r="822" ht="23" customHeight="1">
      <x:c r="A822" s="9" t="n">
        <x:v>940</x:v>
      </x:c>
      <x:c r="B822" s="9" t="n">
        <x:v>368</x:v>
      </x:c>
      <x:c r="C822" s="9" t="n">
        <x:v>435</x:v>
      </x:c>
      <x:c r="D822" s="9" t="n">
        <x:v>2</x:v>
      </x:c>
      <x:c r="E822" s="9" t="n">
        <x:v>119474</x:v>
      </x:c>
      <x:c r="F822" s="9" t="n">
        <x:v>34236.9999999851</x:v>
      </x:c>
      <x:c r="G822" s="9" t="n">
        <x:v>47276.0000000149</x:v>
      </x:c>
      <x:c r="H822" s="9" t="n">
        <x:v>35289.9999999851</x:v>
      </x:c>
      <x:c r="I822" s="9" t="n">
        <x:v>2565.000000014901</x:v>
      </x:c>
      <x:c r="J822" s="9" t="n">
        <x:v>106</x:v>
      </x:c>
      <x:c r="K822" s="9" t="n">
        <x:f>F822+G822+I822+J822</x:f>
        <x:v>84184.0000000149</x:v>
      </x:c>
      <x:c r="L822" s="10" t="n">
        <x:f>K822/Sources!$B$4*1000</x:f>
        <x:v>23.51807282769595</x:v>
      </x:c>
      <x:c r="M822" s="10" t="n">
        <x:f>E822/Sources!$B$4*1000</x:f>
        <x:v>33.3768677303959</x:v>
      </x:c>
      <x:c r="N822" s="9" t="n">
        <x:f>Sources!$B$6-K822</x:f>
        <x:v>-24448.0000000149</x:v>
      </x:c>
      <x:c r="O822" s="1" t="str">
        <x:v>keyboard_route</x:v>
      </x:c>
      <x:c r="P822" s="12" t="n">
        <x:v>4</x:v>
      </x:c>
      <x:c r="Q822" s="12" t="n">
        <x:v>0</x:v>
      </x:c>
      <x:c r="R822" s="12" t="n">
        <x:v>0</x:v>
      </x:c>
      <x:c r="S822" s="12" t="n">
        <x:v>3</x:v>
      </x:c>
      <x:c r="T822" s="1" t="str">
        <x:v>Yes</x:v>
      </x:c>
      <x:c r="U822" s="1" t="n">
        <x:v>0</x:v>
      </x:c>
    </x:row>
    <x:row r="823" ht="23" customHeight="1">
      <x:c r="A823" s="9" t="n">
        <x:v>941</x:v>
      </x:c>
      <x:c r="B823" s="9" t="n">
        <x:v>372</x:v>
      </x:c>
      <x:c r="C823" s="9" t="n">
        <x:v>435</x:v>
      </x:c>
      <x:c r="D823" s="9" t="n">
        <x:v>2</x:v>
      </x:c>
      <x:c r="E823" s="9" t="n">
        <x:v>119470.9999999851</x:v>
      </x:c>
      <x:c r="F823" s="9" t="n">
        <x:v>38032.9999999851</x:v>
      </x:c>
      <x:c r="G823" s="9" t="n">
        <x:v>27802</x:v>
      </x:c>
      <x:c r="H823" s="9" t="n">
        <x:v>50965</x:v>
      </x:c>
      <x:c r="I823" s="9" t="n">
        <x:v>2565.000000014901</x:v>
      </x:c>
      <x:c r="J823" s="9" t="n">
        <x:v>105.99999998509884</x:v>
      </x:c>
      <x:c r="K823" s="9" t="n">
        <x:f>F823+G823+I823+J823</x:f>
        <x:v>68505.9999999851</x:v>
      </x:c>
      <x:c r="L823" s="10" t="n">
        <x:f>K823/Sources!$B$4*1000</x:f>
        <x:v>19.138186557225875</x:v>
      </x:c>
      <x:c r="M823" s="10" t="n">
        <x:f>E823/Sources!$B$4*1000</x:f>
        <x:v>33.37602963504722</x:v>
      </x:c>
      <x:c r="N823" s="9" t="n">
        <x:f>Sources!$B$6-K823</x:f>
        <x:v>-8769.999999985099</x:v>
      </x:c>
      <x:c r="O823" s="1" t="str">
        <x:v>keyboard_route</x:v>
      </x:c>
      <x:c r="P823" s="12" t="n">
        <x:v>4</x:v>
      </x:c>
      <x:c r="Q823" s="12" t="n">
        <x:v>0</x:v>
      </x:c>
      <x:c r="R823" s="12" t="n">
        <x:v>4</x:v>
      </x:c>
      <x:c r="S823" s="12" t="n">
        <x:v>3</x:v>
      </x:c>
      <x:c r="T823" s="1" t="str">
        <x:v>No</x:v>
      </x:c>
      <x:c r="U823" s="1" t="n">
        <x:v>0</x:v>
      </x:c>
    </x:row>
    <x:row r="824" ht="23" customHeight="1">
      <x:c r="A824" s="9" t="n">
        <x:v>942</x:v>
      </x:c>
      <x:c r="B824" s="9" t="n">
        <x:v>376</x:v>
      </x:c>
      <x:c r="C824" s="9" t="n">
        <x:v>435</x:v>
      </x:c>
      <x:c r="D824" s="9" t="n">
        <x:v>2</x:v>
      </x:c>
      <x:c r="E824" s="9" t="n">
        <x:v>119471</x:v>
      </x:c>
      <x:c r="F824" s="9" t="n">
        <x:v>32014</x:v>
      </x:c>
      <x:c r="G824" s="9" t="n">
        <x:v>47275.9999999851</x:v>
      </x:c>
      <x:c r="H824" s="9" t="n">
        <x:v>37510.0000000149</x:v>
      </x:c>
      <x:c r="I824" s="9" t="n">
        <x:v>2565.000000014901</x:v>
      </x:c>
      <x:c r="J824" s="9" t="n">
        <x:v>105.99999998509884</x:v>
      </x:c>
      <x:c r="K824" s="9" t="n">
        <x:f>F824+G824+I824+J824</x:f>
        <x:v>81960.9999999851</x:v>
      </x:c>
      <x:c r="L824" s="10" t="n">
        <x:f>K824/Sources!$B$4*1000</x:f>
        <x:v>22.89704417739827</x:v>
      </x:c>
      <x:c r="M824" s="10" t="n">
        <x:f>E824/Sources!$B$4*1000</x:f>
        <x:v>33.37602963505138</x:v>
      </x:c>
      <x:c r="N824" s="9" t="n">
        <x:f>Sources!$B$6-K824</x:f>
        <x:v>-22224.9999999851</x:v>
      </x:c>
      <x:c r="O824" s="1" t="str">
        <x:v>keyboard_route</x:v>
      </x:c>
      <x:c r="P824" s="12" t="n">
        <x:v>4</x:v>
      </x:c>
      <x:c r="Q824" s="12" t="n">
        <x:v>0</x:v>
      </x:c>
      <x:c r="R824" s="12" t="n">
        <x:v>0</x:v>
      </x:c>
      <x:c r="S824" s="12" t="n">
        <x:v>3</x:v>
      </x:c>
      <x:c r="T824" s="1" t="str">
        <x:v>Yes</x:v>
      </x:c>
      <x:c r="U824" s="1" t="n">
        <x:v>0</x:v>
      </x:c>
    </x:row>
    <x:row r="825" ht="23" customHeight="1">
      <x:c r="A825" s="9" t="n">
        <x:v>943</x:v>
      </x:c>
      <x:c r="B825" s="9" t="n">
        <x:v>380</x:v>
      </x:c>
      <x:c r="C825" s="9" t="n">
        <x:v>435</x:v>
      </x:c>
      <x:c r="D825" s="9" t="n">
        <x:v>2</x:v>
      </x:c>
      <x:c r="E825" s="9" t="n">
        <x:v>119476</x:v>
      </x:c>
      <x:c r="F825" s="9" t="n">
        <x:v>35843</x:v>
      </x:c>
      <x:c r="G825" s="9" t="n">
        <x:v>27802</x:v>
      </x:c>
      <x:c r="H825" s="9" t="n">
        <x:v>53160.0000000149</x:v>
      </x:c>
      <x:c r="I825" s="9" t="n">
        <x:v>2565</x:v>
      </x:c>
      <x:c r="J825" s="9" t="n">
        <x:v>105.99999998509884</x:v>
      </x:c>
      <x:c r="K825" s="9" t="n">
        <x:f>F825+G825+I825+J825</x:f>
        <x:v>66315.9999999851</x:v>
      </x:c>
      <x:c r="L825" s="10" t="n">
        <x:f>K825/Sources!$B$4*1000</x:f>
        <x:v>18.526376955726246</x:v>
      </x:c>
      <x:c r="M825" s="10" t="n">
        <x:f>E825/Sources!$B$4*1000</x:f>
        <x:v>33.37742646062558</x:v>
      </x:c>
      <x:c r="N825" s="9" t="n">
        <x:f>Sources!$B$6-K825</x:f>
        <x:v>-6579.999999985099</x:v>
      </x:c>
      <x:c r="O825" s="1" t="str">
        <x:v>keyboard_route</x:v>
      </x:c>
      <x:c r="P825" s="12" t="n">
        <x:v>4</x:v>
      </x:c>
      <x:c r="Q825" s="12" t="n">
        <x:v>0</x:v>
      </x:c>
      <x:c r="R825" s="12" t="n">
        <x:v>4</x:v>
      </x:c>
      <x:c r="S825" s="12" t="n">
        <x:v>3</x:v>
      </x:c>
      <x:c r="T825" s="1" t="str">
        <x:v>No</x:v>
      </x:c>
      <x:c r="U825" s="1" t="n">
        <x:v>0</x:v>
      </x:c>
    </x:row>
    <x:row r="826" ht="23" customHeight="1">
      <x:c r="A826" s="9" t="n">
        <x:v>944</x:v>
      </x:c>
      <x:c r="B826" s="9" t="n">
        <x:v>384</x:v>
      </x:c>
      <x:c r="C826" s="9" t="n">
        <x:v>435</x:v>
      </x:c>
      <x:c r="D826" s="9" t="n">
        <x:v>2</x:v>
      </x:c>
      <x:c r="E826" s="9" t="n">
        <x:v>119470.0000000149</x:v>
      </x:c>
      <x:c r="F826" s="9" t="n">
        <x:v>35493</x:v>
      </x:c>
      <x:c r="G826" s="9" t="n">
        <x:v>47276</x:v>
      </x:c>
      <x:c r="H826" s="9" t="n">
        <x:v>34030</x:v>
      </x:c>
      <x:c r="I826" s="9" t="n">
        <x:v>2565.000000014901</x:v>
      </x:c>
      <x:c r="J826" s="9" t="n">
        <x:v>106</x:v>
      </x:c>
      <x:c r="K826" s="9" t="n">
        <x:f>F826+G826+I826+J826</x:f>
        <x:v>85440.0000000149</x:v>
      </x:c>
      <x:c r="L826" s="10" t="n">
        <x:f>K826/Sources!$B$4*1000</x:f>
        <x:v>23.86895541193501</x:v>
      </x:c>
      <x:c r="M826" s="10" t="n">
        <x:f>E826/Sources!$B$4*1000</x:f>
        <x:v>33.3757502699407</x:v>
      </x:c>
      <x:c r="N826" s="9" t="n">
        <x:f>Sources!$B$6-K826</x:f>
        <x:v>-25704.0000000149</x:v>
      </x:c>
      <x:c r="O826" s="1" t="str">
        <x:v>keyboard_route</x:v>
      </x:c>
      <x:c r="P826" s="12" t="n">
        <x:v>4</x:v>
      </x:c>
      <x:c r="Q826" s="12" t="n">
        <x:v>0</x:v>
      </x:c>
      <x:c r="R826" s="12" t="n">
        <x:v>0</x:v>
      </x:c>
      <x:c r="S826" s="12" t="n">
        <x:v>3</x:v>
      </x:c>
      <x:c r="T826" s="1" t="str">
        <x:v>Yes</x:v>
      </x:c>
      <x:c r="U826" s="1" t="n">
        <x:v>0</x:v>
      </x:c>
    </x:row>
    <x:row r="827" ht="23" customHeight="1">
      <x:c r="A827" s="9" t="n">
        <x:v>945</x:v>
      </x:c>
      <x:c r="B827" s="9" t="n">
        <x:v>388</x:v>
      </x:c>
      <x:c r="C827" s="9" t="n">
        <x:v>435</x:v>
      </x:c>
      <x:c r="D827" s="9" t="n">
        <x:v>2</x:v>
      </x:c>
      <x:c r="E827" s="9" t="n">
        <x:v>119471</x:v>
      </x:c>
      <x:c r="F827" s="9" t="n">
        <x:v>35952.9999999851</x:v>
      </x:c>
      <x:c r="G827" s="9" t="n">
        <x:v>27802</x:v>
      </x:c>
      <x:c r="H827" s="9" t="n">
        <x:v>53045.0000000149</x:v>
      </x:c>
      <x:c r="I827" s="9" t="n">
        <x:v>2565.000000014901</x:v>
      </x:c>
      <x:c r="J827" s="9" t="n">
        <x:v>105.99999998509884</x:v>
      </x:c>
      <x:c r="K827" s="9" t="n">
        <x:f>F827+G827+I827+J827</x:f>
        <x:v>66425.9999999851</x:v>
      </x:c>
      <x:c r="L827" s="10" t="n">
        <x:f>K827/Sources!$B$4*1000</x:f>
        <x:v>18.557107118358644</x:v>
      </x:c>
      <x:c r="M827" s="10" t="n">
        <x:f>E827/Sources!$B$4*1000</x:f>
        <x:v>33.37602963505138</x:v>
      </x:c>
      <x:c r="N827" s="9" t="n">
        <x:f>Sources!$B$6-K827</x:f>
        <x:v>-6689.999999985099</x:v>
      </x:c>
      <x:c r="O827" s="1" t="str">
        <x:v>keyboard_route</x:v>
      </x:c>
      <x:c r="P827" s="12" t="n">
        <x:v>4</x:v>
      </x:c>
      <x:c r="Q827" s="12" t="n">
        <x:v>0</x:v>
      </x:c>
      <x:c r="R827" s="12" t="n">
        <x:v>4</x:v>
      </x:c>
      <x:c r="S827" s="12" t="n">
        <x:v>3</x:v>
      </x:c>
      <x:c r="T827" s="1" t="str">
        <x:v>No</x:v>
      </x:c>
      <x:c r="U827" s="1" t="n">
        <x:v>0</x:v>
      </x:c>
    </x:row>
    <x:row r="828" ht="23" customHeight="1">
      <x:c r="A828" s="9" t="n">
        <x:v>946</x:v>
      </x:c>
      <x:c r="B828" s="9" t="n">
        <x:v>392</x:v>
      </x:c>
      <x:c r="C828" s="9" t="n">
        <x:v>435</x:v>
      </x:c>
      <x:c r="D828" s="9" t="n">
        <x:v>2</x:v>
      </x:c>
      <x:c r="E828" s="9" t="n">
        <x:v>119474</x:v>
      </x:c>
      <x:c r="F828" s="9" t="n">
        <x:v>34077</x:v>
      </x:c>
      <x:c r="G828" s="9" t="n">
        <x:v>47275.9999999851</x:v>
      </x:c>
      <x:c r="H828" s="9" t="n">
        <x:v>35449.9999999851</x:v>
      </x:c>
      <x:c r="I828" s="9" t="n">
        <x:v>2565.000000014901</x:v>
      </x:c>
      <x:c r="J828" s="9" t="n">
        <x:v>106.00000001490116</x:v>
      </x:c>
      <x:c r="K828" s="9" t="n">
        <x:f>F828+G828+I828+J828</x:f>
        <x:v>84024.0000000149</x:v>
      </x:c>
      <x:c r="L828" s="10" t="n">
        <x:f>K828/Sources!$B$4*1000</x:f>
        <x:v>23.473374409321547</x:v>
      </x:c>
      <x:c r="M828" s="10" t="n">
        <x:f>E828/Sources!$B$4*1000</x:f>
        <x:v>33.3768677303959</x:v>
      </x:c>
      <x:c r="N828" s="9" t="n">
        <x:f>Sources!$B$6-K828</x:f>
        <x:v>-24288.0000000149</x:v>
      </x:c>
      <x:c r="O828" s="1" t="str">
        <x:v>keyboard_route</x:v>
      </x:c>
      <x:c r="P828" s="12" t="n">
        <x:v>4</x:v>
      </x:c>
      <x:c r="Q828" s="12" t="n">
        <x:v>0</x:v>
      </x:c>
      <x:c r="R828" s="12" t="n">
        <x:v>0</x:v>
      </x:c>
      <x:c r="S828" s="12" t="n">
        <x:v>3</x:v>
      </x:c>
      <x:c r="T828" s="1" t="str">
        <x:v>Yes</x:v>
      </x:c>
      <x:c r="U828" s="1" t="n">
        <x:v>0</x:v>
      </x:c>
    </x:row>
    <x:row r="829" ht="23" customHeight="1">
      <x:c r="A829" s="9" t="n">
        <x:v>947</x:v>
      </x:c>
      <x:c r="B829" s="9" t="n">
        <x:v>396</x:v>
      </x:c>
      <x:c r="C829" s="9" t="n">
        <x:v>435</x:v>
      </x:c>
      <x:c r="D829" s="9" t="n">
        <x:v>2</x:v>
      </x:c>
      <x:c r="E829" s="9" t="n">
        <x:v>119469</x:v>
      </x:c>
      <x:c r="F829" s="9" t="n">
        <x:v>37171</x:v>
      </x:c>
      <x:c r="G829" s="9" t="n">
        <x:v>27802</x:v>
      </x:c>
      <x:c r="H829" s="9" t="n">
        <x:v>51825</x:v>
      </x:c>
      <x:c r="I829" s="9" t="n">
        <x:v>2565</x:v>
      </x:c>
      <x:c r="J829" s="9" t="n">
        <x:v>106</x:v>
      </x:c>
      <x:c r="K829" s="9" t="n">
        <x:f>F829+G829+I829+J829</x:f>
        <x:v>67644</x:v>
      </x:c>
      <x:c r="L829" s="10" t="n">
        <x:f>K829/Sources!$B$4*1000</x:f>
        <x:v>18.897373828237946</x:v>
      </x:c>
      <x:c r="M829" s="10" t="n">
        <x:f>E829/Sources!$B$4*1000</x:f>
        <x:v>33.375470904821704</x:v>
      </x:c>
      <x:c r="N829" s="9" t="n">
        <x:f>Sources!$B$6-K829</x:f>
        <x:v>-7908</x:v>
      </x:c>
      <x:c r="O829" s="1" t="str">
        <x:v>keyboard_route</x:v>
      </x:c>
      <x:c r="P829" s="12" t="n">
        <x:v>4</x:v>
      </x:c>
      <x:c r="Q829" s="12" t="n">
        <x:v>0</x:v>
      </x:c>
      <x:c r="R829" s="12" t="n">
        <x:v>4</x:v>
      </x:c>
      <x:c r="S829" s="12" t="n">
        <x:v>3</x:v>
      </x:c>
      <x:c r="T829" s="1" t="str">
        <x:v>No</x:v>
      </x:c>
      <x:c r="U829" s="1" t="n">
        <x:v>0</x:v>
      </x:c>
    </x:row>
    <x:row r="830" ht="23" customHeight="1">
      <x:c r="A830" s="9" t="n">
        <x:v>948</x:v>
      </x:c>
      <x:c r="B830" s="9" t="n">
        <x:v>400</x:v>
      </x:c>
      <x:c r="C830" s="9" t="n">
        <x:v>435</x:v>
      </x:c>
      <x:c r="D830" s="9" t="n">
        <x:v>2</x:v>
      </x:c>
      <x:c r="E830" s="9" t="n">
        <x:v>119474.9999999851</x:v>
      </x:c>
      <x:c r="F830" s="9" t="n">
        <x:v>34251.9999999851</x:v>
      </x:c>
      <x:c r="G830" s="9" t="n">
        <x:v>47281.9999999851</x:v>
      </x:c>
      <x:c r="H830" s="9" t="n">
        <x:v>35270</x:v>
      </x:c>
      <x:c r="I830" s="9" t="n">
        <x:v>2565</x:v>
      </x:c>
      <x:c r="J830" s="9" t="n">
        <x:v>106.00000001490116</x:v>
      </x:c>
      <x:c r="K830" s="9" t="n">
        <x:f>F830+G830+I830+J830</x:f>
        <x:v>84204.9999999851</x:v>
      </x:c>
      <x:c r="L830" s="10" t="n">
        <x:f>K830/Sources!$B$4*1000</x:f>
        <x:v>23.523939495099263</x:v>
      </x:c>
      <x:c r="M830" s="10" t="n">
        <x:f>E830/Sources!$B$4*1000</x:f>
        <x:v>33.37714709550658</x:v>
      </x:c>
      <x:c r="N830" s="9" t="n">
        <x:f>Sources!$B$6-K830</x:f>
        <x:v>-24468.9999999851</x:v>
      </x:c>
      <x:c r="O830" s="1" t="str">
        <x:v>keyboard_route</x:v>
      </x:c>
      <x:c r="P830" s="12" t="n">
        <x:v>4</x:v>
      </x:c>
      <x:c r="Q830" s="12" t="n">
        <x:v>0</x:v>
      </x:c>
      <x:c r="R830" s="12" t="n">
        <x:v>0</x:v>
      </x:c>
      <x:c r="S830" s="12" t="n">
        <x:v>3</x:v>
      </x:c>
      <x:c r="T830" s="1" t="str">
        <x:v>Yes</x:v>
      </x:c>
      <x:c r="U830" s="1" t="n">
        <x:v>0</x:v>
      </x:c>
    </x:row>
    <x:row r="831" ht="23" customHeight="1">
      <x:c r="A831" s="9" t="n">
        <x:v>949</x:v>
      </x:c>
      <x:c r="B831" s="9" t="n">
        <x:v>404</x:v>
      </x:c>
      <x:c r="C831" s="9" t="n">
        <x:v>435</x:v>
      </x:c>
      <x:c r="D831" s="9" t="n">
        <x:v>2</x:v>
      </x:c>
      <x:c r="E831" s="9" t="n">
        <x:v>119471.0000000298</x:v>
      </x:c>
      <x:c r="F831" s="9" t="n">
        <x:v>36263.0000000149</x:v>
      </x:c>
      <x:c r="G831" s="9" t="n">
        <x:v>27802</x:v>
      </x:c>
      <x:c r="H831" s="9" t="n">
        <x:v>52735</x:v>
      </x:c>
      <x:c r="I831" s="9" t="n">
        <x:v>2564.999999985099</x:v>
      </x:c>
      <x:c r="J831" s="9" t="n">
        <x:v>106.00000002980232</x:v>
      </x:c>
      <x:c r="K831" s="9" t="n">
        <x:f>F831+G831+I831+J831</x:f>
        <x:v>66736.0000000298</x:v>
      </x:c>
      <x:c r="L831" s="10" t="n">
        <x:f>K831/Sources!$B$4*1000</x:f>
        <x:v>18.643710303971538</x:v>
      </x:c>
      <x:c r="M831" s="10" t="n">
        <x:f>E831/Sources!$B$4*1000</x:f>
        <x:v>33.37602963505971</x:v>
      </x:c>
      <x:c r="N831" s="9" t="n">
        <x:f>Sources!$B$6-K831</x:f>
        <x:v>-7000.000000029802</x:v>
      </x:c>
      <x:c r="O831" s="1" t="str">
        <x:v>keyboard_route</x:v>
      </x:c>
      <x:c r="P831" s="12" t="n">
        <x:v>4</x:v>
      </x:c>
      <x:c r="Q831" s="12" t="n">
        <x:v>0</x:v>
      </x:c>
      <x:c r="R831" s="12" t="n">
        <x:v>4</x:v>
      </x:c>
      <x:c r="S831" s="12" t="n">
        <x:v>3</x:v>
      </x:c>
      <x:c r="T831" s="1" t="str">
        <x:v>No</x:v>
      </x:c>
      <x:c r="U831" s="1" t="n">
        <x:v>0</x:v>
      </x:c>
    </x:row>
    <x:row r="832" ht="23" customHeight="1">
      <x:c r="A832" s="9" t="n">
        <x:v>950</x:v>
      </x:c>
      <x:c r="B832" s="9" t="n">
        <x:v>408</x:v>
      </x:c>
      <x:c r="C832" s="9" t="n">
        <x:v>435</x:v>
      </x:c>
      <x:c r="D832" s="9" t="n">
        <x:v>2</x:v>
      </x:c>
      <x:c r="E832" s="9" t="n">
        <x:v>119472.9999999851</x:v>
      </x:c>
      <x:c r="F832" s="9" t="n">
        <x:v>34070</x:v>
      </x:c>
      <x:c r="G832" s="9" t="n">
        <x:v>47281.9999999851</x:v>
      </x:c>
      <x:c r="H832" s="9" t="n">
        <x:v>35449.9999999851</x:v>
      </x:c>
      <x:c r="I832" s="9" t="n">
        <x:v>2565</x:v>
      </x:c>
      <x:c r="J832" s="9" t="n">
        <x:v>106.00000001490116</x:v>
      </x:c>
      <x:c r="K832" s="9" t="n">
        <x:f>F832+G832+I832+J832</x:f>
        <x:v>84023</x:v>
      </x:c>
      <x:c r="L832" s="10" t="n">
        <x:f>K832/Sources!$B$4*1000</x:f>
        <x:v>23.473095044202545</x:v>
      </x:c>
      <x:c r="M832" s="10" t="n">
        <x:f>E832/Sources!$B$4*1000</x:f>
        <x:v>33.376588365276895</x:v>
      </x:c>
      <x:c r="N832" s="9" t="n">
        <x:f>Sources!$B$6-K832</x:f>
        <x:v>-24287</x:v>
      </x:c>
      <x:c r="O832" s="1" t="str">
        <x:v>keyboard_route</x:v>
      </x:c>
      <x:c r="P832" s="12" t="n">
        <x:v>4</x:v>
      </x:c>
      <x:c r="Q832" s="12" t="n">
        <x:v>0</x:v>
      </x:c>
      <x:c r="R832" s="12" t="n">
        <x:v>0</x:v>
      </x:c>
      <x:c r="S832" s="12" t="n">
        <x:v>3</x:v>
      </x:c>
      <x:c r="T832" s="1" t="str">
        <x:v>Yes</x:v>
      </x:c>
      <x:c r="U832" s="1" t="n">
        <x:v>0</x:v>
      </x:c>
    </x:row>
    <x:row r="833" ht="23" customHeight="1">
      <x:c r="A833" s="9" t="n">
        <x:v>951</x:v>
      </x:c>
      <x:c r="B833" s="9" t="n">
        <x:v>412</x:v>
      </x:c>
      <x:c r="C833" s="9" t="n">
        <x:v>435</x:v>
      </x:c>
      <x:c r="D833" s="9" t="n">
        <x:v>2</x:v>
      </x:c>
      <x:c r="E833" s="9" t="n">
        <x:v>119469</x:v>
      </x:c>
      <x:c r="F833" s="9" t="n">
        <x:v>39903</x:v>
      </x:c>
      <x:c r="G833" s="9" t="n">
        <x:v>28665</x:v>
      </x:c>
      <x:c r="H833" s="9" t="n">
        <x:v>48230</x:v>
      </x:c>
      <x:c r="I833" s="9" t="n">
        <x:v>2564.999999985099</x:v>
      </x:c>
      <x:c r="J833" s="9" t="n">
        <x:v>106.00000001490116</x:v>
      </x:c>
      <x:c r="K833" s="9" t="n">
        <x:f>F833+G833+I833+J833</x:f>
        <x:v>71239</x:v>
      </x:c>
      <x:c r="L833" s="10" t="n">
        <x:f>K833/Sources!$B$4*1000</x:f>
        <x:v>19.9016914160878</x:v>
      </x:c>
      <x:c r="M833" s="10" t="n">
        <x:f>E833/Sources!$B$4*1000</x:f>
        <x:v>33.375470904821704</x:v>
      </x:c>
      <x:c r="N833" s="9" t="n">
        <x:f>Sources!$B$6-K833</x:f>
        <x:v>-11503</x:v>
      </x:c>
      <x:c r="O833" s="1" t="str">
        <x:v>keyboard_route</x:v>
      </x:c>
      <x:c r="P833" s="12" t="n">
        <x:v>4</x:v>
      </x:c>
      <x:c r="Q833" s="12" t="n">
        <x:v>0</x:v>
      </x:c>
      <x:c r="R833" s="12" t="n">
        <x:v>4</x:v>
      </x:c>
      <x:c r="S833" s="12" t="n">
        <x:v>3</x:v>
      </x:c>
      <x:c r="T833" s="1" t="str">
        <x:v>No</x:v>
      </x:c>
      <x:c r="U833" s="1" t="n">
        <x:v>0</x:v>
      </x:c>
    </x:row>
    <x:row r="834" ht="23" customHeight="1">
      <x:c r="A834" s="9" t="n">
        <x:v>952</x:v>
      </x:c>
      <x:c r="B834" s="9" t="n">
        <x:v>412</x:v>
      </x:c>
      <x:c r="C834" s="9" t="n">
        <x:v>439</x:v>
      </x:c>
      <x:c r="D834" s="9" t="n">
        <x:v>2</x:v>
      </x:c>
      <x:c r="E834" s="9" t="n">
        <x:v>121024</x:v>
      </x:c>
      <x:c r="F834" s="9" t="n">
        <x:v>35458.0000000149</x:v>
      </x:c>
      <x:c r="G834" s="9" t="n">
        <x:v>24603.0000000149</x:v>
      </x:c>
      <x:c r="H834" s="9" t="n">
        <x:v>56740.0000000149</x:v>
      </x:c>
      <x:c r="I834" s="9" t="n">
        <x:v>4116.999999985099</x:v>
      </x:c>
      <x:c r="J834" s="9" t="n">
        <x:v>105.99999997019768</x:v>
      </x:c>
      <x:c r="K834" s="9" t="n">
        <x:f>F834+G834+I834+J834</x:f>
        <x:v>64283.9999999851</x:v>
      </x:c>
      <x:c r="L834" s="10" t="n">
        <x:f>K834/Sources!$B$4*1000</x:f>
        <x:v>17.958707042371334</x:v>
      </x:c>
      <x:c r="M834" s="10" t="n">
        <x:f>E834/Sources!$B$4*1000</x:f>
        <x:v>33.80988365839792</x:v>
      </x:c>
      <x:c r="N834" s="9" t="n">
        <x:f>Sources!$B$6-K834</x:f>
        <x:v>-4547.999999985099</x:v>
      </x:c>
      <x:c r="O834" s="1" t="str">
        <x:v>keyboard_route</x:v>
      </x:c>
      <x:c r="P834" s="12" t="n">
        <x:v>0</x:v>
      </x:c>
      <x:c r="Q834" s="12" t="n">
        <x:v>4</x:v>
      </x:c>
      <x:c r="R834" s="12" t="n">
        <x:v>4</x:v>
      </x:c>
      <x:c r="S834" s="12" t="n">
        <x:v>7</x:v>
      </x:c>
      <x:c r="T834" s="1" t="str">
        <x:v>No</x:v>
      </x:c>
      <x:c r="U834" s="1" t="n">
        <x:v>0</x:v>
      </x:c>
    </x:row>
    <x:row r="835" ht="23" customHeight="1">
      <x:c r="A835" s="9" t="n">
        <x:v>953</x:v>
      </x:c>
      <x:c r="B835" s="9" t="n">
        <x:v>412</x:v>
      </x:c>
      <x:c r="C835" s="9" t="n">
        <x:v>443</x:v>
      </x:c>
      <x:c r="D835" s="9" t="n">
        <x:v>2</x:v>
      </x:c>
      <x:c r="E835" s="9" t="n">
        <x:v>122292.9999999851</x:v>
      </x:c>
      <x:c r="F835" s="9" t="n">
        <x:v>42489.0000000149</x:v>
      </x:c>
      <x:c r="G835" s="9" t="n">
        <x:v>38380.0000000149</x:v>
      </x:c>
      <x:c r="H835" s="9" t="n">
        <x:v>34380</x:v>
      </x:c>
      <x:c r="I835" s="9" t="n">
        <x:v>6938</x:v>
      </x:c>
      <x:c r="J835" s="9" t="n">
        <x:v>105.99999995529652</x:v>
      </x:c>
      <x:c r="K835" s="9" t="n">
        <x:f>F835+G835+I835+J835</x:f>
        <x:v>87912.9999999851</x:v>
      </x:c>
      <x:c r="L835" s="10" t="n">
        <x:f>K835/Sources!$B$4*1000</x:f>
        <x:v>24.55982534092604</x:v>
      </x:c>
      <x:c r="M835" s="10" t="n">
        <x:f>E835/Sources!$B$4*1000</x:f>
        <x:v>34.16439798912574</x:v>
      </x:c>
      <x:c r="N835" s="9" t="n">
        <x:f>Sources!$B$6-K835</x:f>
        <x:v>-28176.9999999851</x:v>
      </x:c>
      <x:c r="O835" s="1" t="str">
        <x:v>keyboard_route</x:v>
      </x:c>
      <x:c r="P835" s="12" t="n">
        <x:v>0</x:v>
      </x:c>
      <x:c r="Q835" s="12" t="n">
        <x:v>4</x:v>
      </x:c>
      <x:c r="R835" s="12" t="n">
        <x:v>4</x:v>
      </x:c>
      <x:c r="S835" s="12" t="n">
        <x:v>3</x:v>
      </x:c>
      <x:c r="T835" s="1" t="str">
        <x:v>Yes</x:v>
      </x:c>
      <x:c r="U835" s="1" t="n">
        <x:v>0</x:v>
      </x:c>
    </x:row>
    <x:row r="836" ht="23" customHeight="1">
      <x:c r="A836" s="9" t="n">
        <x:v>954</x:v>
      </x:c>
      <x:c r="B836" s="9" t="n">
        <x:v>412</x:v>
      </x:c>
      <x:c r="C836" s="9" t="n">
        <x:v>447</x:v>
      </x:c>
      <x:c r="D836" s="9" t="n">
        <x:v>2</x:v>
      </x:c>
      <x:c r="E836" s="9" t="n">
        <x:v>116655</x:v>
      </x:c>
      <x:c r="F836" s="9" t="n">
        <x:v>39318.0000000149</x:v>
      </x:c>
      <x:c r="G836" s="9" t="n">
        <x:v>25894.0000000149</x:v>
      </x:c>
      <x:c r="H836" s="9" t="n">
        <x:v>47220.0000000149</x:v>
      </x:c>
      <x:c r="I836" s="9" t="n">
        <x:v>4117</x:v>
      </x:c>
      <x:c r="J836" s="9" t="n">
        <x:v>105.99999995529652</x:v>
      </x:c>
      <x:c r="K836" s="9" t="n">
        <x:f>F836+G836+I836+J836</x:f>
        <x:v>69434.9999999851</x:v>
      </x:c>
      <x:c r="L836" s="10" t="n">
        <x:f>K836/Sources!$B$4*1000</x:f>
        <x:v>19.397716748912252</x:v>
      </x:c>
      <x:c r="M836" s="10" t="n">
        <x:f>E836/Sources!$B$4*1000</x:f>
        <x:v>32.5893374716619</x:v>
      </x:c>
      <x:c r="N836" s="9" t="n">
        <x:f>Sources!$B$6-K836</x:f>
        <x:v>-9698.999999985099</x:v>
      </x:c>
      <x:c r="O836" s="1" t="str">
        <x:v>keyboard_route</x:v>
      </x:c>
      <x:c r="P836" s="12" t="n">
        <x:v>0</x:v>
      </x:c>
      <x:c r="Q836" s="12" t="n">
        <x:v>4</x:v>
      </x:c>
      <x:c r="R836" s="12" t="n">
        <x:v>4</x:v>
      </x:c>
      <x:c r="S836" s="12" t="n">
        <x:v>7</x:v>
      </x:c>
      <x:c r="T836" s="1" t="str">
        <x:v>No</x:v>
      </x:c>
      <x:c r="U836" s="1" t="n">
        <x:v>0</x:v>
      </x:c>
    </x:row>
    <x:row r="837" ht="23" customHeight="1">
      <x:c r="A837" s="9" t="n">
        <x:v>955</x:v>
      </x:c>
      <x:c r="B837" s="9" t="n">
        <x:v>412</x:v>
      </x:c>
      <x:c r="C837" s="9" t="n">
        <x:v>451</x:v>
      </x:c>
      <x:c r="D837" s="9" t="n">
        <x:v>2</x:v>
      </x:c>
      <x:c r="E837" s="9" t="n">
        <x:v>119472.0000000149</x:v>
      </x:c>
      <x:c r="F837" s="9" t="n">
        <x:v>46640</x:v>
      </x:c>
      <x:c r="G837" s="9" t="n">
        <x:v>38353.9999999851</x:v>
      </x:c>
      <x:c r="H837" s="9" t="n">
        <x:v>30255</x:v>
      </x:c>
      <x:c r="I837" s="9" t="n">
        <x:v>4117.000000014901</x:v>
      </x:c>
      <x:c r="J837" s="9" t="n">
        <x:v>106.00000001490116</x:v>
      </x:c>
      <x:c r="K837" s="9" t="n">
        <x:f>F837+G837+I837+J837</x:f>
        <x:v>89217.0000000149</x:v>
      </x:c>
      <x:c r="L837" s="10" t="n">
        <x:f>K837/Sources!$B$4*1000</x:f>
        <x:v>24.924117450685745</x:v>
      </x:c>
      <x:c r="M837" s="10" t="n">
        <x:f>E837/Sources!$B$4*1000</x:f>
        <x:v>33.37630900017039</x:v>
      </x:c>
      <x:c r="N837" s="9" t="n">
        <x:f>Sources!$B$6-K837</x:f>
        <x:v>-29481.0000000149</x:v>
      </x:c>
      <x:c r="O837" s="1" t="str">
        <x:v>keyboard_route</x:v>
      </x:c>
      <x:c r="P837" s="12" t="n">
        <x:v>0</x:v>
      </x:c>
      <x:c r="Q837" s="12" t="n">
        <x:v>4</x:v>
      </x:c>
      <x:c r="R837" s="12" t="n">
        <x:v>4</x:v>
      </x:c>
      <x:c r="S837" s="12" t="n">
        <x:v>3</x:v>
      </x:c>
      <x:c r="T837" s="1" t="str">
        <x:v>Yes</x:v>
      </x:c>
      <x:c r="U837" s="1" t="n">
        <x:v>0</x:v>
      </x:c>
    </x:row>
    <x:row r="838" ht="23" customHeight="1">
      <x:c r="A838" s="9" t="n">
        <x:v>956</x:v>
      </x:c>
      <x:c r="B838" s="9" t="n">
        <x:v>412</x:v>
      </x:c>
      <x:c r="C838" s="9" t="n">
        <x:v>455</x:v>
      </x:c>
      <x:c r="D838" s="9" t="n">
        <x:v>2</x:v>
      </x:c>
      <x:c r="E838" s="9" t="n">
        <x:v>119467.9999999851</x:v>
      </x:c>
      <x:c r="F838" s="9" t="n">
        <x:v>47905.9999999851</x:v>
      </x:c>
      <x:c r="G838" s="9" t="n">
        <x:v>25894.0000000149</x:v>
      </x:c>
      <x:c r="H838" s="9" t="n">
        <x:v>41445.0000000149</x:v>
      </x:c>
      <x:c r="I838" s="9" t="n">
        <x:v>4116.999999985099</x:v>
      </x:c>
      <x:c r="J838" s="9" t="n">
        <x:v>105.99999998509884</x:v>
      </x:c>
      <x:c r="K838" s="9" t="n">
        <x:f>F838+G838+I838+J838</x:f>
        <x:v>78022.9999999702</x:v>
      </x:c>
      <x:c r="L838" s="10" t="n">
        <x:f>K838/Sources!$B$4*1000</x:f>
        <x:v>21.79690435515413</x:v>
      </x:c>
      <x:c r="M838" s="10" t="n">
        <x:f>E838/Sources!$B$4*1000</x:f>
        <x:v>33.3751915397027</x:v>
      </x:c>
      <x:c r="N838" s="9" t="n">
        <x:f>Sources!$B$6-K838</x:f>
        <x:v>-18286.999999970198</x:v>
      </x:c>
      <x:c r="O838" s="1" t="str">
        <x:v>keyboard_route</x:v>
      </x:c>
      <x:c r="P838" s="12" t="n">
        <x:v>0</x:v>
      </x:c>
      <x:c r="Q838" s="12" t="n">
        <x:v>4</x:v>
      </x:c>
      <x:c r="R838" s="12" t="n">
        <x:v>4</x:v>
      </x:c>
      <x:c r="S838" s="12" t="n">
        <x:v>7</x:v>
      </x:c>
      <x:c r="T838" s="1" t="str">
        <x:v>No</x:v>
      </x:c>
      <x:c r="U838" s="1" t="n">
        <x:v>0</x:v>
      </x:c>
    </x:row>
    <x:row r="839" ht="23" customHeight="1">
      <x:c r="A839" s="9" t="n">
        <x:v>957</x:v>
      </x:c>
      <x:c r="B839" s="9" t="n">
        <x:v>412</x:v>
      </x:c>
      <x:c r="C839" s="9" t="n">
        <x:v>459</x:v>
      </x:c>
      <x:c r="D839" s="9" t="n">
        <x:v>2</x:v>
      </x:c>
      <x:c r="E839" s="9" t="n">
        <x:v>121369.0000000149</x:v>
      </x:c>
      <x:c r="F839" s="9" t="n">
        <x:v>47006.0000000149</x:v>
      </x:c>
      <x:c r="G839" s="9" t="n">
        <x:v>38354</x:v>
      </x:c>
      <x:c r="H839" s="9" t="n">
        <x:v>29890</x:v>
      </x:c>
      <x:c r="I839" s="9" t="n">
        <x:v>6013</x:v>
      </x:c>
      <x:c r="J839" s="9" t="n">
        <x:v>106</x:v>
      </x:c>
      <x:c r="K839" s="9" t="n">
        <x:f>F839+G839+I839+J839</x:f>
        <x:v>91479.0000000149</x:v>
      </x:c>
      <x:c r="L839" s="10" t="n">
        <x:f>K839/Sources!$B$4*1000</x:f>
        <x:v>25.55604134045386</x:v>
      </x:c>
      <x:c r="M839" s="10" t="n">
        <x:f>E839/Sources!$B$4*1000</x:f>
        <x:v>33.90626462302189</x:v>
      </x:c>
      <x:c r="N839" s="9" t="n">
        <x:f>Sources!$B$6-K839</x:f>
        <x:v>-31743.0000000149</x:v>
      </x:c>
      <x:c r="O839" s="1" t="str">
        <x:v>keyboard_route</x:v>
      </x:c>
      <x:c r="P839" s="12" t="n">
        <x:v>0</x:v>
      </x:c>
      <x:c r="Q839" s="12" t="n">
        <x:v>4</x:v>
      </x:c>
      <x:c r="R839" s="12" t="n">
        <x:v>4</x:v>
      </x:c>
      <x:c r="S839" s="12" t="n">
        <x:v>3</x:v>
      </x:c>
      <x:c r="T839" s="1" t="str">
        <x:v>Yes</x:v>
      </x:c>
      <x:c r="U839" s="1" t="n">
        <x:v>0</x:v>
      </x:c>
    </x:row>
    <x:row r="840" ht="23" customHeight="1">
      <x:c r="A840" s="9" t="n">
        <x:v>958</x:v>
      </x:c>
      <x:c r="B840" s="9" t="n">
        <x:v>412</x:v>
      </x:c>
      <x:c r="C840" s="9" t="n">
        <x:v>463</x:v>
      </x:c>
      <x:c r="D840" s="9" t="n">
        <x:v>2</x:v>
      </x:c>
      <x:c r="E840" s="9" t="n">
        <x:v>117578.9999999851</x:v>
      </x:c>
      <x:c r="F840" s="9" t="n">
        <x:v>45517</x:v>
      </x:c>
      <x:c r="G840" s="9" t="n">
        <x:v>25893.9999999851</x:v>
      </x:c>
      <x:c r="H840" s="9" t="n">
        <x:v>41945</x:v>
      </x:c>
      <x:c r="I840" s="9" t="n">
        <x:v>4117.000000014901</x:v>
      </x:c>
      <x:c r="J840" s="9" t="n">
        <x:v>105.99999998509884</x:v>
      </x:c>
      <x:c r="K840" s="9" t="n">
        <x:f>F840+G840+I840+J840</x:f>
        <x:v>75633.9999999851</x:v>
      </x:c>
      <x:c r="L840" s="10" t="n">
        <x:f>K840/Sources!$B$4*1000</x:f>
        <x:v>21.1295010958055</x:v>
      </x:c>
      <x:c r="M840" s="10" t="n">
        <x:f>E840/Sources!$B$4*1000</x:f>
        <x:v>32.84747083776991</x:v>
      </x:c>
      <x:c r="N840" s="9" t="n">
        <x:f>Sources!$B$6-K840</x:f>
        <x:v>-15897.999999985099</x:v>
      </x:c>
      <x:c r="O840" s="1" t="str">
        <x:v>keyboard_route</x:v>
      </x:c>
      <x:c r="P840" s="12" t="n">
        <x:v>0</x:v>
      </x:c>
      <x:c r="Q840" s="12" t="n">
        <x:v>4</x:v>
      </x:c>
      <x:c r="R840" s="12" t="n">
        <x:v>4</x:v>
      </x:c>
      <x:c r="S840" s="12" t="n">
        <x:v>7</x:v>
      </x:c>
      <x:c r="T840" s="1" t="str">
        <x:v>No</x:v>
      </x:c>
      <x:c r="U840" s="1" t="n">
        <x:v>0</x:v>
      </x:c>
    </x:row>
    <x:row r="841" ht="23" customHeight="1">
      <x:c r="A841" s="9" t="n">
        <x:v>959</x:v>
      </x:c>
      <x:c r="B841" s="9" t="n">
        <x:v>412</x:v>
      </x:c>
      <x:c r="C841" s="9" t="n">
        <x:v>467</x:v>
      </x:c>
      <x:c r="D841" s="9" t="n">
        <x:v>2</x:v>
      </x:c>
      <x:c r="E841" s="9" t="n">
        <x:v>119471</x:v>
      </x:c>
      <x:c r="F841" s="9" t="n">
        <x:v>40698.9999999851</x:v>
      </x:c>
      <x:c r="G841" s="9" t="n">
        <x:v>38353.9999999851</x:v>
      </x:c>
      <x:c r="H841" s="9" t="n">
        <x:v>36195</x:v>
      </x:c>
      <x:c r="I841" s="9" t="n">
        <x:v>4117</x:v>
      </x:c>
      <x:c r="J841" s="9" t="n">
        <x:v>106.00000002980232</x:v>
      </x:c>
      <x:c r="K841" s="9" t="n">
        <x:f>F841+G841+I841+J841</x:f>
        <x:v>83276</x:v>
      </x:c>
      <x:c r="L841" s="10" t="n">
        <x:f>K841/Sources!$B$4*1000</x:f>
        <x:v>23.264409303417054</x:v>
      </x:c>
      <x:c r="M841" s="10" t="n">
        <x:f>E841/Sources!$B$4*1000</x:f>
        <x:v>33.37602963505138</x:v>
      </x:c>
      <x:c r="N841" s="9" t="n">
        <x:f>Sources!$B$6-K841</x:f>
        <x:v>-23540</x:v>
      </x:c>
      <x:c r="O841" s="1" t="str">
        <x:v>keyboard_route</x:v>
      </x:c>
      <x:c r="P841" s="12" t="n">
        <x:v>0</x:v>
      </x:c>
      <x:c r="Q841" s="12" t="n">
        <x:v>4</x:v>
      </x:c>
      <x:c r="R841" s="12" t="n">
        <x:v>4</x:v>
      </x:c>
      <x:c r="S841" s="12" t="n">
        <x:v>3</x:v>
      </x:c>
      <x:c r="T841" s="1" t="str">
        <x:v>Yes</x:v>
      </x:c>
      <x:c r="U841" s="1" t="n">
        <x:v>0</x:v>
      </x:c>
    </x:row>
    <x:row r="842" ht="23" customHeight="1">
      <x:c r="A842" s="9" t="n">
        <x:v>960</x:v>
      </x:c>
      <x:c r="B842" s="9" t="n">
        <x:v>412</x:v>
      </x:c>
      <x:c r="C842" s="9" t="n">
        <x:v>471</x:v>
      </x:c>
      <x:c r="D842" s="9" t="n">
        <x:v>2</x:v>
      </x:c>
      <x:c r="E842" s="9" t="n">
        <x:v>119469</x:v>
      </x:c>
      <x:c r="F842" s="9" t="n">
        <x:v>41592</x:v>
      </x:c>
      <x:c r="G842" s="9" t="n">
        <x:v>25893.9999999851</x:v>
      </x:c>
      <x:c r="H842" s="9" t="n">
        <x:v>47760.0000000149</x:v>
      </x:c>
      <x:c r="I842" s="9" t="n">
        <x:v>4117.000000014901</x:v>
      </x:c>
      <x:c r="J842" s="9" t="n">
        <x:v>105.99999998509884</x:v>
      </x:c>
      <x:c r="K842" s="9" t="n">
        <x:f>F842+G842+I842+J842</x:f>
        <x:v>71708.9999999851</x:v>
      </x:c>
      <x:c r="L842" s="10" t="n">
        <x:f>K842/Sources!$B$4*1000</x:f>
        <x:v>20.032993020058445</x:v>
      </x:c>
      <x:c r="M842" s="10" t="n">
        <x:f>E842/Sources!$B$4*1000</x:f>
        <x:v>33.375470904821704</x:v>
      </x:c>
      <x:c r="N842" s="9" t="n">
        <x:f>Sources!$B$6-K842</x:f>
        <x:v>-11972.999999985099</x:v>
      </x:c>
      <x:c r="O842" s="1" t="str">
        <x:v>keyboard_route</x:v>
      </x:c>
      <x:c r="P842" s="12" t="n">
        <x:v>0</x:v>
      </x:c>
      <x:c r="Q842" s="12" t="n">
        <x:v>4</x:v>
      </x:c>
      <x:c r="R842" s="12" t="n">
        <x:v>4</x:v>
      </x:c>
      <x:c r="S842" s="12" t="n">
        <x:v>7</x:v>
      </x:c>
      <x:c r="T842" s="1" t="str">
        <x:v>No</x:v>
      </x:c>
      <x:c r="U842" s="1" t="n">
        <x:v>0</x:v>
      </x:c>
    </x:row>
    <x:row r="843" ht="23" customHeight="1">
      <x:c r="A843" s="9" t="n">
        <x:v>961</x:v>
      </x:c>
      <x:c r="B843" s="9" t="n">
        <x:v>412</x:v>
      </x:c>
      <x:c r="C843" s="9" t="n">
        <x:v>475</x:v>
      </x:c>
      <x:c r="D843" s="9" t="n">
        <x:v>2</x:v>
      </x:c>
      <x:c r="E843" s="9" t="n">
        <x:v>119475.0000000149</x:v>
      </x:c>
      <x:c r="F843" s="9" t="n">
        <x:v>36176.9999999851</x:v>
      </x:c>
      <x:c r="G843" s="9" t="n">
        <x:v>38360</x:v>
      </x:c>
      <x:c r="H843" s="9" t="n">
        <x:v>40715</x:v>
      </x:c>
      <x:c r="I843" s="9" t="n">
        <x:v>4117</x:v>
      </x:c>
      <x:c r="J843" s="9" t="n">
        <x:v>106.00000002980232</x:v>
      </x:c>
      <x:c r="K843" s="9" t="n">
        <x:f>F843+G843+I843+J843</x:f>
        <x:v>78760.0000000149</x:v>
      </x:c>
      <x:c r="L843" s="10" t="n">
        <x:f>K843/Sources!$B$4*1000</x:f>
        <x:v>22.002796444803714</x:v>
      </x:c>
      <x:c r="M843" s="10" t="n">
        <x:f>E843/Sources!$B$4*1000</x:f>
        <x:v>33.37714709551491</x:v>
      </x:c>
      <x:c r="N843" s="9" t="n">
        <x:f>Sources!$B$6-K843</x:f>
        <x:v>-19024.0000000149</x:v>
      </x:c>
      <x:c r="O843" s="1" t="str">
        <x:v>keyboard_route</x:v>
      </x:c>
      <x:c r="P843" s="12" t="n">
        <x:v>0</x:v>
      </x:c>
      <x:c r="Q843" s="12" t="n">
        <x:v>4</x:v>
      </x:c>
      <x:c r="R843" s="12" t="n">
        <x:v>4</x:v>
      </x:c>
      <x:c r="S843" s="12" t="n">
        <x:v>3</x:v>
      </x:c>
      <x:c r="T843" s="1" t="str">
        <x:v>Yes</x:v>
      </x:c>
      <x:c r="U843" s="1" t="n">
        <x:v>0</x:v>
      </x:c>
    </x:row>
    <x:row r="844" ht="23" customHeight="1">
      <x:c r="A844" s="9" t="n">
        <x:v>962</x:v>
      </x:c>
      <x:c r="B844" s="9" t="n">
        <x:v>412</x:v>
      </x:c>
      <x:c r="C844" s="9" t="n">
        <x:v>479</x:v>
      </x:c>
      <x:c r="D844" s="9" t="n">
        <x:v>2</x:v>
      </x:c>
      <x:c r="E844" s="9" t="n">
        <x:v>119472.9999999851</x:v>
      </x:c>
      <x:c r="F844" s="9" t="n">
        <x:v>40015</x:v>
      </x:c>
      <x:c r="G844" s="9" t="n">
        <x:v>25900</x:v>
      </x:c>
      <x:c r="H844" s="9" t="n">
        <x:v>49335.0000000149</x:v>
      </x:c>
      <x:c r="I844" s="9" t="n">
        <x:v>4117.000000014901</x:v>
      </x:c>
      <x:c r="J844" s="9" t="n">
        <x:v>105.99999995529652</x:v>
      </x:c>
      <x:c r="K844" s="9" t="n">
        <x:f>F844+G844+I844+J844</x:f>
        <x:v>70137.9999999702</x:v>
      </x:c>
      <x:c r="L844" s="10" t="n">
        <x:f>K844/Sources!$B$4*1000</x:f>
        <x:v>19.594110424640615</x:v>
      </x:c>
      <x:c r="M844" s="10" t="n">
        <x:f>E844/Sources!$B$4*1000</x:f>
        <x:v>33.376588365276895</x:v>
      </x:c>
      <x:c r="N844" s="9" t="n">
        <x:f>Sources!$B$6-K844</x:f>
        <x:v>-10401.999999970198</x:v>
      </x:c>
      <x:c r="O844" s="1" t="str">
        <x:v>keyboard_route</x:v>
      </x:c>
      <x:c r="P844" s="12" t="n">
        <x:v>0</x:v>
      </x:c>
      <x:c r="Q844" s="12" t="n">
        <x:v>4</x:v>
      </x:c>
      <x:c r="R844" s="12" t="n">
        <x:v>4</x:v>
      </x:c>
      <x:c r="S844" s="12" t="n">
        <x:v>7</x:v>
      </x:c>
      <x:c r="T844" s="1" t="str">
        <x:v>No</x:v>
      </x:c>
      <x:c r="U844" s="1" t="n">
        <x:v>0</x:v>
      </x:c>
    </x:row>
    <x:row r="845" ht="23" customHeight="1">
      <x:c r="A845" s="9" t="n">
        <x:v>963</x:v>
      </x:c>
      <x:c r="B845" s="9" t="n">
        <x:v>412</x:v>
      </x:c>
      <x:c r="C845" s="9" t="n">
        <x:v>483</x:v>
      </x:c>
      <x:c r="D845" s="9" t="n">
        <x:v>2</x:v>
      </x:c>
      <x:c r="E845" s="9" t="n">
        <x:v>119469.0000000149</x:v>
      </x:c>
      <x:c r="F845" s="9" t="n">
        <x:v>38845</x:v>
      </x:c>
      <x:c r="G845" s="9" t="n">
        <x:v>38386</x:v>
      </x:c>
      <x:c r="H845" s="9" t="n">
        <x:v>38015</x:v>
      </x:c>
      <x:c r="I845" s="9" t="n">
        <x:v>4117.000000014901</x:v>
      </x:c>
      <x:c r="J845" s="9" t="n">
        <x:v>106</x:v>
      </x:c>
      <x:c r="K845" s="9" t="n">
        <x:f>F845+G845+I845+J845</x:f>
        <x:v>81454.0000000149</x:v>
      </x:c>
      <x:c r="L845" s="10" t="n">
        <x:f>K845/Sources!$B$4*1000</x:f>
        <x:v>22.75540606418271</x:v>
      </x:c>
      <x:c r="M845" s="10" t="n">
        <x:f>E845/Sources!$B$4*1000</x:f>
        <x:v>33.37547090482587</x:v>
      </x:c>
      <x:c r="N845" s="9" t="n">
        <x:f>Sources!$B$6-K845</x:f>
        <x:v>-21718.0000000149</x:v>
      </x:c>
      <x:c r="O845" s="1" t="str">
        <x:v>keyboard_route</x:v>
      </x:c>
      <x:c r="P845" s="12" t="n">
        <x:v>0</x:v>
      </x:c>
      <x:c r="Q845" s="12" t="n">
        <x:v>4</x:v>
      </x:c>
      <x:c r="R845" s="12" t="n">
        <x:v>4</x:v>
      </x:c>
      <x:c r="S845" s="12" t="n">
        <x:v>3</x:v>
      </x:c>
      <x:c r="T845" s="1" t="str">
        <x:v>Yes</x:v>
      </x:c>
      <x:c r="U845" s="1" t="n">
        <x:v>0</x:v>
      </x:c>
    </x:row>
    <x:row r="846" ht="23" customHeight="1">
      <x:c r="A846" s="9" t="n">
        <x:v>964</x:v>
      </x:c>
      <x:c r="B846" s="9" t="n">
        <x:v>412</x:v>
      </x:c>
      <x:c r="C846" s="9" t="n">
        <x:v>487</x:v>
      </x:c>
      <x:c r="D846" s="9" t="n">
        <x:v>2</x:v>
      </x:c>
      <x:c r="E846" s="9" t="n">
        <x:v>119472.9999999851</x:v>
      </x:c>
      <x:c r="F846" s="9" t="n">
        <x:v>40529.9999999851</x:v>
      </x:c>
      <x:c r="G846" s="9" t="n">
        <x:v>26099.9999999851</x:v>
      </x:c>
      <x:c r="H846" s="9" t="n">
        <x:v>48620.0000000149</x:v>
      </x:c>
      <x:c r="I846" s="9" t="n">
        <x:v>4116.999999985099</x:v>
      </x:c>
      <x:c r="J846" s="9" t="n">
        <x:v>106.00000001490116</x:v>
      </x:c>
      <x:c r="K846" s="9" t="n">
        <x:f>F846+G846+I846+J846</x:f>
        <x:v>70852.9999999702</x:v>
      </x:c>
      <x:c r="L846" s="10" t="n">
        <x:f>K846/Sources!$B$4*1000</x:f>
        <x:v>19.793856481751227</x:v>
      </x:c>
      <x:c r="M846" s="10" t="n">
        <x:f>E846/Sources!$B$4*1000</x:f>
        <x:v>33.376588365276895</x:v>
      </x:c>
      <x:c r="N846" s="9" t="n">
        <x:f>Sources!$B$6-K846</x:f>
        <x:v>-11116.999999970198</x:v>
      </x:c>
      <x:c r="O846" s="1" t="str">
        <x:v>keyboard_route</x:v>
      </x:c>
      <x:c r="P846" s="12" t="n">
        <x:v>0</x:v>
      </x:c>
      <x:c r="Q846" s="12" t="n">
        <x:v>4</x:v>
      </x:c>
      <x:c r="R846" s="12" t="n">
        <x:v>4</x:v>
      </x:c>
      <x:c r="S846" s="12" t="n">
        <x:v>7</x:v>
      </x:c>
      <x:c r="T846" s="1" t="str">
        <x:v>No</x:v>
      </x:c>
      <x:c r="U846" s="1" t="n">
        <x:v>0</x:v>
      </x:c>
    </x:row>
    <x:row r="847" ht="23" customHeight="1">
      <x:c r="A847" s="9" t="n">
        <x:v>965</x:v>
      </x:c>
      <x:c r="B847" s="9" t="n">
        <x:v>412</x:v>
      </x:c>
      <x:c r="C847" s="9" t="n">
        <x:v>491</x:v>
      </x:c>
      <x:c r="D847" s="9" t="n">
        <x:v>2</x:v>
      </x:c>
      <x:c r="E847" s="9" t="n">
        <x:v>119474</x:v>
      </x:c>
      <x:c r="F847" s="9" t="n">
        <x:v>39725</x:v>
      </x:c>
      <x:c r="G847" s="9" t="n">
        <x:v>38385.9999999851</x:v>
      </x:c>
      <x:c r="H847" s="9" t="n">
        <x:v>37140</x:v>
      </x:c>
      <x:c r="I847" s="9" t="n">
        <x:v>4117.000000014901</x:v>
      </x:c>
      <x:c r="J847" s="9" t="n">
        <x:v>106</x:v>
      </x:c>
      <x:c r="K847" s="9" t="n">
        <x:f>F847+G847+I847+J847</x:f>
        <x:v>82334</x:v>
      </x:c>
      <x:c r="L847" s="10" t="n">
        <x:f>K847/Sources!$B$4*1000</x:f>
        <x:v>23.00124736523776</x:v>
      </x:c>
      <x:c r="M847" s="10" t="n">
        <x:f>E847/Sources!$B$4*1000</x:f>
        <x:v>33.3768677303959</x:v>
      </x:c>
      <x:c r="N847" s="9" t="n">
        <x:f>Sources!$B$6-K847</x:f>
        <x:v>-22598</x:v>
      </x:c>
      <x:c r="O847" s="1" t="str">
        <x:v>keyboard_route</x:v>
      </x:c>
      <x:c r="P847" s="12" t="n">
        <x:v>0</x:v>
      </x:c>
      <x:c r="Q847" s="12" t="n">
        <x:v>4</x:v>
      </x:c>
      <x:c r="R847" s="12" t="n">
        <x:v>4</x:v>
      </x:c>
      <x:c r="S847" s="12" t="n">
        <x:v>3</x:v>
      </x:c>
      <x:c r="T847" s="1" t="str">
        <x:v>Yes</x:v>
      </x:c>
      <x:c r="U847" s="1" t="n">
        <x:v>0</x:v>
      </x:c>
    </x:row>
    <x:row r="848" ht="23" customHeight="1">
      <x:c r="A848" s="9" t="n">
        <x:v>966</x:v>
      </x:c>
      <x:c r="B848" s="9" t="n">
        <x:v>412</x:v>
      </x:c>
      <x:c r="C848" s="9" t="n">
        <x:v>495</x:v>
      </x:c>
      <x:c r="D848" s="9" t="n">
        <x:v>2</x:v>
      </x:c>
      <x:c r="E848" s="9" t="n">
        <x:v>119472.0000000149</x:v>
      </x:c>
      <x:c r="F848" s="9" t="n">
        <x:v>43540</x:v>
      </x:c>
      <x:c r="G848" s="9" t="n">
        <x:v>26294</x:v>
      </x:c>
      <x:c r="H848" s="9" t="n">
        <x:v>45415</x:v>
      </x:c>
      <x:c r="I848" s="9" t="n">
        <x:v>4117.000000014901</x:v>
      </x:c>
      <x:c r="J848" s="9" t="n">
        <x:v>106</x:v>
      </x:c>
      <x:c r="K848" s="9" t="n">
        <x:f>F848+G848+I848+J848</x:f>
        <x:v>74057.0000000149</x:v>
      </x:c>
      <x:c r="L848" s="10" t="n">
        <x:f>K848/Sources!$B$4*1000</x:f>
        <x:v>20.688942309711123</x:v>
      </x:c>
      <x:c r="M848" s="10" t="n">
        <x:f>E848/Sources!$B$4*1000</x:f>
        <x:v>33.37630900017039</x:v>
      </x:c>
      <x:c r="N848" s="9" t="n">
        <x:f>Sources!$B$6-K848</x:f>
        <x:v>-14321.000000014901</x:v>
      </x:c>
      <x:c r="O848" s="1" t="str">
        <x:v>keyboard_route</x:v>
      </x:c>
      <x:c r="P848" s="12" t="n">
        <x:v>0</x:v>
      </x:c>
      <x:c r="Q848" s="12" t="n">
        <x:v>4</x:v>
      </x:c>
      <x:c r="R848" s="12" t="n">
        <x:v>4</x:v>
      </x:c>
      <x:c r="S848" s="12" t="n">
        <x:v>7</x:v>
      </x:c>
      <x:c r="T848" s="1" t="str">
        <x:v>No</x:v>
      </x:c>
      <x:c r="U848" s="1" t="n">
        <x:v>0</x:v>
      </x:c>
    </x:row>
    <x:row r="849" ht="23" customHeight="1">
      <x:c r="A849" s="9" t="n">
        <x:v>967</x:v>
      </x:c>
      <x:c r="B849" s="9" t="n">
        <x:v>412</x:v>
      </x:c>
      <x:c r="C849" s="9" t="n">
        <x:v>499</x:v>
      </x:c>
      <x:c r="D849" s="9" t="n">
        <x:v>2</x:v>
      </x:c>
      <x:c r="E849" s="9" t="n">
        <x:v>119472</x:v>
      </x:c>
      <x:c r="F849" s="9" t="n">
        <x:v>41679</x:v>
      </x:c>
      <x:c r="G849" s="9" t="n">
        <x:v>38580</x:v>
      </x:c>
      <x:c r="H849" s="9" t="n">
        <x:v>34990</x:v>
      </x:c>
      <x:c r="I849" s="9" t="n">
        <x:v>4116.999999985099</x:v>
      </x:c>
      <x:c r="J849" s="9" t="n">
        <x:v>106.00000001490116</x:v>
      </x:c>
      <x:c r="K849" s="9" t="n">
        <x:f>F849+G849+I849+J849</x:f>
        <x:v>84482</x:v>
      </x:c>
      <x:c r="L849" s="10" t="n">
        <x:f>K849/Sources!$B$4*1000</x:f>
        <x:v>23.601323631914113</x:v>
      </x:c>
      <x:c r="M849" s="10" t="n">
        <x:f>E849/Sources!$B$4*1000</x:f>
        <x:v>33.37630900016622</x:v>
      </x:c>
      <x:c r="N849" s="9" t="n">
        <x:f>Sources!$B$6-K849</x:f>
        <x:v>-24746</x:v>
      </x:c>
      <x:c r="O849" s="1" t="str">
        <x:v>keyboard_route</x:v>
      </x:c>
      <x:c r="P849" s="12" t="n">
        <x:v>0</x:v>
      </x:c>
      <x:c r="Q849" s="12" t="n">
        <x:v>4</x:v>
      </x:c>
      <x:c r="R849" s="12" t="n">
        <x:v>4</x:v>
      </x:c>
      <x:c r="S849" s="12" t="n">
        <x:v>3</x:v>
      </x:c>
      <x:c r="T849" s="1" t="str">
        <x:v>Yes</x:v>
      </x:c>
      <x:c r="U849" s="1" t="n">
        <x:v>0</x:v>
      </x:c>
    </x:row>
    <x:row r="850" ht="23" customHeight="1">
      <x:c r="A850" s="9" t="n">
        <x:v>968</x:v>
      </x:c>
      <x:c r="B850" s="9" t="n">
        <x:v>412</x:v>
      </x:c>
      <x:c r="C850" s="9" t="n">
        <x:v>503</x:v>
      </x:c>
      <x:c r="D850" s="9" t="n">
        <x:v>2</x:v>
      </x:c>
      <x:c r="E850" s="9" t="n">
        <x:v>119467.9999999851</x:v>
      </x:c>
      <x:c r="F850" s="9" t="n">
        <x:v>42871.0000000149</x:v>
      </x:c>
      <x:c r="G850" s="9" t="n">
        <x:v>26294</x:v>
      </x:c>
      <x:c r="H850" s="9" t="n">
        <x:v>46080.0000000149</x:v>
      </x:c>
      <x:c r="I850" s="9" t="n">
        <x:v>4117.000000014901</x:v>
      </x:c>
      <x:c r="J850" s="9" t="n">
        <x:v>105.99999994039536</x:v>
      </x:c>
      <x:c r="K850" s="9" t="n">
        <x:f>F850+G850+I850+J850</x:f>
        <x:v>73387.9999999702</x:v>
      </x:c>
      <x:c r="L850" s="10" t="n">
        <x:f>K850/Sources!$B$4*1000</x:f>
        <x:v>20.502047047870665</x:v>
      </x:c>
      <x:c r="M850" s="10" t="n">
        <x:f>E850/Sources!$B$4*1000</x:f>
        <x:v>33.3751915397027</x:v>
      </x:c>
      <x:c r="N850" s="9" t="n">
        <x:f>Sources!$B$6-K850</x:f>
        <x:v>-13651.999999970198</x:v>
      </x:c>
      <x:c r="O850" s="1" t="str">
        <x:v>keyboard_route</x:v>
      </x:c>
      <x:c r="P850" s="12" t="n">
        <x:v>0</x:v>
      </x:c>
      <x:c r="Q850" s="12" t="n">
        <x:v>4</x:v>
      </x:c>
      <x:c r="R850" s="12" t="n">
        <x:v>4</x:v>
      </x:c>
      <x:c r="S850" s="12" t="n">
        <x:v>7</x:v>
      </x:c>
      <x:c r="T850" s="1" t="str">
        <x:v>No</x:v>
      </x:c>
      <x:c r="U850" s="1" t="n">
        <x:v>0</x:v>
      </x:c>
    </x:row>
    <x:row r="851" ht="23" customHeight="1">
      <x:c r="A851" s="9" t="n">
        <x:v>969</x:v>
      </x:c>
      <x:c r="B851" s="9" t="n">
        <x:v>412</x:v>
      </x:c>
      <x:c r="C851" s="9" t="n">
        <x:v>507</x:v>
      </x:c>
      <x:c r="D851" s="9" t="n">
        <x:v>2</x:v>
      </x:c>
      <x:c r="E851" s="9" t="n">
        <x:v>119472.0000000149</x:v>
      </x:c>
      <x:c r="F851" s="9" t="n">
        <x:v>40249</x:v>
      </x:c>
      <x:c r="G851" s="9" t="n">
        <x:v>38580</x:v>
      </x:c>
      <x:c r="H851" s="9" t="n">
        <x:v>36420</x:v>
      </x:c>
      <x:c r="I851" s="9" t="n">
        <x:v>4117</x:v>
      </x:c>
      <x:c r="J851" s="9" t="n">
        <x:v>106.00000001490116</x:v>
      </x:c>
      <x:c r="K851" s="9" t="n">
        <x:f>F851+G851+I851+J851</x:f>
        <x:v>83052.0000000149</x:v>
      </x:c>
      <x:c r="L851" s="10" t="n">
        <x:f>K851/Sources!$B$4*1000</x:f>
        <x:v>23.201831517697055</x:v>
      </x:c>
      <x:c r="M851" s="10" t="n">
        <x:f>E851/Sources!$B$4*1000</x:f>
        <x:v>33.37630900017039</x:v>
      </x:c>
      <x:c r="N851" s="9" t="n">
        <x:f>Sources!$B$6-K851</x:f>
        <x:v>-23316.0000000149</x:v>
      </x:c>
      <x:c r="O851" s="1" t="str">
        <x:v>keyboard_route</x:v>
      </x:c>
      <x:c r="P851" s="12" t="n">
        <x:v>0</x:v>
      </x:c>
      <x:c r="Q851" s="12" t="n">
        <x:v>4</x:v>
      </x:c>
      <x:c r="R851" s="12" t="n">
        <x:v>4</x:v>
      </x:c>
      <x:c r="S851" s="12" t="n">
        <x:v>3</x:v>
      </x:c>
      <x:c r="T851" s="1" t="str">
        <x:v>Yes</x:v>
      </x:c>
      <x:c r="U851" s="1" t="n">
        <x:v>0</x:v>
      </x:c>
    </x:row>
    <x:row r="852" ht="23" customHeight="1">
      <x:c r="A852" s="9" t="n">
        <x:v>970</x:v>
      </x:c>
      <x:c r="B852" s="9" t="n">
        <x:v>416</x:v>
      </x:c>
      <x:c r="C852" s="9" t="n">
        <x:v>507</x:v>
      </x:c>
      <x:c r="D852" s="9" t="n">
        <x:v>2</x:v>
      </x:c>
      <x:c r="E852" s="9" t="n">
        <x:v>117922</x:v>
      </x:c>
      <x:c r="F852" s="9" t="n">
        <x:v>42971</x:v>
      </x:c>
      <x:c r="G852" s="9" t="n">
        <x:v>47710.0000000149</x:v>
      </x:c>
      <x:c r="H852" s="9" t="n">
        <x:v>24569.9999999851</x:v>
      </x:c>
      <x:c r="I852" s="9" t="n">
        <x:v>2564.999999985099</x:v>
      </x:c>
      <x:c r="J852" s="9" t="n">
        <x:v>106.00000001490116</x:v>
      </x:c>
      <x:c r="K852" s="9" t="n">
        <x:f>F852+G852+I852+J852</x:f>
        <x:v>93352.0000000149</x:v>
      </x:c>
      <x:c r="L852" s="10" t="n">
        <x:f>K852/Sources!$B$4*1000</x:f>
        <x:v>26.0792922005492</x:v>
      </x:c>
      <x:c r="M852" s="10" t="n">
        <x:f>E852/Sources!$B$4*1000</x:f>
        <x:v>32.943293072164195</x:v>
      </x:c>
      <x:c r="N852" s="9" t="n">
        <x:f>Sources!$B$6-K852</x:f>
        <x:v>-33616.0000000149</x:v>
      </x:c>
      <x:c r="O852" s="1" t="str">
        <x:v>keyboard_route</x:v>
      </x:c>
      <x:c r="P852" s="12" t="n">
        <x:v>4</x:v>
      </x:c>
      <x:c r="Q852" s="12" t="n">
        <x:v>0</x:v>
      </x:c>
      <x:c r="R852" s="12" t="n">
        <x:v>0</x:v>
      </x:c>
      <x:c r="S852" s="12" t="n">
        <x:v>3</x:v>
      </x:c>
      <x:c r="T852" s="1" t="str">
        <x:v>Yes</x:v>
      </x:c>
      <x:c r="U852" s="1" t="n">
        <x:v>0</x:v>
      </x:c>
    </x:row>
    <x:row r="853" ht="23" customHeight="1">
      <x:c r="A853" s="9" t="n">
        <x:v>971</x:v>
      </x:c>
      <x:c r="B853" s="9" t="n">
        <x:v>420</x:v>
      </x:c>
      <x:c r="C853" s="9" t="n">
        <x:v>507</x:v>
      </x:c>
      <x:c r="D853" s="9" t="n">
        <x:v>2</x:v>
      </x:c>
      <x:c r="E853" s="9" t="n">
        <x:v>119471</x:v>
      </x:c>
      <x:c r="F853" s="9" t="n">
        <x:v>41070</x:v>
      </x:c>
      <x:c r="G853" s="9" t="n">
        <x:v>28865</x:v>
      </x:c>
      <x:c r="H853" s="9" t="n">
        <x:v>46864.9999999851</x:v>
      </x:c>
      <x:c r="I853" s="9" t="n">
        <x:v>2565</x:v>
      </x:c>
      <x:c r="J853" s="9" t="n">
        <x:v>106.00000001490116</x:v>
      </x:c>
      <x:c r="K853" s="9" t="n">
        <x:f>F853+G853+I853+J853</x:f>
        <x:v>72606.0000000149</x:v>
      </x:c>
      <x:c r="L853" s="10" t="n">
        <x:f>K853/Sources!$B$4*1000</x:f>
        <x:v>20.283583528078264</x:v>
      </x:c>
      <x:c r="M853" s="10" t="n">
        <x:f>E853/Sources!$B$4*1000</x:f>
        <x:v>33.37602963505138</x:v>
      </x:c>
      <x:c r="N853" s="9" t="n">
        <x:f>Sources!$B$6-K853</x:f>
        <x:v>-12870.000000014901</x:v>
      </x:c>
      <x:c r="O853" s="1" t="str">
        <x:v>keyboard_route</x:v>
      </x:c>
      <x:c r="P853" s="12" t="n">
        <x:v>4</x:v>
      </x:c>
      <x:c r="Q853" s="12" t="n">
        <x:v>0</x:v>
      </x:c>
      <x:c r="R853" s="12" t="n">
        <x:v>4</x:v>
      </x:c>
      <x:c r="S853" s="12" t="n">
        <x:v>3</x:v>
      </x:c>
      <x:c r="T853" s="1" t="str">
        <x:v>No</x:v>
      </x:c>
      <x:c r="U853" s="1" t="n">
        <x:v>0</x:v>
      </x:c>
    </x:row>
    <x:row r="854" ht="23" customHeight="1">
      <x:c r="A854" s="9" t="n">
        <x:v>972</x:v>
      </x:c>
      <x:c r="B854" s="9" t="n">
        <x:v>424</x:v>
      </x:c>
      <x:c r="C854" s="9" t="n">
        <x:v>507</x:v>
      </x:c>
      <x:c r="D854" s="9" t="n">
        <x:v>2</x:v>
      </x:c>
      <x:c r="E854" s="9" t="n">
        <x:v>119471</x:v>
      </x:c>
      <x:c r="F854" s="9" t="n">
        <x:v>36430.9999999851</x:v>
      </x:c>
      <x:c r="G854" s="9" t="n">
        <x:v>46418.9999999851</x:v>
      </x:c>
      <x:c r="H854" s="9" t="n">
        <x:v>33949.9999999851</x:v>
      </x:c>
      <x:c r="I854" s="9" t="n">
        <x:v>2565.000000014901</x:v>
      </x:c>
      <x:c r="J854" s="9" t="n">
        <x:v>106.00000002980232</x:v>
      </x:c>
      <x:c r="K854" s="9" t="n">
        <x:f>F854+G854+I854+J854</x:f>
        <x:v>85521.0000000149</x:v>
      </x:c>
      <x:c r="L854" s="10" t="n">
        <x:f>K854/Sources!$B$4*1000</x:f>
        <x:v>23.891583986237052</x:v>
      </x:c>
      <x:c r="M854" s="10" t="n">
        <x:f>E854/Sources!$B$4*1000</x:f>
        <x:v>33.37602963505138</x:v>
      </x:c>
      <x:c r="N854" s="9" t="n">
        <x:f>Sources!$B$6-K854</x:f>
        <x:v>-25785.0000000149</x:v>
      </x:c>
      <x:c r="O854" s="1" t="str">
        <x:v>keyboard_route</x:v>
      </x:c>
      <x:c r="P854" s="12" t="n">
        <x:v>4</x:v>
      </x:c>
      <x:c r="Q854" s="12" t="n">
        <x:v>0</x:v>
      </x:c>
      <x:c r="R854" s="12" t="n">
        <x:v>0</x:v>
      </x:c>
      <x:c r="S854" s="12" t="n">
        <x:v>3</x:v>
      </x:c>
      <x:c r="T854" s="1" t="str">
        <x:v>Yes</x:v>
      </x:c>
      <x:c r="U854" s="1" t="n">
        <x:v>0</x:v>
      </x:c>
    </x:row>
    <x:row r="855" ht="23" customHeight="1">
      <x:c r="A855" s="9" t="n">
        <x:v>973</x:v>
      </x:c>
      <x:c r="B855" s="9" t="n">
        <x:v>428</x:v>
      </x:c>
      <x:c r="C855" s="9" t="n">
        <x:v>507</x:v>
      </x:c>
      <x:c r="D855" s="9" t="n">
        <x:v>2</x:v>
      </x:c>
      <x:c r="E855" s="9" t="n">
        <x:v>119474</x:v>
      </x:c>
      <x:c r="F855" s="9" t="n">
        <x:v>40628</x:v>
      </x:c>
      <x:c r="G855" s="9" t="n">
        <x:v>28865.0000000149</x:v>
      </x:c>
      <x:c r="H855" s="9" t="n">
        <x:v>47310</x:v>
      </x:c>
      <x:c r="I855" s="9" t="n">
        <x:v>2565</x:v>
      </x:c>
      <x:c r="J855" s="9" t="n">
        <x:v>105.99999998509884</x:v>
      </x:c>
      <x:c r="K855" s="9" t="n">
        <x:f>F855+G855+I855+J855</x:f>
        <x:v>72164</x:v>
      </x:c>
      <x:c r="L855" s="10" t="n">
        <x:f>K855/Sources!$B$4*1000</x:f>
        <x:v>20.16010414731481</x:v>
      </x:c>
      <x:c r="M855" s="10" t="n">
        <x:f>E855/Sources!$B$4*1000</x:f>
        <x:v>33.3768677303959</x:v>
      </x:c>
      <x:c r="N855" s="9" t="n">
        <x:f>Sources!$B$6-K855</x:f>
        <x:v>-12428</x:v>
      </x:c>
      <x:c r="O855" s="1" t="str">
        <x:v>keyboard_route</x:v>
      </x:c>
      <x:c r="P855" s="12" t="n">
        <x:v>4</x:v>
      </x:c>
      <x:c r="Q855" s="12" t="n">
        <x:v>0</x:v>
      </x:c>
      <x:c r="R855" s="12" t="n">
        <x:v>4</x:v>
      </x:c>
      <x:c r="S855" s="12" t="n">
        <x:v>3</x:v>
      </x:c>
      <x:c r="T855" s="1" t="str">
        <x:v>No</x:v>
      </x:c>
      <x:c r="U855" s="1" t="n">
        <x:v>0</x:v>
      </x:c>
    </x:row>
    <x:row r="856" ht="23" customHeight="1">
      <x:c r="A856" s="9" t="n">
        <x:v>974</x:v>
      </x:c>
      <x:c r="B856" s="9" t="n">
        <x:v>432</x:v>
      </x:c>
      <x:c r="C856" s="9" t="n">
        <x:v>507</x:v>
      </x:c>
      <x:c r="D856" s="9" t="n">
        <x:v>2</x:v>
      </x:c>
      <x:c r="E856" s="9" t="n">
        <x:v>123843</x:v>
      </x:c>
      <x:c r="F856" s="9" t="n">
        <x:v>49700</x:v>
      </x:c>
      <x:c r="G856" s="9" t="n">
        <x:v>46419.0000000149</x:v>
      </x:c>
      <x:c r="H856" s="9" t="n">
        <x:v>20680.0000000149</x:v>
      </x:c>
      <x:c r="I856" s="9" t="n">
        <x:v>6937.999999985099</x:v>
      </x:c>
      <x:c r="J856" s="9" t="n">
        <x:v>105.99999998509884</x:v>
      </x:c>
      <x:c r="K856" s="9" t="n">
        <x:f>F856+G856+I856+J856</x:f>
        <x:v>103162.9999999851</x:v>
      </x:c>
      <x:c r="L856" s="10" t="n">
        <x:f>K856/Sources!$B$4*1000</x:f>
        <x:v>28.820143342236264</x:v>
      </x:c>
      <x:c r="M856" s="10" t="n">
        <x:f>E856/Sources!$B$4*1000</x:f>
        <x:v>34.597413917131924</x:v>
      </x:c>
      <x:c r="N856" s="9" t="n">
        <x:f>Sources!$B$6-K856</x:f>
        <x:v>-43426.9999999851</x:v>
      </x:c>
      <x:c r="O856" s="1" t="str">
        <x:v>keyboard_route</x:v>
      </x:c>
      <x:c r="P856" s="12" t="n">
        <x:v>4</x:v>
      </x:c>
      <x:c r="Q856" s="12" t="n">
        <x:v>0</x:v>
      </x:c>
      <x:c r="R856" s="12" t="n">
        <x:v>0</x:v>
      </x:c>
      <x:c r="S856" s="12" t="n">
        <x:v>3</x:v>
      </x:c>
      <x:c r="T856" s="1" t="str">
        <x:v>Yes</x:v>
      </x:c>
      <x:c r="U856" s="1" t="n">
        <x:v>0</x:v>
      </x:c>
    </x:row>
    <x:row r="857" ht="23" customHeight="1">
      <x:c r="A857" s="9" t="n">
        <x:v>975</x:v>
      </x:c>
      <x:c r="B857" s="9" t="n">
        <x:v>436</x:v>
      </x:c>
      <x:c r="C857" s="9" t="n">
        <x:v>507</x:v>
      </x:c>
      <x:c r="D857" s="9" t="n">
        <x:v>2</x:v>
      </x:c>
      <x:c r="E857" s="9" t="n">
        <x:v>115098.9999999851</x:v>
      </x:c>
      <x:c r="F857" s="9" t="n">
        <x:v>51581.0000000149</x:v>
      </x:c>
      <x:c r="G857" s="9" t="n">
        <x:v>60441.9999999851</x:v>
      </x:c>
      <x:c r="H857" s="9" t="n">
        <x:v>405</x:v>
      </x:c>
      <x:c r="I857" s="9" t="n">
        <x:v>2565.000000014901</x:v>
      </x:c>
      <x:c r="J857" s="9" t="n">
        <x:v>105.99999997019768</x:v>
      </x:c>
      <x:c r="K857" s="9" t="n">
        <x:f>F857+G857+I857+J857</x:f>
        <x:v>114693.9999999851</x:v>
      </x:c>
      <x:c r="L857" s="10" t="n">
        <x:f>K857/Sources!$B$4*1000</x:f>
        <x:v>32.04150248145647</x:v>
      </x:c>
      <x:c r="M857" s="10" t="n">
        <x:f>E857/Sources!$B$4*1000</x:f>
        <x:v>32.154645352966675</x:v>
      </x:c>
      <x:c r="N857" s="9" t="n">
        <x:f>Sources!$B$6-K857</x:f>
        <x:v>-54957.9999999851</x:v>
      </x:c>
      <x:c r="O857" s="1" t="str">
        <x:v>keyboard_route</x:v>
      </x:c>
      <x:c r="P857" s="12" t="n">
        <x:v>4</x:v>
      </x:c>
      <x:c r="Q857" s="12" t="n">
        <x:v>0</x:v>
      </x:c>
      <x:c r="R857" s="12" t="n">
        <x:v>4</x:v>
      </x:c>
      <x:c r="S857" s="12" t="n">
        <x:v>3</x:v>
      </x:c>
      <x:c r="T857" s="1" t="str">
        <x:v>No</x:v>
      </x:c>
      <x:c r="U857" s="1" t="n">
        <x:v>0</x:v>
      </x:c>
    </x:row>
    <x:row r="858" ht="23" customHeight="1">
      <x:c r="A858" s="9" t="n">
        <x:v>976</x:v>
      </x:c>
      <x:c r="B858" s="9" t="n">
        <x:v>440</x:v>
      </x:c>
      <x:c r="C858" s="9" t="n">
        <x:v>507</x:v>
      </x:c>
      <x:c r="D858" s="9" t="n">
        <x:v>2</x:v>
      </x:c>
      <x:c r="E858" s="9" t="n">
        <x:v>121371.0000000149</x:v>
      </x:c>
      <x:c r="F858" s="9" t="n">
        <x:v>45414</x:v>
      </x:c>
      <x:c r="G858" s="9" t="n">
        <x:v>59250.0000000149</x:v>
      </x:c>
      <x:c r="H858" s="9" t="n">
        <x:v>12140</x:v>
      </x:c>
      <x:c r="I858" s="9" t="n">
        <x:v>4461</x:v>
      </x:c>
      <x:c r="J858" s="9" t="n">
        <x:v>106</x:v>
      </x:c>
      <x:c r="K858" s="9" t="n">
        <x:f>F858+G858+I858+J858</x:f>
        <x:v>109231.0000000149</x:v>
      </x:c>
      <x:c r="L858" s="10" t="n">
        <x:f>K858/Sources!$B$4*1000</x:f>
        <x:v>30.515330859093797</x:v>
      </x:c>
      <x:c r="M858" s="10" t="n">
        <x:f>E858/Sources!$B$4*1000</x:f>
        <x:v>33.90682335325157</x:v>
      </x:c>
      <x:c r="N858" s="9" t="n">
        <x:f>Sources!$B$6-K858</x:f>
        <x:v>-49495.0000000149</x:v>
      </x:c>
      <x:c r="O858" s="1" t="str">
        <x:v>keyboard_route</x:v>
      </x:c>
      <x:c r="P858" s="12" t="n">
        <x:v>4</x:v>
      </x:c>
      <x:c r="Q858" s="12" t="n">
        <x:v>0</x:v>
      </x:c>
      <x:c r="R858" s="12" t="n">
        <x:v>0</x:v>
      </x:c>
      <x:c r="S858" s="12" t="n">
        <x:v>3</x:v>
      </x:c>
      <x:c r="T858" s="1" t="str">
        <x:v>Yes</x:v>
      </x:c>
      <x:c r="U858" s="1" t="n">
        <x:v>0</x:v>
      </x:c>
    </x:row>
    <x:row r="859" ht="23" customHeight="1">
      <x:c r="A859" s="9" t="n">
        <x:v>977</x:v>
      </x:c>
      <x:c r="B859" s="9" t="n">
        <x:v>444</x:v>
      </x:c>
      <x:c r="C859" s="9" t="n">
        <x:v>507</x:v>
      </x:c>
      <x:c r="D859" s="9" t="n">
        <x:v>2</x:v>
      </x:c>
      <x:c r="E859" s="9" t="n">
        <x:v>117577</x:v>
      </x:c>
      <x:c r="F859" s="9" t="n">
        <x:v>47545.9999999851</x:v>
      </x:c>
      <x:c r="G859" s="9" t="n">
        <x:v>28865</x:v>
      </x:c>
      <x:c r="H859" s="9" t="n">
        <x:v>38495</x:v>
      </x:c>
      <x:c r="I859" s="9" t="n">
        <x:v>2565.000000014901</x:v>
      </x:c>
      <x:c r="J859" s="9" t="n">
        <x:v>106</x:v>
      </x:c>
      <x:c r="K859" s="9" t="n">
        <x:f>F859+G859+I859+J859</x:f>
        <x:v>79082</x:v>
      </x:c>
      <x:c r="L859" s="10" t="n">
        <x:f>K859/Sources!$B$4*1000</x:f>
        <x:v>22.092752011778035</x:v>
      </x:c>
      <x:c r="M859" s="10" t="n">
        <x:f>E859/Sources!$B$4*1000</x:f>
        <x:v>32.8469121075444</x:v>
      </x:c>
      <x:c r="N859" s="9" t="n">
        <x:f>Sources!$B$6-K859</x:f>
        <x:v>-19346</x:v>
      </x:c>
      <x:c r="O859" s="1" t="str">
        <x:v>keyboard_route</x:v>
      </x:c>
      <x:c r="P859" s="12" t="n">
        <x:v>4</x:v>
      </x:c>
      <x:c r="Q859" s="12" t="n">
        <x:v>0</x:v>
      </x:c>
      <x:c r="R859" s="12" t="n">
        <x:v>4</x:v>
      </x:c>
      <x:c r="S859" s="12" t="n">
        <x:v>3</x:v>
      </x:c>
      <x:c r="T859" s="1" t="str">
        <x:v>No</x:v>
      </x:c>
      <x:c r="U859" s="1" t="n">
        <x:v>0</x:v>
      </x:c>
    </x:row>
    <x:row r="860" ht="23" customHeight="1">
      <x:c r="A860" s="9" t="n">
        <x:v>978</x:v>
      </x:c>
      <x:c r="B860" s="9" t="n">
        <x:v>448</x:v>
      </x:c>
      <x:c r="C860" s="9" t="n">
        <x:v>507</x:v>
      </x:c>
      <x:c r="D860" s="9" t="n">
        <x:v>2</x:v>
      </x:c>
      <x:c r="E860" s="9" t="n">
        <x:v>119467.9999999851</x:v>
      </x:c>
      <x:c r="F860" s="9" t="n">
        <x:v>34860</x:v>
      </x:c>
      <x:c r="G860" s="9" t="n">
        <x:v>50877</x:v>
      </x:c>
      <x:c r="H860" s="9" t="n">
        <x:v>31060</x:v>
      </x:c>
      <x:c r="I860" s="9" t="n">
        <x:v>2565.000000014901</x:v>
      </x:c>
      <x:c r="J860" s="9" t="n">
        <x:v>105.99999997019768</x:v>
      </x:c>
      <x:c r="K860" s="9" t="n">
        <x:f>F860+G860+I860+J860</x:f>
        <x:v>88407.9999999851</x:v>
      </x:c>
      <x:c r="L860" s="10" t="n">
        <x:f>K860/Sources!$B$4*1000</x:f>
        <x:v>24.698111072771844</x:v>
      </x:c>
      <x:c r="M860" s="10" t="n">
        <x:f>E860/Sources!$B$4*1000</x:f>
        <x:v>33.3751915397027</x:v>
      </x:c>
      <x:c r="N860" s="9" t="n">
        <x:f>Sources!$B$6-K860</x:f>
        <x:v>-28671.9999999851</x:v>
      </x:c>
      <x:c r="O860" s="1" t="str">
        <x:v>keyboard_route</x:v>
      </x:c>
      <x:c r="P860" s="12" t="n">
        <x:v>4</x:v>
      </x:c>
      <x:c r="Q860" s="12" t="n">
        <x:v>0</x:v>
      </x:c>
      <x:c r="R860" s="12" t="n">
        <x:v>0</x:v>
      </x:c>
      <x:c r="S860" s="12" t="n">
        <x:v>3</x:v>
      </x:c>
      <x:c r="T860" s="1" t="str">
        <x:v>Yes</x:v>
      </x:c>
      <x:c r="U860" s="1" t="n">
        <x:v>0</x:v>
      </x:c>
    </x:row>
    <x:row r="861" ht="23" customHeight="1">
      <x:c r="A861" s="9" t="n">
        <x:v>979</x:v>
      </x:c>
      <x:c r="B861" s="9" t="n">
        <x:v>452</x:v>
      </x:c>
      <x:c r="C861" s="9" t="n">
        <x:v>507</x:v>
      </x:c>
      <x:c r="D861" s="9" t="n">
        <x:v>2</x:v>
      </x:c>
      <x:c r="E861" s="9" t="n">
        <x:v>119476</x:v>
      </x:c>
      <x:c r="F861" s="9" t="n">
        <x:v>40899</x:v>
      </x:c>
      <x:c r="G861" s="9" t="n">
        <x:v>28871</x:v>
      </x:c>
      <x:c r="H861" s="9" t="n">
        <x:v>47035</x:v>
      </x:c>
      <x:c r="I861" s="9" t="n">
        <x:v>2564.999999985099</x:v>
      </x:c>
      <x:c r="J861" s="9" t="n">
        <x:v>106.00000001490116</x:v>
      </x:c>
      <x:c r="K861" s="9" t="n">
        <x:f>F861+G861+I861+J861</x:f>
        <x:v>72441</x:v>
      </x:c>
      <x:c r="L861" s="10" t="n">
        <x:f>K861/Sources!$B$4*1000</x:f>
        <x:v>20.237488284125494</x:v>
      </x:c>
      <x:c r="M861" s="10" t="n">
        <x:f>E861/Sources!$B$4*1000</x:f>
        <x:v>33.37742646062558</x:v>
      </x:c>
      <x:c r="N861" s="9" t="n">
        <x:f>Sources!$B$6-K861</x:f>
        <x:v>-12705</x:v>
      </x:c>
      <x:c r="O861" s="1" t="str">
        <x:v>keyboard_route</x:v>
      </x:c>
      <x:c r="P861" s="12" t="n">
        <x:v>4</x:v>
      </x:c>
      <x:c r="Q861" s="12" t="n">
        <x:v>0</x:v>
      </x:c>
      <x:c r="R861" s="12" t="n">
        <x:v>4</x:v>
      </x:c>
      <x:c r="S861" s="12" t="n">
        <x:v>3</x:v>
      </x:c>
      <x:c r="T861" s="1" t="str">
        <x:v>No</x:v>
      </x:c>
      <x:c r="U861" s="1" t="n">
        <x:v>0</x:v>
      </x:c>
    </x:row>
    <x:row r="862" ht="23" customHeight="1">
      <x:c r="A862" s="9" t="n">
        <x:v>980</x:v>
      </x:c>
      <x:c r="B862" s="9" t="n">
        <x:v>456</x:v>
      </x:c>
      <x:c r="C862" s="9" t="n">
        <x:v>507</x:v>
      </x:c>
      <x:c r="D862" s="9" t="n">
        <x:v>2</x:v>
      </x:c>
      <x:c r="E862" s="9" t="n">
        <x:v>119472</x:v>
      </x:c>
      <x:c r="F862" s="9" t="n">
        <x:v>39014.0000000149</x:v>
      </x:c>
      <x:c r="G862" s="9" t="n">
        <x:v>50876.9999999851</x:v>
      </x:c>
      <x:c r="H862" s="9" t="n">
        <x:v>26910</x:v>
      </x:c>
      <x:c r="I862" s="9" t="n">
        <x:v>2565.000000014901</x:v>
      </x:c>
      <x:c r="J862" s="9" t="n">
        <x:v>105.99999998509884</x:v>
      </x:c>
      <x:c r="K862" s="9" t="n">
        <x:f>F862+G862+I862+J862</x:f>
        <x:v>92562</x:v>
      </x:c>
      <x:c r="L862" s="10" t="n">
        <x:f>K862/Sources!$B$4*1000</x:f>
        <x:v>25.85859375982143</x:v>
      </x:c>
      <x:c r="M862" s="10" t="n">
        <x:f>E862/Sources!$B$4*1000</x:f>
        <x:v>33.37630900016622</x:v>
      </x:c>
      <x:c r="N862" s="9" t="n">
        <x:f>Sources!$B$6-K862</x:f>
        <x:v>-32826</x:v>
      </x:c>
      <x:c r="O862" s="1" t="str">
        <x:v>keyboard_route</x:v>
      </x:c>
      <x:c r="P862" s="12" t="n">
        <x:v>4</x:v>
      </x:c>
      <x:c r="Q862" s="12" t="n">
        <x:v>0</x:v>
      </x:c>
      <x:c r="R862" s="12" t="n">
        <x:v>0</x:v>
      </x:c>
      <x:c r="S862" s="12" t="n">
        <x:v>3</x:v>
      </x:c>
      <x:c r="T862" s="1" t="str">
        <x:v>Yes</x:v>
      </x:c>
      <x:c r="U862" s="1" t="n">
        <x:v>0</x:v>
      </x:c>
    </x:row>
    <x:row r="863" ht="23" customHeight="1">
      <x:c r="A863" s="9" t="n">
        <x:v>981</x:v>
      </x:c>
      <x:c r="B863" s="9" t="n">
        <x:v>460</x:v>
      </x:c>
      <x:c r="C863" s="9" t="n">
        <x:v>507</x:v>
      </x:c>
      <x:c r="D863" s="9" t="n">
        <x:v>2</x:v>
      </x:c>
      <x:c r="E863" s="9" t="n">
        <x:v>119470.0000000149</x:v>
      </x:c>
      <x:c r="F863" s="9" t="n">
        <x:v>46913</x:v>
      </x:c>
      <x:c r="G863" s="9" t="n">
        <x:v>68340.9999999851</x:v>
      </x:c>
      <x:c r="H863" s="9" t="n">
        <x:v>1545</x:v>
      </x:c>
      <x:c r="I863" s="9" t="n">
        <x:v>2564.999999985099</x:v>
      </x:c>
      <x:c r="J863" s="9" t="n">
        <x:v>106.00000004470348</x:v>
      </x:c>
      <x:c r="K863" s="9" t="n">
        <x:f>F863+G863+I863+J863</x:f>
        <x:v>117925.0000000149</x:v>
      </x:c>
      <x:c r="L863" s="10" t="n">
        <x:f>K863/Sources!$B$4*1000</x:f>
        <x:v>32.94413116751288</x:v>
      </x:c>
      <x:c r="M863" s="10" t="n">
        <x:f>E863/Sources!$B$4*1000</x:f>
        <x:v>33.3757502699407</x:v>
      </x:c>
      <x:c r="N863" s="9" t="n">
        <x:f>Sources!$B$6-K863</x:f>
        <x:v>-58189.0000000149</x:v>
      </x:c>
      <x:c r="O863" s="1" t="str">
        <x:v>keyboard_route</x:v>
      </x:c>
      <x:c r="P863" s="12" t="n">
        <x:v>4</x:v>
      </x:c>
      <x:c r="Q863" s="12" t="n">
        <x:v>0</x:v>
      </x:c>
      <x:c r="R863" s="12" t="n">
        <x:v>4</x:v>
      </x:c>
      <x:c r="S863" s="12" t="n">
        <x:v>3</x:v>
      </x:c>
      <x:c r="T863" s="1" t="str">
        <x:v>No</x:v>
      </x:c>
      <x:c r="U863" s="1" t="n">
        <x:v>0</x:v>
      </x:c>
    </x:row>
    <x:row r="864" ht="23" customHeight="1">
      <x:c r="A864" s="9" t="n">
        <x:v>982</x:v>
      </x:c>
      <x:c r="B864" s="9" t="n">
        <x:v>464</x:v>
      </x:c>
      <x:c r="C864" s="9" t="n">
        <x:v>507</x:v>
      </x:c>
      <x:c r="D864" s="9" t="n">
        <x:v>2</x:v>
      </x:c>
      <x:c r="E864" s="9" t="n">
        <x:v>119469.9999999851</x:v>
      </x:c>
      <x:c r="F864" s="9" t="n">
        <x:v>39152.0000000149</x:v>
      </x:c>
      <x:c r="G864" s="9" t="n">
        <x:v>62117</x:v>
      </x:c>
      <x:c r="H864" s="9" t="n">
        <x:v>15530.000000014901</x:v>
      </x:c>
      <x:c r="I864" s="9" t="n">
        <x:v>2565.000000014901</x:v>
      </x:c>
      <x:c r="J864" s="9" t="n">
        <x:v>105.99999994039536</x:v>
      </x:c>
      <x:c r="K864" s="9" t="n">
        <x:f>F864+G864+I864+J864</x:f>
        <x:v>103939.9999999702</x:v>
      </x:c>
      <x:c r="L864" s="10" t="n">
        <x:f>K864/Sources!$B$4*1000</x:f>
        <x:v>29.03721003646279</x:v>
      </x:c>
      <x:c r="M864" s="10" t="n">
        <x:f>E864/Sources!$B$4*1000</x:f>
        <x:v>33.375750269932375</x:v>
      </x:c>
      <x:c r="N864" s="9" t="n">
        <x:f>Sources!$B$6-K864</x:f>
        <x:v>-44203.9999999702</x:v>
      </x:c>
      <x:c r="O864" s="1" t="str">
        <x:v>keyboard_route</x:v>
      </x:c>
      <x:c r="P864" s="12" t="n">
        <x:v>4</x:v>
      </x:c>
      <x:c r="Q864" s="12" t="n">
        <x:v>0</x:v>
      </x:c>
      <x:c r="R864" s="12" t="n">
        <x:v>0</x:v>
      </x:c>
      <x:c r="S864" s="12" t="n">
        <x:v>3</x:v>
      </x:c>
      <x:c r="T864" s="1" t="str">
        <x:v>Yes</x:v>
      </x:c>
      <x:c r="U864" s="1" t="n">
        <x:v>0</x:v>
      </x:c>
    </x:row>
    <x:row r="865" ht="23" customHeight="1">
      <x:c r="A865" s="9" t="n">
        <x:v>983</x:v>
      </x:c>
      <x:c r="B865" s="9" t="n">
        <x:v>468</x:v>
      </x:c>
      <x:c r="C865" s="9" t="n">
        <x:v>507</x:v>
      </x:c>
      <x:c r="D865" s="9" t="n">
        <x:v>2</x:v>
      </x:c>
      <x:c r="E865" s="9" t="n">
        <x:v>119474.0000000149</x:v>
      </x:c>
      <x:c r="F865" s="9" t="n">
        <x:v>43402</x:v>
      </x:c>
      <x:c r="G865" s="9" t="n">
        <x:v>29071</x:v>
      </x:c>
      <x:c r="H865" s="9" t="n">
        <x:v>44330</x:v>
      </x:c>
      <x:c r="I865" s="9" t="n">
        <x:v>2565.000000014901</x:v>
      </x:c>
      <x:c r="J865" s="9" t="n">
        <x:v>106</x:v>
      </x:c>
      <x:c r="K865" s="9" t="n">
        <x:f>F865+G865+I865+J865</x:f>
        <x:v>75144.0000000149</x:v>
      </x:c>
      <x:c r="L865" s="10" t="n">
        <x:f>K865/Sources!$B$4*1000</x:f>
        <x:v>20.992612189542218</x:v>
      </x:c>
      <x:c r="M865" s="10" t="n">
        <x:f>E865/Sources!$B$4*1000</x:f>
        <x:v>33.376867730400065</x:v>
      </x:c>
      <x:c r="N865" s="9" t="n">
        <x:f>Sources!$B$6-K865</x:f>
        <x:v>-15408.000000014901</x:v>
      </x:c>
      <x:c r="O865" s="1" t="str">
        <x:v>keyboard_route</x:v>
      </x:c>
      <x:c r="P865" s="12" t="n">
        <x:v>4</x:v>
      </x:c>
      <x:c r="Q865" s="12" t="n">
        <x:v>0</x:v>
      </x:c>
      <x:c r="R865" s="12" t="n">
        <x:v>4</x:v>
      </x:c>
      <x:c r="S865" s="12" t="n">
        <x:v>3</x:v>
      </x:c>
      <x:c r="T865" s="1" t="str">
        <x:v>No</x:v>
      </x:c>
      <x:c r="U865" s="1" t="n">
        <x:v>0</x:v>
      </x:c>
    </x:row>
    <x:row r="866" ht="23" customHeight="1">
      <x:c r="A866" s="9" t="n">
        <x:v>984</x:v>
      </x:c>
      <x:c r="B866" s="9" t="n">
        <x:v>472</x:v>
      </x:c>
      <x:c r="C866" s="9" t="n">
        <x:v>507</x:v>
      </x:c>
      <x:c r="D866" s="9" t="n">
        <x:v>2</x:v>
      </x:c>
      <x:c r="E866" s="9" t="n">
        <x:v>119474</x:v>
      </x:c>
      <x:c r="F866" s="9" t="n">
        <x:v>38283</x:v>
      </x:c>
      <x:c r="G866" s="9" t="n">
        <x:v>56210.0000000149</x:v>
      </x:c>
      <x:c r="H866" s="9" t="n">
        <x:v>22309.9999999851</x:v>
      </x:c>
      <x:c r="I866" s="9" t="n">
        <x:v>2565.000000014901</x:v>
      </x:c>
      <x:c r="J866" s="9" t="n">
        <x:v>105.99999998509884</x:v>
      </x:c>
      <x:c r="K866" s="9" t="n">
        <x:f>F866+G866+I866+J866</x:f>
        <x:v>97164.0000000149</x:v>
      </x:c>
      <x:c r="L866" s="10" t="n">
        <x:f>K866/Sources!$B$4*1000</x:f>
        <x:v>27.14423201831934</x:v>
      </x:c>
      <x:c r="M866" s="10" t="n">
        <x:f>E866/Sources!$B$4*1000</x:f>
        <x:v>33.3768677303959</x:v>
      </x:c>
      <x:c r="N866" s="9" t="n">
        <x:f>Sources!$B$6-K866</x:f>
        <x:v>-37428.0000000149</x:v>
      </x:c>
      <x:c r="O866" s="1" t="str">
        <x:v>keyboard_route</x:v>
      </x:c>
      <x:c r="P866" s="12" t="n">
        <x:v>4</x:v>
      </x:c>
      <x:c r="Q866" s="12" t="n">
        <x:v>0</x:v>
      </x:c>
      <x:c r="R866" s="12" t="n">
        <x:v>0</x:v>
      </x:c>
      <x:c r="S866" s="12" t="n">
        <x:v>3</x:v>
      </x:c>
      <x:c r="T866" s="1" t="str">
        <x:v>Yes</x:v>
      </x:c>
      <x:c r="U866" s="1" t="n">
        <x:v>0</x:v>
      </x:c>
    </x:row>
    <x:row r="867" ht="23" customHeight="1">
      <x:c r="A867" s="9" t="n">
        <x:v>985</x:v>
      </x:c>
      <x:c r="B867" s="9" t="n">
        <x:v>476</x:v>
      </x:c>
      <x:c r="C867" s="9" t="n">
        <x:v>507</x:v>
      </x:c>
      <x:c r="D867" s="9" t="n">
        <x:v>2</x:v>
      </x:c>
      <x:c r="E867" s="9" t="n">
        <x:v>119469</x:v>
      </x:c>
      <x:c r="F867" s="9" t="n">
        <x:v>44052</x:v>
      </x:c>
      <x:c r="G867" s="9" t="n">
        <x:v>29071.0000000149</x:v>
      </x:c>
      <x:c r="H867" s="9" t="n">
        <x:v>43675</x:v>
      </x:c>
      <x:c r="I867" s="9" t="n">
        <x:v>2565.000000014901</x:v>
      </x:c>
      <x:c r="J867" s="9" t="n">
        <x:v>105.99999997019768</x:v>
      </x:c>
      <x:c r="K867" s="9" t="n">
        <x:f>F867+G867+I867+J867</x:f>
        <x:v>75794</x:v>
      </x:c>
      <x:c r="L867" s="10" t="n">
        <x:f>K867/Sources!$B$4*1000</x:f>
        <x:v>21.174199514184064</x:v>
      </x:c>
      <x:c r="M867" s="10" t="n">
        <x:f>E867/Sources!$B$4*1000</x:f>
        <x:v>33.375470904821704</x:v>
      </x:c>
      <x:c r="N867" s="9" t="n">
        <x:f>Sources!$B$6-K867</x:f>
        <x:v>-16058</x:v>
      </x:c>
      <x:c r="O867" s="1" t="str">
        <x:v>keyboard_route</x:v>
      </x:c>
      <x:c r="P867" s="12" t="n">
        <x:v>4</x:v>
      </x:c>
      <x:c r="Q867" s="12" t="n">
        <x:v>0</x:v>
      </x:c>
      <x:c r="R867" s="12" t="n">
        <x:v>4</x:v>
      </x:c>
      <x:c r="S867" s="12" t="n">
        <x:v>3</x:v>
      </x:c>
      <x:c r="T867" s="1" t="str">
        <x:v>No</x:v>
      </x:c>
      <x:c r="U867" s="1" t="n">
        <x:v>0</x:v>
      </x:c>
    </x:row>
    <x:row r="868" ht="23" customHeight="1">
      <x:c r="A868" s="9" t="n">
        <x:v>986</x:v>
      </x:c>
      <x:c r="B868" s="9" t="n">
        <x:v>480</x:v>
      </x:c>
      <x:c r="C868" s="9" t="n">
        <x:v>507</x:v>
      </x:c>
      <x:c r="D868" s="9" t="n">
        <x:v>2</x:v>
      </x:c>
      <x:c r="E868" s="9" t="n">
        <x:v>119474</x:v>
      </x:c>
      <x:c r="F868" s="9" t="n">
        <x:v>38138</x:v>
      </x:c>
      <x:c r="G868" s="9" t="n">
        <x:v>56209.9999999851</x:v>
      </x:c>
      <x:c r="H868" s="9" t="n">
        <x:v>22454.9999999851</x:v>
      </x:c>
      <x:c r="I868" s="9" t="n">
        <x:v>2565</x:v>
      </x:c>
      <x:c r="J868" s="9" t="n">
        <x:v>106.00000002980232</x:v>
      </x:c>
      <x:c r="K868" s="9" t="n">
        <x:f>F868+G868+I868+J868</x:f>
        <x:v>97019.0000000149</x:v>
      </x:c>
      <x:c r="L868" s="10" t="n">
        <x:f>K868/Sources!$B$4*1000</x:f>
        <x:v>27.103724076667536</x:v>
      </x:c>
      <x:c r="M868" s="10" t="n">
        <x:f>E868/Sources!$B$4*1000</x:f>
        <x:v>33.3768677303959</x:v>
      </x:c>
      <x:c r="N868" s="9" t="n">
        <x:f>Sources!$B$6-K868</x:f>
        <x:v>-37283.0000000149</x:v>
      </x:c>
      <x:c r="O868" s="1" t="str">
        <x:v>keyboard_route</x:v>
      </x:c>
      <x:c r="P868" s="12" t="n">
        <x:v>4</x:v>
      </x:c>
      <x:c r="Q868" s="12" t="n">
        <x:v>0</x:v>
      </x:c>
      <x:c r="R868" s="12" t="n">
        <x:v>0</x:v>
      </x:c>
      <x:c r="S868" s="12" t="n">
        <x:v>3</x:v>
      </x:c>
      <x:c r="T868" s="1" t="str">
        <x:v>Yes</x:v>
      </x:c>
      <x:c r="U868" s="1" t="n">
        <x:v>0</x:v>
      </x:c>
    </x:row>
    <x:row r="869" ht="23" customHeight="1">
      <x:c r="A869" s="9" t="n">
        <x:v>987</x:v>
      </x:c>
      <x:c r="B869" s="9" t="n">
        <x:v>484</x:v>
      </x:c>
      <x:c r="C869" s="9" t="n">
        <x:v>507</x:v>
      </x:c>
      <x:c r="D869" s="9" t="n">
        <x:v>2</x:v>
      </x:c>
      <x:c r="E869" s="9" t="n">
        <x:v>179208</x:v>
      </x:c>
      <x:c r="F869" s="9" t="n">
        <x:v>43147.9999999851</x:v>
      </x:c>
      <x:c r="G869" s="9" t="n">
        <x:v>80508.9999999851</x:v>
      </x:c>
      <x:c r="H869" s="9" t="n">
        <x:v>52879.9999999851</x:v>
      </x:c>
      <x:c r="I869" s="9" t="n">
        <x:v>2565.000000014901</x:v>
      </x:c>
      <x:c r="J869" s="9" t="n">
        <x:v>106.00000002980232</x:v>
      </x:c>
      <x:c r="K869" s="9" t="n">
        <x:f>F869+G869+I869+J869</x:f>
        <x:v>126328.0000000149</x:v>
      </x:c>
      <x:c r="L869" s="10" t="n">
        <x:f>K869/Sources!$B$4*1000</x:f>
        <x:v>35.29163622751352</x:v>
      </x:c>
      <x:c r="M869" s="10" t="n">
        <x:f>E869/Sources!$B$4*1000</x:f>
        <x:v>50.06446350024933</x:v>
      </x:c>
      <x:c r="N869" s="9" t="n">
        <x:f>Sources!$B$6-K869</x:f>
        <x:v>-66592.0000000149</x:v>
      </x:c>
      <x:c r="O869" s="1" t="str">
        <x:v>keyboard_route</x:v>
      </x:c>
      <x:c r="P869" s="12" t="n">
        <x:v>4</x:v>
      </x:c>
      <x:c r="Q869" s="12" t="n">
        <x:v>0</x:v>
      </x:c>
      <x:c r="R869" s="12" t="n">
        <x:v>4</x:v>
      </x:c>
      <x:c r="S869" s="12" t="n">
        <x:v>3</x:v>
      </x:c>
      <x:c r="T869" s="1" t="str">
        <x:v>No</x:v>
      </x:c>
      <x:c r="U869" s="1" t="n">
        <x:v>0</x:v>
      </x:c>
    </x:row>
    <x:row r="870" ht="23" customHeight="1">
      <x:c r="A870" s="9" t="n">
        <x:v>988</x:v>
      </x:c>
      <x:c r="B870" s="9" t="n">
        <x:v>492</x:v>
      </x:c>
      <x:c r="C870" s="9" t="n">
        <x:v>507</x:v>
      </x:c>
      <x:c r="D870" s="9" t="n">
        <x:v>3</x:v>
      </x:c>
      <x:c r="E870" s="9" t="n">
        <x:v>179206</x:v>
      </x:c>
      <x:c r="F870" s="9" t="n">
        <x:v>59680.9999999851</x:v>
      </x:c>
      <x:c r="G870" s="9" t="n">
        <x:v>83344</x:v>
      </x:c>
      <x:c r="H870" s="9" t="n">
        <x:v>33509.9999999851</x:v>
      </x:c>
      <x:c r="I870" s="9" t="n">
        <x:v>2565</x:v>
      </x:c>
      <x:c r="J870" s="9" t="n">
        <x:v>106.00000002980232</x:v>
      </x:c>
      <x:c r="K870" s="9" t="n">
        <x:f>F870+G870+I870+J870</x:f>
        <x:v>145696.0000000149</x:v>
      </x:c>
      <x:c r="L870" s="10" t="n">
        <x:f>K870/Sources!$B$4*1000</x:f>
        <x:v>40.70237977173493</x:v>
      </x:c>
      <x:c r="M870" s="10" t="n">
        <x:f>E870/Sources!$B$4*1000</x:f>
        <x:v>50.063904770019654</x:v>
      </x:c>
      <x:c r="N870" s="9" t="n">
        <x:f>Sources!$B$6-K870</x:f>
        <x:v>-85960.0000000149</x:v>
      </x:c>
      <x:c r="O870" s="1" t="str">
        <x:v>keyboard_route</x:v>
      </x:c>
      <x:c r="P870" s="12" t="n">
        <x:v>8</x:v>
      </x:c>
      <x:c r="Q870" s="12" t="n">
        <x:v>0</x:v>
      </x:c>
      <x:c r="R870" s="12" t="n">
        <x:v>4</x:v>
      </x:c>
      <x:c r="S870" s="12" t="n">
        <x:v>3</x:v>
      </x:c>
      <x:c r="T870" s="1" t="str">
        <x:v>Yes</x:v>
      </x:c>
      <x:c r="U870" s="1" t="n">
        <x:v>0</x:v>
      </x:c>
    </x:row>
    <x:row r="871" ht="23" customHeight="1">
      <x:c r="A871" s="9" t="n">
        <x:v>989</x:v>
      </x:c>
      <x:c r="B871" s="9" t="n">
        <x:v>496</x:v>
      </x:c>
      <x:c r="C871" s="9" t="n">
        <x:v>507</x:v>
      </x:c>
      <x:c r="D871" s="9" t="n">
        <x:v>3</x:v>
      </x:c>
      <x:c r="E871" s="9" t="n">
        <x:v>119474.9999999851</x:v>
      </x:c>
      <x:c r="F871" s="9" t="n">
        <x:v>39626.9999999851</x:v>
      </x:c>
      <x:c r="G871" s="9" t="n">
        <x:v>65051.9999999851</x:v>
      </x:c>
      <x:c r="H871" s="9" t="n">
        <x:v>12125</x:v>
      </x:c>
      <x:c r="I871" s="9" t="n">
        <x:v>2565</x:v>
      </x:c>
      <x:c r="J871" s="9" t="n">
        <x:v>106.00000001490116</x:v>
      </x:c>
      <x:c r="K871" s="9" t="n">
        <x:f>F871+G871+I871+J871</x:f>
        <x:v>107349.9999999851</x:v>
      </x:c>
      <x:c r="L871" s="10" t="n">
        <x:f>K871/Sources!$B$4*1000</x:f>
        <x:v>29.9898450780714</x:v>
      </x:c>
      <x:c r="M871" s="10" t="n">
        <x:f>E871/Sources!$B$4*1000</x:f>
        <x:v>33.37714709550658</x:v>
      </x:c>
      <x:c r="N871" s="9" t="n">
        <x:f>Sources!$B$6-K871</x:f>
        <x:v>-47613.9999999851</x:v>
      </x:c>
      <x:c r="O871" s="1" t="str">
        <x:v>keyboard_route</x:v>
      </x:c>
      <x:c r="P871" s="12" t="n">
        <x:v>4</x:v>
      </x:c>
      <x:c r="Q871" s="12" t="n">
        <x:v>0</x:v>
      </x:c>
      <x:c r="R871" s="12" t="n">
        <x:v>0</x:v>
      </x:c>
      <x:c r="S871" s="12" t="n">
        <x:v>3</x:v>
      </x:c>
      <x:c r="T871" s="1" t="str">
        <x:v>Yes</x:v>
      </x:c>
      <x:c r="U871" s="1" t="n">
        <x:v>0</x:v>
      </x:c>
    </x:row>
    <x:row r="872" ht="23" customHeight="1">
      <x:c r="A872" s="9" t="n">
        <x:v>990</x:v>
      </x:c>
      <x:c r="B872" s="9" t="n">
        <x:v>500</x:v>
      </x:c>
      <x:c r="C872" s="9" t="n">
        <x:v>507</x:v>
      </x:c>
      <x:c r="D872" s="9" t="n">
        <x:v>2</x:v>
      </x:c>
      <x:c r="E872" s="9" t="n">
        <x:v>119472.0000000149</x:v>
      </x:c>
      <x:c r="F872" s="9" t="n">
        <x:v>39273.9999999851</x:v>
      </x:c>
      <x:c r="G872" s="9" t="n">
        <x:v>29012</x:v>
      </x:c>
      <x:c r="H872" s="9" t="n">
        <x:v>48515</x:v>
      </x:c>
      <x:c r="I872" s="9" t="n">
        <x:v>2565.000000014901</x:v>
      </x:c>
      <x:c r="J872" s="9" t="n">
        <x:v>106.00000001490116</x:v>
      </x:c>
      <x:c r="K872" s="9" t="n">
        <x:f>F872+G872+I872+J872</x:f>
        <x:v>70957.0000000149</x:v>
      </x:c>
      <x:c r="L872" s="10" t="n">
        <x:f>K872/Sources!$B$4*1000</x:f>
        <x:v>19.822910453707077</x:v>
      </x:c>
      <x:c r="M872" s="10" t="n">
        <x:f>E872/Sources!$B$4*1000</x:f>
        <x:v>33.37630900017039</x:v>
      </x:c>
      <x:c r="N872" s="9" t="n">
        <x:f>Sources!$B$6-K872</x:f>
        <x:v>-11221.000000014901</x:v>
      </x:c>
      <x:c r="O872" s="1" t="str">
        <x:v>keyboard_route</x:v>
      </x:c>
      <x:c r="P872" s="12" t="n">
        <x:v>4</x:v>
      </x:c>
      <x:c r="Q872" s="12" t="n">
        <x:v>0</x:v>
      </x:c>
      <x:c r="R872" s="12" t="n">
        <x:v>4</x:v>
      </x:c>
      <x:c r="S872" s="12" t="n">
        <x:v>3</x:v>
      </x:c>
      <x:c r="T872" s="1" t="str">
        <x:v>No</x:v>
      </x:c>
      <x:c r="U872" s="1" t="n">
        <x:v>0</x:v>
      </x:c>
    </x:row>
    <x:row r="873" ht="23" customHeight="1">
      <x:c r="A873" s="9" t="n">
        <x:v>991</x:v>
      </x:c>
      <x:c r="B873" s="9" t="n">
        <x:v>504</x:v>
      </x:c>
      <x:c r="C873" s="9" t="n">
        <x:v>507</x:v>
      </x:c>
      <x:c r="D873" s="9" t="n">
        <x:v>2</x:v>
      </x:c>
      <x:c r="E873" s="9" t="n">
        <x:v>119470.9999999851</x:v>
      </x:c>
      <x:c r="F873" s="9" t="n">
        <x:v>36282</x:v>
      </x:c>
      <x:c r="G873" s="9" t="n">
        <x:v>60733.0000000149</x:v>
      </x:c>
      <x:c r="H873" s="9" t="n">
        <x:v>19785.0000000149</x:v>
      </x:c>
      <x:c r="I873" s="9" t="n">
        <x:v>2565.000000014901</x:v>
      </x:c>
      <x:c r="J873" s="9" t="n">
        <x:v>105.99999994039536</x:v>
      </x:c>
      <x:c r="K873" s="9" t="n">
        <x:f>F873+G873+I873+J873</x:f>
        <x:v>99685.9999999702</x:v>
      </x:c>
      <x:c r="L873" s="10" t="n">
        <x:f>K873/Sources!$B$4*1000</x:f>
        <x:v>27.848790837933368</x:v>
      </x:c>
      <x:c r="M873" s="10" t="n">
        <x:f>E873/Sources!$B$4*1000</x:f>
        <x:v>33.37602963504722</x:v>
      </x:c>
      <x:c r="N873" s="9" t="n">
        <x:f>Sources!$B$6-K873</x:f>
        <x:v>-39949.9999999702</x:v>
      </x:c>
      <x:c r="O873" s="1" t="str">
        <x:v>keyboard_route</x:v>
      </x:c>
      <x:c r="P873" s="12" t="n">
        <x:v>4</x:v>
      </x:c>
      <x:c r="Q873" s="12" t="n">
        <x:v>0</x:v>
      </x:c>
      <x:c r="R873" s="12" t="n">
        <x:v>0</x:v>
      </x:c>
      <x:c r="S873" s="12" t="n">
        <x:v>3</x:v>
      </x:c>
      <x:c r="T873" s="1" t="str">
        <x:v>Yes</x:v>
      </x:c>
      <x:c r="U873" s="1" t="n">
        <x:v>0</x:v>
      </x:c>
    </x:row>
    <x:row r="874" ht="23" customHeight="1">
      <x:c r="A874" s="9" t="n">
        <x:v>992</x:v>
      </x:c>
      <x:c r="B874" s="9" t="n">
        <x:v>508</x:v>
      </x:c>
      <x:c r="C874" s="9" t="n">
        <x:v>507</x:v>
      </x:c>
      <x:c r="D874" s="9" t="n">
        <x:v>2</x:v>
      </x:c>
      <x:c r="E874" s="9" t="n">
        <x:v>119471</x:v>
      </x:c>
      <x:c r="F874" s="9" t="n">
        <x:v>42337.9999999851</x:v>
      </x:c>
      <x:c r="G874" s="9" t="n">
        <x:v>29012</x:v>
      </x:c>
      <x:c r="H874" s="9" t="n">
        <x:v>45450</x:v>
      </x:c>
      <x:c r="I874" s="9" t="n">
        <x:v>2565</x:v>
      </x:c>
      <x:c r="J874" s="9" t="n">
        <x:v>106.00000001490116</x:v>
      </x:c>
      <x:c r="K874" s="9" t="n">
        <x:f>F874+G874+I874+J874</x:f>
        <x:v>74021</x:v>
      </x:c>
      <x:c r="L874" s="10" t="n">
        <x:f>K874/Sources!$B$4*1000</x:f>
        <x:v>20.67888516557272</x:v>
      </x:c>
      <x:c r="M874" s="10" t="n">
        <x:f>E874/Sources!$B$4*1000</x:f>
        <x:v>33.37602963505138</x:v>
      </x:c>
      <x:c r="N874" s="9" t="n">
        <x:f>Sources!$B$6-K874</x:f>
        <x:v>-14285</x:v>
      </x:c>
      <x:c r="O874" s="1" t="str">
        <x:v>keyboard_route</x:v>
      </x:c>
      <x:c r="P874" s="12" t="n">
        <x:v>4</x:v>
      </x:c>
      <x:c r="Q874" s="12" t="n">
        <x:v>0</x:v>
      </x:c>
      <x:c r="R874" s="12" t="n">
        <x:v>4</x:v>
      </x:c>
      <x:c r="S874" s="12" t="n">
        <x:v>3</x:v>
      </x:c>
      <x:c r="T874" s="1" t="str">
        <x:v>No</x:v>
      </x:c>
      <x:c r="U874" s="1" t="n">
        <x:v>0</x:v>
      </x:c>
    </x:row>
    <x:row r="875" ht="23" customHeight="1">
      <x:c r="A875" s="9" t="n">
        <x:v>993</x:v>
      </x:c>
      <x:c r="B875" s="9" t="n">
        <x:v>508</x:v>
      </x:c>
      <x:c r="C875" s="9" t="n">
        <x:v>511</x:v>
      </x:c>
      <x:c r="D875" s="9" t="n">
        <x:v>2</x:v>
      </x:c>
      <x:c r="E875" s="9" t="n">
        <x:v>121023</x:v>
      </x:c>
      <x:c r="F875" s="9" t="n">
        <x:v>39347</x:v>
      </x:c>
      <x:c r="G875" s="9" t="n">
        <x:v>55173</x:v>
      </x:c>
      <x:c r="H875" s="9" t="n">
        <x:v>22280</x:v>
      </x:c>
      <x:c r="I875" s="9" t="n">
        <x:v>4116.999999985099</x:v>
      </x:c>
      <x:c r="J875" s="9" t="n">
        <x:v>106.00000001490116</x:v>
      </x:c>
      <x:c r="K875" s="9" t="n">
        <x:f>F875+G875+I875+J875</x:f>
        <x:v>98743</x:v>
      </x:c>
      <x:c r="L875" s="10" t="n">
        <x:f>K875/Sources!$B$4*1000</x:f>
        <x:v>27.585349534647563</x:v>
      </x:c>
      <x:c r="M875" s="10" t="n">
        <x:f>E875/Sources!$B$4*1000</x:f>
        <x:v>33.80960429328309</x:v>
      </x:c>
      <x:c r="N875" s="9" t="n">
        <x:f>Sources!$B$6-K875</x:f>
        <x:v>-39007</x:v>
      </x:c>
      <x:c r="O875" s="1" t="str">
        <x:v>keyboard_route</x:v>
      </x:c>
      <x:c r="P875" s="12" t="n">
        <x:v>0</x:v>
      </x:c>
      <x:c r="Q875" s="12" t="n">
        <x:v>4</x:v>
      </x:c>
      <x:c r="R875" s="12" t="n">
        <x:v>4</x:v>
      </x:c>
      <x:c r="S875" s="12" t="n">
        <x:v>7</x:v>
      </x:c>
      <x:c r="T875" s="1" t="str">
        <x:v>No</x:v>
      </x:c>
      <x:c r="U875" s="1" t="n">
        <x:v>0</x:v>
      </x:c>
    </x:row>
    <x:row r="876" ht="23" customHeight="1">
      <x:c r="A876" s="9" t="n">
        <x:v>994</x:v>
      </x:c>
      <x:c r="B876" s="9" t="n">
        <x:v>508</x:v>
      </x:c>
      <x:c r="C876" s="9" t="n">
        <x:v>515</x:v>
      </x:c>
      <x:c r="D876" s="9" t="n">
        <x:v>2</x:v>
      </x:c>
      <x:c r="E876" s="9" t="n">
        <x:v>119472</x:v>
      </x:c>
      <x:c r="F876" s="9" t="n">
        <x:v>40611.0000000149</x:v>
      </x:c>
      <x:c r="G876" s="9" t="n">
        <x:v>52088</x:v>
      </x:c>
      <x:c r="H876" s="9" t="n">
        <x:v>22550.0000000149</x:v>
      </x:c>
      <x:c r="I876" s="9" t="n">
        <x:v>4117.000000014901</x:v>
      </x:c>
      <x:c r="J876" s="9" t="n">
        <x:v>105.99999995529652</x:v>
      </x:c>
      <x:c r="K876" s="9" t="n">
        <x:f>F876+G876+I876+J876</x:f>
        <x:v>96921.9999999851</x:v>
      </x:c>
      <x:c r="L876" s="10" t="n">
        <x:f>K876/Sources!$B$4*1000</x:f>
        <x:v>27.076625660519728</x:v>
      </x:c>
      <x:c r="M876" s="10" t="n">
        <x:f>E876/Sources!$B$4*1000</x:f>
        <x:v>33.37630900016622</x:v>
      </x:c>
      <x:c r="N876" s="9" t="n">
        <x:f>Sources!$B$6-K876</x:f>
        <x:v>-37185.9999999851</x:v>
      </x:c>
      <x:c r="O876" s="1" t="str">
        <x:v>keyboard_route</x:v>
      </x:c>
      <x:c r="P876" s="12" t="n">
        <x:v>0</x:v>
      </x:c>
      <x:c r="Q876" s="12" t="n">
        <x:v>4</x:v>
      </x:c>
      <x:c r="R876" s="12" t="n">
        <x:v>4</x:v>
      </x:c>
      <x:c r="S876" s="12" t="n">
        <x:v>3</x:v>
      </x:c>
      <x:c r="T876" s="1" t="str">
        <x:v>Yes</x:v>
      </x:c>
      <x:c r="U876" s="1" t="n">
        <x:v>0</x:v>
      </x:c>
    </x:row>
    <x:row r="877" ht="23" customHeight="1">
      <x:c r="A877" s="9" t="n">
        <x:v>995</x:v>
      </x:c>
      <x:c r="B877" s="9" t="n">
        <x:v>508</x:v>
      </x:c>
      <x:c r="C877" s="9" t="n">
        <x:v>519</x:v>
      </x:c>
      <x:c r="D877" s="9" t="n">
        <x:v>2</x:v>
      </x:c>
      <x:c r="E877" s="9" t="n">
        <x:v>119474</x:v>
      </x:c>
      <x:c r="F877" s="9" t="n">
        <x:v>40293</x:v>
      </x:c>
      <x:c r="G877" s="9" t="n">
        <x:v>27512.9999999851</x:v>
      </x:c>
      <x:c r="H877" s="9" t="n">
        <x:v>47445</x:v>
      </x:c>
      <x:c r="I877" s="9" t="n">
        <x:v>4117.000000014901</x:v>
      </x:c>
      <x:c r="J877" s="9" t="n">
        <x:v>106</x:v>
      </x:c>
      <x:c r="K877" s="9" t="n">
        <x:f>F877+G877+I877+J877</x:f>
        <x:v>72029</x:v>
      </x:c>
      <x:c r="L877" s="10" t="n">
        <x:f>K877/Sources!$B$4*1000</x:f>
        <x:v>20.12238985681141</x:v>
      </x:c>
      <x:c r="M877" s="10" t="n">
        <x:f>E877/Sources!$B$4*1000</x:f>
        <x:v>33.3768677303959</x:v>
      </x:c>
      <x:c r="N877" s="9" t="n">
        <x:f>Sources!$B$6-K877</x:f>
        <x:v>-12293</x:v>
      </x:c>
      <x:c r="O877" s="1" t="str">
        <x:v>keyboard_route</x:v>
      </x:c>
      <x:c r="P877" s="12" t="n">
        <x:v>0</x:v>
      </x:c>
      <x:c r="Q877" s="12" t="n">
        <x:v>4</x:v>
      </x:c>
      <x:c r="R877" s="12" t="n">
        <x:v>4</x:v>
      </x:c>
      <x:c r="S877" s="12" t="n">
        <x:v>7</x:v>
      </x:c>
      <x:c r="T877" s="1" t="str">
        <x:v>No</x:v>
      </x:c>
      <x:c r="U877" s="1" t="n">
        <x:v>0</x:v>
      </x:c>
    </x:row>
    <x:row r="878" ht="23" customHeight="1">
      <x:c r="A878" s="9" t="n">
        <x:v>996</x:v>
      </x:c>
      <x:c r="B878" s="9" t="n">
        <x:v>508</x:v>
      </x:c>
      <x:c r="C878" s="9" t="n">
        <x:v>523</x:v>
      </x:c>
      <x:c r="D878" s="9" t="n">
        <x:v>2</x:v>
      </x:c>
      <x:c r="E878" s="9" t="n">
        <x:v>119473</x:v>
      </x:c>
      <x:c r="F878" s="9" t="n">
        <x:v>39252</x:v>
      </x:c>
      <x:c r="G878" s="9" t="n">
        <x:v>52087.9999999851</x:v>
      </x:c>
      <x:c r="H878" s="9" t="n">
        <x:v>23910.0000000149</x:v>
      </x:c>
      <x:c r="I878" s="9" t="n">
        <x:v>4116.999999985099</x:v>
      </x:c>
      <x:c r="J878" s="9" t="n">
        <x:v>106.00000001490116</x:v>
      </x:c>
      <x:c r="K878" s="9" t="n">
        <x:f>F878+G878+I878+J878</x:f>
        <x:v>95562.9999999851</x:v>
      </x:c>
      <x:c r="L878" s="10" t="n">
        <x:f>K878/Sources!$B$4*1000</x:f>
        <x:v>26.696968469452152</x:v>
      </x:c>
      <x:c r="M878" s="10" t="n">
        <x:f>E878/Sources!$B$4*1000</x:f>
        <x:v>33.37658836528106</x:v>
      </x:c>
      <x:c r="N878" s="9" t="n">
        <x:f>Sources!$B$6-K878</x:f>
        <x:v>-35826.9999999851</x:v>
      </x:c>
      <x:c r="O878" s="1" t="str">
        <x:v>keyboard_route</x:v>
      </x:c>
      <x:c r="P878" s="12" t="n">
        <x:v>0</x:v>
      </x:c>
      <x:c r="Q878" s="12" t="n">
        <x:v>4</x:v>
      </x:c>
      <x:c r="R878" s="12" t="n">
        <x:v>4</x:v>
      </x:c>
      <x:c r="S878" s="12" t="n">
        <x:v>3</x:v>
      </x:c>
      <x:c r="T878" s="1" t="str">
        <x:v>Yes</x:v>
      </x:c>
      <x:c r="U878" s="1" t="n">
        <x:v>0</x:v>
      </x:c>
    </x:row>
    <x:row r="879" ht="23" customHeight="1">
      <x:c r="A879" s="9" t="n">
        <x:v>997</x:v>
      </x:c>
      <x:c r="B879" s="9" t="n">
        <x:v>508</x:v>
      </x:c>
      <x:c r="C879" s="9" t="n">
        <x:v>527</x:v>
      </x:c>
      <x:c r="D879" s="9" t="n">
        <x:v>2</x:v>
      </x:c>
      <x:c r="E879" s="9" t="n">
        <x:v>119471.0000000149</x:v>
      </x:c>
      <x:c r="F879" s="9" t="n">
        <x:v>44960.0000000149</x:v>
      </x:c>
      <x:c r="G879" s="9" t="n">
        <x:v>27512.9999999851</x:v>
      </x:c>
      <x:c r="H879" s="9" t="n">
        <x:v>42775</x:v>
      </x:c>
      <x:c r="I879" s="9" t="n">
        <x:v>4116.999999985099</x:v>
      </x:c>
      <x:c r="J879" s="9" t="n">
        <x:v>106.00000002980232</x:v>
      </x:c>
      <x:c r="K879" s="9" t="n">
        <x:f>F879+G879+I879+J879</x:f>
        <x:v>76696.0000000149</x:v>
      </x:c>
      <x:c r="L879" s="10" t="n">
        <x:f>K879/Sources!$B$4*1000</x:f>
        <x:v>21.42618684777392</x:v>
      </x:c>
      <x:c r="M879" s="10" t="n">
        <x:f>E879/Sources!$B$4*1000</x:f>
        <x:v>33.376029635055545</x:v>
      </x:c>
      <x:c r="N879" s="9" t="n">
        <x:f>Sources!$B$6-K879</x:f>
        <x:v>-16960.0000000149</x:v>
      </x:c>
      <x:c r="O879" s="1" t="str">
        <x:v>keyboard_route</x:v>
      </x:c>
      <x:c r="P879" s="12" t="n">
        <x:v>0</x:v>
      </x:c>
      <x:c r="Q879" s="12" t="n">
        <x:v>4</x:v>
      </x:c>
      <x:c r="R879" s="12" t="n">
        <x:v>4</x:v>
      </x:c>
      <x:c r="S879" s="12" t="n">
        <x:v>7</x:v>
      </x:c>
      <x:c r="T879" s="1" t="str">
        <x:v>No</x:v>
      </x:c>
      <x:c r="U879" s="1" t="n">
        <x:v>0</x:v>
      </x:c>
    </x:row>
    <x:row r="880" ht="23" customHeight="1">
      <x:c r="A880" s="9" t="n">
        <x:v>998</x:v>
      </x:c>
      <x:c r="B880" s="9" t="n">
        <x:v>508</x:v>
      </x:c>
      <x:c r="C880" s="9" t="n">
        <x:v>531</x:v>
      </x:c>
      <x:c r="D880" s="9" t="n">
        <x:v>2</x:v>
      </x:c>
      <x:c r="E880" s="9" t="n">
        <x:v>119468.9999999851</x:v>
      </x:c>
      <x:c r="F880" s="9" t="n">
        <x:v>37525.0000000149</x:v>
      </x:c>
      <x:c r="G880" s="9" t="n">
        <x:v>53151</x:v>
      </x:c>
      <x:c r="H880" s="9" t="n">
        <x:v>24570.0000000149</x:v>
      </x:c>
      <x:c r="I880" s="9" t="n">
        <x:v>4116.999999985099</x:v>
      </x:c>
      <x:c r="J880" s="9" t="n">
        <x:v>105.99999997019768</x:v>
      </x:c>
      <x:c r="K880" s="9" t="n">
        <x:f>F880+G880+I880+J880</x:f>
        <x:v>94898.9999999702</x:v>
      </x:c>
      <x:c r="L880" s="10" t="n">
        <x:f>K880/Sources!$B$4*1000</x:f>
        <x:v>26.511470033194218</x:v>
      </x:c>
      <x:c r="M880" s="10" t="n">
        <x:f>E880/Sources!$B$4*1000</x:f>
        <x:v>33.37547090481754</x:v>
      </x:c>
      <x:c r="N880" s="9" t="n">
        <x:f>Sources!$B$6-K880</x:f>
        <x:v>-35162.9999999702</x:v>
      </x:c>
      <x:c r="O880" s="1" t="str">
        <x:v>keyboard_route</x:v>
      </x:c>
      <x:c r="P880" s="12" t="n">
        <x:v>0</x:v>
      </x:c>
      <x:c r="Q880" s="12" t="n">
        <x:v>4</x:v>
      </x:c>
      <x:c r="R880" s="12" t="n">
        <x:v>4</x:v>
      </x:c>
      <x:c r="S880" s="12" t="n">
        <x:v>3</x:v>
      </x:c>
      <x:c r="T880" s="1" t="str">
        <x:v>Yes</x:v>
      </x:c>
      <x:c r="U880" s="1" t="n">
        <x:v>0</x:v>
      </x:c>
    </x:row>
    <x:row r="881" ht="23" customHeight="1">
      <x:c r="A881" s="9" t="n">
        <x:v>999</x:v>
      </x:c>
      <x:c r="B881" s="9" t="n">
        <x:v>508</x:v>
      </x:c>
      <x:c r="C881" s="9" t="n">
        <x:v>535</x:v>
      </x:c>
      <x:c r="D881" s="9" t="n">
        <x:v>2</x:v>
      </x:c>
      <x:c r="E881" s="9" t="n">
        <x:v>119475.0000000149</x:v>
      </x:c>
      <x:c r="F881" s="9" t="n">
        <x:v>40397</x:v>
      </x:c>
      <x:c r="G881" s="9" t="n">
        <x:v>26650.0000000149</x:v>
      </x:c>
      <x:c r="H881" s="9" t="n">
        <x:v>48205</x:v>
      </x:c>
      <x:c r="I881" s="9" t="n">
        <x:v>4117.000000014901</x:v>
      </x:c>
      <x:c r="J881" s="9" t="n">
        <x:v>105.99999998509884</x:v>
      </x:c>
      <x:c r="K881" s="9" t="n">
        <x:f>F881+G881+I881+J881</x:f>
        <x:v>71270.0000000149</x:v>
      </x:c>
      <x:c r="L881" s="10" t="n">
        <x:f>K881/Sources!$B$4*1000</x:f>
        <x:v>19.910351734652004</x:v>
      </x:c>
      <x:c r="M881" s="10" t="n">
        <x:f>E881/Sources!$B$4*1000</x:f>
        <x:v>33.37714709551491</x:v>
      </x:c>
      <x:c r="N881" s="9" t="n">
        <x:f>Sources!$B$6-K881</x:f>
        <x:v>-11534.000000014901</x:v>
      </x:c>
      <x:c r="O881" s="1" t="str">
        <x:v>keyboard_route</x:v>
      </x:c>
      <x:c r="P881" s="12" t="n">
        <x:v>0</x:v>
      </x:c>
      <x:c r="Q881" s="12" t="n">
        <x:v>4</x:v>
      </x:c>
      <x:c r="R881" s="12" t="n">
        <x:v>4</x:v>
      </x:c>
      <x:c r="S881" s="12" t="n">
        <x:v>7</x:v>
      </x:c>
      <x:c r="T881" s="1" t="str">
        <x:v>No</x:v>
      </x:c>
      <x:c r="U881" s="1" t="n">
        <x:v>0</x:v>
      </x:c>
    </x:row>
    <x:row r="882" ht="23" customHeight="1">
      <x:c r="A882" s="9" t="n">
        <x:v>1000</x:v>
      </x:c>
      <x:c r="B882" s="9" t="n">
        <x:v>508</x:v>
      </x:c>
      <x:c r="C882" s="9" t="n">
        <x:v>539</x:v>
      </x:c>
      <x:c r="D882" s="9" t="n">
        <x:v>2</x:v>
      </x:c>
      <x:c r="E882" s="9" t="n">
        <x:v>119470</x:v>
      </x:c>
      <x:c r="F882" s="9" t="n">
        <x:v>35971</x:v>
      </x:c>
      <x:c r="G882" s="9" t="n">
        <x:v>53151</x:v>
      </x:c>
      <x:c r="H882" s="9" t="n">
        <x:v>26125</x:v>
      </x:c>
      <x:c r="I882" s="9" t="n">
        <x:v>4116.999999985099</x:v>
      </x:c>
      <x:c r="J882" s="9" t="n">
        <x:v>106.00000001490116</x:v>
      </x:c>
      <x:c r="K882" s="9" t="n">
        <x:f>F882+G882+I882+J882</x:f>
        <x:v>93345</x:v>
      </x:c>
      <x:c r="L882" s="10" t="n">
        <x:f>K882/Sources!$B$4*1000</x:f>
        <x:v>26.077336644741163</x:v>
      </x:c>
      <x:c r="M882" s="10" t="n">
        <x:f>E882/Sources!$B$4*1000</x:f>
        <x:v>33.37575026993654</x:v>
      </x:c>
      <x:c r="N882" s="9" t="n">
        <x:f>Sources!$B$6-K882</x:f>
        <x:v>-33609</x:v>
      </x:c>
      <x:c r="O882" s="1" t="str">
        <x:v>keyboard_route</x:v>
      </x:c>
      <x:c r="P882" s="12" t="n">
        <x:v>0</x:v>
      </x:c>
      <x:c r="Q882" s="12" t="n">
        <x:v>4</x:v>
      </x:c>
      <x:c r="R882" s="12" t="n">
        <x:v>4</x:v>
      </x:c>
      <x:c r="S882" s="12" t="n">
        <x:v>3</x:v>
      </x:c>
      <x:c r="T882" s="1" t="str">
        <x:v>Yes</x:v>
      </x:c>
      <x:c r="U882" s="1" t="n">
        <x:v>0</x:v>
      </x:c>
    </x:row>
    <x:row r="883" ht="23" customHeight="1">
      <x:c r="A883" s="9" t="n">
        <x:v>1001</x:v>
      </x:c>
      <x:c r="B883" s="9" t="n">
        <x:v>508</x:v>
      </x:c>
      <x:c r="C883" s="9" t="n">
        <x:v>543</x:v>
      </x:c>
      <x:c r="D883" s="9" t="n">
        <x:v>2</x:v>
      </x:c>
      <x:c r="E883" s="9" t="n">
        <x:v>119473.9999999851</x:v>
      </x:c>
      <x:c r="F883" s="9" t="n">
        <x:v>37506</x:v>
      </x:c>
      <x:c r="G883" s="9" t="n">
        <x:v>26650.0000000149</x:v>
      </x:c>
      <x:c r="H883" s="9" t="n">
        <x:v>51095.0000000149</x:v>
      </x:c>
      <x:c r="I883" s="9" t="n">
        <x:v>4116.999999985099</x:v>
      </x:c>
      <x:c r="J883" s="9" t="n">
        <x:v>105.99999997019768</x:v>
      </x:c>
      <x:c r="K883" s="9" t="n">
        <x:f>F883+G883+I883+J883</x:f>
        <x:v>68378.9999999702</x:v>
      </x:c>
      <x:c r="L883" s="10" t="n">
        <x:f>K883/Sources!$B$4*1000</x:f>
        <x:v>19.10270718763703</x:v>
      </x:c>
      <x:c r="M883" s="10" t="n">
        <x:f>E883/Sources!$B$4*1000</x:f>
        <x:v>33.37686773039174</x:v>
      </x:c>
      <x:c r="N883" s="9" t="n">
        <x:f>Sources!$B$6-K883</x:f>
        <x:v>-8642.999999970198</x:v>
      </x:c>
      <x:c r="O883" s="1" t="str">
        <x:v>keyboard_route</x:v>
      </x:c>
      <x:c r="P883" s="12" t="n">
        <x:v>0</x:v>
      </x:c>
      <x:c r="Q883" s="12" t="n">
        <x:v>4</x:v>
      </x:c>
      <x:c r="R883" s="12" t="n">
        <x:v>4</x:v>
      </x:c>
      <x:c r="S883" s="12" t="n">
        <x:v>7</x:v>
      </x:c>
      <x:c r="T883" s="1" t="str">
        <x:v>No</x:v>
      </x:c>
      <x:c r="U883" s="1" t="n">
        <x:v>0</x:v>
      </x:c>
    </x:row>
    <x:row r="884" ht="23" customHeight="1">
      <x:c r="A884" s="9" t="n">
        <x:v>1002</x:v>
      </x:c>
      <x:c r="B884" s="9" t="n">
        <x:v>508</x:v>
      </x:c>
      <x:c r="C884" s="9" t="n">
        <x:v>547</x:v>
      </x:c>
      <x:c r="D884" s="9" t="n">
        <x:v>2</x:v>
      </x:c>
      <x:c r="E884" s="9" t="n">
        <x:v>119471.0000000149</x:v>
      </x:c>
      <x:c r="F884" s="9" t="n">
        <x:v>36151.0000000149</x:v>
      </x:c>
      <x:c r="G884" s="9" t="n">
        <x:v>53176.9999999851</x:v>
      </x:c>
      <x:c r="H884" s="9" t="n">
        <x:v>25920</x:v>
      </x:c>
      <x:c r="I884" s="9" t="n">
        <x:v>4116.999999985099</x:v>
      </x:c>
      <x:c r="J884" s="9" t="n">
        <x:v>106.00000002980232</x:v>
      </x:c>
      <x:c r="K884" s="9" t="n">
        <x:f>F884+G884+I884+J884</x:f>
        <x:v>93551.0000000149</x:v>
      </x:c>
      <x:c r="L884" s="10" t="n">
        <x:f>K884/Sources!$B$4*1000</x:f>
        <x:v>26.134885858402367</x:v>
      </x:c>
      <x:c r="M884" s="10" t="n">
        <x:f>E884/Sources!$B$4*1000</x:f>
        <x:v>33.376029635055545</x:v>
      </x:c>
      <x:c r="N884" s="9" t="n">
        <x:f>Sources!$B$6-K884</x:f>
        <x:v>-33815.0000000149</x:v>
      </x:c>
      <x:c r="O884" s="1" t="str">
        <x:v>keyboard_route</x:v>
      </x:c>
      <x:c r="P884" s="12" t="n">
        <x:v>0</x:v>
      </x:c>
      <x:c r="Q884" s="12" t="n">
        <x:v>4</x:v>
      </x:c>
      <x:c r="R884" s="12" t="n">
        <x:v>4</x:v>
      </x:c>
      <x:c r="S884" s="12" t="n">
        <x:v>3</x:v>
      </x:c>
      <x:c r="T884" s="1" t="str">
        <x:v>Yes</x:v>
      </x:c>
      <x:c r="U884" s="1" t="n">
        <x:v>0</x:v>
      </x:c>
    </x:row>
    <x:row r="885" ht="23" customHeight="1">
      <x:c r="A885" s="9" t="n">
        <x:v>1003</x:v>
      </x:c>
      <x:c r="B885" s="9" t="n">
        <x:v>508</x:v>
      </x:c>
      <x:c r="C885" s="9" t="n">
        <x:v>551</x:v>
      </x:c>
      <x:c r="D885" s="9" t="n">
        <x:v>2</x:v>
      </x:c>
      <x:c r="E885" s="9" t="n">
        <x:v>119471</x:v>
      </x:c>
      <x:c r="F885" s="9" t="n">
        <x:v>37948</x:v>
      </x:c>
      <x:c r="G885" s="9" t="n">
        <x:v>26649.9999999851</x:v>
      </x:c>
      <x:c r="H885" s="9" t="n">
        <x:v>50650</x:v>
      </x:c>
      <x:c r="I885" s="9" t="n">
        <x:v>4116.999999985099</x:v>
      </x:c>
      <x:c r="J885" s="9" t="n">
        <x:v>106.00000002980232</x:v>
      </x:c>
      <x:c r="K885" s="9" t="n">
        <x:f>F885+G885+I885+J885</x:f>
        <x:v>68821</x:v>
      </x:c>
      <x:c r="L885" s="10" t="n">
        <x:f>K885/Sources!$B$4*1000</x:f>
        <x:v>19.226186568404643</x:v>
      </x:c>
      <x:c r="M885" s="10" t="n">
        <x:f>E885/Sources!$B$4*1000</x:f>
        <x:v>33.37602963505138</x:v>
      </x:c>
      <x:c r="N885" s="9" t="n">
        <x:f>Sources!$B$6-K885</x:f>
        <x:v>-9085</x:v>
      </x:c>
      <x:c r="O885" s="1" t="str">
        <x:v>keyboard_route</x:v>
      </x:c>
      <x:c r="P885" s="12" t="n">
        <x:v>0</x:v>
      </x:c>
      <x:c r="Q885" s="12" t="n">
        <x:v>4</x:v>
      </x:c>
      <x:c r="R885" s="12" t="n">
        <x:v>4</x:v>
      </x:c>
      <x:c r="S885" s="12" t="n">
        <x:v>7</x:v>
      </x:c>
      <x:c r="T885" s="1" t="str">
        <x:v>No</x:v>
      </x:c>
      <x:c r="U885" s="1" t="n">
        <x:v>0</x:v>
      </x:c>
    </x:row>
    <x:row r="886" ht="23" customHeight="1">
      <x:c r="A886" s="9" t="n">
        <x:v>1004</x:v>
      </x:c>
      <x:c r="B886" s="9" t="n">
        <x:v>508</x:v>
      </x:c>
      <x:c r="C886" s="9" t="n">
        <x:v>555</x:v>
      </x:c>
      <x:c r="D886" s="9" t="n">
        <x:v>2</x:v>
      </x:c>
      <x:c r="E886" s="9" t="n">
        <x:v>119471</x:v>
      </x:c>
      <x:c r="F886" s="9" t="n">
        <x:v>39037</x:v>
      </x:c>
      <x:c r="G886" s="9" t="n">
        <x:v>53171</x:v>
      </x:c>
      <x:c r="H886" s="9" t="n">
        <x:v>23039.9999999851</x:v>
      </x:c>
      <x:c r="I886" s="9" t="n">
        <x:v>4117</x:v>
      </x:c>
      <x:c r="J886" s="9" t="n">
        <x:v>106.00000001490116</x:v>
      </x:c>
      <x:c r="K886" s="9" t="n">
        <x:f>F886+G886+I886+J886</x:f>
        <x:v>96431.0000000149</x:v>
      </x:c>
      <x:c r="L886" s="10" t="n">
        <x:f>K886/Sources!$B$4*1000</x:f>
        <x:v>26.93945738914161</x:v>
      </x:c>
      <x:c r="M886" s="10" t="n">
        <x:f>E886/Sources!$B$4*1000</x:f>
        <x:v>33.37602963505138</x:v>
      </x:c>
      <x:c r="N886" s="9" t="n">
        <x:f>Sources!$B$6-K886</x:f>
        <x:v>-36695.0000000149</x:v>
      </x:c>
      <x:c r="O886" s="1" t="str">
        <x:v>keyboard_route</x:v>
      </x:c>
      <x:c r="P886" s="12" t="n">
        <x:v>0</x:v>
      </x:c>
      <x:c r="Q886" s="12" t="n">
        <x:v>4</x:v>
      </x:c>
      <x:c r="R886" s="12" t="n">
        <x:v>4</x:v>
      </x:c>
      <x:c r="S886" s="12" t="n">
        <x:v>3</x:v>
      </x:c>
      <x:c r="T886" s="1" t="str">
        <x:v>Yes</x:v>
      </x:c>
      <x:c r="U886" s="1" t="n">
        <x:v>0</x:v>
      </x:c>
    </x:row>
    <x:row r="887" ht="23" customHeight="1">
      <x:c r="A887" s="9" t="n">
        <x:v>1005</x:v>
      </x:c>
      <x:c r="B887" s="9" t="n">
        <x:v>512</x:v>
      </x:c>
      <x:c r="C887" s="9" t="n">
        <x:v>555</x:v>
      </x:c>
      <x:c r="D887" s="9" t="n">
        <x:v>2</x:v>
      </x:c>
      <x:c r="E887" s="9" t="n">
        <x:v>117922.9999999851</x:v>
      </x:c>
      <x:c r="F887" s="9" t="n">
        <x:v>39056.9999999851</x:v>
      </x:c>
      <x:c r="G887" s="9" t="n">
        <x:v>62579.9999999851</x:v>
      </x:c>
      <x:c r="H887" s="9" t="n">
        <x:v>13615</x:v>
      </x:c>
      <x:c r="I887" s="9" t="n">
        <x:v>2565</x:v>
      </x:c>
      <x:c r="J887" s="9" t="n">
        <x:v>106.00000001490116</x:v>
      </x:c>
      <x:c r="K887" s="9" t="n">
        <x:f>F887+G887+I887+J887</x:f>
        <x:v>104307.9999999851</x:v>
      </x:c>
      <x:c r="L887" s="10" t="n">
        <x:f>K887/Sources!$B$4*1000</x:f>
        <x:v>29.14001639872808</x:v>
      </x:c>
      <x:c r="M887" s="10" t="n">
        <x:f>E887/Sources!$B$4*1000</x:f>
        <x:v>32.943572437274874</x:v>
      </x:c>
      <x:c r="N887" s="9" t="n">
        <x:f>Sources!$B$6-K887</x:f>
        <x:v>-44571.9999999851</x:v>
      </x:c>
      <x:c r="O887" s="1" t="str">
        <x:v>keyboard_route</x:v>
      </x:c>
      <x:c r="P887" s="12" t="n">
        <x:v>4</x:v>
      </x:c>
      <x:c r="Q887" s="12" t="n">
        <x:v>0</x:v>
      </x:c>
      <x:c r="R887" s="12" t="n">
        <x:v>0</x:v>
      </x:c>
      <x:c r="S887" s="12" t="n">
        <x:v>3</x:v>
      </x:c>
      <x:c r="T887" s="1" t="str">
        <x:v>Yes</x:v>
      </x:c>
      <x:c r="U887" s="1" t="n">
        <x:v>0</x:v>
      </x:c>
    </x:row>
    <x:row r="888" ht="23" customHeight="1">
      <x:c r="A888" s="9" t="n">
        <x:v>1006</x:v>
      </x:c>
      <x:c r="B888" s="9" t="n">
        <x:v>516</x:v>
      </x:c>
      <x:c r="C888" s="9" t="n">
        <x:v>555</x:v>
      </x:c>
      <x:c r="D888" s="9" t="n">
        <x:v>2</x:v>
      </x:c>
      <x:c r="E888" s="9" t="n">
        <x:v>119472.0000000149</x:v>
      </x:c>
      <x:c r="F888" s="9" t="n">
        <x:v>42496.9999999851</x:v>
      </x:c>
      <x:c r="G888" s="9" t="n">
        <x:v>73019</x:v>
      </x:c>
      <x:c r="H888" s="9" t="n">
        <x:v>1284.9999999850988</x:v>
      </x:c>
      <x:c r="I888" s="9" t="n">
        <x:v>2565.000000014901</x:v>
      </x:c>
      <x:c r="J888" s="9" t="n">
        <x:v>106.00000002980232</x:v>
      </x:c>
      <x:c r="K888" s="9" t="n">
        <x:f>F888+G888+I888+J888</x:f>
        <x:v>118187.0000000298</x:v>
      </x:c>
      <x:c r="L888" s="10" t="n">
        <x:f>K888/Sources!$B$4*1000</x:f>
        <x:v>33.01732482760513</x:v>
      </x:c>
      <x:c r="M888" s="10" t="n">
        <x:f>E888/Sources!$B$4*1000</x:f>
        <x:v>33.37630900017039</x:v>
      </x:c>
      <x:c r="N888" s="9" t="n">
        <x:f>Sources!$B$6-K888</x:f>
        <x:v>-58451.0000000298</x:v>
      </x:c>
      <x:c r="O888" s="1" t="str">
        <x:v>keyboard_route</x:v>
      </x:c>
      <x:c r="P888" s="12" t="n">
        <x:v>4</x:v>
      </x:c>
      <x:c r="Q888" s="12" t="n">
        <x:v>0</x:v>
      </x:c>
      <x:c r="R888" s="12" t="n">
        <x:v>4</x:v>
      </x:c>
      <x:c r="S888" s="12" t="n">
        <x:v>3</x:v>
      </x:c>
      <x:c r="T888" s="1" t="str">
        <x:v>No</x:v>
      </x:c>
      <x:c r="U888" s="1" t="n">
        <x:v>0</x:v>
      </x:c>
    </x:row>
    <x:row r="889" ht="23" customHeight="1">
      <x:c r="A889" s="9" t="n">
        <x:v>1007</x:v>
      </x:c>
      <x:c r="B889" s="9" t="n">
        <x:v>520</x:v>
      </x:c>
      <x:c r="C889" s="9" t="n">
        <x:v>555</x:v>
      </x:c>
      <x:c r="D889" s="9" t="n">
        <x:v>2</x:v>
      </x:c>
      <x:c r="E889" s="9" t="n">
        <x:v>119469</x:v>
      </x:c>
      <x:c r="F889" s="9" t="n">
        <x:v>36326</x:v>
      </x:c>
      <x:c r="G889" s="9" t="n">
        <x:v>62372</x:v>
      </x:c>
      <x:c r="H889" s="9" t="n">
        <x:v>18100</x:v>
      </x:c>
      <x:c r="I889" s="9" t="n">
        <x:v>2565.000000014901</x:v>
      </x:c>
      <x:c r="J889" s="9" t="n">
        <x:v>105.99999998509884</x:v>
      </x:c>
      <x:c r="K889" s="9" t="n">
        <x:f>F889+G889+I889+J889</x:f>
        <x:v>101369</x:v>
      </x:c>
      <x:c r="L889" s="10" t="n">
        <x:f>K889/Sources!$B$4*1000</x:f>
        <x:v>28.318962326217438</x:v>
      </x:c>
      <x:c r="M889" s="10" t="n">
        <x:f>E889/Sources!$B$4*1000</x:f>
        <x:v>33.375470904821704</x:v>
      </x:c>
      <x:c r="N889" s="9" t="n">
        <x:f>Sources!$B$6-K889</x:f>
        <x:v>-41633</x:v>
      </x:c>
      <x:c r="O889" s="1" t="str">
        <x:v>keyboard_route</x:v>
      </x:c>
      <x:c r="P889" s="12" t="n">
        <x:v>4</x:v>
      </x:c>
      <x:c r="Q889" s="12" t="n">
        <x:v>0</x:v>
      </x:c>
      <x:c r="R889" s="12" t="n">
        <x:v>0</x:v>
      </x:c>
      <x:c r="S889" s="12" t="n">
        <x:v>3</x:v>
      </x:c>
      <x:c r="T889" s="1" t="str">
        <x:v>Yes</x:v>
      </x:c>
      <x:c r="U889" s="1" t="n">
        <x:v>0</x:v>
      </x:c>
    </x:row>
    <x:row r="890" ht="23" customHeight="1">
      <x:c r="A890" s="9" t="n">
        <x:v>1008</x:v>
      </x:c>
      <x:c r="B890" s="9" t="n">
        <x:v>524</x:v>
      </x:c>
      <x:c r="C890" s="9" t="n">
        <x:v>555</x:v>
      </x:c>
      <x:c r="D890" s="9" t="n">
        <x:v>2</x:v>
      </x:c>
      <x:c r="E890" s="9" t="n">
        <x:v>183585</x:v>
      </x:c>
      <x:c r="F890" s="9" t="n">
        <x:v>56148</x:v>
      </x:c>
      <x:c r="G890" s="9" t="n">
        <x:v>88657.9999999702</x:v>
      </x:c>
      <x:c r="H890" s="9" t="n">
        <x:v>31735</x:v>
      </x:c>
      <x:c r="I890" s="9" t="n">
        <x:v>6937.999999970198</x:v>
      </x:c>
      <x:c r="J890" s="9" t="n">
        <x:v>106.00000005960464</x:v>
      </x:c>
      <x:c r="K890" s="9" t="n">
        <x:f>F890+G890+I890+J890</x:f>
        <x:v>151850</x:v>
      </x:c>
      <x:c r="L890" s="10" t="n">
        <x:f>K890/Sources!$B$4*1000</x:f>
        <x:v>42.421592688456215</x:v>
      </x:c>
      <x:c r="M890" s="10" t="n">
        <x:f>E890/Sources!$B$4*1000</x:f>
        <x:v>51.28724460790408</x:v>
      </x:c>
      <x:c r="N890" s="9" t="n">
        <x:f>Sources!$B$6-K890</x:f>
        <x:v>-92114</x:v>
      </x:c>
      <x:c r="O890" s="1" t="str">
        <x:v>keyboard_route</x:v>
      </x:c>
      <x:c r="P890" s="12" t="n">
        <x:v>4</x:v>
      </x:c>
      <x:c r="Q890" s="12" t="n">
        <x:v>0</x:v>
      </x:c>
      <x:c r="R890" s="12" t="n">
        <x:v>4</x:v>
      </x:c>
      <x:c r="S890" s="12" t="n">
        <x:v>3</x:v>
      </x:c>
      <x:c r="T890" s="1" t="str">
        <x:v>No</x:v>
      </x:c>
      <x:c r="U890" s="1" t="n">
        <x:v>0</x:v>
      </x:c>
    </x:row>
    <x:row r="891" ht="23" customHeight="1">
      <x:c r="A891" s="9" t="n">
        <x:v>1009</x:v>
      </x:c>
      <x:c r="B891" s="9" t="n">
        <x:v>532</x:v>
      </x:c>
      <x:c r="C891" s="9" t="n">
        <x:v>555</x:v>
      </x:c>
      <x:c r="D891" s="9" t="n">
        <x:v>3</x:v>
      </x:c>
      <x:c r="E891" s="9" t="n">
        <x:v>174832</x:v>
      </x:c>
      <x:c r="F891" s="9" t="n">
        <x:v>63396.0000000298</x:v>
      </x:c>
      <x:c r="G891" s="9" t="n">
        <x:v>97370.0000000298</x:v>
      </x:c>
      <x:c r="H891" s="9" t="n">
        <x:v>11395</x:v>
      </x:c>
      <x:c r="I891" s="9" t="n">
        <x:v>2564.9999999701977</x:v>
      </x:c>
      <x:c r="J891" s="9" t="n">
        <x:v>105.99999997019768</x:v>
      </x:c>
      <x:c r="K891" s="9" t="n">
        <x:f>F891+G891+I891+J891</x:f>
        <x:v>163437</x:v>
      </x:c>
      <x:c r="L891" s="10" t="n">
        <x:f>K891/Sources!$B$4*1000</x:f>
        <x:v>45.65859627410746</x:v>
      </x:c>
      <x:c r="M891" s="10" t="n">
        <x:f>E891/Sources!$B$4*1000</x:f>
        <x:v>48.84196175770943</x:v>
      </x:c>
      <x:c r="N891" s="9" t="n">
        <x:f>Sources!$B$6-K891</x:f>
        <x:v>-103701</x:v>
      </x:c>
      <x:c r="O891" s="1" t="str">
        <x:v>keyboard_route</x:v>
      </x:c>
      <x:c r="P891" s="12" t="n">
        <x:v>8</x:v>
      </x:c>
      <x:c r="Q891" s="12" t="n">
        <x:v>0</x:v>
      </x:c>
      <x:c r="R891" s="12" t="n">
        <x:v>4</x:v>
      </x:c>
      <x:c r="S891" s="12" t="n">
        <x:v>3</x:v>
      </x:c>
      <x:c r="T891" s="1" t="str">
        <x:v>Yes</x:v>
      </x:c>
      <x:c r="U891" s="1" t="n">
        <x:v>0</x:v>
      </x:c>
    </x:row>
    <x:row r="892" ht="23" customHeight="1">
      <x:c r="A892" s="9" t="n">
        <x:v>1010</x:v>
      </x:c>
      <x:c r="B892" s="9" t="n">
        <x:v>532</x:v>
      </x:c>
      <x:c r="C892" s="9" t="n">
        <x:v>559</x:v>
      </x:c>
      <x:c r="D892" s="9" t="n">
        <x:v>3</x:v>
      </x:c>
      <x:c r="E892" s="9" t="n">
        <x:v>121023</x:v>
      </x:c>
      <x:c r="F892" s="9" t="n">
        <x:v>58013.0000000298</x:v>
      </x:c>
      <x:c r="G892" s="9" t="n">
        <x:v>31372.000000029802</x:v>
      </x:c>
      <x:c r="H892" s="9" t="n">
        <x:v>27415</x:v>
      </x:c>
      <x:c r="I892" s="9" t="n">
        <x:v>4117</x:v>
      </x:c>
      <x:c r="J892" s="9" t="n">
        <x:v>105.99999994039536</x:v>
      </x:c>
      <x:c r="K892" s="9" t="n">
        <x:f>F892+G892+I892+J892</x:f>
        <x:v>93608</x:v>
      </x:c>
      <x:c r="L892" s="10" t="n">
        <x:f>K892/Sources!$B$4*1000</x:f>
        <x:v>26.150809669944085</x:v>
      </x:c>
      <x:c r="M892" s="10" t="n">
        <x:f>E892/Sources!$B$4*1000</x:f>
        <x:v>33.80960429328309</x:v>
      </x:c>
      <x:c r="N892" s="9" t="n">
        <x:f>Sources!$B$6-K892</x:f>
        <x:v>-33872</x:v>
      </x:c>
      <x:c r="O892" s="1" t="str">
        <x:v>keyboard_route</x:v>
      </x:c>
      <x:c r="P892" s="12" t="n">
        <x:v>0</x:v>
      </x:c>
      <x:c r="Q892" s="12" t="n">
        <x:v>4</x:v>
      </x:c>
      <x:c r="R892" s="12" t="n">
        <x:v>4</x:v>
      </x:c>
      <x:c r="S892" s="12" t="n">
        <x:v>7</x:v>
      </x:c>
      <x:c r="T892" s="1" t="str">
        <x:v>No</x:v>
      </x:c>
      <x:c r="U892" s="1" t="n">
        <x:v>0</x:v>
      </x:c>
    </x:row>
    <x:row r="893" ht="23" customHeight="1">
      <x:c r="A893" s="9" t="n">
        <x:v>1011</x:v>
      </x:c>
      <x:c r="B893" s="9" t="n">
        <x:v>532</x:v>
      </x:c>
      <x:c r="C893" s="9" t="n">
        <x:v>563</x:v>
      </x:c>
      <x:c r="D893" s="9" t="n">
        <x:v>2</x:v>
      </x:c>
      <x:c r="E893" s="9" t="n">
        <x:v>119474.9999999702</x:v>
      </x:c>
      <x:c r="F893" s="9" t="n">
        <x:v>51457</x:v>
      </x:c>
      <x:c r="G893" s="9" t="n">
        <x:v>55595</x:v>
      </x:c>
      <x:c r="H893" s="9" t="n">
        <x:v>8200</x:v>
      </x:c>
      <x:c r="I893" s="9" t="n">
        <x:v>4117</x:v>
      </x:c>
      <x:c r="J893" s="9" t="n">
        <x:v>105.99999997019768</x:v>
      </x:c>
      <x:c r="K893" s="9" t="n">
        <x:f>F893+G893+I893+J893</x:f>
        <x:v>111274.9999999702</x:v>
      </x:c>
      <x:c r="L893" s="10" t="n">
        <x:f>K893/Sources!$B$4*1000</x:f>
        <x:v>31.086353153814297</x:v>
      </x:c>
      <x:c r="M893" s="10" t="n">
        <x:f>E893/Sources!$B$4*1000</x:f>
        <x:v>33.377147095502416</x:v>
      </x:c>
      <x:c r="N893" s="9" t="n">
        <x:f>Sources!$B$6-K893</x:f>
        <x:v>-51538.9999999702</x:v>
      </x:c>
      <x:c r="O893" s="1" t="str">
        <x:v>keyboard_route</x:v>
      </x:c>
      <x:c r="P893" s="12" t="n">
        <x:v>0</x:v>
      </x:c>
      <x:c r="Q893" s="12" t="n">
        <x:v>4</x:v>
      </x:c>
      <x:c r="R893" s="12" t="n">
        <x:v>4</x:v>
      </x:c>
      <x:c r="S893" s="12" t="n">
        <x:v>3</x:v>
      </x:c>
      <x:c r="T893" s="1" t="str">
        <x:v>Yes</x:v>
      </x:c>
      <x:c r="U893" s="1" t="n">
        <x:v>0</x:v>
      </x:c>
    </x:row>
    <x:row r="894" ht="23" customHeight="1">
      <x:c r="A894" s="9" t="n">
        <x:v>1012</x:v>
      </x:c>
      <x:c r="B894" s="9" t="n">
        <x:v>532</x:v>
      </x:c>
      <x:c r="C894" s="9" t="n">
        <x:v>567</x:v>
      </x:c>
      <x:c r="D894" s="9" t="n">
        <x:v>2</x:v>
      </x:c>
      <x:c r="E894" s="9" t="n">
        <x:v>119472.0000000298</x:v>
      </x:c>
      <x:c r="F894" s="9" t="n">
        <x:v>46833</x:v>
      </x:c>
      <x:c r="G894" s="9" t="n">
        <x:v>27696</x:v>
      </x:c>
      <x:c r="H894" s="9" t="n">
        <x:v>40720</x:v>
      </x:c>
      <x:c r="I894" s="9" t="n">
        <x:v>4117</x:v>
      </x:c>
      <x:c r="J894" s="9" t="n">
        <x:v>106.00000002980232</x:v>
      </x:c>
      <x:c r="K894" s="9" t="n">
        <x:f>F894+G894+I894+J894</x:f>
        <x:v>78752.0000000298</x:v>
      </x:c>
      <x:c r="L894" s="10" t="n">
        <x:f>K894/Sources!$B$4*1000</x:f>
        <x:v>22.000561523889154</x:v>
      </x:c>
      <x:c r="M894" s="10" t="n">
        <x:f>E894/Sources!$B$4*1000</x:f>
        <x:v>33.37630900017455</x:v>
      </x:c>
      <x:c r="N894" s="9" t="n">
        <x:f>Sources!$B$6-K894</x:f>
        <x:v>-19016.000000029802</x:v>
      </x:c>
      <x:c r="O894" s="1" t="str">
        <x:v>keyboard_route</x:v>
      </x:c>
      <x:c r="P894" s="12" t="n">
        <x:v>0</x:v>
      </x:c>
      <x:c r="Q894" s="12" t="n">
        <x:v>4</x:v>
      </x:c>
      <x:c r="R894" s="12" t="n">
        <x:v>4</x:v>
      </x:c>
      <x:c r="S894" s="12" t="n">
        <x:v>7</x:v>
      </x:c>
      <x:c r="T894" s="1" t="str">
        <x:v>No</x:v>
      </x:c>
      <x:c r="U894" s="1" t="n">
        <x:v>0</x:v>
      </x:c>
    </x:row>
    <x:row r="895" ht="23" customHeight="1">
      <x:c r="A895" s="9" t="n">
        <x:v>1013</x:v>
      </x:c>
      <x:c r="B895" s="9" t="n">
        <x:v>532</x:v>
      </x:c>
      <x:c r="C895" s="9" t="n">
        <x:v>571</x:v>
      </x:c>
      <x:c r="D895" s="9" t="n">
        <x:v>2</x:v>
      </x:c>
      <x:c r="E895" s="9" t="n">
        <x:v>119470</x:v>
      </x:c>
      <x:c r="F895" s="9" t="n">
        <x:v>44870</x:v>
      </x:c>
      <x:c r="G895" s="9" t="n">
        <x:v>54532</x:v>
      </x:c>
      <x:c r="H895" s="9" t="n">
        <x:v>15845</x:v>
      </x:c>
      <x:c r="I895" s="9" t="n">
        <x:v>4117</x:v>
      </x:c>
      <x:c r="J895" s="9" t="n">
        <x:v>106</x:v>
      </x:c>
      <x:c r="K895" s="9" t="n">
        <x:f>F895+G895+I895+J895</x:f>
        <x:v>103625</x:v>
      </x:c>
      <x:c r="L895" s="10" t="n">
        <x:f>K895/Sources!$B$4*1000</x:f>
        <x:v>28.949210025296512</x:v>
      </x:c>
      <x:c r="M895" s="10" t="n">
        <x:f>E895/Sources!$B$4*1000</x:f>
        <x:v>33.37575026993654</x:v>
      </x:c>
      <x:c r="N895" s="9" t="n">
        <x:f>Sources!$B$6-K895</x:f>
        <x:v>-43889</x:v>
      </x:c>
      <x:c r="O895" s="1" t="str">
        <x:v>keyboard_route</x:v>
      </x:c>
      <x:c r="P895" s="12" t="n">
        <x:v>0</x:v>
      </x:c>
      <x:c r="Q895" s="12" t="n">
        <x:v>4</x:v>
      </x:c>
      <x:c r="R895" s="12" t="n">
        <x:v>4</x:v>
      </x:c>
      <x:c r="S895" s="12" t="n">
        <x:v>3</x:v>
      </x:c>
      <x:c r="T895" s="1" t="str">
        <x:v>Yes</x:v>
      </x:c>
      <x:c r="U895" s="1" t="n">
        <x:v>0</x:v>
      </x:c>
    </x:row>
    <x:row r="896" ht="23" customHeight="1">
      <x:c r="A896" s="9" t="n">
        <x:v>1014</x:v>
      </x:c>
      <x:c r="B896" s="9" t="n">
        <x:v>532</x:v>
      </x:c>
      <x:c r="C896" s="9" t="n">
        <x:v>575</x:v>
      </x:c>
      <x:c r="D896" s="9" t="n">
        <x:v>2</x:v>
      </x:c>
      <x:c r="E896" s="9" t="n">
        <x:v>119473</x:v>
      </x:c>
      <x:c r="F896" s="9" t="n">
        <x:v>45969.0000000298</x:v>
      </x:c>
      <x:c r="G896" s="9" t="n">
        <x:v>27696</x:v>
      </x:c>
      <x:c r="H896" s="9" t="n">
        <x:v>41585</x:v>
      </x:c>
      <x:c r="I896" s="9" t="n">
        <x:v>4117</x:v>
      </x:c>
      <x:c r="J896" s="9" t="n">
        <x:v>105.99999997019768</x:v>
      </x:c>
      <x:c r="K896" s="9" t="n">
        <x:f>F896+G896+I896+J896</x:f>
        <x:v>77888</x:v>
      </x:c>
      <x:c r="L896" s="10" t="n">
        <x:f>K896/Sources!$B$4*1000</x:f>
        <x:v>21.75919006465906</x:v>
      </x:c>
      <x:c r="M896" s="10" t="n">
        <x:f>E896/Sources!$B$4*1000</x:f>
        <x:v>33.37658836528106</x:v>
      </x:c>
      <x:c r="N896" s="9" t="n">
        <x:f>Sources!$B$6-K896</x:f>
        <x:v>-18152</x:v>
      </x:c>
      <x:c r="O896" s="1" t="str">
        <x:v>keyboard_route</x:v>
      </x:c>
      <x:c r="P896" s="12" t="n">
        <x:v>0</x:v>
      </x:c>
      <x:c r="Q896" s="12" t="n">
        <x:v>4</x:v>
      </x:c>
      <x:c r="R896" s="12" t="n">
        <x:v>4</x:v>
      </x:c>
      <x:c r="S896" s="12" t="n">
        <x:v>7</x:v>
      </x:c>
      <x:c r="T896" s="1" t="str">
        <x:v>No</x:v>
      </x:c>
      <x:c r="U896" s="1" t="n">
        <x:v>0</x:v>
      </x:c>
    </x:row>
    <x:row r="897" ht="23" customHeight="1">
      <x:c r="A897" s="9" t="n">
        <x:v>1015</x:v>
      </x:c>
      <x:c r="B897" s="9" t="n">
        <x:v>532</x:v>
      </x:c>
      <x:c r="C897" s="9" t="n">
        <x:v>579</x:v>
      </x:c>
      <x:c r="D897" s="9" t="n">
        <x:v>2</x:v>
      </x:c>
      <x:c r="E897" s="9" t="n">
        <x:v>119473</x:v>
      </x:c>
      <x:c r="F897" s="9" t="n">
        <x:v>39130</x:v>
      </x:c>
      <x:c r="G897" s="9" t="n">
        <x:v>54500</x:v>
      </x:c>
      <x:c r="H897" s="9" t="n">
        <x:v>21620.000000029802</x:v>
      </x:c>
      <x:c r="I897" s="9" t="n">
        <x:v>4117.000000029802</x:v>
      </x:c>
      <x:c r="J897" s="9" t="n">
        <x:v>105.99999994039536</x:v>
      </x:c>
      <x:c r="K897" s="9" t="n">
        <x:f>F897+G897+I897+J897</x:f>
        <x:v>97852.9999999702</x:v>
      </x:c>
      <x:c r="L897" s="10" t="n">
        <x:f>K897/Sources!$B$4*1000</x:f>
        <x:v>27.336714582431622</x:v>
      </x:c>
      <x:c r="M897" s="10" t="n">
        <x:f>E897/Sources!$B$4*1000</x:f>
        <x:v>33.37658836528106</x:v>
      </x:c>
      <x:c r="N897" s="9" t="n">
        <x:f>Sources!$B$6-K897</x:f>
        <x:v>-38116.9999999702</x:v>
      </x:c>
      <x:c r="O897" s="1" t="str">
        <x:v>keyboard_route</x:v>
      </x:c>
      <x:c r="P897" s="12" t="n">
        <x:v>0</x:v>
      </x:c>
      <x:c r="Q897" s="12" t="n">
        <x:v>4</x:v>
      </x:c>
      <x:c r="R897" s="12" t="n">
        <x:v>4</x:v>
      </x:c>
      <x:c r="S897" s="12" t="n">
        <x:v>3</x:v>
      </x:c>
      <x:c r="T897" s="1" t="str">
        <x:v>Yes</x:v>
      </x:c>
      <x:c r="U897" s="1" t="n">
        <x:v>0</x:v>
      </x:c>
    </x:row>
    <x:row r="898" ht="23" customHeight="1">
      <x:c r="A898" s="9" t="n">
        <x:v>1016</x:v>
      </x:c>
      <x:c r="B898" s="9" t="n">
        <x:v>532</x:v>
      </x:c>
      <x:c r="C898" s="9" t="n">
        <x:v>583</x:v>
      </x:c>
      <x:c r="D898" s="9" t="n">
        <x:v>2</x:v>
      </x:c>
      <x:c r="E898" s="9" t="n">
        <x:v>119472</x:v>
      </x:c>
      <x:c r="F898" s="9" t="n">
        <x:v>44244</x:v>
      </x:c>
      <x:c r="G898" s="9" t="n">
        <x:v>27689.999999970198</x:v>
      </x:c>
      <x:c r="H898" s="9" t="n">
        <x:v>43314.9999999702</x:v>
      </x:c>
      <x:c r="I898" s="9" t="n">
        <x:v>4117</x:v>
      </x:c>
      <x:c r="J898" s="9" t="n">
        <x:v>106.00000005960464</x:v>
      </x:c>
      <x:c r="K898" s="9" t="n">
        <x:f>F898+G898+I898+J898</x:f>
        <x:v>76157.0000000298</x:v>
      </x:c>
      <x:c r="L898" s="10" t="n">
        <x:f>K898/Sources!$B$4*1000</x:f>
        <x:v>21.275609050879314</x:v>
      </x:c>
      <x:c r="M898" s="10" t="n">
        <x:f>E898/Sources!$B$4*1000</x:f>
        <x:v>33.37630900016622</x:v>
      </x:c>
      <x:c r="N898" s="9" t="n">
        <x:f>Sources!$B$6-K898</x:f>
        <x:v>-16421.000000029802</x:v>
      </x:c>
      <x:c r="O898" s="1" t="str">
        <x:v>keyboard_route</x:v>
      </x:c>
      <x:c r="P898" s="12" t="n">
        <x:v>0</x:v>
      </x:c>
      <x:c r="Q898" s="12" t="n">
        <x:v>4</x:v>
      </x:c>
      <x:c r="R898" s="12" t="n">
        <x:v>4</x:v>
      </x:c>
      <x:c r="S898" s="12" t="n">
        <x:v>7</x:v>
      </x:c>
      <x:c r="T898" s="1" t="str">
        <x:v>No</x:v>
      </x:c>
      <x:c r="U898" s="1" t="n">
        <x:v>0</x:v>
      </x:c>
    </x:row>
    <x:row r="899" ht="23" customHeight="1">
      <x:c r="A899" s="9" t="n">
        <x:v>1017</x:v>
      </x:c>
      <x:c r="B899" s="9" t="n">
        <x:v>532</x:v>
      </x:c>
      <x:c r="C899" s="9" t="n">
        <x:v>587</x:v>
      </x:c>
      <x:c r="D899" s="9" t="n">
        <x:v>2</x:v>
      </x:c>
      <x:c r="E899" s="9" t="n">
        <x:v>119470</x:v>
      </x:c>
      <x:c r="F899" s="9" t="n">
        <x:v>46317</x:v>
      </x:c>
      <x:c r="G899" s="9" t="n">
        <x:v>54500</x:v>
      </x:c>
      <x:c r="H899" s="9" t="n">
        <x:v>14430</x:v>
      </x:c>
      <x:c r="I899" s="9" t="n">
        <x:v>4117</x:v>
      </x:c>
      <x:c r="J899" s="9" t="n">
        <x:v>106</x:v>
      </x:c>
      <x:c r="K899" s="9" t="n">
        <x:f>F899+G899+I899+J899</x:f>
        <x:v>105040</x:v>
      </x:c>
      <x:c r="L899" s="10" t="n">
        <x:f>K899/Sources!$B$4*1000</x:f>
        <x:v>29.34451166279513</x:v>
      </x:c>
      <x:c r="M899" s="10" t="n">
        <x:f>E899/Sources!$B$4*1000</x:f>
        <x:v>33.37575026993654</x:v>
      </x:c>
      <x:c r="N899" s="9" t="n">
        <x:f>Sources!$B$6-K899</x:f>
        <x:v>-45304</x:v>
      </x:c>
      <x:c r="O899" s="1" t="str">
        <x:v>keyboard_route</x:v>
      </x:c>
      <x:c r="P899" s="12" t="n">
        <x:v>0</x:v>
      </x:c>
      <x:c r="Q899" s="12" t="n">
        <x:v>4</x:v>
      </x:c>
      <x:c r="R899" s="12" t="n">
        <x:v>4</x:v>
      </x:c>
      <x:c r="S899" s="12" t="n">
        <x:v>3</x:v>
      </x:c>
      <x:c r="T899" s="1" t="str">
        <x:v>Yes</x:v>
      </x:c>
      <x:c r="U899" s="1" t="n">
        <x:v>0</x:v>
      </x:c>
    </x:row>
    <x:row r="900" ht="23" customHeight="1">
      <x:c r="A900" s="9" t="n">
        <x:v>1018</x:v>
      </x:c>
      <x:c r="B900" s="9" t="n">
        <x:v>532</x:v>
      </x:c>
      <x:c r="C900" s="9" t="n">
        <x:v>591</x:v>
      </x:c>
      <x:c r="D900" s="9" t="n">
        <x:v>2</x:v>
      </x:c>
      <x:c r="E900" s="9" t="n">
        <x:v>119473.9999999702</x:v>
      </x:c>
      <x:c r="F900" s="9" t="n">
        <x:v>49611</x:v>
      </x:c>
      <x:c r="G900" s="9" t="n">
        <x:v>27690</x:v>
      </x:c>
      <x:c r="H900" s="9" t="n">
        <x:v>37950</x:v>
      </x:c>
      <x:c r="I900" s="9" t="n">
        <x:v>4117</x:v>
      </x:c>
      <x:c r="J900" s="9" t="n">
        <x:v>105.99999997019768</x:v>
      </x:c>
      <x:c r="K900" s="9" t="n">
        <x:f>F900+G900+I900+J900</x:f>
        <x:v>81523.9999999702</x:v>
      </x:c>
      <x:c r="L900" s="10" t="n">
        <x:f>K900/Sources!$B$4*1000</x:f>
        <x:v>22.774961622209023</x:v>
      </x:c>
      <x:c r="M900" s="10" t="n">
        <x:f>E900/Sources!$B$4*1000</x:f>
        <x:v>33.37686773038757</x:v>
      </x:c>
      <x:c r="N900" s="9" t="n">
        <x:f>Sources!$B$6-K900</x:f>
        <x:v>-21787.999999970198</x:v>
      </x:c>
      <x:c r="O900" s="1" t="str">
        <x:v>keyboard_route</x:v>
      </x:c>
      <x:c r="P900" s="12" t="n">
        <x:v>0</x:v>
      </x:c>
      <x:c r="Q900" s="12" t="n">
        <x:v>4</x:v>
      </x:c>
      <x:c r="R900" s="12" t="n">
        <x:v>4</x:v>
      </x:c>
      <x:c r="S900" s="12" t="n">
        <x:v>7</x:v>
      </x:c>
      <x:c r="T900" s="1" t="str">
        <x:v>No</x:v>
      </x:c>
      <x:c r="U900" s="1" t="n">
        <x:v>0</x:v>
      </x:c>
    </x:row>
    <x:row r="901" ht="23" customHeight="1">
      <x:c r="A901" s="9" t="n">
        <x:v>1019</x:v>
      </x:c>
      <x:c r="B901" s="9" t="n">
        <x:v>532</x:v>
      </x:c>
      <x:c r="C901" s="9" t="n">
        <x:v>595</x:v>
      </x:c>
      <x:c r="D901" s="9" t="n">
        <x:v>2</x:v>
      </x:c>
      <x:c r="E901" s="9" t="n">
        <x:v>121366.0000000298</x:v>
      </x:c>
      <x:c r="F901" s="9" t="n">
        <x:v>52812</x:v>
      </x:c>
      <x:c r="G901" s="9" t="n">
        <x:v>54500</x:v>
      </x:c>
      <x:c r="H901" s="9" t="n">
        <x:v>7934.999999970198</x:v>
      </x:c>
      <x:c r="I901" s="9" t="n">
        <x:v>6013</x:v>
      </x:c>
      <x:c r="J901" s="9" t="n">
        <x:v>106.00000005960464</x:v>
      </x:c>
      <x:c r="K901" s="9" t="n">
        <x:f>F901+G901+I901+J901</x:f>
        <x:v>113431.0000000596</x:v>
      </x:c>
      <x:c r="L901" s="10" t="n">
        <x:f>K901/Sources!$B$4*1000</x:f>
        <x:v>31.688664341434343</x:v>
      </x:c>
      <x:c r="M901" s="10" t="n">
        <x:f>E901/Sources!$B$4*1000</x:f>
        <x:v>33.905426527681534</x:v>
      </x:c>
      <x:c r="N901" s="9" t="n">
        <x:f>Sources!$B$6-K901</x:f>
        <x:v>-53695.000000059605</x:v>
      </x:c>
      <x:c r="O901" s="1" t="str">
        <x:v>keyboard_route</x:v>
      </x:c>
      <x:c r="P901" s="12" t="n">
        <x:v>0</x:v>
      </x:c>
      <x:c r="Q901" s="12" t="n">
        <x:v>4</x:v>
      </x:c>
      <x:c r="R901" s="12" t="n">
        <x:v>4</x:v>
      </x:c>
      <x:c r="S901" s="12" t="n">
        <x:v>3</x:v>
      </x:c>
      <x:c r="T901" s="1" t="str">
        <x:v>Yes</x:v>
      </x:c>
      <x:c r="U901" s="1" t="n">
        <x:v>0</x:v>
      </x:c>
    </x:row>
    <x:row r="902" ht="23" customHeight="1">
      <x:c r="A902" s="9" t="n">
        <x:v>1020</x:v>
      </x:c>
      <x:c r="B902" s="9" t="n">
        <x:v>532</x:v>
      </x:c>
      <x:c r="C902" s="9" t="n">
        <x:v>599</x:v>
      </x:c>
      <x:c r="D902" s="9" t="n">
        <x:v>2</x:v>
      </x:c>
      <x:c r="E902" s="9" t="n">
        <x:v>117575</x:v>
      </x:c>
      <x:c r="F902" s="9" t="n">
        <x:v>52381.9999999702</x:v>
      </x:c>
      <x:c r="G902" s="9" t="n">
        <x:v>27690</x:v>
      </x:c>
      <x:c r="H902" s="9" t="n">
        <x:v>33280</x:v>
      </x:c>
      <x:c r="I902" s="9" t="n">
        <x:v>4117</x:v>
      </x:c>
      <x:c r="J902" s="9" t="n">
        <x:v>106.00000002980232</x:v>
      </x:c>
      <x:c r="K902" s="9" t="n">
        <x:f>F902+G902+I902+J902</x:f>
        <x:v>84295</x:v>
      </x:c>
      <x:c r="L902" s="10" t="n">
        <x:f>K902/Sources!$B$4*1000</x:f>
        <x:v>23.54908235543903</x:v>
      </x:c>
      <x:c r="M902" s="10" t="n">
        <x:f>E902/Sources!$B$4*1000</x:f>
        <x:v>32.84635337731471</x:v>
      </x:c>
      <x:c r="N902" s="9" t="n">
        <x:f>Sources!$B$6-K902</x:f>
        <x:v>-24559</x:v>
      </x:c>
      <x:c r="O902" s="1" t="str">
        <x:v>keyboard_route</x:v>
      </x:c>
      <x:c r="P902" s="12" t="n">
        <x:v>0</x:v>
      </x:c>
      <x:c r="Q902" s="12" t="n">
        <x:v>4</x:v>
      </x:c>
      <x:c r="R902" s="12" t="n">
        <x:v>4</x:v>
      </x:c>
      <x:c r="S902" s="12" t="n">
        <x:v>7</x:v>
      </x:c>
      <x:c r="T902" s="1" t="str">
        <x:v>No</x:v>
      </x:c>
      <x:c r="U902" s="1" t="n">
        <x:v>0</x:v>
      </x:c>
    </x:row>
    <x:row r="903" ht="23" customHeight="1">
      <x:c r="A903" s="9" t="n">
        <x:v>1021</x:v>
      </x:c>
      <x:c r="B903" s="9" t="n">
        <x:v>532</x:v>
      </x:c>
      <x:c r="C903" s="9" t="n">
        <x:v>603</x:v>
      </x:c>
      <x:c r="D903" s="9" t="n">
        <x:v>2</x:v>
      </x:c>
      <x:c r="E903" s="9" t="n">
        <x:v>119476</x:v>
      </x:c>
      <x:c r="F903" s="9" t="n">
        <x:v>45127</x:v>
      </x:c>
      <x:c r="G903" s="9" t="n">
        <x:v>54506</x:v>
      </x:c>
      <x:c r="H903" s="9" t="n">
        <x:v>15620.000000029802</x:v>
      </x:c>
      <x:c r="I903" s="9" t="n">
        <x:v>4117.000000029802</x:v>
      </x:c>
      <x:c r="J903" s="9" t="n">
        <x:v>105.99999994039536</x:v>
      </x:c>
      <x:c r="K903" s="9" t="n">
        <x:f>F903+G903+I903+J903</x:f>
        <x:v>103855.9999999702</x:v>
      </x:c>
      <x:c r="L903" s="10" t="n">
        <x:f>K903/Sources!$B$4*1000</x:f>
        <x:v>29.01374336681623</x:v>
      </x:c>
      <x:c r="M903" s="10" t="n">
        <x:f>E903/Sources!$B$4*1000</x:f>
        <x:v>33.37742646062558</x:v>
      </x:c>
      <x:c r="N903" s="9" t="n">
        <x:f>Sources!$B$6-K903</x:f>
        <x:v>-44119.9999999702</x:v>
      </x:c>
      <x:c r="O903" s="1" t="str">
        <x:v>keyboard_route</x:v>
      </x:c>
      <x:c r="P903" s="12" t="n">
        <x:v>0</x:v>
      </x:c>
      <x:c r="Q903" s="12" t="n">
        <x:v>4</x:v>
      </x:c>
      <x:c r="R903" s="12" t="n">
        <x:v>4</x:v>
      </x:c>
      <x:c r="S903" s="12" t="n">
        <x:v>3</x:v>
      </x:c>
      <x:c r="T903" s="1" t="str">
        <x:v>Yes</x:v>
      </x:c>
      <x:c r="U903" s="1" t="n">
        <x:v>0</x:v>
      </x:c>
    </x:row>
    <x:row r="904" ht="23" customHeight="1">
      <x:c r="A904" s="9" t="n">
        <x:v>1022</x:v>
      </x:c>
      <x:c r="B904" s="9" t="n">
        <x:v>532</x:v>
      </x:c>
      <x:c r="C904" s="9" t="n">
        <x:v>607</x:v>
      </x:c>
      <x:c r="D904" s="9" t="n">
        <x:v>2</x:v>
      </x:c>
      <x:c r="E904" s="9" t="n">
        <x:v>119469</x:v>
      </x:c>
      <x:c r="F904" s="9" t="n">
        <x:v>49145</x:v>
      </x:c>
      <x:c r="G904" s="9" t="n">
        <x:v>27696</x:v>
      </x:c>
      <x:c r="H904" s="9" t="n">
        <x:v>38405</x:v>
      </x:c>
      <x:c r="I904" s="9" t="n">
        <x:v>4117</x:v>
      </x:c>
      <x:c r="J904" s="9" t="n">
        <x:v>106</x:v>
      </x:c>
      <x:c r="K904" s="9" t="n">
        <x:f>F904+G904+I904+J904</x:f>
        <x:v>81064</x:v>
      </x:c>
      <x:c r="L904" s="10" t="n">
        <x:f>K904/Sources!$B$4*1000</x:f>
        <x:v>22.646453669390944</x:v>
      </x:c>
      <x:c r="M904" s="10" t="n">
        <x:f>E904/Sources!$B$4*1000</x:f>
        <x:v>33.375470904821704</x:v>
      </x:c>
      <x:c r="N904" s="9" t="n">
        <x:f>Sources!$B$6-K904</x:f>
        <x:v>-21328</x:v>
      </x:c>
      <x:c r="O904" s="1" t="str">
        <x:v>keyboard_route</x:v>
      </x:c>
      <x:c r="P904" s="12" t="n">
        <x:v>0</x:v>
      </x:c>
      <x:c r="Q904" s="12" t="n">
        <x:v>4</x:v>
      </x:c>
      <x:c r="R904" s="12" t="n">
        <x:v>4</x:v>
      </x:c>
      <x:c r="S904" s="12" t="n">
        <x:v>7</x:v>
      </x:c>
      <x:c r="T904" s="1" t="str">
        <x:v>No</x:v>
      </x:c>
      <x:c r="U904" s="1" t="n">
        <x:v>0</x:v>
      </x:c>
    </x:row>
    <x:row r="905" ht="23" customHeight="1">
      <x:c r="A905" s="9" t="n">
        <x:v>1023</x:v>
      </x:c>
      <x:c r="B905" s="9" t="n">
        <x:v>532</x:v>
      </x:c>
      <x:c r="C905" s="9" t="n">
        <x:v>611</x:v>
      </x:c>
      <x:c r="D905" s="9" t="n">
        <x:v>2</x:v>
      </x:c>
      <x:c r="E905" s="9" t="n">
        <x:v>119471</x:v>
      </x:c>
      <x:c r="F905" s="9" t="n">
        <x:v>36254</x:v>
      </x:c>
      <x:c r="G905" s="9" t="n">
        <x:v>52179</x:v>
      </x:c>
      <x:c r="H905" s="9" t="n">
        <x:v>26815</x:v>
      </x:c>
      <x:c r="I905" s="9" t="n">
        <x:v>4117.000000029802</x:v>
      </x:c>
      <x:c r="J905" s="9" t="n">
        <x:v>105.99999997019768</x:v>
      </x:c>
      <x:c r="K905" s="9" t="n">
        <x:f>F905+G905+I905+J905</x:f>
        <x:v>92656</x:v>
      </x:c>
      <x:c r="L905" s="10" t="n">
        <x:f>K905/Sources!$B$4*1000</x:f>
        <x:v>25.884854080616392</x:v>
      </x:c>
      <x:c r="M905" s="10" t="n">
        <x:f>E905/Sources!$B$4*1000</x:f>
        <x:v>33.37602963505138</x:v>
      </x:c>
      <x:c r="N905" s="9" t="n">
        <x:f>Sources!$B$6-K905</x:f>
        <x:v>-32920</x:v>
      </x:c>
      <x:c r="O905" s="1" t="str">
        <x:v>keyboard_route</x:v>
      </x:c>
      <x:c r="P905" s="12" t="n">
        <x:v>0</x:v>
      </x:c>
      <x:c r="Q905" s="12" t="n">
        <x:v>4</x:v>
      </x:c>
      <x:c r="R905" s="12" t="n">
        <x:v>4</x:v>
      </x:c>
      <x:c r="S905" s="12" t="n">
        <x:v>3</x:v>
      </x:c>
      <x:c r="T905" s="1" t="str">
        <x:v>Yes</x:v>
      </x:c>
      <x:c r="U905" s="1" t="n">
        <x:v>0</x:v>
      </x:c>
    </x:row>
    <x:row r="906" ht="23" customHeight="1">
      <x:c r="A906" s="9" t="n">
        <x:v>1141</x:v>
      </x:c>
      <x:c r="B906" s="9" t="n">
        <x:v>292</x:v>
      </x:c>
      <x:c r="C906" s="9" t="n">
        <x:v>1123</x:v>
      </x:c>
      <x:c r="D906" s="9" t="n">
        <x:v>4</x:v>
      </x:c>
      <x:c r="E906" s="9" t="n">
        <x:v>176387</x:v>
      </x:c>
      <x:c r="F906" s="9" t="n">
        <x:v>65931.9999999702</x:v>
      </x:c>
      <x:c r="G906" s="9" t="n">
        <x:v>64002</x:v>
      </x:c>
      <x:c r="H906" s="9" t="n">
        <x:v>42230</x:v>
      </x:c>
      <x:c r="I906" s="9" t="n">
        <x:v>4117.000000029802</x:v>
      </x:c>
      <x:c r="J906" s="9" t="n">
        <x:v>106</x:v>
      </x:c>
      <x:c r="K906" s="9" t="n">
        <x:f>F906+G906+I906+J906</x:f>
        <x:v>134157</x:v>
      </x:c>
      <x:c r="L906" s="10" t="n">
        <x:f>K906/Sources!$B$4*1000</x:f>
        <x:v>37.47878571159183</x:v>
      </x:c>
      <x:c r="M906" s="10" t="n">
        <x:f>E906/Sources!$B$4*1000</x:f>
        <x:v>49.27637451128565</x:v>
      </x:c>
      <x:c r="N906" s="9" t="n">
        <x:f>Sources!$B$6-K906</x:f>
        <x:v>-74421</x:v>
      </x:c>
      <x:c r="O906" s="1" t="str">
        <x:v>keyboard_route</x:v>
      </x:c>
      <x:c r="P906" s="12" t="n">
        <x:v>0</x:v>
      </x:c>
      <x:c r="Q906" s="12" t="n">
        <x:v>-8</x:v>
      </x:c>
      <x:c r="R906" s="12" t="n">
        <x:v>4</x:v>
      </x:c>
      <x:c r="S906" s="12" t="n">
        <x:v>3</x:v>
      </x:c>
      <x:c r="T906" s="1" t="str">
        <x:v>Yes</x:v>
      </x:c>
      <x:c r="U906" s="1" t="n">
        <x:v>0</x:v>
      </x:c>
    </x:row>
    <x:row r="907" ht="23" customHeight="1">
      <x:c r="A907" s="9" t="n">
        <x:v>1142</x:v>
      </x:c>
      <x:c r="B907" s="9" t="n">
        <x:v>292</x:v>
      </x:c>
      <x:c r="C907" s="9" t="n">
        <x:v>1119</x:v>
      </x:c>
      <x:c r="D907" s="9" t="n">
        <x:v>3</x:v>
      </x:c>
      <x:c r="E907" s="9" t="n">
        <x:v>119470</x:v>
      </x:c>
      <x:c r="F907" s="9" t="n">
        <x:v>39800</x:v>
      </x:c>
      <x:c r="G907" s="9" t="n">
        <x:v>41957</x:v>
      </x:c>
      <x:c r="H907" s="9" t="n">
        <x:v>33490</x:v>
      </x:c>
      <x:c r="I907" s="9" t="n">
        <x:v>4116.999999970198</x:v>
      </x:c>
      <x:c r="J907" s="9" t="n">
        <x:v>106.00000002980232</x:v>
      </x:c>
      <x:c r="K907" s="9" t="n">
        <x:f>F907+G907+I907+J907</x:f>
        <x:v>85980</x:v>
      </x:c>
      <x:c r="L907" s="10" t="n">
        <x:f>K907/Sources!$B$4*1000</x:f>
        <x:v>24.019812573944453</x:v>
      </x:c>
      <x:c r="M907" s="10" t="n">
        <x:f>E907/Sources!$B$4*1000</x:f>
        <x:v>33.37575026993654</x:v>
      </x:c>
      <x:c r="N907" s="9" t="n">
        <x:f>Sources!$B$6-K907</x:f>
        <x:v>-26244</x:v>
      </x:c>
      <x:c r="O907" s="1" t="str">
        <x:v>keyboard_route</x:v>
      </x:c>
      <x:c r="P907" s="12" t="n">
        <x:v>0</x:v>
      </x:c>
      <x:c r="Q907" s="12" t="n">
        <x:v>-4</x:v>
      </x:c>
      <x:c r="R907" s="12" t="n">
        <x:v>4</x:v>
      </x:c>
      <x:c r="S907" s="12" t="n">
        <x:v>7</x:v>
      </x:c>
      <x:c r="T907" s="1" t="str">
        <x:v>Yes</x:v>
      </x:c>
      <x:c r="U907" s="1" t="n">
        <x:v>0</x:v>
      </x:c>
    </x:row>
    <x:row r="908" ht="23" customHeight="1">
      <x:c r="A908" s="9" t="n">
        <x:v>1143</x:v>
      </x:c>
      <x:c r="B908" s="9" t="n">
        <x:v>292</x:v>
      </x:c>
      <x:c r="C908" s="9" t="n">
        <x:v>1115</x:v>
      </x:c>
      <x:c r="D908" s="9" t="n">
        <x:v>2</x:v>
      </x:c>
      <x:c r="E908" s="9" t="n">
        <x:v>119473</x:v>
      </x:c>
      <x:c r="F908" s="9" t="n">
        <x:v>39060.0000000298</x:v>
      </x:c>
      <x:c r="G908" s="9" t="n">
        <x:v>27595</x:v>
      </x:c>
      <x:c r="H908" s="9" t="n">
        <x:v>48594.9999999702</x:v>
      </x:c>
      <x:c r="I908" s="9" t="n">
        <x:v>4117</x:v>
      </x:c>
      <x:c r="J908" s="9" t="n">
        <x:v>106</x:v>
      </x:c>
      <x:c r="K908" s="9" t="n">
        <x:f>F908+G908+I908+J908</x:f>
        <x:v>70878.0000000298</x:v>
      </x:c>
      <x:c r="L908" s="10" t="n">
        <x:f>K908/Sources!$B$4*1000</x:f>
        <x:v>19.80084060963888</x:v>
      </x:c>
      <x:c r="M908" s="10" t="n">
        <x:f>E908/Sources!$B$4*1000</x:f>
        <x:v>33.37658836528106</x:v>
      </x:c>
      <x:c r="N908" s="9" t="n">
        <x:f>Sources!$B$6-K908</x:f>
        <x:v>-11142.000000029802</x:v>
      </x:c>
      <x:c r="O908" s="1" t="str">
        <x:v>keyboard_route</x:v>
      </x:c>
      <x:c r="P908" s="12" t="n">
        <x:v>0</x:v>
      </x:c>
      <x:c r="Q908" s="12" t="n">
        <x:v>-4</x:v>
      </x:c>
      <x:c r="R908" s="12" t="n">
        <x:v>4</x:v>
      </x:c>
      <x:c r="S908" s="12" t="n">
        <x:v>3</x:v>
      </x:c>
      <x:c r="T908" s="1" t="str">
        <x:v>No</x:v>
      </x:c>
      <x:c r="U908" s="1" t="n">
        <x:v>0</x:v>
      </x:c>
    </x:row>
    <x:row r="909" ht="23" customHeight="1">
      <x:c r="A909" s="9" t="n">
        <x:v>1144</x:v>
      </x:c>
      <x:c r="B909" s="9" t="n">
        <x:v>292</x:v>
      </x:c>
      <x:c r="C909" s="9" t="n">
        <x:v>1111</x:v>
      </x:c>
      <x:c r="D909" s="9" t="n">
        <x:v>2</x:v>
      </x:c>
      <x:c r="E909" s="9" t="n">
        <x:v>122293</x:v>
      </x:c>
      <x:c r="F909" s="9" t="n">
        <x:v>41508.9999999702</x:v>
      </x:c>
      <x:c r="G909" s="9" t="n">
        <x:v>40335</x:v>
      </x:c>
      <x:c r="H909" s="9" t="n">
        <x:v>33405</x:v>
      </x:c>
      <x:c r="I909" s="9" t="n">
        <x:v>6938</x:v>
      </x:c>
      <x:c r="J909" s="9" t="n">
        <x:v>106.00000002980232</x:v>
      </x:c>
      <x:c r="K909" s="9" t="n">
        <x:f>F909+G909+I909+J909</x:f>
        <x:v>88888</x:v>
      </x:c>
      <x:c r="L909" s="10" t="n">
        <x:f>K909/Sources!$B$4*1000</x:f>
        <x:v>24.832206327899218</x:v>
      </x:c>
      <x:c r="M909" s="10" t="n">
        <x:f>E909/Sources!$B$4*1000</x:f>
        <x:v>34.1643979891299</x:v>
      </x:c>
      <x:c r="N909" s="9" t="n">
        <x:f>Sources!$B$6-K909</x:f>
        <x:v>-29152</x:v>
      </x:c>
      <x:c r="O909" s="1" t="str">
        <x:v>keyboard_route</x:v>
      </x:c>
      <x:c r="P909" s="12" t="n">
        <x:v>0</x:v>
      </x:c>
      <x:c r="Q909" s="12" t="n">
        <x:v>-4</x:v>
      </x:c>
      <x:c r="R909" s="12" t="n">
        <x:v>4</x:v>
      </x:c>
      <x:c r="S909" s="12" t="n">
        <x:v>7</x:v>
      </x:c>
      <x:c r="T909" s="1" t="str">
        <x:v>Yes</x:v>
      </x:c>
      <x:c r="U909" s="1" t="n">
        <x:v>0</x:v>
      </x:c>
    </x:row>
    <x:row r="910" ht="23" customHeight="1">
      <x:c r="A910" s="9" t="n">
        <x:v>1145</x:v>
      </x:c>
      <x:c r="B910" s="9" t="n">
        <x:v>292</x:v>
      </x:c>
      <x:c r="C910" s="9" t="n">
        <x:v>1107</x:v>
      </x:c>
      <x:c r="D910" s="9" t="n">
        <x:v>2</x:v>
      </x:c>
      <x:c r="E910" s="9" t="n">
        <x:v>116649</x:v>
      </x:c>
      <x:c r="F910" s="9" t="n">
        <x:v>38926</x:v>
      </x:c>
      <x:c r="G910" s="9" t="n">
        <x:v>27595</x:v>
      </x:c>
      <x:c r="H910" s="9" t="n">
        <x:v>45905</x:v>
      </x:c>
      <x:c r="I910" s="9" t="n">
        <x:v>4117.000000029802</x:v>
      </x:c>
      <x:c r="J910" s="9" t="n">
        <x:v>105.99999997019768</x:v>
      </x:c>
      <x:c r="K910" s="9" t="n">
        <x:f>F910+G910+I910+J910</x:f>
        <x:v>70744</x:v>
      </x:c>
      <x:c r="L910" s="10" t="n">
        <x:f>K910/Sources!$B$4*1000</x:f>
        <x:v>19.76340568424199</x:v>
      </x:c>
      <x:c r="M910" s="10" t="n">
        <x:f>E910/Sources!$B$4*1000</x:f>
        <x:v>32.58766128097286</x:v>
      </x:c>
      <x:c r="N910" s="9" t="n">
        <x:f>Sources!$B$6-K910</x:f>
        <x:v>-11008</x:v>
      </x:c>
      <x:c r="O910" s="1" t="str">
        <x:v>keyboard_route</x:v>
      </x:c>
      <x:c r="P910" s="12" t="n">
        <x:v>0</x:v>
      </x:c>
      <x:c r="Q910" s="12" t="n">
        <x:v>-4</x:v>
      </x:c>
      <x:c r="R910" s="12" t="n">
        <x:v>4</x:v>
      </x:c>
      <x:c r="S910" s="12" t="n">
        <x:v>3</x:v>
      </x:c>
      <x:c r="T910" s="1" t="str">
        <x:v>No</x:v>
      </x:c>
      <x:c r="U910" s="1" t="n">
        <x:v>0</x:v>
      </x:c>
    </x:row>
    <x:row r="911" ht="23" customHeight="1">
      <x:c r="A911" s="9" t="n">
        <x:v>1146</x:v>
      </x:c>
      <x:c r="B911" s="9" t="n">
        <x:v>292</x:v>
      </x:c>
      <x:c r="C911" s="9" t="n">
        <x:v>1103</x:v>
      </x:c>
      <x:c r="D911" s="9" t="n">
        <x:v>2</x:v>
      </x:c>
      <x:c r="E911" s="9" t="n">
        <x:v>119473</x:v>
      </x:c>
      <x:c r="F911" s="9" t="n">
        <x:v>35400</x:v>
      </x:c>
      <x:c r="G911" s="9" t="n">
        <x:v>40334.9999999702</x:v>
      </x:c>
      <x:c r="H911" s="9" t="n">
        <x:v>39515</x:v>
      </x:c>
      <x:c r="I911" s="9" t="n">
        <x:v>4117</x:v>
      </x:c>
      <x:c r="J911" s="9" t="n">
        <x:v>106.00000002980232</x:v>
      </x:c>
      <x:c r="K911" s="9" t="n">
        <x:f>F911+G911+I911+J911</x:f>
        <x:v>79958</x:v>
      </x:c>
      <x:c r="L911" s="10" t="n">
        <x:f>K911/Sources!$B$4*1000</x:f>
        <x:v>22.337475852377885</x:v>
      </x:c>
      <x:c r="M911" s="10" t="n">
        <x:f>E911/Sources!$B$4*1000</x:f>
        <x:v>33.37658836528106</x:v>
      </x:c>
      <x:c r="N911" s="9" t="n">
        <x:f>Sources!$B$6-K911</x:f>
        <x:v>-20222</x:v>
      </x:c>
      <x:c r="O911" s="1" t="str">
        <x:v>keyboard_route</x:v>
      </x:c>
      <x:c r="P911" s="12" t="n">
        <x:v>0</x:v>
      </x:c>
      <x:c r="Q911" s="12" t="n">
        <x:v>-4</x:v>
      </x:c>
      <x:c r="R911" s="12" t="n">
        <x:v>4</x:v>
      </x:c>
      <x:c r="S911" s="12" t="n">
        <x:v>7</x:v>
      </x:c>
      <x:c r="T911" s="1" t="str">
        <x:v>Yes</x:v>
      </x:c>
      <x:c r="U911" s="1" t="n">
        <x:v>0</x:v>
      </x:c>
    </x:row>
    <x:row r="912" ht="23" customHeight="1">
      <x:c r="A912" s="9" t="n">
        <x:v>1147</x:v>
      </x:c>
      <x:c r="B912" s="9" t="n">
        <x:v>292</x:v>
      </x:c>
      <x:c r="C912" s="9" t="n">
        <x:v>1099</x:v>
      </x:c>
      <x:c r="D912" s="9" t="n">
        <x:v>2</x:v>
      </x:c>
      <x:c r="E912" s="9" t="n">
        <x:v>119474</x:v>
      </x:c>
      <x:c r="F912" s="9" t="n">
        <x:v>36061</x:v>
      </x:c>
      <x:c r="G912" s="9" t="n">
        <x:v>27594.999999970198</x:v>
      </x:c>
      <x:c r="H912" s="9" t="n">
        <x:v>51595</x:v>
      </x:c>
      <x:c r="I912" s="9" t="n">
        <x:v>4117</x:v>
      </x:c>
      <x:c r="J912" s="9" t="n">
        <x:v>106.00000002980232</x:v>
      </x:c>
      <x:c r="K912" s="9" t="n">
        <x:f>F912+G912+I912+J912</x:f>
        <x:v>67879</x:v>
      </x:c>
      <x:c r="L912" s="10" t="n">
        <x:f>K912/Sources!$B$4*1000</x:f>
        <x:v>18.96302463022535</x:v>
      </x:c>
      <x:c r="M912" s="10" t="n">
        <x:f>E912/Sources!$B$4*1000</x:f>
        <x:v>33.3768677303959</x:v>
      </x:c>
      <x:c r="N912" s="9" t="n">
        <x:f>Sources!$B$6-K912</x:f>
        <x:v>-8143</x:v>
      </x:c>
      <x:c r="O912" s="1" t="str">
        <x:v>keyboard_route</x:v>
      </x:c>
      <x:c r="P912" s="12" t="n">
        <x:v>0</x:v>
      </x:c>
      <x:c r="Q912" s="12" t="n">
        <x:v>-4</x:v>
      </x:c>
      <x:c r="R912" s="12" t="n">
        <x:v>4</x:v>
      </x:c>
      <x:c r="S912" s="12" t="n">
        <x:v>3</x:v>
      </x:c>
      <x:c r="T912" s="1" t="str">
        <x:v>No</x:v>
      </x:c>
      <x:c r="U912" s="1" t="n">
        <x:v>0</x:v>
      </x:c>
    </x:row>
    <x:row r="913" ht="23" customHeight="1">
      <x:c r="A913" s="9" t="n">
        <x:v>1148</x:v>
      </x:c>
      <x:c r="B913" s="9" t="n">
        <x:v>292</x:v>
      </x:c>
      <x:c r="C913" s="9" t="n">
        <x:v>1095</x:v>
      </x:c>
      <x:c r="D913" s="9" t="n">
        <x:v>2</x:v>
      </x:c>
      <x:c r="E913" s="9" t="n">
        <x:v>119468</x:v>
      </x:c>
      <x:c r="F913" s="9" t="n">
        <x:v>33890</x:v>
      </x:c>
      <x:c r="G913" s="9" t="n">
        <x:v>40335</x:v>
      </x:c>
      <x:c r="H913" s="9" t="n">
        <x:v>41020.0000000298</x:v>
      </x:c>
      <x:c r="I913" s="9" t="n">
        <x:v>4117</x:v>
      </x:c>
      <x:c r="J913" s="9" t="n">
        <x:v>105.99999997019768</x:v>
      </x:c>
      <x:c r="K913" s="9" t="n">
        <x:f>F913+G913+I913+J913</x:f>
        <x:v>78447.9999999702</x:v>
      </x:c>
      <x:c r="L913" s="10" t="n">
        <x:f>K913/Sources!$B$4*1000</x:f>
        <x:v>21.91563452896114</x:v>
      </x:c>
      <x:c r="M913" s="10" t="n">
        <x:f>E913/Sources!$B$4*1000</x:f>
        <x:v>33.37519153970686</x:v>
      </x:c>
      <x:c r="N913" s="9" t="n">
        <x:f>Sources!$B$6-K913</x:f>
        <x:v>-18711.999999970198</x:v>
      </x:c>
      <x:c r="O913" s="1" t="str">
        <x:v>keyboard_route</x:v>
      </x:c>
      <x:c r="P913" s="12" t="n">
        <x:v>0</x:v>
      </x:c>
      <x:c r="Q913" s="12" t="n">
        <x:v>-4</x:v>
      </x:c>
      <x:c r="R913" s="12" t="n">
        <x:v>4</x:v>
      </x:c>
      <x:c r="S913" s="12" t="n">
        <x:v>7</x:v>
      </x:c>
      <x:c r="T913" s="1" t="str">
        <x:v>Yes</x:v>
      </x:c>
      <x:c r="U913" s="1" t="n">
        <x:v>0</x:v>
      </x:c>
    </x:row>
    <x:row r="914" ht="23" customHeight="1">
      <x:c r="A914" s="9" t="n">
        <x:v>1149</x:v>
      </x:c>
      <x:c r="B914" s="9" t="n">
        <x:v>292</x:v>
      </x:c>
      <x:c r="C914" s="9" t="n">
        <x:v>1091</x:v>
      </x:c>
      <x:c r="D914" s="9" t="n">
        <x:v>2</x:v>
      </x:c>
      <x:c r="E914" s="9" t="n">
        <x:v>119474</x:v>
      </x:c>
      <x:c r="F914" s="9" t="n">
        <x:v>36811</x:v>
      </x:c>
      <x:c r="G914" s="9" t="n">
        <x:v>27595</x:v>
      </x:c>
      <x:c r="H914" s="9" t="n">
        <x:v>50845</x:v>
      </x:c>
      <x:c r="I914" s="9" t="n">
        <x:v>4116.999999970198</x:v>
      </x:c>
      <x:c r="J914" s="9" t="n">
        <x:v>106.00000002980232</x:v>
      </x:c>
      <x:c r="K914" s="9" t="n">
        <x:f>F914+G914+I914+J914</x:f>
        <x:v>68629</x:v>
      </x:c>
      <x:c r="L914" s="10" t="n">
        <x:f>K914/Sources!$B$4*1000</x:f>
        <x:v>19.172548466355362</x:v>
      </x:c>
      <x:c r="M914" s="10" t="n">
        <x:f>E914/Sources!$B$4*1000</x:f>
        <x:v>33.3768677303959</x:v>
      </x:c>
      <x:c r="N914" s="9" t="n">
        <x:f>Sources!$B$6-K914</x:f>
        <x:v>-8893</x:v>
      </x:c>
      <x:c r="O914" s="1" t="str">
        <x:v>keyboard_route</x:v>
      </x:c>
      <x:c r="P914" s="12" t="n">
        <x:v>0</x:v>
      </x:c>
      <x:c r="Q914" s="12" t="n">
        <x:v>-4</x:v>
      </x:c>
      <x:c r="R914" s="12" t="n">
        <x:v>4</x:v>
      </x:c>
      <x:c r="S914" s="12" t="n">
        <x:v>3</x:v>
      </x:c>
      <x:c r="T914" s="1" t="str">
        <x:v>No</x:v>
      </x:c>
      <x:c r="U914" s="1" t="n">
        <x:v>0</x:v>
      </x:c>
    </x:row>
    <x:row r="915" ht="23" customHeight="1">
      <x:c r="A915" s="9" t="n">
        <x:v>1150</x:v>
      </x:c>
      <x:c r="B915" s="9" t="n">
        <x:v>292</x:v>
      </x:c>
      <x:c r="C915" s="9" t="n">
        <x:v>1087</x:v>
      </x:c>
      <x:c r="D915" s="9" t="n">
        <x:v>2</x:v>
      </x:c>
      <x:c r="E915" s="9" t="n">
        <x:v>119471</x:v>
      </x:c>
      <x:c r="F915" s="9" t="n">
        <x:v>33767</x:v>
      </x:c>
      <x:c r="G915" s="9" t="n">
        <x:v>40361.0000000298</x:v>
      </x:c>
      <x:c r="H915" s="9" t="n">
        <x:v>41120</x:v>
      </x:c>
      <x:c r="I915" s="9" t="n">
        <x:v>4117</x:v>
      </x:c>
      <x:c r="J915" s="9" t="n">
        <x:v>105.99999997019768</x:v>
      </x:c>
      <x:c r="K915" s="9" t="n">
        <x:f>F915+G915+I915+J915</x:f>
        <x:v>78351</x:v>
      </x:c>
      <x:c r="L915" s="10" t="n">
        <x:f>K915/Sources!$B$4*1000</x:f>
        <x:v>21.888536112829982</x:v>
      </x:c>
      <x:c r="M915" s="10" t="n">
        <x:f>E915/Sources!$B$4*1000</x:f>
        <x:v>33.37602963505138</x:v>
      </x:c>
      <x:c r="N915" s="9" t="n">
        <x:f>Sources!$B$6-K915</x:f>
        <x:v>-18615</x:v>
      </x:c>
      <x:c r="O915" s="1" t="str">
        <x:v>keyboard_route</x:v>
      </x:c>
      <x:c r="P915" s="12" t="n">
        <x:v>0</x:v>
      </x:c>
      <x:c r="Q915" s="12" t="n">
        <x:v>-4</x:v>
      </x:c>
      <x:c r="R915" s="12" t="n">
        <x:v>4</x:v>
      </x:c>
      <x:c r="S915" s="12" t="n">
        <x:v>7</x:v>
      </x:c>
      <x:c r="T915" s="1" t="str">
        <x:v>Yes</x:v>
      </x:c>
      <x:c r="U915" s="1" t="n">
        <x:v>0</x:v>
      </x:c>
    </x:row>
    <x:row r="916" ht="23" customHeight="1">
      <x:c r="A916" s="9" t="n">
        <x:v>1151</x:v>
      </x:c>
      <x:c r="B916" s="9" t="n">
        <x:v>292</x:v>
      </x:c>
      <x:c r="C916" s="9" t="n">
        <x:v>1083</x:v>
      </x:c>
      <x:c r="D916" s="9" t="n">
        <x:v>2</x:v>
      </x:c>
      <x:c r="E916" s="9" t="n">
        <x:v>119472</x:v>
      </x:c>
      <x:c r="F916" s="9" t="n">
        <x:v>39405</x:v>
      </x:c>
      <x:c r="G916" s="9" t="n">
        <x:v>27588.999999970198</x:v>
      </x:c>
      <x:c r="H916" s="9" t="n">
        <x:v>48255</x:v>
      </x:c>
      <x:c r="I916" s="9" t="n">
        <x:v>4117</x:v>
      </x:c>
      <x:c r="J916" s="9" t="n">
        <x:v>106.00000002980232</x:v>
      </x:c>
      <x:c r="K916" s="9" t="n">
        <x:f>F916+G916+I916+J916</x:f>
        <x:v>71217</x:v>
      </x:c>
      <x:c r="L916" s="10" t="n">
        <x:f>K916/Sources!$B$4*1000</x:f>
        <x:v>19.89554538356132</x:v>
      </x:c>
      <x:c r="M916" s="10" t="n">
        <x:f>E916/Sources!$B$4*1000</x:f>
        <x:v>33.37630900016622</x:v>
      </x:c>
      <x:c r="N916" s="9" t="n">
        <x:f>Sources!$B$6-K916</x:f>
        <x:v>-11481</x:v>
      </x:c>
      <x:c r="O916" s="1" t="str">
        <x:v>keyboard_route</x:v>
      </x:c>
      <x:c r="P916" s="12" t="n">
        <x:v>0</x:v>
      </x:c>
      <x:c r="Q916" s="12" t="n">
        <x:v>-4</x:v>
      </x:c>
      <x:c r="R916" s="12" t="n">
        <x:v>4</x:v>
      </x:c>
      <x:c r="S916" s="12" t="n">
        <x:v>3</x:v>
      </x:c>
      <x:c r="T916" s="1" t="str">
        <x:v>No</x:v>
      </x:c>
      <x:c r="U916" s="1" t="n">
        <x:v>0</x:v>
      </x:c>
    </x:row>
    <x:row r="917" ht="23" customHeight="1">
      <x:c r="A917" s="9" t="n">
        <x:v>1152</x:v>
      </x:c>
      <x:c r="B917" s="9" t="n">
        <x:v>296</x:v>
      </x:c>
      <x:c r="C917" s="9" t="n">
        <x:v>1083</x:v>
      </x:c>
      <x:c r="D917" s="9" t="n">
        <x:v>2</x:v>
      </x:c>
      <x:c r="E917" s="9" t="n">
        <x:v>117920</x:v>
      </x:c>
      <x:c r="F917" s="9" t="n">
        <x:v>34526</x:v>
      </x:c>
      <x:c r="G917" s="9" t="n">
        <x:v>74933</x:v>
      </x:c>
      <x:c r="H917" s="9" t="n">
        <x:v>5790</x:v>
      </x:c>
      <x:c r="I917" s="9" t="n">
        <x:v>2565</x:v>
      </x:c>
      <x:c r="J917" s="9" t="n">
        <x:v>106</x:v>
      </x:c>
      <x:c r="K917" s="9" t="n">
        <x:f>F917+G917+I917+J917</x:f>
        <x:v>112130</x:v>
      </x:c>
      <x:c r="L917" s="10" t="n">
        <x:f>K917/Sources!$B$4*1000</x:f>
        <x:v>31.325210327010833</x:v>
      </x:c>
      <x:c r="M917" s="10" t="n">
        <x:f>E917/Sources!$B$4*1000</x:f>
        <x:v>32.94273434193452</x:v>
      </x:c>
      <x:c r="N917" s="9" t="n">
        <x:f>Sources!$B$6-K917</x:f>
        <x:v>-52394</x:v>
      </x:c>
      <x:c r="O917" s="1" t="str">
        <x:v>keyboard_route</x:v>
      </x:c>
      <x:c r="P917" s="12" t="n">
        <x:v>4</x:v>
      </x:c>
      <x:c r="Q917" s="12" t="n">
        <x:v>0</x:v>
      </x:c>
      <x:c r="R917" s="12" t="n">
        <x:v>0</x:v>
      </x:c>
      <x:c r="S917" s="12" t="n">
        <x:v>3</x:v>
      </x:c>
      <x:c r="T917" s="1" t="str">
        <x:v>Yes</x:v>
      </x:c>
      <x:c r="U917" s="1" t="n">
        <x:v>0</x:v>
      </x:c>
    </x:row>
    <x:row r="918" ht="23" customHeight="1">
      <x:c r="A918" s="9" t="n">
        <x:v>1153</x:v>
      </x:c>
      <x:c r="B918" s="9" t="n">
        <x:v>300</x:v>
      </x:c>
      <x:c r="C918" s="9" t="n">
        <x:v>1083</x:v>
      </x:c>
      <x:c r="D918" s="9" t="n">
        <x:v>2</x:v>
      </x:c>
      <x:c r="E918" s="9" t="n">
        <x:v>119470.9999999702</x:v>
      </x:c>
      <x:c r="F918" s="9" t="n">
        <x:v>39896</x:v>
      </x:c>
      <x:c r="G918" s="9" t="n">
        <x:v>30369</x:v>
      </x:c>
      <x:c r="H918" s="9" t="n">
        <x:v>46535</x:v>
      </x:c>
      <x:c r="I918" s="9" t="n">
        <x:v>2565</x:v>
      </x:c>
      <x:c r="J918" s="9" t="n">
        <x:v>105.99999997019768</x:v>
      </x:c>
      <x:c r="K918" s="9" t="n">
        <x:f>F918+G918+I918+J918</x:f>
        <x:v>72935.9999999702</x:v>
      </x:c>
      <x:c r="L918" s="10" t="n">
        <x:f>K918/Sources!$B$4*1000</x:f>
        <x:v>20.37577401596298</x:v>
      </x:c>
      <x:c r="M918" s="10" t="n">
        <x:f>E918/Sources!$B$4*1000</x:f>
        <x:v>33.376029635043054</x:v>
      </x:c>
      <x:c r="N918" s="9" t="n">
        <x:f>Sources!$B$6-K918</x:f>
        <x:v>-13199.999999970198</x:v>
      </x:c>
      <x:c r="O918" s="1" t="str">
        <x:v>keyboard_route</x:v>
      </x:c>
      <x:c r="P918" s="12" t="n">
        <x:v>4</x:v>
      </x:c>
      <x:c r="Q918" s="12" t="n">
        <x:v>0</x:v>
      </x:c>
      <x:c r="R918" s="12" t="n">
        <x:v>4</x:v>
      </x:c>
      <x:c r="S918" s="12" t="n">
        <x:v>3</x:v>
      </x:c>
      <x:c r="T918" s="1" t="str">
        <x:v>No</x:v>
      </x:c>
      <x:c r="U918" s="1" t="n">
        <x:v>0</x:v>
      </x:c>
    </x:row>
  </x:sheetData>
  <x:conditionalFormatting sqref="N6:N918">
    <x:cfRule type="cellIs" dxfId="1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e7413b65f59430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3" hidden="0" customWidth="1"/>
    <x:col min="2" max="2" width="24" hidden="0" customWidth="1"/>
    <x:col min="3" max="3" width="3" hidden="0" customWidth="1"/>
    <x:col min="4" max="4" width="117" hidden="0" customWidth="1"/>
  </x:cols>
  <x:sheetData>
    <x:row r="1" ht="23" customHeight="1">
      <x:c r="A1" s="1"/>
      <x:c r="B1" s="1"/>
      <x:c r="C1" s="1"/>
      <x:c r="D1" s="1"/>
    </x:row>
    <x:row r="2" ht="23" customHeight="1">
      <x:c r="A2" s="2" t="str">
        <x:v>Inputs, provenance and acceptance</x:v>
      </x:c>
      <x:c r="B2" s="1"/>
      <x:c r="C2" s="1"/>
      <x:c r="D2" s="1"/>
    </x:row>
    <x:row r="3" ht="36" customHeight="1">
      <x:c r="A3" s="7" t="str">
        <x:v>Input</x:v>
      </x:c>
      <x:c r="B3" s="7" t="str">
        <x:v>Value</x:v>
      </x:c>
      <x:c r="C3" s="1"/>
      <x:c r="D3" s="1"/>
    </x:row>
    <x:row r="4" ht="23" customHeight="1">
      <x:c r="A4" s="1" t="str">
        <x:v>CPU clock (Hz)</x:v>
      </x:c>
      <x:c r="B4" s="14" t="n">
        <x:v>3579545</x:v>
      </x:c>
      <x:c r="C4" s="1"/>
      <x:c r="D4" s="17" t="str">
        <x:v>Guest CPU 3,579,545 Hz; R9=$80; 262 lines x228 cycles. Refresh and presentation are distinct.</x:v>
      </x:c>
    </x:row>
    <x:row r="5" ht="23" customHeight="1">
      <x:c r="A5" s="1" t="str">
        <x:v>Current refresh (cycles)</x:v>
      </x:c>
      <x:c r="B5" s="14" t="n">
        <x:v>59736</x:v>
      </x:c>
      <x:c r="C5" s="1"/>
      <x:c r="D5" s="17"/>
    </x:row>
    <x:row r="6" ht="23" customHeight="1">
      <x:c r="A6" s="1" t="str">
        <x:v>60 Hz draw interval (cycles)</x:v>
      </x:c>
      <x:c r="B6" s="14" t="n">
        <x:v>59736</x:v>
      </x:c>
      <x:c r="C6" s="1"/>
      <x:c r="D6" s="17" t="str">
        <x:v>One refresh 59,736 cycles; two 119,472. Full-frame work differs from usable VBlank.</x:v>
      </x:c>
    </x:row>
    <x:row r="7" ht="23" customHeight="1">
      <x:c r="A7" s="1" t="str">
        <x:v>VBlank reserve (cycles)</x:v>
      </x:c>
      <x:c r="B7" s="16" t="n">
        <x:v>5000</x:v>
      </x:c>
      <x:c r="C7" s="1"/>
      <x:c r="D7" s="17" t="str">
        <x:v>Interpretation of the user budget: 5,000 cycles; actual usable VBlank deadline remains to be measured.</x:v>
      </x:c>
    </x:row>
    <x:row r="8" ht="23" customHeight="1">
      <x:c r="A8" s="1" t="str">
        <x:v>Target gameplay FPS</x:v>
      </x:c>
      <x:c r="B8" s="15" t="n">
        <x:v>29.97</x:v>
      </x:c>
      <x:c r="C8" s="1"/>
      <x:c r="D8" s="17" t="str">
        <x:v>Nominal NTSC target 29.97 FPS; measured two-refresh cadence 29.961372 FPS.</x:v>
      </x:c>
    </x:row>
    <x:row r="9" ht="23" customHeight="1">
      <x:c r="A9" s="1" t="str">
        <x:v>Current nominal video Hz</x:v>
      </x:c>
      <x:c r="B9" s="14" t="n">
        <x:v>60</x:v>
      </x:c>
      <x:c r="C9" s="1"/>
      <x:c r="D9" s="17"/>
    </x:row>
    <x:row r="10" ht="23" customHeight="1">
      <x:c r="A10" s="1" t="str">
        <x:v>Current lines / refresh</x:v>
      </x:c>
      <x:c r="B10" s="14" t="n">
        <x:v>262</x:v>
      </x:c>
      <x:c r="C10" s="1"/>
      <x:c r="D10" s="17"/>
    </x:row>
    <x:row r="11" ht="23" customHeight="1">
      <x:c r="A11" s="1" t="str">
        <x:v>CPU clocks / scanline</x:v>
      </x:c>
      <x:c r="B11" s="14" t="n">
        <x:v>228</x:v>
      </x:c>
      <x:c r="C11" s="1"/>
      <x:c r="D11" s="17"/>
    </x:row>
    <x:row r="12" ht="23" customHeight="1">
      <x:c r="A12" s="1" t="str">
        <x:v>Target lines / refresh</x:v>
      </x:c>
      <x:c r="B12" s="14" t="n">
        <x:v>262</x:v>
      </x:c>
      <x:c r="C12" s="1"/>
      <x:c r="D12" s="17"/>
    </x:row>
    <x:row r="13" ht="23" customHeight="1">
      <x:c r="A13" s="1"/>
      <x:c r="B13" s="1"/>
      <x:c r="C13" s="1"/>
      <x:c r="D13" s="17"/>
    </x:row>
    <x:row r="14" ht="23" customHeight="1">
      <x:c r="A14" s="1"/>
      <x:c r="B14" s="1"/>
      <x:c r="C14" s="1"/>
      <x:c r="D14" s="17"/>
    </x:row>
    <x:row r="15" ht="36" customHeight="1">
      <x:c r="A15" s="7" t="str">
        <x:v>Measurement</x:v>
      </x:c>
      <x:c r="B15" s="7" t="str">
        <x:v>Source / value</x:v>
      </x:c>
      <x:c r="C15" s="1"/>
      <x:c r="D15" s="17"/>
    </x:row>
    <x:row r="16" ht="23" customHeight="1">
      <x:c r="A16" s="1" t="str">
        <x:v>Measured presentations</x:v>
      </x:c>
      <x:c r="B16" s="1" t="n">
        <x:v>913</x:v>
      </x:c>
      <x:c r="C16" s="1"/>
      <x:c r="D16" s="17" t="str">
        <x:v>Three-enemy action intervals; both endpoints active; keyboard navigation until native game over</x:v>
      </x:c>
    </x:row>
    <x:row r="17" ht="23" customHeight="1">
      <x:c r="A17" s="1" t="str">
        <x:v>Machine</x:v>
      </x:c>
      <x:c r="B17" s="1" t="str">
        <x:v>Panasonic_FS-A1WSX_NR128</x:v>
      </x:c>
      <x:c r="C17" s="1"/>
      <x:c r="D17" s="17" t="str">
        <x:v>Native 24x24 effects: explosion 23/576 pixels and smoke 37/576 pixels changed by the authorized row codec.</x:v>
      </x:c>
    </x:row>
    <x:row r="18" ht="23" customHeight="1">
      <x:c r="A18" s="1" t="str">
        <x:v>Emulator</x:v>
      </x:c>
      <x:c r="B18" s="1" t="str">
        <x:v>openMSX 21.0</x:v>
      </x:c>
      <x:c r="C18" s="1"/>
      <x:c r="D18" s="17" t="str">
        <x:v>Measured using emulated time × clock, not host wall time or opcode-table estimates.</x:v>
      </x:c>
    </x:row>
    <x:row r="19" ht="23" customHeight="1">
      <x:c r="A19" s="1" t="str">
        <x:v>ROM SHA-256</x:v>
      </x:c>
      <x:c r="B19" s="1" t="str">
        <x:v>See row 30</x:v>
      </x:c>
      <x:c r="C19" s="1"/>
      <x:c r="D19" s="17" t="str">
        <x:v>clock_irq measures ISR body through RETI; hardware entry and vector jump are excluded from its row.</x:v>
      </x:c>
    </x:row>
    <x:row r="20" ht="23" customHeight="1">
      <x:c r="A20" s="1" t="str">
        <x:v>Raw run directory</x:v>
      </x:c>
      <x:c r="B20" s="1" t="str">
        <x:v>See row 31</x:v>
      </x:c>
      <x:c r="C20" s="1"/>
      <x:c r="D20" s="17" t="str">
        <x:v>calls.tsv records every call; frames.tsv and control-frames.tsv retain independent frame observations.</x:v>
      </x:c>
    </x:row>
    <x:row r="21" ht="23" customHeight="1">
      <x:c r="A21" s="1" t="str">
        <x:v>Summary JSON</x:v>
      </x:c>
      <x:c r="B21" s="1" t="str">
        <x:v>See row 32</x:v>
      </x:c>
      <x:c r="C21" s="1"/>
      <x:c r="D21" s="17" t="str">
        <x:v>profile.py asserts nested-cost reconciliation, complete routine coverage and control-run agreement.</x:v>
      </x:c>
    </x:row>
    <x:row r="22" ht="23" customHeight="1">
      <x:c r="A22" s="1"/>
      <x:c r="B22" s="1"/>
      <x:c r="C22" s="1"/>
      <x:c r="D22" s="17"/>
    </x:row>
    <x:row r="23" ht="23" customHeight="1">
      <x:c r="A23" s="1"/>
      <x:c r="B23" s="1"/>
      <x:c r="C23" s="1"/>
      <x:c r="D23" s="17"/>
    </x:row>
    <x:row r="24" ht="23" customHeight="1">
      <x:c r="A24" s="1" t="str">
        <x:v>Acceptance rules</x:v>
      </x:c>
      <x:c r="B24" s="1"/>
      <x:c r="C24" s="1"/>
      <x:c r="D24" s="17" t="str">
        <x:v>Performance priority: approach 29.97 FPS through the measured presenter + logic critical path.</x:v>
      </x:c>
    </x:row>
    <x:row r="25" ht="23" customHeight="1">
      <x:c r="A25" s="1"/>
      <x:c r="B25" s="1"/>
      <x:c r="C25" s="1"/>
      <x:c r="D25" s="17" t="str">
        <x:v>User has final acceptance of every graphical or perceptual concession.</x:v>
      </x:c>
    </x:row>
    <x:row r="26" ht="23" customHeight="1">
      <x:c r="A26" s="1"/>
      <x:c r="B26" s="1"/>
      <x:c r="C26" s="1"/>
      <x:c r="D26" s="17" t="str">
        <x:v>SCREEN 4, right-edge simplification and fixed 8-pixel left mask are approved only for this laboratory.</x:v>
      </x:c>
    </x:row>
    <x:row r="27" ht="23" customHeight="1">
      <x:c r="A27" s="1"/>
      <x:c r="B27" s="1"/>
      <x:c r="C27" s="1"/>
      <x:c r="D27" s="17" t="str">
        <x:v>Flag pauses are scheduling candidates; define event duration, bounded work and resume behavior.</x:v>
      </x:c>
    </x:row>
    <x:row r="28" ht="23" customHeight="1">
      <x:c r="A28" s="1"/>
      <x:c r="B28" s="1"/>
      <x:c r="C28" s="1"/>
      <x:c r="D28" s="17" t="str">
        <x:v>No physical hardware validation; moving-route performance is preliminary and scoped.</x:v>
      </x:c>
    </x:row>
    <x:row r="29" ht="23" customHeight="1">
      <x:c r="A29" s="1"/>
      <x:c r="B29" s="1"/>
      <x:c r="C29" s="1"/>
      <x:c r="D29" s="17" t="str">
        <x:v>Live native HUD values saturate their display only: RND 99, scores 999999, four extra-life icons.</x:v>
      </x:c>
    </x:row>
    <x:row r="30" ht="23" customHeight="1">
      <x:c r="A30" s="18" t="str">
        <x:v>34aab943550df300e3258bd6bb43f853330eca48a7a06acbf8a4b1d8702cf46a</x:v>
      </x:c>
      <x:c r="B30" s="1"/>
      <x:c r="C30" s="1"/>
      <x:c r="D30" s="1"/>
    </x:row>
    <x:row r="31" ht="23" customHeight="1">
      <x:c r="A31" s="18" t="str">
        <x:v>/Users/sandersouza/Developer/msx-gamePorts/newrallyx/references/experiments/stage-one-3-enemies/profile-route-ldlrmrhc</x:v>
      </x:c>
      <x:c r="B31" s="1"/>
      <x:c r="C31" s="1"/>
      <x:c r="D31" s="1"/>
    </x:row>
    <x:row r="32">
      <x:c r="A32" s="18" t="str">
        <x:v>/Users/sandersouza/.codex/worktrees/fixed-hud-lab/newrallyx/outputs/first-stage/summary.json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21" hidden="0" customWidth="1"/>
    <x:col min="3" max="3" width="21" hidden="0" customWidth="1"/>
    <x:col min="4" max="4" width="18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 ht="23" customHeight="1">
      <x:c r="A2" s="2" t="str">
        <x:v>Further optimization: same graphics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23" customHeight="1">
      <x:c r="A3" s="1" t="str">
        <x:v>Three-enemy action only; same keyboard policy, both interval endpoints active; cadence changes sampling and outcomes.</x:v>
      </x:c>
      <x:c r="B3" s="1"/>
      <x:c r="C3" s="1"/>
      <x:c r="D3" s="1"/>
      <x:c r="E3" s="1"/>
      <x:c r="F3" s="1"/>
      <x:c r="G3" s="1"/>
      <x:c r="H3" s="1"/>
      <x:c r="I3" s="1"/>
      <x:c r="J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36" customHeight="1">
      <x:c r="A5" s="7" t="str">
        <x:v>Metric</x:v>
      </x:c>
      <x:c r="B5" s="7" t="str">
        <x:v>Before</x:v>
      </x:c>
      <x:c r="C5" s="7" t="str">
        <x:v>After</x:v>
      </x:c>
      <x:c r="D5" s="7" t="str">
        <x:v>Change</x:v>
      </x:c>
      <x:c r="E5" s="1"/>
      <x:c r="F5" s="1"/>
      <x:c r="G5" s="1"/>
      <x:c r="H5" s="1"/>
      <x:c r="I5" s="1"/>
      <x:c r="J5" s="1"/>
    </x:row>
    <x:row r="6" ht="23" customHeight="1">
      <x:c r="A6" s="1" t="str">
        <x:v>Active profile FPS</x:v>
      </x:c>
      <x:c r="B6" s="8" t="n">
        <x:v>29.50835342242866</x:v>
      </x:c>
      <x:c r="C6" s="8" t="n">
        <x:v>29.91419972561634</x:v>
      </x:c>
      <x:c r="D6" s="11" t="n">
        <x:f>C6/B6-1</x:f>
        <x:v>0.013753607237169785</x:v>
      </x:c>
      <x:c r="E6" s="1"/>
      <x:c r="F6" s="1"/>
      <x:c r="G6" s="1"/>
      <x:c r="H6" s="1"/>
      <x:c r="I6" s="1"/>
      <x:c r="J6" s="1"/>
    </x:row>
    <x:row r="7" ht="23" customHeight="1">
      <x:c r="A7" s="1" t="str">
        <x:v>Active verification FPS</x:v>
      </x:c>
      <x:c r="B7" s="8" t="n">
        <x:v>29.49919488956835</x:v>
      </x:c>
      <x:c r="C7" s="8" t="n">
        <x:v>29.88678066386176</x:v>
      </x:c>
      <x:c r="D7" s="11" t="n">
        <x:f>C7/B7-1</x:f>
        <x:v>0.013138859407667125</x:v>
      </x:c>
      <x:c r="E7" s="1"/>
      <x:c r="F7" s="1"/>
      <x:c r="G7" s="1"/>
      <x:c r="H7" s="1"/>
      <x:c r="I7" s="1"/>
      <x:c r="J7" s="1"/>
    </x:row>
    <x:row r="8" ht="23" customHeight="1">
      <x:c r="A8" s="1" t="str">
        <x:v>Mean active work ms</x:v>
      </x:c>
      <x:c r="B8" s="8" t="n">
        <x:v>22.202670800646786</x:v>
      </x:c>
      <x:c r="C8" s="8" t="n">
        <x:v>21.68057555859678</x:v>
      </x:c>
      <x:c r="D8" s="11" t="n">
        <x:f>C8/B8-1</x:f>
        <x:v>-0.02351497469551267</x:v>
      </x:c>
      <x:c r="E8" s="1"/>
      <x:c r="F8" s="1"/>
      <x:c r="G8" s="1"/>
      <x:c r="H8" s="1"/>
      <x:c r="I8" s="1"/>
      <x:c r="J8" s="1"/>
    </x:row>
    <x:row r="9" ht="23" customHeight="1">
      <x:c r="A9" s="1" t="str">
        <x:v>P95 presentation ms</x:v>
      </x:c>
      <x:c r="B9" s="8" t="n">
        <x:v>34.59517899621321</x:v>
      </x:c>
      <x:c r="C9" s="8" t="n">
        <x:v>33.81044238862761</x:v>
      </x:c>
      <x:c r="D9" s="11" t="n">
        <x:f>C9/B9-1</x:f>
        <x:v>-0.022683409375378494</x:v>
      </x:c>
      <x:c r="E9" s="1"/>
      <x:c r="F9" s="1"/>
      <x:c r="G9" s="1"/>
      <x:c r="H9" s="1"/>
      <x:c r="I9" s="1"/>
      <x:c r="J9" s="1"/>
    </x:row>
    <x:row r="10" ht="23" customHeight="1">
      <x:c r="A10" s="1" t="str">
        <x:v>Maximum interval ms</x:v>
      </x:c>
      <x:c r="B10" s="8" t="n">
        <x:v>67.97204672660911</x:v>
      </x:c>
      <x:c r="C10" s="8" t="n">
        <x:v>51.28724460790408</x:v>
      </x:c>
      <x:c r="D10" s="11" t="n">
        <x:f>C10/B10-1</x:f>
        <x:v>-0.2454656424546564</x:v>
      </x:c>
      <x:c r="E10" s="1"/>
      <x:c r="F10" s="1"/>
      <x:c r="G10" s="1"/>
      <x:c r="H10" s="1"/>
      <x:c r="I10" s="1"/>
      <x:c r="J10" s="1"/>
    </x:row>
    <x:row r="11" ht="23" customHeight="1">
      <x:c r="A11" s="1" t="str">
        <x:v>Intervals &lt;=33.6 ms %</x:v>
      </x:c>
      <x:c r="B11" s="8" t="n">
        <x:v>91.85022026431719</x:v>
      </x:c>
      <x:c r="C11" s="8" t="n">
        <x:v>93.75684556407448</x:v>
      </x:c>
      <x:c r="D11" s="11" t="n">
        <x:f>C11/B11-1</x:f>
        <x:v>0.020757982879851644</x:v>
      </x:c>
      <x:c r="E11" s="1"/>
      <x:c r="F11" s="1"/>
      <x:c r="G11" s="1"/>
      <x:c r="H11" s="1"/>
      <x:c r="I11" s="1"/>
      <x:c r="J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</x:row>
    <x:row r="14" ht="36" customHeight="1">
      <x:c r="A14" s="7" t="str">
        <x:v>Routine</x:v>
      </x:c>
      <x:c r="B14" s="7" t="str">
        <x:v>Before mean incl.</x:v>
      </x:c>
      <x:c r="C14" s="7" t="str">
        <x:v>After mean incl.</x:v>
      </x:c>
      <x:c r="D14" s="7" t="str">
        <x:v>Saved cycles/call</x:v>
      </x:c>
      <x:c r="E14" s="7" t="str">
        <x:v>Before P95</x:v>
      </x:c>
      <x:c r="F14" s="7" t="str">
        <x:v>After P95</x:v>
      </x:c>
      <x:c r="G14" s="7" t="str">
        <x:v>Before max</x:v>
      </x:c>
      <x:c r="H14" s="7" t="str">
        <x:v>After max</x:v>
      </x:c>
      <x:c r="I14" s="7" t="str">
        <x:v>Before calls/frame</x:v>
      </x:c>
      <x:c r="J14" s="7" t="str">
        <x:v>After calls/frame</x:v>
      </x:c>
    </x:row>
    <x:row r="15" ht="23" customHeight="1">
      <x:c r="A15" s="1" t="str">
        <x:v>Ring_UploadNames</x:v>
      </x:c>
      <x:c r="B15" s="9" t="n">
        <x:v>13108.313876652299</x:v>
      </x:c>
      <x:c r="C15" s="9" t="n">
        <x:v>13071.639649507299</x:v>
      </x:c>
      <x:c r="D15" s="9" t="n">
        <x:f>B15-C15</x:f>
        <x:v>36.67422714500026</x:v>
      </x:c>
      <x:c r="E15" s="9" t="n">
        <x:v>17269</x:v>
      </x:c>
      <x:c r="F15" s="9" t="n">
        <x:v>17260</x:v>
      </x:c>
      <x:c r="G15" s="9" t="n">
        <x:v>38332</x:v>
      </x:c>
      <x:c r="H15" s="9" t="n">
        <x:v>38332</x:v>
      </x:c>
      <x:c r="I15" s="8" t="n">
        <x:v>1</x:v>
      </x:c>
      <x:c r="J15" s="8" t="n">
        <x:v>1</x:v>
      </x:c>
    </x:row>
    <x:row r="16" ht="23" customHeight="1">
      <x:c r="A16" s="1" t="str">
        <x:v>Ring_Prepare</x:v>
      </x:c>
      <x:c r="B16" s="9" t="n">
        <x:v>6034.622246696084</x:v>
      </x:c>
      <x:c r="C16" s="9" t="n">
        <x:v>5968.033953997662</x:v>
      </x:c>
      <x:c r="D16" s="9" t="n">
        <x:f>B16-C16</x:f>
        <x:v>66.58829269842226</x:v>
      </x:c>
      <x:c r="E16" s="9" t="n">
        <x:v>16734</x:v>
      </x:c>
      <x:c r="F16" s="9" t="n">
        <x:v>16734</x:v>
      </x:c>
      <x:c r="G16" s="9" t="n">
        <x:v>18467</x:v>
      </x:c>
      <x:c r="H16" s="9" t="n">
        <x:v>18467.0000000149</x:v>
      </x:c>
      <x:c r="I16" s="8" t="n">
        <x:v>1</x:v>
      </x:c>
      <x:c r="J16" s="8" t="n">
        <x:v>1</x:v>
      </x:c>
    </x:row>
    <x:row r="17" ht="23" customHeight="1">
      <x:c r="A17" s="1" t="str">
        <x:v>Game_Radar</x:v>
      </x:c>
      <x:c r="B17" s="9" t="n">
        <x:v>4744.03634361181</x:v>
      </x:c>
      <x:c r="C17" s="9" t="n">
        <x:v>4743.480832420339</x:v>
      </x:c>
      <x:c r="D17" s="9" t="n">
        <x:f>B17-C17</x:f>
        <x:v>0.5555111914709414</x:v>
      </x:c>
      <x:c r="E17" s="9" t="n">
        <x:v>5259</x:v>
      </x:c>
      <x:c r="F17" s="9" t="n">
        <x:v>5259</x:v>
      </x:c>
      <x:c r="G17" s="9" t="n">
        <x:v>5659.000000014901</x:v>
      </x:c>
      <x:c r="H17" s="9" t="n">
        <x:v>5827.999999985099</x:v>
      </x:c>
      <x:c r="I17" s="8" t="n">
        <x:v>1</x:v>
      </x:c>
      <x:c r="J17" s="8" t="n">
        <x:v>1</x:v>
      </x:c>
    </x:row>
    <x:row r="18" ht="23" customHeight="1">
      <x:c r="A18" s="1" t="str">
        <x:v>Game_LogicTick</x:v>
      </x:c>
      <x:c r="B18" s="9" t="n">
        <x:v>10476.6693722944</x:v>
      </x:c>
      <x:c r="C18" s="9" t="n">
        <x:v>10477.559738134358</x:v>
      </x:c>
      <x:c r="D18" s="9" t="n">
        <x:f>B18-C18</x:f>
        <x:v>-0.890365839957667</x:v>
      </x:c>
      <x:c r="E18" s="9" t="n">
        <x:v>20541</x:v>
      </x:c>
      <x:c r="F18" s="9" t="n">
        <x:v>20986</x:v>
      </x:c>
      <x:c r="G18" s="9" t="n">
        <x:v>67259</x:v>
      </x:c>
      <x:c r="H18" s="9" t="n">
        <x:v>63843</x:v>
      </x:c>
      <x:c r="I18" s="8" t="n">
        <x:v>2.0352422907488985</x:v>
      </x:c>
      <x:c r="J18" s="8" t="n">
        <x:v>2.0076670317634173</x:v>
      </x:c>
    </x:row>
    <x:row r="19" ht="23" customHeight="1">
      <x:c r="A19" s="1" t="str">
        <x:v>Game_Position</x:v>
      </x:c>
      <x:c r="B19" s="9" t="n">
        <x:v>884.987885462272</x:v>
      </x:c>
      <x:c r="C19" s="9" t="n">
        <x:v>884.8849945235528</x:v>
      </x:c>
      <x:c r="D19" s="9" t="n">
        <x:f>B19-C19</x:f>
        <x:v>0.10289093871915611</x:v>
      </x:c>
      <x:c r="E19" s="9" t="n">
        <x:v>900</x:v>
      </x:c>
      <x:c r="F19" s="9" t="n">
        <x:v>900</x:v>
      </x:c>
      <x:c r="G19" s="9" t="n">
        <x:v>1069</x:v>
      </x:c>
      <x:c r="H19" s="9" t="n">
        <x:v>900.0000000298023</x:v>
      </x:c>
      <x:c r="I19" s="8" t="n">
        <x:v>1</x:v>
      </x:c>
      <x:c r="J19" s="8" t="n">
        <x:v>1</x:v>
      </x:c>
    </x:row>
    <x:row r="20" ht="23" customHeight="1">
      <x:c r="A20" s="1" t="str">
        <x:v>GameSprites_Prepare</x:v>
      </x:c>
      <x:c r="B20" s="9" t="n">
        <x:v>6076.897577092474</x:v>
      </x:c>
      <x:c r="C20" s="9" t="n">
        <x:v>6136.554216867213</x:v>
      </x:c>
      <x:c r="D20" s="9" t="n">
        <x:f>B20-C20</x:f>
        <x:v>-59.65663977473832</x:v>
      </x:c>
      <x:c r="E20" s="9" t="n">
        <x:v>13129.999999985099</x:v>
      </x:c>
      <x:c r="F20" s="9" t="n">
        <x:v>13129.999999985099</x:v>
      </x:c>
      <x:c r="G20" s="9" t="n">
        <x:v>28188</x:v>
      </x:c>
      <x:c r="H20" s="9" t="n">
        <x:v>28019</x:v>
      </x:c>
      <x:c r="I20" s="8" t="n">
        <x:v>1</x:v>
      </x:c>
      <x:c r="J20" s="8" t="n">
        <x:v>1</x:v>
      </x:c>
    </x:row>
    <x:row r="21" ht="23" customHeight="1">
      <x:c r="A21" s="1" t="str">
        <x:v>Game_Prepare</x:v>
      </x:c>
      <x:c r="B21" s="9" t="n">
        <x:v>37528.910792951465</x:v>
      </x:c>
      <x:c r="C21" s="9" t="n">
        <x:v>37249.899233296666</x:v>
      </x:c>
      <x:c r="D21" s="9" t="n">
        <x:f>B21-C21</x:f>
        <x:v>279.0115596547985</x:v>
      </x:c>
      <x:c r="E21" s="9" t="n">
        <x:v>48428.9999999851</x:v>
      </x:c>
      <x:c r="F21" s="9" t="n">
        <x:v>46833</x:v>
      </x:c>
      <x:c r="G21" s="9" t="n">
        <x:v>92468</x:v>
      </x:c>
      <x:c r="H21" s="9" t="n">
        <x:v>91935</x:v>
      </x:c>
      <x:c r="I21" s="8" t="n">
        <x:v>1</x:v>
      </x:c>
      <x:c r="J21" s="8" t="n">
        <x:v>1</x:v>
      </x:c>
    </x:row>
    <x:row r="22" ht="23" customHeight="1">
      <x:c r="A22" s="1" t="str">
        <x:v>render</x:v>
      </x:c>
      <x:c r="B22" s="9" t="n">
        <x:v>38118.90308370018</x:v>
      </x:c>
      <x:c r="C22" s="9" t="n">
        <x:v>36504.971522453416</x:v>
      </x:c>
      <x:c r="D22" s="9" t="n">
        <x:f>B22-C22</x:f>
        <x:v>1613.9315612467617</x:v>
      </x:c>
      <x:c r="E22" s="9" t="n">
        <x:v>67482</x:v>
      </x:c>
      <x:c r="F22" s="9" t="n">
        <x:v>59630.999999996275</x:v>
      </x:c>
      <x:c r="G22" s="9" t="n">
        <x:v>120186</x:v>
      </x:c>
      <x:c r="H22" s="9" t="n">
        <x:v>97370.0000000298</x:v>
      </x:c>
      <x:c r="I22" s="8" t="n">
        <x:v>1</x:v>
      </x:c>
      <x:c r="J22" s="8" t="n">
        <x:v>1</x:v>
      </x:c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</x:row>
    <x:row r="24" ht="23" customHeight="1">
      <x:c r="A24" s="17" t="str">
        <x:v>Inclusive parent/child rows overlap; never sum them. Per-presentation work changes with cadence.</x:v>
      </x:c>
      <x:c r="B24" s="1"/>
      <x:c r="C24" s="1"/>
      <x:c r="D24" s="1"/>
      <x:c r="E24" s="1"/>
      <x:c r="F24" s="1"/>
      <x:c r="G24" s="1"/>
      <x:c r="H24" s="1"/>
      <x:c r="I24" s="1"/>
      <x:c r="J24" s="1"/>
    </x:row>
    <x:row r="25" ht="23" customHeight="1">
      <x:c r="A25" s="17" t="str">
        <x:v>Active FPS excludes death hold, all-flags bonus and stopped state at both interval endpoints.</x:v>
      </x:c>
      <x:c r="B25" s="1"/>
      <x:c r="C25" s="1"/>
      <x:c r="D25" s="1"/>
      <x:c r="E25" s="1"/>
      <x:c r="F25" s="1"/>
      <x:c r="G25" s="1"/>
      <x:c r="H25" s="1"/>
      <x:c r="I25" s="1"/>
      <x:c r="J25" s="1"/>
    </x:row>
    <x:row r="26" ht="23" customHeight="1">
      <x:c r="A26" s="17"/>
      <x:c r="B26" s="1"/>
      <x:c r="C26" s="1"/>
      <x:c r="D26" s="1"/>
      <x:c r="E26" s="1"/>
      <x:c r="F26" s="1"/>
      <x:c r="G26" s="1"/>
      <x:c r="H26" s="1"/>
      <x:c r="I26" s="1"/>
      <x:c r="J26" s="1"/>
    </x:row>
    <x:row r="27" ht="23" customHeight="1">
      <x:c r="A27" s="17" t="str">
        <x:v>Graphics: seven terrain/palette/car/font/life/base-HUD payloads are byte-identical to baseline.</x:v>
      </x:c>
      <x:c r="B27" s="1"/>
      <x:c r="C27" s="1"/>
      <x:c r="D27" s="1"/>
      <x:c r="E27" s="1"/>
      <x:c r="F27" s="1"/>
      <x:c r="G27" s="1"/>
      <x:c r="H27" s="1"/>
      <x:c r="I27" s="1"/>
      <x:c r="J27" s="1"/>
    </x:row>
    <x:row r="28" ht="23" customHeight="1">
      <x:c r="A28" s="17" t="str">
        <x:v>All 64 fine phases and all 1024 flag masks preserve exact radar pixels in independent synthetic tests.</x:v>
      </x:c>
      <x:c r="B28" s="1"/>
      <x:c r="C28" s="1"/>
      <x:c r="D28" s="1"/>
      <x:c r="E28" s="1"/>
      <x:c r="F28" s="1"/>
      <x:c r="G28" s="1"/>
      <x:c r="H28" s="1"/>
      <x:c r="I28" s="1"/>
      <x:c r="J28" s="1"/>
    </x:row>
    <x:row r="29" ht="23" customHeight="1">
      <x:c r="A29" s="17" t="str">
        <x:v>The native hardware sprite limit, original complete car masks and VBlank publication remain enabled.</x:v>
      </x:c>
      <x:c r="B29" s="1"/>
      <x:c r="C29" s="1"/>
      <x:c r="D29" s="1"/>
      <x:c r="E29" s="1"/>
      <x:c r="F29" s="1"/>
      <x:c r="G29" s="1"/>
      <x:c r="H29" s="1"/>
      <x:c r="I29" s="1"/>
      <x:c r="J29" s="1"/>
    </x:row>
    <x:row r="30" ht="23" customHeight="1">
      <x:c r="A30" s="17"/>
      <x:c r="B30" s="1"/>
      <x:c r="C30" s="1"/>
      <x:c r="D30" s="1"/>
      <x:c r="E30" s="1"/>
      <x:c r="F30" s="1"/>
      <x:c r="G30" s="1"/>
      <x:c r="H30" s="1"/>
      <x:c r="I30" s="1"/>
      <x:c r="J30" s="1"/>
    </x:row>
    <x:row r="31" ht="23" customHeight="1">
      <x:c r="A31" s="17" t="str">
        <x:v>Loop residual includes standalone ISR bodies; routine-self reconciliation uses only untracked loop overhead.</x:v>
      </x:c>
      <x:c r="B31" s="1"/>
      <x:c r="C31" s="1"/>
      <x:c r="D31" s="1"/>
      <x:c r="E31" s="1"/>
      <x:c r="F31" s="1"/>
      <x:c r="G31" s="1"/>
      <x:c r="H31" s="1"/>
      <x:c r="I31" s="1"/>
      <x:c r="J31" s="1"/>
    </x:row>
    <x:row r="32" ht="23" customHeight="1">
      <x:c r="A32" s="17"/>
      <x:c r="B32" s="1"/>
      <x:c r="C32" s="1"/>
      <x:c r="D32" s="1"/>
      <x:c r="E32" s="1"/>
      <x:c r="F32" s="1"/>
      <x:c r="G32" s="1"/>
      <x:c r="H32" s="1"/>
      <x:c r="I32" s="1"/>
      <x:c r="J32" s="1"/>
    </x:row>
    <x:row r="33" ht="23" customHeight="1">
      <x:c r="A33" s="17" t="str">
        <x:v>Worst observed interval: 51.29 ms; no artificial pause or new graphical reduction.</x:v>
      </x:c>
      <x:c r="B33" s="1"/>
      <x:c r="C33" s="1"/>
      <x:c r="D33" s="1"/>
      <x:c r="E33" s="1"/>
      <x:c r="F33" s="1"/>
      <x:c r="G33" s="1"/>
      <x:c r="H33" s="1"/>
      <x:c r="I33" s="1"/>
      <x:c r="J33" s="1"/>
    </x:row>
    <x:row r="34" ht="23" customHeight="1">
      <x:c r="A34" s="17"/>
      <x:c r="B34" s="1"/>
      <x:c r="C34" s="1"/>
      <x:c r="D34" s="1"/>
      <x:c r="E34" s="1"/>
      <x:c r="F34" s="1"/>
      <x:c r="G34" s="1"/>
      <x:c r="H34" s="1"/>
      <x:c r="I34" s="1"/>
      <x:c r="J34" s="1"/>
    </x:row>
    <x:row r="35" ht="23" customHeight="1">
      <x:c r="A35" s="17" t="str">
        <x:v>Baseline ROM SHA-256: 299b5380068760e244d15b53547e4da28522c8ea49fb28a54248b9a5067ea2d9</x:v>
      </x:c>
      <x:c r="B35" s="1"/>
      <x:c r="C35" s="1"/>
      <x:c r="D35" s="1"/>
      <x:c r="E35" s="1"/>
      <x:c r="F35" s="1"/>
      <x:c r="G35" s="1"/>
      <x:c r="H35" s="1"/>
      <x:c r="I35" s="1"/>
      <x:c r="J35" s="1"/>
    </x:row>
    <x:row r="36" ht="23" customHeight="1">
      <x:c r="A36" s="17" t="str">
        <x:v>Current ROM SHA-256: 34aab943550df300e3258bd6bb43f853330eca48a7a06acbf8a4b1d8702cf46a</x:v>
      </x:c>
      <x:c r="B36" s="1"/>
      <x:c r="C36" s="1"/>
      <x:c r="D36" s="1"/>
      <x:c r="E36" s="1"/>
      <x:c r="F36" s="1"/>
      <x:c r="G36" s="1"/>
      <x:c r="H36" s="1"/>
      <x:c r="I36" s="1"/>
      <x:c r="J36" s="1"/>
    </x:row>
  </x:sheetData>
  <x:pageMargins left="0.7" right="0.7" top="0.75" bottom="0.75" header="0.3" footer="0.3"/>
  <x:tableParts count="1">
    <x:tablePart xmlns:r="http://schemas.openxmlformats.org/officeDocument/2006/relationships" r:id="R3c29c88e272444ae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18" hidden="0" customWidth="1"/>
    <x:col min="3" max="3" width="19" hidden="0" customWidth="1"/>
    <x:col min="4" max="4" width="19" hidden="0" customWidth="1"/>
    <x:col min="5" max="5" width="17" hidden="0" customWidth="1"/>
    <x:col min="6" max="6" width="19" hidden="0" customWidth="1"/>
    <x:col min="7" max="7" width="18" hidden="0" customWidth="1"/>
    <x:col min="8" max="8" width="18" hidden="0" customWidth="1"/>
    <x:col min="9" max="9" width="20" hidden="0" customWidth="1"/>
    <x:col min="10" max="10" width="19" hidden="0" customWidth="1"/>
    <x:col min="11" max="11" width="22" hidden="0" customWidth="1"/>
    <x:col min="12" max="12" width="24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3" customHeight="1">
      <x:c r="A2" s="2" t="str">
        <x:v>Real multi-enemy workloads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3" customHeight="1">
      <x:c r="A3" s="1" t="str">
        <x:v>Original AI and complete car graphics; explicit test spawns. HUD/audio and real eight-sprite limit enabled.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36" customHeight="1">
      <x:c r="A5" s="7" t="str">
        <x:v>Enemies</x:v>
      </x:c>
      <x:c r="B5" s="7" t="str">
        <x:v>Samples</x:v>
      </x:c>
      <x:c r="C5" s="7" t="str">
        <x:v>Peak visible</x:v>
      </x:c>
      <x:c r="D5" s="7" t="str">
        <x:v>Enemies moved</x:v>
      </x:c>
      <x:c r="E5" s="7" t="str">
        <x:v>Active smoke FPS</x:v>
      </x:c>
      <x:c r="F5" s="7" t="str">
        <x:v>Route FPS</x:v>
      </x:c>
      <x:c r="G5" s="7" t="str">
        <x:v>Active route FPS</x:v>
      </x:c>
      <x:c r="H5" s="7" t="str">
        <x:v>Max sprites/line</x:v>
      </x:c>
      <x:c r="I5" s="7" t="str">
        <x:v>Overflow frames</x:v>
      </x:c>
      <x:c r="J5" s="7" t="str">
        <x:v>Overflow lines</x:v>
      </x:c>
      <x:c r="K5" s="7" t="str">
        <x:v>Whole-car cull frames</x:v>
      </x:c>
      <x:c r="L5" s="7" t="str">
        <x:v>Route outcome</x:v>
      </x:c>
    </x:row>
    <x:row r="6" ht="23" customHeight="1">
      <x:c r="A6" s="1" t="n">
        <x:v>3</x:v>
      </x:c>
      <x:c r="B6" s="1" t="n">
        <x:v>480</x:v>
      </x:c>
      <x:c r="C6" s="1" t="n">
        <x:v>3</x:v>
      </x:c>
      <x:c r="D6" s="1" t="n">
        <x:v>3</x:v>
      </x:c>
      <x:c r="E6" s="8" t="n">
        <x:v>29.630492595202576</x:v>
      </x:c>
      <x:c r="F6" s="8" t="n">
        <x:v>34.23495014158581</x:v>
      </x:c>
      <x:c r="G6" s="8" t="n">
        <x:v>29.88678066386176</x:v>
      </x:c>
      <x:c r="H6" s="1" t="n">
        <x:v>7</x:v>
      </x:c>
      <x:c r="I6" s="1" t="n">
        <x:v>0</x:v>
      </x:c>
      <x:c r="J6" s="1" t="n">
        <x:v>0</x:v>
      </x:c>
      <x:c r="K6" s="1" t="n">
        <x:v>0</x:v>
      </x:c>
      <x:c r="L6" s="1" t="str">
        <x:v>Native game over</x:v>
      </x:c>
    </x:row>
    <x:row r="7" ht="23" customHeight="1">
      <x:c r="A7" s="1" t="n">
        <x:v>7</x:v>
      </x:c>
      <x:c r="B7" s="1" t="n">
        <x:v>480</x:v>
      </x:c>
      <x:c r="C7" s="1" t="n">
        <x:v>7</x:v>
      </x:c>
      <x:c r="D7" s="1" t="n">
        <x:v>7</x:v>
      </x:c>
      <x:c r="E7" s="8" t="n">
        <x:v>19.139324679588555</x:v>
      </x:c>
      <x:c r="F7" s="8"/>
      <x:c r="G7" s="8"/>
      <x:c r="H7" s="1" t="n">
        <x:v>11</x:v>
      </x:c>
      <x:c r="I7" s="1" t="n">
        <x:v>5</x:v>
      </x:c>
      <x:c r="J7" s="1" t="n">
        <x:v>20</x:v>
      </x:c>
      <x:c r="K7" s="1" t="n">
        <x:v>0</x:v>
      </x:c>
      <x:c r="L7" s="1" t="str">
        <x:v>Smoke stress only</x:v>
      </x:c>
    </x:row>
    <x:row r="8" ht="23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 ht="36" customHeight="1">
      <x:c r="A10" s="7" t="str">
        <x:v>Three-enemy profile</x:v>
      </x:c>
      <x:c r="B10" s="7" t="str">
        <x:v>Before</x:v>
      </x:c>
      <x:c r="C10" s="7" t="str">
        <x:v>After</x:v>
      </x:c>
      <x:c r="D10" s="7" t="str">
        <x:v>Unit</x:v>
      </x:c>
      <x:c r="E10" s="7" t="str">
        <x:v>Scope</x:v>
      </x:c>
      <x:c r="F10" s="1"/>
      <x:c r="G10" s="1"/>
      <x:c r="H10" s="1"/>
      <x:c r="I10" s="1"/>
      <x:c r="J10" s="1"/>
      <x:c r="K10" s="1"/>
      <x:c r="L10" s="1"/>
    </x:row>
    <x:row r="11" ht="23" customHeight="1">
      <x:c r="A11" s="1" t="str">
        <x:v>Presentation rate</x:v>
      </x:c>
      <x:c r="B11" s="8" t="n">
        <x:v>33.94476083445225</x:v>
      </x:c>
      <x:c r="C11" s="8" t="n">
        <x:v>34.289228387671784</x:v>
      </x:c>
      <x:c r="D11" s="1" t="str">
        <x:v>FPS</x:v>
      </x:c>
      <x:c r="E11" s="1" t="str">
        <x:v>Until native game over</x:v>
      </x:c>
      <x:c r="F11" s="1"/>
      <x:c r="G11" s="1"/>
      <x:c r="H11" s="1"/>
      <x:c r="I11" s="1"/>
      <x:c r="J11" s="1"/>
      <x:c r="K11" s="1"/>
      <x:c r="L11" s="1"/>
    </x:row>
    <x:row r="12" ht="23" customHeight="1">
      <x:c r="A12" s="1" t="str">
        <x:v>Mean work</x:v>
      </x:c>
      <x:c r="B12" s="8" t="n">
        <x:v>19.450449392581334</x:v>
      </x:c>
      <x:c r="C12" s="8" t="n">
        <x:v>19.11833681245468</x:v>
      </x:c>
      <x:c r="D12" s="1" t="str">
        <x:v>ms</x:v>
      </x:c>
      <x:c r="E12" s="1" t="str">
        <x:v>Excludes sync waits</x:v>
      </x:c>
      <x:c r="F12" s="1"/>
      <x:c r="G12" s="1"/>
      <x:c r="H12" s="1"/>
      <x:c r="I12" s="1"/>
      <x:c r="J12" s="1"/>
      <x:c r="K12" s="1"/>
      <x:c r="L12" s="1"/>
    </x:row>
    <x:row r="13" ht="23" customHeight="1">
      <x:c r="A13" s="1" t="str">
        <x:v>Max interval</x:v>
      </x:c>
      <x:c r="B13" s="8" t="n">
        <x:v>67.97623720332754</x:v>
      </x:c>
      <x:c r="C13" s="8" t="n">
        <x:v>67.97456101264267</x:v>
      </x:c>
      <x:c r="D13" s="1" t="str">
        <x:v>ms</x:v>
      </x:c>
      <x:c r="E13" s="1" t="str">
        <x:v>Includes holds and heavy frames</x:v>
      </x:c>
      <x:c r="F13" s="1"/>
      <x:c r="G13" s="1"/>
      <x:c r="H13" s="1"/>
      <x:c r="I13" s="1"/>
      <x:c r="J13" s="1"/>
      <x:c r="K13" s="1"/>
      <x:c r="L13" s="1"/>
    </x:row>
    <x:row r="14" ht="23" customHeight="1">
      <x:c r="A14" s="1" t="str">
        <x:v>Active verification FPS</x:v>
      </x:c>
      <x:c r="B14" s="8" t="n">
        <x:v>29.49919488956835</x:v>
      </x:c>
      <x:c r="C14" s="8" t="n">
        <x:v>29.88678066386176</x:v>
      </x:c>
      <x:c r="D14" s="1" t="str">
        <x:v>FPS</x:v>
      </x:c>
      <x:c r="E14" s="1" t="str">
        <x:v>Death/bonus/stopped excluded</x:v>
      </x:c>
      <x:c r="F14" s="1"/>
      <x:c r="G14" s="1"/>
      <x:c r="H14" s="1"/>
      <x:c r="I14" s="1"/>
      <x:c r="J14" s="1"/>
      <x:c r="K14" s="1"/>
      <x:c r="L14" s="1"/>
    </x:row>
    <x:row r="15" ht="23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23" customHeight="1">
      <x:c r="A16" s="17" t="str">
        <x:v>Visible/movement and hardware-pressure counts come from a separate 480-frame keyboard + smoke population trace.</x:v>
      </x:c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23" customHeight="1">
      <x:c r="A17" s="17" t="str">
        <x:v>Active smoke FPS uses another 480-frame four-direction route; death/bonus/stopped excluded at both interval endpoints.</x:v>
      </x:c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23" customHeight="1">
      <x:c r="A18" s="17" t="str">
        <x:v>Three-enemy full navigation ended after native lives expired. No lives/positions were injected; it did not complete the stage.</x:v>
      </x:c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23" customHeight="1">
      <x:c r="A19" s="17" t="str">
        <x:v>Seven-enemy stress falls below 30 FPS and can lose sprite lines through the authentic hardware limit.</x:v>
      </x:c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23" customHeight="1">
      <x:c r="A20" s="17" t="str">
        <x:v>Prepared visible cars and actual hardware-displayed lines are distinct. Overflow is recorded, not disabled.</x:v>
      </x:c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23" customHeight="1">
      <x:c r="A21" s="17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23" customHeight="1">
      <x:c r="A22" s="17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23" customHeight="1">
      <x:c r="A23" s="17" t="str">
        <x:v>3-enemy ROM SHA256: 34aab943550df300e3258bd6bb43f853330eca48a7a06acbf8a4b1d8702cf46a</x:v>
      </x:c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23" customHeight="1">
      <x:c r="A24" s="17" t="str">
        <x:v>/Users/sandersouza/.codex/worktrees/fixed-hud-lab/newrallyx/references/experiments/fixed-hud/multi-native-3-optimized-final-phase-cache-natural/report.json</x:v>
      </x:c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23" customHeight="1">
      <x:c r="A25" s="17" t="str">
        <x:v>/Users/sandersouza/.codex/worktrees/fixed-hud-lab/newrallyx/references/experiments/stage-one-3-enemies/smoke-94u3dm0h/result.json</x:v>
      </x:c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23" customHeight="1">
      <x:c r="A26" s="17" t="str">
        <x:v>7-enemy ROM SHA256: 74b9c30256b9c223552661f6de9ddd1e63eb5e34cac337f7c561707375c8d7a6</x:v>
      </x:c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23" customHeight="1">
      <x:c r="A27" s="17" t="str">
        <x:v>/Users/sandersouza/.codex/worktrees/fixed-hud-lab/newrallyx/references/experiments/fixed-hud/multi-native-7-optimized-final-smoke-v1/report.json</x:v>
      </x:c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23" customHeight="1">
      <x:c r="A28" s="17" t="str">
        <x:v>/Users/sandersouza/.codex/worktrees/fixed-hud-lab/newrallyx/references/experiments/stage-one-7-enemies/smoke-4c0rjtyw/result.json</x:v>
      </x:c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23" customHeight="1">
      <x:c r="A29" s="17" t="str">
        <x:v>Same controller policy; cadence changes input feedback and samples. Three-enemy navigation ends at native game over; seven-enemy smoke is a separate prior-ROM stress test. Multi-car overrides only population/spawns. No physical hardware validation.</x:v>
      </x:c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42" hidden="0" customWidth="1"/>
    <x:col min="3" max="3" width="12" hidden="0" customWidth="1"/>
    <x:col min="4" max="4" width="12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7" hidden="0" customWidth="1"/>
    <x:col min="11" max="11" width="15" hidden="0" customWidth="1"/>
    <x:col min="12" max="12" width="17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3" customHeight="1">
      <x:c r="A2" s="2" t="str">
        <x:v>Three-enemy action costs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3" customHeight="1">
      <x:c r="A3" s="1" t="str">
        <x:v>Both endpoints active; death/bonus/stopped excluded. Inclusive parents overlap children; no seven-enemy profile implied.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36" customHeight="1">
      <x:c r="A5" s="7" t="str">
        <x:v>Routine / hook</x:v>
      </x:c>
      <x:c r="B5" s="7" t="str">
        <x:v>Purpose</x:v>
      </x:c>
      <x:c r="C5" s="7" t="str">
        <x:v>Calls</x:v>
      </x:c>
      <x:c r="D5" s="7" t="str">
        <x:v>Calls/frame</x:v>
      </x:c>
      <x:c r="E5" s="7" t="str">
        <x:v>Min incl.</x:v>
      </x:c>
      <x:c r="F5" s="7" t="str">
        <x:v>Mean incl.</x:v>
      </x:c>
      <x:c r="G5" s="7" t="str">
        <x:v>P95 incl.</x:v>
      </x:c>
      <x:c r="H5" s="7" t="str">
        <x:v>Max incl.</x:v>
      </x:c>
      <x:c r="I5" s="7" t="str">
        <x:v>Mean self</x:v>
      </x:c>
      <x:c r="J5" s="7" t="str">
        <x:v>Self / frame</x:v>
      </x:c>
      <x:c r="K5" s="7" t="str">
        <x:v>Mean incl. ms</x:v>
      </x:c>
      <x:c r="L5" s="7" t="str">
        <x:v>Self/frame % refresh</x:v>
      </x:c>
    </x:row>
    <x:row r="6" ht="23" customHeight="1">
      <x:c r="A6" s="1" t="str">
        <x:v>Game_Prepare</x:v>
      </x:c>
      <x:c r="B6" s="1" t="str">
        <x:v>Native simulation and foreground actor/HUD preparation</x:v>
      </x:c>
      <x:c r="C6" s="9" t="n">
        <x:v>913</x:v>
      </x:c>
      <x:c r="D6" s="8" t="n">
        <x:v>1</x:v>
      </x:c>
      <x:c r="E6" s="9" t="n">
        <x:v>14424</x:v>
      </x:c>
      <x:c r="F6" s="9" t="n">
        <x:v>37249.899233296666</x:v>
      </x:c>
      <x:c r="G6" s="9" t="n">
        <x:v>46833</x:v>
      </x:c>
      <x:c r="H6" s="9" t="n">
        <x:v>91935</x:v>
      </x:c>
      <x:c r="I6" s="9" t="n">
        <x:v>161.99999999953076</x:v>
      </x:c>
      <x:c r="J6" s="9" t="n">
        <x:v>161.99999999953076</x:v>
      </x:c>
      <x:c r="K6" s="10" t="n">
        <x:f>F6/Sources!$B$4*1000</x:f>
        <x:v>10.406322377088895</x:v>
      </x:c>
      <x:c r="L6" s="11" t="n">
        <x:f>J6/Sources!$B$5</x:f>
        <x:v>0.002711932503005403</x:v>
      </x:c>
    </x:row>
    <x:row r="7" ht="23" customHeight="1">
      <x:c r="A7" s="1" t="str">
        <x:v>Game_Frame</x:v>
      </x:c>
      <x:c r="B7" s="1" t="str">
        <x:v>Elapsed60Hz simulation including audio</x:v>
      </x:c>
      <x:c r="C7" s="9" t="n">
        <x:v>913</x:v>
      </x:c>
      <x:c r="D7" s="8" t="n">
        <x:v>1</x:v>
      </x:c>
      <x:c r="E7" s="9" t="n">
        <x:v>5206</x:v>
      </x:c>
      <x:c r="F7" s="9" t="n">
        <x:v>25171.066812705583</x:v>
      </x:c>
      <x:c r="G7" s="9" t="n">
        <x:v>29640.0000000149</x:v>
      </x:c>
      <x:c r="H7" s="9" t="n">
        <x:v>74617.99999999627</x:v>
      </x:c>
      <x:c r="I7" s="9" t="n">
        <x:v>2035.1259583796518</x:v>
      </x:c>
      <x:c r="J7" s="9" t="n">
        <x:v>2035.1259583796518</x:v>
      </x:c>
      <x:c r="K7" s="10" t="n">
        <x:f>F7/Sources!$B$4*1000</x:f>
        <x:v>7.031917970777175</x:v>
      </x:c>
      <x:c r="L7" s="11" t="n">
        <x:f>J7/Sources!$B$5</x:f>
        <x:v>0.034068668112690034</x:v>
      </x:c>
    </x:row>
    <x:row r="8" ht="23" customHeight="1">
      <x:c r="A8" s="1" t="str">
        <x:v>Game_LogicTick</x:v>
      </x:c>
      <x:c r="B8" s="1" t="str">
        <x:v>Gameplay flags, fuel, collisions and enemy motion</x:v>
      </x:c>
      <x:c r="C8" s="9" t="n">
        <x:v>1833</x:v>
      </x:c>
      <x:c r="D8" s="8" t="n">
        <x:v>2.0076670317634173</x:v>
      </x:c>
      <x:c r="E8" s="9" t="n">
        <x:v>2574.999999985099</x:v>
      </x:c>
      <x:c r="F8" s="9" t="n">
        <x:v>10477.559738134358</x:v>
      </x:c>
      <x:c r="G8" s="9" t="n">
        <x:v>20986</x:v>
      </x:c>
      <x:c r="H8" s="9" t="n">
        <x:v>63843</x:v>
      </x:c>
      <x:c r="I8" s="9" t="n">
        <x:v>10470.055646481333</x:v>
      </x:c>
      <x:c r="J8" s="9" t="n">
        <x:v>21020.385542168984</x:v>
      </x:c>
      <x:c r="K8" s="10" t="n">
        <x:f>F8/Sources!$B$4*1000</x:f>
        <x:v>2.927064679487018</x:v>
      </x:c>
      <x:c r="L8" s="11" t="n">
        <x:f>J8/Sources!$B$5</x:f>
        <x:v>0.3518880665288768</x:v>
      </x:c>
    </x:row>
    <x:row r="9" ht="23" customHeight="1">
      <x:c r="A9" s="1" t="str">
        <x:v>Game_Position</x:v>
      </x:c>
      <x:c r="B9" s="1" t="str">
        <x:v>Native coordinates and clamped camera projection</x:v>
      </x:c>
      <x:c r="C9" s="9" t="n">
        <x:v>913</x:v>
      </x:c>
      <x:c r="D9" s="8" t="n">
        <x:v>1</x:v>
      </x:c>
      <x:c r="E9" s="9" t="n">
        <x:v>859.9999999850988</x:v>
      </x:c>
      <x:c r="F9" s="9" t="n">
        <x:v>884.8849945235528</x:v>
      </x:c>
      <x:c r="G9" s="9" t="n">
        <x:v>900</x:v>
      </x:c>
      <x:c r="H9" s="9" t="n">
        <x:v>900.0000000298023</x:v>
      </x:c>
      <x:c r="I9" s="9" t="n">
        <x:v>884.8849945235528</x:v>
      </x:c>
      <x:c r="J9" s="9" t="n">
        <x:v>884.8849945235528</x:v>
      </x:c>
      <x:c r="K9" s="10" t="n">
        <x:f>F9/Sources!$B$4*1000</x:f>
        <x:v>0.247205998115278</x:v>
      </x:c>
      <x:c r="L9" s="11" t="n">
        <x:f>J9/Sources!$B$5</x:f>
        <x:v>0.014813261593068715</x:v>
      </x:c>
    </x:row>
    <x:row r="10" ht="23" customHeight="1">
      <x:c r="A10" s="1" t="str">
        <x:v>Game_Actors</x:v>
      </x:c>
      <x:c r="B10" s="1" t="str">
        <x:v>Native descriptors to sprite actor list</x:v>
      </x:c>
      <x:c r="C10" s="9" t="n">
        <x:v>913</x:v>
      </x:c>
      <x:c r="D10" s="8" t="n">
        <x:v>1</x:v>
      </x:c>
      <x:c r="E10" s="9" t="n">
        <x:v>3984.9999999701977</x:v>
      </x:c>
      <x:c r="F10" s="9" t="n">
        <x:v>3985.0000000002815</x:v>
      </x:c>
      <x:c r="G10" s="9" t="n">
        <x:v>3985.000000014901</x:v>
      </x:c>
      <x:c r="H10" s="9" t="n">
        <x:v>3985.0000000298023</x:v>
      </x:c>
      <x:c r="I10" s="9" t="n">
        <x:v>3985.0000000002815</x:v>
      </x:c>
      <x:c r="J10" s="9" t="n">
        <x:v>3985.0000000002815</x:v>
      </x:c>
      <x:c r="K10" s="10" t="n">
        <x:f>F10/Sources!$B$4*1000</x:f>
        <x:v>1.1132699826375367</x:v>
      </x:c>
      <x:c r="L10" s="11" t="n">
        <x:f>J10/Sources!$B$5</x:f>
        <x:v>0.06671019150931233</x:v>
      </x:c>
    </x:row>
    <x:row r="11" ht="23" customHeight="1">
      <x:c r="A11" s="1" t="str">
        <x:v>GameSprites_Prepare</x:v>
      </x:c>
      <x:c r="B11" s="1" t="str">
        <x:v>World sprite preparation and dirty pattern upload</x:v>
      </x:c>
      <x:c r="C11" s="9" t="n">
        <x:v>913</x:v>
      </x:c>
      <x:c r="D11" s="8" t="n">
        <x:v>1</x:v>
      </x:c>
      <x:c r="E11" s="9" t="n">
        <x:v>4072.9999999962747</x:v>
      </x:c>
      <x:c r="F11" s="9" t="n">
        <x:v>6136.554216867213</x:v>
      </x:c>
      <x:c r="G11" s="9" t="n">
        <x:v>13129.999999985099</x:v>
      </x:c>
      <x:c r="H11" s="9" t="n">
        <x:v>28019</x:v>
      </x:c>
      <x:c r="I11" s="9" t="n">
        <x:v>5821.079956188079</x:v>
      </x:c>
      <x:c r="J11" s="9" t="n">
        <x:v>5821.079956188079</x:v>
      </x:c>
      <x:c r="K11" s="10" t="n">
        <x:f>F11/Sources!$B$4*1000</x:f>
        <x:v>1.7143391735170848</x:v>
      </x:c>
      <x:c r="L11" s="11" t="n">
        <x:f>J11/Sources!$B$5</x:f>
        <x:v>0.09744676503595955</x:v>
      </x:c>
    </x:row>
    <x:row r="12" ht="23" customHeight="1">
      <x:c r="A12" s="1" t="str">
        <x:v>GameSprites_Commit</x:v>
      </x:c>
      <x:c r="B12" s="1" t="str">
        <x:v>World sprite publication</x:v>
      </x:c>
      <x:c r="C12" s="9" t="n">
        <x:v>913</x:v>
      </x:c>
      <x:c r="D12" s="8" t="n">
        <x:v>1</x:v>
      </x:c>
      <x:c r="E12" s="9" t="n">
        <x:v>1950.9999999701977</x:v>
      </x:c>
      <x:c r="F12" s="9" t="n">
        <x:v>1963.4600219055562</x:v>
      </x:c>
      <x:c r="G12" s="9" t="n">
        <x:v>1951.0000000149012</x:v>
      </x:c>
      <x:c r="H12" s="9" t="n">
        <x:v>3847</x:v>
      </x:c>
      <x:c r="I12" s="9" t="n">
        <x:v>1963.4600219055562</x:v>
      </x:c>
      <x:c r="J12" s="9" t="n">
        <x:v>1963.4600219055562</x:v>
      </x:c>
      <x:c r="K12" s="10" t="n">
        <x:f>F12/Sources!$B$4*1000</x:f>
        <x:v>0.5485222345034233</x:v>
      </x:c>
      <x:c r="L12" s="11" t="n">
        <x:f>J12/Sources!$B$5</x:f>
        <x:v>0.032868957109708656</x:v>
      </x:c>
    </x:row>
    <x:row r="13" ht="23" customHeight="1">
      <x:c r="A13" s="1" t="str">
        <x:v>GameHUD_Prepare</x:v>
      </x:c>
      <x:c r="B13" s="1" t="str">
        <x:v>HUD numeric/fuel/lives preparation</x:v>
      </x:c>
      <x:c r="C13" s="9" t="n">
        <x:v>913</x:v>
      </x:c>
      <x:c r="D13" s="8" t="n">
        <x:v>1</x:v>
      </x:c>
      <x:c r="E13" s="9" t="n">
        <x:v>943.9999999701977</x:v>
      </x:c>
      <x:c r="F13" s="9" t="n">
        <x:v>1795.2782037240563</x:v>
      </x:c>
      <x:c r="G13" s="9" t="n">
        <x:v>2023.0000000149012</x:v>
      </x:c>
      <x:c r="H13" s="9" t="n">
        <x:v>6125.000000014901</x:v>
      </x:c>
      <x:c r="I13" s="9" t="n">
        <x:v>1794.821467689007</x:v>
      </x:c>
      <x:c r="J13" s="9" t="n">
        <x:v>1794.821467689007</x:v>
      </x:c>
      <x:c r="K13" s="10" t="n">
        <x:f>F13/Sources!$B$4*1000</x:f>
        <x:v>0.501538101553146</x:v>
      </x:c>
      <x:c r="L13" s="11" t="n">
        <x:f>J13/Sources!$B$5</x:f>
        <x:v>0.030045893057603572</x:v>
      </x:c>
    </x:row>
    <x:row r="14" ht="23" customHeight="1">
      <x:c r="A14" s="1" t="str">
        <x:v>GameHUD_Commit</x:v>
      </x:c>
      <x:c r="B14" s="1" t="str">
        <x:v>HUD sprite publication</x:v>
      </x:c>
      <x:c r="C14" s="9" t="n">
        <x:v>913</x:v>
      </x:c>
      <x:c r="D14" s="8" t="n">
        <x:v>1</x:v>
      </x:c>
      <x:c r="E14" s="9" t="n">
        <x:v>70.99999998509884</x:v>
      </x:c>
      <x:c r="F14" s="9" t="n">
        <x:v>1239.2650602411434</x:v>
      </x:c>
      <x:c r="G14" s="9" t="n">
        <x:v>1623.0000000149012</x:v>
      </x:c>
      <x:c r="H14" s="9" t="n">
        <x:v>4444.000000014901</x:v>
      </x:c>
      <x:c r="I14" s="9" t="n">
        <x:v>1239.2650602411434</x:v>
      </x:c>
      <x:c r="J14" s="9" t="n">
        <x:v>1239.2650602411434</x:v>
      </x:c>
      <x:c r="K14" s="10" t="n">
        <x:f>F14/Sources!$B$4*1000</x:f>
        <x:v>0.3462074258714846</x:v>
      </x:c>
      <x:c r="L14" s="11" t="n">
        <x:f>J14/Sources!$B$5</x:f>
        <x:v>0.020745698745164447</x:v>
      </x:c>
    </x:row>
    <x:row r="15" ht="23" customHeight="1">
      <x:c r="A15" s="1" t="str">
        <x:v>render</x:v>
      </x:c>
      <x:c r="B15" s="1" t="str">
        <x:v>SCREEN4 background preparation</x:v>
      </x:c>
      <x:c r="C15" s="9" t="n">
        <x:v>913</x:v>
      </x:c>
      <x:c r="D15" s="8" t="n">
        <x:v>1</x:v>
      </x:c>
      <x:c r="E15" s="9" t="n">
        <x:v>23666.9999999851</x:v>
      </x:c>
      <x:c r="F15" s="9" t="n">
        <x:v>36504.971522453416</x:v>
      </x:c>
      <x:c r="G15" s="9" t="n">
        <x:v>59630.999999996275</x:v>
      </x:c>
      <x:c r="H15" s="9" t="n">
        <x:v>97370.0000000298</x:v>
      </x:c>
      <x:c r="I15" s="9" t="n">
        <x:v>6352.231106243089</x:v>
      </x:c>
      <x:c r="J15" s="9" t="n">
        <x:v>6352.231106243089</x:v>
      </x:c>
      <x:c r="K15" s="10" t="n">
        <x:f>F15/Sources!$B$4*1000</x:f>
        <x:v>10.19821556160166</x:v>
      </x:c>
      <x:c r="L15" s="11" t="n">
        <x:f>J15/Sources!$B$5</x:f>
        <x:v>0.10633840743007715</x:v>
      </x:c>
    </x:row>
    <x:row r="16" ht="23" customHeight="1">
      <x:c r="A16" s="1" t="str">
        <x:v>wait_blank</x:v>
      </x:c>
      <x:c r="B16" s="1" t="str">
        <x:v>Synchronization waits including HALT</x:v>
      </x:c>
      <x:c r="C16" s="9" t="n">
        <x:v>913</x:v>
      </x:c>
      <x:c r="D16" s="8" t="n">
        <x:v>1</x:v>
      </x:c>
      <x:c r="E16" s="9" t="n">
        <x:v>405</x:v>
      </x:c>
      <x:c r="F16" s="9" t="n">
        <x:v>42053.80065717385</x:v>
      </x:c>
      <x:c r="G16" s="9" t="n">
        <x:v>54064.9999999851</x:v>
      </x:c>
      <x:c r="H16" s="9" t="n">
        <x:v>58965</x:v>
      </x:c>
      <x:c r="I16" s="9" t="n">
        <x:v>41914.800657173895</x:v>
      </x:c>
      <x:c r="J16" s="9" t="n">
        <x:v>41914.800657173895</x:v>
      </x:c>
      <x:c r="K16" s="10" t="n">
        <x:f>F16/Sources!$B$4*1000</x:f>
        <x:v>11.748364850050454</x:v>
      </x:c>
      <x:c r="L16" s="11" t="n">
        <x:f>J16/Sources!$B$5</x:f>
        <x:v>0.7016673472809344</x:v>
      </x:c>
    </x:row>
    <x:row r="17" ht="23" customHeight="1">
      <x:c r="A17" s="1" t="str">
        <x:v>commit</x:v>
      </x:c>
      <x:c r="B17" s="1" t="str">
        <x:v>Complete presentation publication</x:v>
      </x:c>
      <x:c r="C17" s="9" t="n">
        <x:v>913</x:v>
      </x:c>
      <x:c r="D17" s="8" t="n">
        <x:v>1</x:v>
      </x:c>
      <x:c r="E17" s="9" t="n">
        <x:v>2564.9999999701977</x:v>
      </x:c>
      <x:c r="F17" s="9" t="n">
        <x:v>3745.725082147181</x:v>
      </x:c>
      <x:c r="G17" s="9" t="n">
        <x:v>4117.000000014901</x:v>
      </x:c>
      <x:c r="H17" s="9" t="n">
        <x:v>6938.000000014901</x:v>
      </x:c>
      <x:c r="I17" s="9" t="n">
        <x:v>543.0000000004815</x:v>
      </x:c>
      <x:c r="J17" s="9" t="n">
        <x:v>543.0000000004815</x:v>
      </x:c>
      <x:c r="K17" s="10" t="n">
        <x:f>F17/Sources!$B$4*1000</x:f>
        <x:v>1.0464249177331704</x:v>
      </x:c>
      <x:c r="L17" s="11" t="n">
        <x:f>J17/Sources!$B$5</x:f>
        <x:v>0.009089995982330278</x:v>
      </x:c>
    </x:row>
    <x:row r="18" ht="23" customHeight="1">
      <x:c r="A18" s="1" t="str">
        <x:v>Ring_Prepare</x:v>
      </x:c>
      <x:c r="B18" s="1" t="str">
        <x:v>Incoming world ring cells</x:v>
      </x:c>
      <x:c r="C18" s="9" t="n">
        <x:v>913</x:v>
      </x:c>
      <x:c r="D18" s="8" t="n">
        <x:v>1</x:v>
      </x:c>
      <x:c r="E18" s="9" t="n">
        <x:v>211.99999997019768</x:v>
      </x:c>
      <x:c r="F18" s="9" t="n">
        <x:v>5968.033953997662</x:v>
      </x:c>
      <x:c r="G18" s="9" t="n">
        <x:v>16734</x:v>
      </x:c>
      <x:c r="H18" s="9" t="n">
        <x:v>18467.0000000149</x:v>
      </x:c>
      <x:c r="I18" s="9" t="n">
        <x:v>5962.705366922034</x:v>
      </x:c>
      <x:c r="J18" s="9" t="n">
        <x:v>5962.705366922034</x:v>
      </x:c>
      <x:c r="K18" s="10" t="n">
        <x:f>F18/Sources!$B$4*1000</x:f>
        <x:v>1.6672604909276632</x:v>
      </x:c>
      <x:c r="L18" s="11" t="n">
        <x:f>J18/Sources!$B$5</x:f>
        <x:v>0.09981762031140408</x:v>
      </x:c>
    </x:row>
    <x:row r="19" ht="23" customHeight="1">
      <x:c r="A19" s="1" t="str">
        <x:v>Game_RingPatch</x:v>
      </x:c>
      <x:c r="B19" s="1" t="str">
        <x:v>Flag/smoke/death terrain overrides</x:v>
      </x:c>
      <x:c r="C19" s="9" t="n">
        <x:v>913</x:v>
      </x:c>
      <x:c r="D19" s="8" t="n">
        <x:v>1</x:v>
      </x:c>
      <x:c r="E19" s="9" t="n">
        <x:v>141.99999997019768</x:v>
      </x:c>
      <x:c r="F19" s="9" t="n">
        <x:v>3262.9167579409113</x:v>
      </x:c>
      <x:c r="G19" s="9" t="n">
        <x:v>15493</x:v>
      </x:c>
      <x:c r="H19" s="9" t="n">
        <x:v>58671</x:v>
      </x:c>
      <x:c r="I19" s="9" t="n">
        <x:v>2755.4490690034368</x:v>
      </x:c>
      <x:c r="J19" s="9" t="n">
        <x:v>2755.4490690034368</x:v>
      </x:c>
      <x:c r="K19" s="10" t="n">
        <x:f>F19/Sources!$B$4*1000</x:f>
        <x:v>0.9115451147955708</x:v>
      </x:c>
      <x:c r="L19" s="11" t="n">
        <x:f>J19/Sources!$B$5</x:f>
        <x:v>0.046127110435975574</x:v>
      </x:c>
    </x:row>
    <x:row r="20" ht="23" customHeight="1">
      <x:c r="A20" s="1" t="str">
        <x:v>Game_DirtyTileUpload</x:v>
      </x:c>
      <x:c r="B20" s="1" t="str">
        <x:v>Changed terrain cell publication</x:v>
      </x:c>
      <x:c r="C20" s="9" t="n">
        <x:v>913</x:v>
      </x:c>
      <x:c r="D20" s="8" t="n">
        <x:v>1</x:v>
      </x:c>
      <x:c r="E20" s="9" t="n">
        <x:v>110.99999997019768</x:v>
      </x:c>
      <x:c r="F20" s="9" t="n">
        <x:v>344.0164293539216</x:v>
      </x:c>
      <x:c r="G20" s="9" t="n">
        <x:v>145.00000001490116</x:v>
      </x:c>
      <x:c r="H20" s="9" t="n">
        <x:v>8480.000000014901</x:v>
      </x:c>
      <x:c r="I20" s="9" t="n">
        <x:v>343.4074479738558</x:v>
      </x:c>
      <x:c r="J20" s="9" t="n">
        <x:v>343.4074479738558</x:v>
      </x:c>
      <x:c r="K20" s="10" t="n">
        <x:f>F20/Sources!$B$4*1000</x:f>
        <x:v>0.09610618929331007</x:v>
      </x:c>
      <x:c r="L20" s="11" t="n">
        <x:f>J20/Sources!$B$5</x:f>
        <x:v>0.005748751974920581</x:v>
      </x:c>
    </x:row>
    <x:row r="21" ht="23" customHeight="1">
      <x:c r="A21" s="1" t="str">
        <x:v>Game_Radar</x:v>
      </x:c>
      <x:c r="B21" s="1" t="str">
        <x:v>Native actor and flag radar</x:v>
      </x:c>
      <x:c r="C21" s="9" t="n">
        <x:v>913</x:v>
      </x:c>
      <x:c r="D21" s="8" t="n">
        <x:v>1</x:v>
      </x:c>
      <x:c r="E21" s="9" t="n">
        <x:v>4088.999999985099</x:v>
      </x:c>
      <x:c r="F21" s="9" t="n">
        <x:v>4743.480832420339</x:v>
      </x:c>
      <x:c r="G21" s="9" t="n">
        <x:v>5259</x:v>
      </x:c>
      <x:c r="H21" s="9" t="n">
        <x:v>5827.999999985099</x:v>
      </x:c>
      <x:c r="I21" s="9" t="n">
        <x:v>4712.575027381995</x:v>
      </x:c>
      <x:c r="J21" s="9" t="n">
        <x:v>4712.575027381995</x:v>
      </x:c>
      <x:c r="K21" s="10" t="n">
        <x:f>F21/Sources!$B$4*1000</x:f>
        <x:v>1.325163067490516</x:v>
      </x:c>
      <x:c r="L21" s="11" t="n">
        <x:f>J21/Sources!$B$5</x:f>
        <x:v>0.0788900332694187</x:v>
      </x:c>
    </x:row>
    <x:row r="22" ht="23" customHeight="1">
      <x:c r="A22" s="1" t="str">
        <x:v>Game_RadarUpload</x:v>
      </x:c>
      <x:c r="B22" s="1" t="str">
        <x:v>Radar pattern/color transfers</x:v>
      </x:c>
      <x:c r="C22" s="9" t="n">
        <x:v>913</x:v>
      </x:c>
      <x:c r="D22" s="8" t="n">
        <x:v>1</x:v>
      </x:c>
      <x:c r="E22" s="9" t="n">
        <x:v>1567.9999999701977</x:v>
      </x:c>
      <x:c r="F22" s="9" t="n">
        <x:v>1991.5202628697543</x:v>
      </x:c>
      <x:c r="G22" s="9" t="n">
        <x:v>2336.0000000037253</x:v>
      </x:c>
      <x:c r="H22" s="9" t="n">
        <x:v>2505.000000014901</x:v>
      </x:c>
      <x:c r="I22" s="9" t="n">
        <x:v>1986.3439211392079</x:v>
      </x:c>
      <x:c r="J22" s="9" t="n">
        <x:v>1986.3439211392079</x:v>
      </x:c>
      <x:c r="K22" s="10" t="n">
        <x:f>F22/Sources!$B$4*1000</x:f>
        <x:v>0.5563612869428249</x:v>
      </x:c>
      <x:c r="L22" s="11" t="n">
        <x:f>J22/Sources!$B$5</x:f>
        <x:v>0.033252040999384086</x:v>
      </x:c>
    </x:row>
    <x:row r="23" ht="23" customHeight="1">
      <x:c r="A23" s="1" t="str">
        <x:v>Ring_UploadNames</x:v>
      </x:c>
      <x:c r="B23" s="1" t="str">
        <x:v>Terrain name table publication</x:v>
      </x:c>
      <x:c r="C23" s="9" t="n">
        <x:v>913</x:v>
      </x:c>
      <x:c r="D23" s="8" t="n">
        <x:v>1</x:v>
      </x:c>
      <x:c r="E23" s="9" t="n">
        <x:v>10622</x:v>
      </x:c>
      <x:c r="F23" s="9" t="n">
        <x:v>13071.639649507299</x:v>
      </x:c>
      <x:c r="G23" s="9" t="n">
        <x:v>17260</x:v>
      </x:c>
      <x:c r="H23" s="9" t="n">
        <x:v>38332</x:v>
      </x:c>
      <x:c r="I23" s="9" t="n">
        <x:v>12791.92113910198</x:v>
      </x:c>
      <x:c r="J23" s="9" t="n">
        <x:v>12791.92113910198</x:v>
      </x:c>
      <x:c r="K23" s="10" t="n">
        <x:f>F23/Sources!$B$4*1000</x:f>
        <x:v>3.6517601118318943</x:v>
      </x:c>
      <x:c r="L23" s="11" t="n">
        <x:f>J23/Sources!$B$5</x:f>
        <x:v>0.21414090563650026</x:v>
      </x:c>
    </x:row>
    <x:row r="24" ht="23" customHeight="1">
      <x:c r="A24" s="1" t="str">
        <x:v>hud_upload</x:v>
      </x:c>
      <x:c r="B24" s="1" t="str">
        <x:v>Static HUD phase transition</x:v>
      </x:c>
      <x:c r="C24" s="9" t="n">
        <x:v>913</x:v>
      </x:c>
      <x:c r="D24" s="8" t="n">
        <x:v>1</x:v>
      </x:c>
      <x:c r="E24" s="9" t="n">
        <x:v>355.9999999701977</x:v>
      </x:c>
      <x:c r="F24" s="9" t="n">
        <x:v>508.0306681269353</x:v>
      </x:c>
      <x:c r="G24" s="9" t="n">
        <x:v>356.00000001490116</x:v>
      </x:c>
      <x:c r="H24" s="9" t="n">
        <x:v>20309</x:v>
      </x:c>
      <x:c r="I24" s="9" t="n">
        <x:v>506.2037239867586</x:v>
      </x:c>
      <x:c r="J24" s="9" t="n">
        <x:v>506.2037239867586</x:v>
      </x:c>
      <x:c r="K24" s="10" t="n">
        <x:f>F24/Sources!$B$4*1000</x:f>
        <x:v>0.14192604594353062</x:v>
      </x:c>
      <x:c r="L24" s="11" t="n">
        <x:f>J24/Sources!$B$5</x:f>
        <x:v>0.008474014396457053</x:v>
      </x:c>
    </x:row>
    <x:row r="25" ht="23" customHeight="1">
      <x:c r="A25" s="1" t="str">
        <x:v>GameAudio_Tick</x:v>
      </x:c>
      <x:c r="B25" s="1" t="str">
        <x:v>30Hz PSG worker invoked at60Hz</x:v>
      </x:c>
      <x:c r="C25" s="9" t="n">
        <x:v>1833</x:v>
      </x:c>
      <x:c r="D25" s="8" t="n">
        <x:v>2.0076670317634173</x:v>
      </x:c>
      <x:c r="E25" s="9" t="n">
        <x:v>95.99999997019768</x:v>
      </x:c>
      <x:c r="F25" s="9" t="n">
        <x:v>605.4811783956859</x:v>
      </x:c>
      <x:c r="G25" s="9" t="n">
        <x:v>1936.9999999701977</x:v>
      </x:c>
      <x:c r="H25" s="9" t="n">
        <x:v>2294</x:v>
      </x:c>
      <x:c r="I25" s="9" t="n">
        <x:v>605.4811783956859</x:v>
      </x:c>
      <x:c r="J25" s="9" t="n">
        <x:v>1215.6046002182827</x:v>
      </x:c>
      <x:c r="K25" s="10" t="n">
        <x:f>F25/Sources!$B$4*1000</x:f>
        <x:v>0.16915031893597815</x:v>
      </x:c>
      <x:c r="L25" s="11" t="n">
        <x:f>J25/Sources!$B$5</x:f>
        <x:v>0.02034961497619999</x:v>
      </x:c>
    </x:row>
    <x:row r="26" ht="23" customHeight="1">
      <x:c r="A26" s="1" t="str">
        <x:v>GameNameStream_Wide</x:v>
      </x:c>
      <x:c r="B26" s="1" t="str">
        <x:v>Name strips for camera deltas of 2 or 3 tiles</x:v>
      </x:c>
      <x:c r="C26" s="9" t="n">
        <x:v>9</x:v>
      </x:c>
      <x:c r="D26" s="8" t="n">
        <x:v>0.009857612267250822</x:v>
      </x:c>
      <x:c r="E26" s="9" t="n">
        <x:v>15885</x:v>
      </x:c>
      <x:c r="F26" s="9" t="n">
        <x:v>22476.1111111107</x:v>
      </x:c>
      <x:c r="G26" s="9" t="n">
        <x:v>38177</x:v>
      </x:c>
      <x:c r="H26" s="9" t="n">
        <x:v>38177</x:v>
      </x:c>
      <x:c r="I26" s="9" t="n">
        <x:v>22460.666666666253</x:v>
      </x:c>
      <x:c r="J26" s="9" t="n">
        <x:v>221.40854326396087</x:v>
      </x:c>
      <x:c r="K26" s="10" t="n">
        <x:f>F26/Sources!$B$4*1000</x:f>
        <x:v>6.279041361712368</x:v>
      </x:c>
      <x:c r="L26" s="11" t="n">
        <x:f>J26/Sources!$B$5</x:f>
        <x:v>0.003706450771125634</x:v>
      </x:c>
    </x:row>
    <x:row r="27" ht="23" customHeight="1">
      <x:c r="A27" s="1" t="str">
        <x:v>GS_MaskedCopyFast</x:v>
      </x:c>
      <x:c r="B27" s="1" t="str">
        <x:v>Exact full-height horizontal sprite mask copy</x:v>
      </x:c>
      <x:c r="C27" s="9" t="n">
        <x:v>62</x:v>
      </x:c>
      <x:c r="D27" s="8" t="n">
        <x:v>0.06790799561883899</x:v>
      </x:c>
      <x:c r="E27" s="9" t="n">
        <x:v>4510.999999970198</x:v>
      </x:c>
      <x:c r="F27" s="9" t="n">
        <x:v>4632.161290322881</x:v>
      </x:c>
      <x:c r="G27" s="9" t="n">
        <x:v>5690.999999985099</x:v>
      </x:c>
      <x:c r="H27" s="9" t="n">
        <x:v>5691</x:v>
      </x:c>
      <x:c r="I27" s="9" t="n">
        <x:v>4632.161290322881</x:v>
      </x:c>
      <x:c r="J27" s="9" t="n">
        <x:v>314.5607886090018</x:v>
      </x:c>
      <x:c r="K27" s="10" t="n">
        <x:f>F27/Sources!$B$4*1000</x:f>
        <x:v>1.2940642708285217</x:v>
      </x:c>
      <x:c r="L27" s="11" t="n">
        <x:f>J27/Sources!$B$5</x:f>
        <x:v>0.0052658495481619425</x:v>
      </x:c>
    </x:row>
    <x:row r="28" ht="23" customHeight="1">
      <x:c r="A28" s="1" t="str">
        <x:v>GameBoundary_Upload</x:v>
      </x:c>
      <x:c r="B28" s="1" t="str">
        <x:v>Changed boundary pattern and color bytes</x:v>
      </x:c>
      <x:c r="C28" s="9" t="n">
        <x:v>8</x:v>
      </x:c>
      <x:c r="D28" s="8" t="n">
        <x:v>0.008762322015334063</x:v>
      </x:c>
      <x:c r="E28" s="9" t="n">
        <x:v>13521.999999985099</x:v>
      </x:c>
      <x:c r="F28" s="9" t="n">
        <x:v>15384.249999998137</x:v>
      </x:c>
      <x:c r="G28" s="9" t="n">
        <x:v>27913</x:v>
      </x:c>
      <x:c r="H28" s="9" t="n">
        <x:v>27913</x:v>
      </x:c>
      <x:c r="I28" s="9" t="n">
        <x:v>15332.124999998137</x:v>
      </x:c>
      <x:c r="J28" s="9" t="n">
        <x:v>134.34501642933745</x:v>
      </x:c>
      <x:c r="K28" s="10" t="n">
        <x:f>F28/Sources!$B$4*1000</x:f>
        <x:v>4.2978227679769745</x:v>
      </x:c>
      <x:c r="L28" s="11" t="n">
        <x:f>J28/Sources!$B$5</x:f>
        <x:v>0.0022489791152627806</x:v>
      </x:c>
    </x:row>
    <x:row r="29" ht="23" customHeight="1">
      <x:c r="A29" s="1" t="str">
        <x:v>GameDirty_Plan</x:v>
      </x:c>
      <x:c r="B29" s="1" t="str">
        <x:v>Select sparse writes or complete name refill</x:v>
      </x:c>
      <x:c r="C29" s="9" t="n">
        <x:v>913</x:v>
      </x:c>
      <x:c r="D29" s="8" t="n">
        <x:v>1</x:v>
      </x:c>
      <x:c r="E29" s="9" t="n">
        <x:v>97.99999997019768</x:v>
      </x:c>
      <x:c r="F29" s="9" t="n">
        <x:v>107.44249726174581</x:v>
      </x:c>
      <x:c r="G29" s="9" t="n">
        <x:v>114.00000000372529</x:v>
      </x:c>
      <x:c r="H29" s="9" t="n">
        <x:v>305</x:v>
      </x:c>
      <x:c r="I29" s="9" t="n">
        <x:v>107.29025191671306</x:v>
      </x:c>
      <x:c r="J29" s="9" t="n">
        <x:v>107.29025191671306</x:v>
      </x:c>
      <x:c r="K29" s="10" t="n">
        <x:f>F29/Sources!$B$4*1000</x:f>
        <x:v>0.030015685586225572</x:v>
      </x:c>
      <x:c r="L29" s="11" t="n">
        <x:f>J29/Sources!$B$5</x:f>
        <x:v>0.001796073589070461</x:v>
      </x:c>
    </x:row>
    <x:row r="30" ht="23" customHeight="1">
      <x:c r="A30" s="1" t="str">
        <x:v>GameDirty_Mark</x:v>
      </x:c>
      <x:c r="B30" s="1" t="str">
        <x:v>Queue changed cell for both name tables</x:v>
      </x:c>
      <x:c r="C30" s="9" t="n">
        <x:v>135</x:v>
      </x:c>
      <x:c r="D30" s="8" t="n">
        <x:v>0.14786418400876233</x:v>
      </x:c>
      <x:c r="E30" s="9" t="n">
        <x:v>377.99999998509884</x:v>
      </x:c>
      <x:c r="F30" s="9" t="n">
        <x:v>427.3851851855439</x:v>
      </x:c>
      <x:c r="G30" s="9" t="n">
        <x:v>492.00000001490116</x:v>
      </x:c>
      <x:c r="H30" s="9" t="n">
        <x:v>546.9999999925494</x:v>
      </x:c>
      <x:c r="I30" s="9" t="n">
        <x:v>426.3555555559695</x:v>
      </x:c>
      <x:c r="J30" s="9" t="n">
        <x:v>63.042716319885955</x:v>
      </x:c>
      <x:c r="K30" s="10" t="n">
        <x:f>F30/Sources!$B$4*1000</x:f>
        <x:v>0.11939651134028037</x:v>
      </x:c>
      <x:c r="L30" s="11" t="n">
        <x:f>J30/Sources!$B$5</x:f>
        <x:v>0.0010553555028774266</x:v>
      </x:c>
    </x:row>
    <x:row r="31" ht="23" customHeight="1">
      <x:c r="A31" s="1" t="str">
        <x:v>GameSmoke_ClearRows</x:v>
      </x:c>
      <x:c r="B31" s="1" t="str">
        <x:v>Reset candidate smoke rows on native clear</x:v>
      </x:c>
      <x:c r="C31" s="9" t="n">
        <x:v>1</x:v>
      </x:c>
      <x:c r="D31" s="8" t="n">
        <x:v>0.001095290251916758</x:v>
      </x:c>
      <x:c r="E31" s="9" t="n">
        <x:v>917</x:v>
      </x:c>
      <x:c r="F31" s="9" t="n">
        <x:v>917</x:v>
      </x:c>
      <x:c r="G31" s="9" t="n">
        <x:v>917</x:v>
      </x:c>
      <x:c r="H31" s="9" t="n">
        <x:v>917</x:v>
      </x:c>
      <x:c r="I31" s="9" t="n">
        <x:v>917</x:v>
      </x:c>
      <x:c r="J31" s="9" t="n">
        <x:v>1.004381161007667</x:v>
      </x:c>
      <x:c r="K31" s="10" t="n">
        <x:f>F31/Sources!$B$4*1000</x:f>
        <x:v>0.25617781030829334</x:v>
      </x:c>
      <x:c r="L31" s="11" t="n">
        <x:f>J31/Sources!$B$5</x:f>
        <x:v>0.000016813666147844968</x:v>
      </x:c>
    </x:row>
    <x:row r="32" ht="23" customHeight="1">
      <x:c r="A32" s="1" t="str">
        <x:v>GameSmoke_MarkRow</x:v>
      </x:c>
      <x:c r="B32" s="1" t="str">
        <x:v>Mark candidate native smoke row</x:v>
      </x:c>
      <x:c r="C32" s="9" t="n">
        <x:v>90</x:v>
      </x:c>
      <x:c r="D32" s="8" t="n">
        <x:v>0.09857612267250822</x:v>
      </x:c>
      <x:c r="E32" s="9" t="n">
        <x:v>123.99999999627471</x:v>
      </x:c>
      <x:c r="F32" s="9" t="n">
        <x:v>124.0000000000414</x:v>
      </x:c>
      <x:c r="G32" s="9" t="n">
        <x:v>124</x:v>
      </x:c>
      <x:c r="H32" s="9" t="n">
        <x:v>124.00000000372529</x:v>
      </x:c>
      <x:c r="I32" s="9" t="n">
        <x:v>124.0000000000414</x:v>
      </x:c>
      <x:c r="J32" s="9" t="n">
        <x:v>12.2234392113951</x:v>
      </x:c>
      <x:c r="K32" s="10" t="n">
        <x:f>F32/Sources!$B$4*1000</x:f>
        <x:v>0.034641274240173374</x:v>
      </x:c>
      <x:c r="L32" s="11" t="n">
        <x:f>J32/Sources!$B$5</x:f>
        <x:v>0.00020462433392585876</x:v>
      </x:c>
    </x:row>
    <x:row r="33" ht="23" customHeight="1">
      <x:c r="A33" s="1" t="str">
        <x:v>GameSmoke_MarkCloud</x:v>
      </x:c>
      <x:c r="B33" s="1" t="str">
        <x:v>Mark three candidate cloud rows</x:v>
      </x:c>
      <x:c r="C33" s="9" t="n">
        <x:v>9</x:v>
      </x:c>
      <x:c r="D33" s="8" t="n">
        <x:v>0.009857612267250822</x:v>
      </x:c>
      <x:c r="E33" s="9" t="n">
        <x:v>543</x:v>
      </x:c>
      <x:c r="F33" s="9" t="n">
        <x:v>543</x:v>
      </x:c>
      <x:c r="G33" s="9" t="n">
        <x:v>543</x:v>
      </x:c>
      <x:c r="H33" s="9" t="n">
        <x:v>543</x:v>
      </x:c>
      <x:c r="I33" s="9" t="n">
        <x:v>170.99999999958607</x:v>
      </x:c>
      <x:c r="J33" s="9" t="n">
        <x:v>1.6856516976958102</x:v>
      </x:c>
      <x:c r="K33" s="10" t="n">
        <x:f>F33/Sources!$B$4*1000</x:f>
        <x:v>0.15169525735812792</x:v>
      </x:c>
      <x:c r="L33" s="11" t="n">
        <x:f>J33/Sources!$B$5</x:f>
        <x:v>0.000028218355726794734</x:v>
      </x:c>
    </x:row>
    <x:row r="34" ht="23" customHeight="1">
      <x:c r="A34" s="1" t="str">
        <x:v>GameSmoke_BuildCache</x:v>
      </x:c>
      <x:c r="B34" s="1" t="str">
        <x:v>Rebuild exact sparse smoke list from candidate rows</x:v>
      </x:c>
      <x:c r="C34" s="9" t="n">
        <x:v>24</x:v>
      </x:c>
      <x:c r="D34" s="8" t="n">
        <x:v>0.02628696604600219</x:v>
      </x:c>
      <x:c r="E34" s="9" t="n">
        <x:v>10604</x:v>
      </x:c>
      <x:c r="F34" s="9" t="n">
        <x:v>16443.333333333798</x:v>
      </x:c>
      <x:c r="G34" s="9" t="n">
        <x:v>28794</x:v>
      </x:c>
      <x:c r="H34" s="9" t="n">
        <x:v>30666</x:v>
      </x:c>
      <x:c r="I34" s="9" t="n">
        <x:v>16362.25</x:v>
      </x:c>
      <x:c r="J34" s="9" t="n">
        <x:v>430.11391018619935</x:v>
      </x:c>
      <x:c r="K34" s="10" t="n">
        <x:f>F34/Sources!$B$4*1000</x:f>
        <x:v>4.593693705019437</x:v>
      </x:c>
      <x:c r="L34" s="11" t="n">
        <x:f>J34/Sources!$B$5</x:f>
        <x:v>0.007200246253284441</x:v>
      </x:c>
    </x:row>
    <x:row r="35" ht="23" customHeight="1">
      <x:c r="A35" s="1" t="str">
        <x:v>clock_irq</x:v>
      </x:c>
      <x:c r="B35" s="1" t="str">
        <x:v>VBlank ISR body</x:v>
      </x:c>
      <x:c r="C35" s="9" t="n">
        <x:v>1829</x:v>
      </x:c>
      <x:c r="D35" s="8" t="n">
        <x:v>2.00328587075575</x:v>
      </x:c>
      <x:c r="E35" s="9" t="n">
        <x:v>138.99999997019768</x:v>
      </x:c>
      <x:c r="F35" s="9" t="n">
        <x:v>139.0000000000265</x:v>
      </x:c>
      <x:c r="G35" s="9" t="n">
        <x:v>139.00000001490116</x:v>
      </x:c>
      <x:c r="H35" s="9" t="n">
        <x:v>139.00000002980232</x:v>
      </x:c>
      <x:c r="I35" s="9" t="n">
        <x:v>139.0000000000265</x:v>
      </x:c>
      <x:c r="J35" s="9" t="n">
        <x:v>278.4567360351023</x:v>
      </x:c>
      <x:c r="K35" s="10" t="n">
        <x:f>F35/Sources!$B$4*1000</x:f>
        <x:v>0.038831750962769425</x:v>
      </x:c>
      <x:c r="L35" s="11" t="n">
        <x:f>J35/Sources!$B$5</x:f>
        <x:v>0.004661456007015909</x:v>
      </x:c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 ht="23" customHeight="1">
      <x:c r="A37" s="1" t="str">
        <x:v>ROM SHA256: 34aab943550df300e3258bd6bb43f853330eca48a7a06acbf8a4b1d8702cf46a</x:v>
      </x:c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 ht="23" customHeight="1">
      <x:c r="A38" s="1" t="str">
        <x:v>/Users/sandersouza/.codex/worktrees/fixed-hud-lab/newrallyx/references/experiments/stage-one-3-enemies/profile-route-ldlrmrhc/summary.json</x:v>
      </x:c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</x:sheetData>
  <x:pageMargins left="0.7" right="0.7" top="0.75" bottom="0.75" header="0.3" footer="0.3"/>
  <x:tableParts count="1">
    <x:tablePart xmlns:r="http://schemas.openxmlformats.org/officeDocument/2006/relationships" r:id="R654604d845ba4bac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23" customHeight="1">
      <x:c r="A2" s="2" t="str">
        <x:v>Smoke candidate-row cache: isolated CPU costs</x:v>
      </x:c>
      <x:c r="B2" s="1"/>
      <x:c r="C2" s="1"/>
      <x:c r="D2" s="1"/>
      <x:c r="E2" s="1"/>
      <x:c r="F2" s="1"/>
      <x:c r="G2" s="1"/>
      <x:c r="H2" s="1"/>
      <x:c r="I2" s="1"/>
    </x:row>
    <x:row r="3" ht="23" customHeight="1">
      <x:c r="A3" s="1" t="str">
        <x:v>2285 differential assembled Z80 cases; ordered sparse output matches original full scan.</x:v>
      </x:c>
      <x:c r="B3" s="1"/>
      <x:c r="C3" s="1"/>
      <x:c r="D3" s="1"/>
      <x:c r="E3" s="1"/>
      <x:c r="F3" s="1"/>
      <x:c r="G3" s="1"/>
      <x:c r="H3" s="1"/>
      <x:c r="I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</x:row>
    <x:row r="5" ht="36" customHeight="1">
      <x:c r="A5" s="7" t="str">
        <x:v>Workload</x:v>
      </x:c>
      <x:c r="B5" s="7" t="str">
        <x:v>Calls</x:v>
      </x:c>
      <x:c r="C5" s="7" t="str">
        <x:v>Original mean</x:v>
      </x:c>
      <x:c r="D5" s="7" t="str">
        <x:v>Candidate mean</x:v>
      </x:c>
      <x:c r="E5" s="7" t="str">
        <x:v>Original max</x:v>
      </x:c>
      <x:c r="F5" s="7" t="str">
        <x:v>Candidate max</x:v>
      </x:c>
      <x:c r="G5" s="7" t="str">
        <x:v>Saved mean cycles</x:v>
      </x:c>
      <x:c r="H5" s="1"/>
      <x:c r="I5" s="1"/>
    </x:row>
    <x:row r="6" ht="23" customHeight="1">
      <x:c r="A6" s="1" t="str">
        <x:v>0-occupied-rows</x:v>
      </x:c>
      <x:c r="B6" s="9" t="n">
        <x:v>20</x:v>
      </x:c>
      <x:c r="C6" s="9" t="n">
        <x:v>71741</x:v>
      </x:c>
      <x:c r="D6" s="9" t="n">
        <x:v>3335</x:v>
      </x:c>
      <x:c r="E6" s="9" t="n">
        <x:v>71741</x:v>
      </x:c>
      <x:c r="F6" s="9" t="n">
        <x:v>3335</x:v>
      </x:c>
      <x:c r="G6" s="9" t="n">
        <x:v>68406</x:v>
      </x:c>
      <x:c r="H6" s="1"/>
      <x:c r="I6" s="1"/>
    </x:row>
    <x:row r="7" ht="23" customHeight="1">
      <x:c r="A7" s="1" t="str">
        <x:v>1-occupied-rows</x:v>
      </x:c>
      <x:c r="B7" s="9" t="n">
        <x:v>20</x:v>
      </x:c>
      <x:c r="C7" s="9" t="n">
        <x:v>76035.5</x:v>
      </x:c>
      <x:c r="D7" s="9" t="n">
        <x:v>7913</x:v>
      </x:c>
      <x:c r="E7" s="9" t="n">
        <x:v>79921</x:v>
      </x:c>
      <x:c r="F7" s="9" t="n">
        <x:v>9889</x:v>
      </x:c>
      <x:c r="G7" s="9" t="n">
        <x:v>68122.5</x:v>
      </x:c>
      <x:c r="H7" s="1"/>
      <x:c r="I7" s="1"/>
    </x:row>
    <x:row r="8" ht="23" customHeight="1">
      <x:c r="A8" s="1" t="str">
        <x:v>16-occupied-rows</x:v>
      </x:c>
      <x:c r="B8" s="9" t="n">
        <x:v>20</x:v>
      </x:c>
      <x:c r="C8" s="9" t="n">
        <x:v>140453</x:v>
      </x:c>
      <x:c r="D8" s="9" t="n">
        <x:v>76590</x:v>
      </x:c>
      <x:c r="E8" s="9" t="n">
        <x:v>202621</x:v>
      </x:c>
      <x:c r="F8" s="9" t="n">
        <x:v>108227</x:v>
      </x:c>
      <x:c r="G8" s="9" t="n">
        <x:v>63863</x:v>
      </x:c>
      <x:c r="H8" s="1"/>
      <x:c r="I8" s="1"/>
    </x:row>
    <x:row r="9" ht="23" customHeight="1">
      <x:c r="A9" s="1" t="str">
        <x:v>3-occupied-rows</x:v>
      </x:c>
      <x:c r="B9" s="9" t="n">
        <x:v>20</x:v>
      </x:c>
      <x:c r="C9" s="9" t="n">
        <x:v>84624.5</x:v>
      </x:c>
      <x:c r="D9" s="9" t="n">
        <x:v>17069</x:v>
      </x:c>
      <x:c r="E9" s="9" t="n">
        <x:v>96281</x:v>
      </x:c>
      <x:c r="F9" s="9" t="n">
        <x:v>22997</x:v>
      </x:c>
      <x:c r="G9" s="9" t="n">
        <x:v>67555.5</x:v>
      </x:c>
      <x:c r="H9" s="1"/>
      <x:c r="I9" s="1"/>
    </x:row>
    <x:row r="10" ht="23" customHeight="1">
      <x:c r="A10" s="1" t="str">
        <x:v>32-full-rows</x:v>
      </x:c>
      <x:c r="B10" s="9" t="n">
        <x:v>9</x:v>
      </x:c>
      <x:c r="C10" s="9" t="n">
        <x:v>490557</x:v>
      </x:c>
      <x:c r="D10" s="9" t="n">
        <x:v>293047</x:v>
      </x:c>
      <x:c r="E10" s="9" t="n">
        <x:v>490557</x:v>
      </x:c>
      <x:c r="F10" s="9" t="n">
        <x:v>293047</x:v>
      </x:c>
      <x:c r="G10" s="9" t="n">
        <x:v>197510</x:v>
      </x:c>
      <x:c r="H10" s="1"/>
      <x:c r="I10" s="1"/>
    </x:row>
    <x:row r="11" ht="23" customHeight="1">
      <x:c r="A11" s="1" t="str">
        <x:v>32-occupied-rows</x:v>
      </x:c>
      <x:c r="B11" s="9" t="n">
        <x:v>20</x:v>
      </x:c>
      <x:c r="C11" s="9" t="n">
        <x:v>209165</x:v>
      </x:c>
      <x:c r="D11" s="9" t="n">
        <x:v>149856.2</x:v>
      </x:c>
      <x:c r="E11" s="9" t="n">
        <x:v>333501</x:v>
      </x:c>
      <x:c r="F11" s="9" t="n">
        <x:v>213119</x:v>
      </x:c>
      <x:c r="G11" s="9" t="n">
        <x:v>59308.79999999999</x:v>
      </x:c>
      <x:c r="H11" s="1"/>
      <x:c r="I11" s="1"/>
    </x:row>
    <x:row r="12" ht="23" customHeight="1">
      <x:c r="A12" s="1" t="str">
        <x:v>clear-native-rings</x:v>
      </x:c>
      <x:c r="B12" s="9" t="n">
        <x:v>32</x:v>
      </x:c>
      <x:c r="C12" s="9" t="n">
        <x:v>71741</x:v>
      </x:c>
      <x:c r="D12" s="9" t="n">
        <x:v>75</x:v>
      </x:c>
      <x:c r="E12" s="9" t="n">
        <x:v>71741</x:v>
      </x:c>
      <x:c r="F12" s="9" t="n">
        <x:v>75</x:v>
      </x:c>
      <x:c r="G12" s="9" t="n">
        <x:v>71666</x:v>
      </x:c>
      <x:c r="H12" s="1"/>
      <x:c r="I12" s="1"/>
    </x:row>
    <x:row r="13" ht="23" customHeight="1">
      <x:c r="A13" s="1" t="str">
        <x:v>flag-overlap</x:v>
      </x:c>
      <x:c r="B13" s="9" t="n">
        <x:v>256</x:v>
      </x:c>
      <x:c r="C13" s="9" t="n">
        <x:v>73786</x:v>
      </x:c>
      <x:c r="D13" s="9" t="n">
        <x:v>11557</x:v>
      </x:c>
      <x:c r="E13" s="9" t="n">
        <x:v>73786</x:v>
      </x:c>
      <x:c r="F13" s="9" t="n">
        <x:v>11557</x:v>
      </x:c>
      <x:c r="G13" s="9" t="n">
        <x:v>62229</x:v>
      </x:c>
      <x:c r="H13" s="1"/>
      <x:c r="I13" s="1"/>
    </x:row>
    <x:row r="14" ht="23" customHeight="1">
      <x:c r="A14" s="1" t="str">
        <x:v>never-placed</x:v>
      </x:c>
      <x:c r="B14" s="9" t="n">
        <x:v>32</x:v>
      </x:c>
      <x:c r="C14" s="9" t="n">
        <x:v>71741</x:v>
      </x:c>
      <x:c r="D14" s="9" t="n">
        <x:v>75</x:v>
      </x:c>
      <x:c r="E14" s="9" t="n">
        <x:v>71741</x:v>
      </x:c>
      <x:c r="F14" s="9" t="n">
        <x:v>75</x:v>
      </x:c>
      <x:c r="G14" s="9" t="n">
        <x:v>71666</x:v>
      </x:c>
      <x:c r="H14" s="1"/>
      <x:c r="I14" s="1"/>
    </x:row>
    <x:row r="15" ht="23" customHeight="1">
      <x:c r="A15" s="1" t="str">
        <x:v>one-live-row</x:v>
      </x:c>
      <x:c r="B15" s="9" t="n">
        <x:v>1024</x:v>
      </x:c>
      <x:c r="C15" s="9" t="n">
        <x:v>72150</x:v>
      </x:c>
      <x:c r="D15" s="9" t="n">
        <x:v>5937</x:v>
      </x:c>
      <x:c r="E15" s="9" t="n">
        <x:v>72150</x:v>
      </x:c>
      <x:c r="F15" s="9" t="n">
        <x:v>5937</x:v>
      </x:c>
      <x:c r="G15" s="9" t="n">
        <x:v>66213</x:v>
      </x:c>
      <x:c r="H15" s="1"/>
      <x:c r="I15" s="1"/>
    </x:row>
    <x:row r="16" ht="23" customHeight="1">
      <x:c r="A16" s="1" t="str">
        <x:v>reset-metadata</x:v>
      </x:c>
      <x:c r="B16" s="9" t="n">
        <x:v>32</x:v>
      </x:c>
      <x:c r="C16" s="9" t="n">
        <x:v>71741</x:v>
      </x:c>
      <x:c r="D16" s="9" t="n">
        <x:v>75</x:v>
      </x:c>
      <x:c r="E16" s="9" t="n">
        <x:v>71741</x:v>
      </x:c>
      <x:c r="F16" s="9" t="n">
        <x:v>75</x:v>
      </x:c>
      <x:c r="G16" s="9" t="n">
        <x:v>71666</x:v>
      </x:c>
      <x:c r="H16" s="1"/>
      <x:c r="I16" s="1"/>
    </x:row>
    <x:row r="17" ht="23" customHeight="1">
      <x:c r="A17" s="1" t="str">
        <x:v>single-cell-retirement</x:v>
      </x:c>
      <x:c r="B17" s="9" t="n">
        <x:v>256</x:v>
      </x:c>
      <x:c r="C17" s="9" t="n">
        <x:v>75013</x:v>
      </x:c>
      <x:c r="D17" s="9" t="n">
        <x:v>12181</x:v>
      </x:c>
      <x:c r="E17" s="9" t="n">
        <x:v>75013</x:v>
      </x:c>
      <x:c r="F17" s="9" t="n">
        <x:v>12181</x:v>
      </x:c>
      <x:c r="G17" s="9" t="n">
        <x:v>62832</x:v>
      </x:c>
      <x:c r="H17" s="1"/>
      <x:c r="I17" s="1"/>
    </x:row>
    <x:row r="18" ht="23" customHeight="1">
      <x:c r="A18" s="1" t="str">
        <x:v>three-live-rows</x:v>
      </x:c>
      <x:c r="B18" s="9" t="n">
        <x:v>256</x:v>
      </x:c>
      <x:c r="C18" s="9" t="n">
        <x:v>75422</x:v>
      </x:c>
      <x:c r="D18" s="9" t="n">
        <x:v>12389</x:v>
      </x:c>
      <x:c r="E18" s="9" t="n">
        <x:v>75422</x:v>
      </x:c>
      <x:c r="F18" s="9" t="n">
        <x:v>12389</x:v>
      </x:c>
      <x:c r="G18" s="9" t="n">
        <x:v>63033</x:v>
      </x:c>
      <x:c r="H18" s="1"/>
      <x:c r="I18" s="1"/>
    </x:row>
    <x:row r="19" ht="23" customHeight="1">
      <x:c r="A19" s="1" t="str">
        <x:v>three-retired-rows</x:v>
      </x:c>
      <x:c r="B19" s="9" t="n">
        <x:v>256</x:v>
      </x:c>
      <x:c r="C19" s="9" t="n">
        <x:v>71741</x:v>
      </x:c>
      <x:c r="D19" s="9" t="n">
        <x:v>10604</x:v>
      </x:c>
      <x:c r="E19" s="9" t="n">
        <x:v>71741</x:v>
      </x:c>
      <x:c r="F19" s="9" t="n">
        <x:v>10604</x:v>
      </x:c>
      <x:c r="G19" s="9" t="n">
        <x:v>61137</x:v>
      </x:c>
      <x:c r="H19" s="1"/>
      <x:c r="I19" s="1"/>
    </x:row>
    <x:row r="20" ht="23" customHeight="1">
      <x:c r="A20" s="1" t="str">
        <x:v>wrapped-placement-counter</x:v>
      </x:c>
      <x:c r="B20" s="9" t="n">
        <x:v>32</x:v>
      </x:c>
      <x:c r="C20" s="9" t="n">
        <x:v>72150</x:v>
      </x:c>
      <x:c r="D20" s="9" t="n">
        <x:v>5937</x:v>
      </x:c>
      <x:c r="E20" s="9" t="n">
        <x:v>72150</x:v>
      </x:c>
      <x:c r="F20" s="9" t="n">
        <x:v>5937</x:v>
      </x:c>
      <x:c r="G20" s="9" t="n">
        <x:v>66213</x:v>
      </x:c>
      <x:c r="H20" s="1"/>
      <x:c r="I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</x:row>
    <x:row r="23" ht="23" customHeight="1">
      <x:c r="A23" s="17" t="str">
        <x:v>Inclusive entry-to-return cycles, no IRQ/synchronization. Marker hook costs remain in the JSON ledger.</x:v>
      </x:c>
      <x:c r="B23" s="1"/>
      <x:c r="C23" s="1"/>
      <x:c r="D23" s="1"/>
      <x:c r="E23" s="1"/>
      <x:c r="F23" s="1"/>
      <x:c r="G23" s="1"/>
      <x:c r="H23" s="1"/>
      <x:c r="I23" s="1"/>
    </x:row>
    <x:row r="24" ht="23" customHeight="1">
      <x:c r="A24" s="17" t="str">
        <x:v>Native ring bytes and output order are exact; dense rows have a small bookkeeping overhead.</x:v>
      </x:c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7" t="str">
        <x:v>Do not add this helper to its Game_RingPatch parent cost. Integrated calls are cadence/workload dependent.</x:v>
      </x:c>
      <x:c r="B25" s="1"/>
      <x:c r="C25" s="1"/>
      <x:c r="D25" s="1"/>
      <x:c r="E25" s="1"/>
      <x:c r="F25" s="1"/>
      <x:c r="G25" s="1"/>
      <x:c r="H25" s="1"/>
      <x:c r="I25" s="1"/>
    </x:row>
    <x:row r="26" ht="23" customHeight="1">
      <x:c r="A26" s="17"/>
      <x:c r="B26" s="1"/>
      <x:c r="C26" s="1"/>
      <x:c r="D26" s="1"/>
      <x:c r="E26" s="1"/>
      <x:c r="F26" s="1"/>
      <x:c r="G26" s="1"/>
      <x:c r="H26" s="1"/>
      <x:c r="I26" s="1"/>
    </x:row>
    <x:row r="27" ht="23" customHeight="1">
      <x:c r="A27" s="17" t="str">
        <x:v>Probe ROM SHA256: 22b4cf80c19f5fc954cd6e17788f6e663600ea6cf779848ede9e07f5eca7d4d6</x:v>
      </x:c>
      <x:c r="B27" s="1"/>
      <x:c r="C27" s="1"/>
      <x:c r="D27" s="1"/>
      <x:c r="E27" s="1"/>
      <x:c r="F27" s="1"/>
      <x:c r="G27" s="1"/>
      <x:c r="H27" s="1"/>
      <x:c r="I27" s="1"/>
    </x:row>
    <x:row r="28" ht="23" customHeight="1">
      <x:c r="A28" s="17" t="str">
        <x:v>Helper source SHA256: 387fd9f6518fa0c5b24a8b35b6a53ab04f5498d2318b2ea36ebd8dac5cd1ae93</x:v>
      </x:c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7" hidden="0" customWidth="1"/>
    <x:col min="2" max="2" width="21" hidden="0" customWidth="1"/>
    <x:col min="3" max="3" width="22" hidden="0" customWidth="1"/>
    <x:col min="4" max="4" width="22" hidden="0" customWidth="1"/>
    <x:col min="5" max="5" width="24" hidden="0" customWidth="1"/>
    <x:col min="6" max="6" width="24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23" customHeight="1">
      <x:c r="A2" s="2" t="str">
        <x:v>Changed-cell name publication</x:v>
      </x:c>
      <x:c r="B2" s="1"/>
      <x:c r="C2" s="1"/>
      <x:c r="D2" s="1"/>
      <x:c r="E2" s="1"/>
      <x:c r="F2" s="1"/>
      <x:c r="G2" s="1"/>
      <x:c r="H2" s="1"/>
      <x:c r="I2" s="1"/>
    </x:row>
    <x:row r="3" ht="23" customHeight="1">
      <x:c r="A3" s="1" t="str">
        <x:v>1352 cases, 2704 back-buffer phases, 5171 mark calls; byte-exact RAM/VRAM checks.</x:v>
      </x:c>
      <x:c r="B3" s="1"/>
      <x:c r="C3" s="1"/>
      <x:c r="D3" s="1"/>
      <x:c r="E3" s="1"/>
      <x:c r="F3" s="1"/>
      <x:c r="G3" s="1"/>
      <x:c r="H3" s="1"/>
      <x:c r="I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</x:row>
    <x:row r="5" ht="36" customHeight="1">
      <x:c r="A5" s="7" t="str">
        <x:v>Workload</x:v>
      </x:c>
      <x:c r="B5" s="7" t="str">
        <x:v>Plan mean</x:v>
      </x:c>
      <x:c r="C5" s="7" t="str">
        <x:v>Ring mean</x:v>
      </x:c>
      <x:c r="D5" s="7" t="str">
        <x:v>Dirty upload mean</x:v>
      </x:c>
      <x:c r="E5" s="7" t="str">
        <x:v>Full-refill mean</x:v>
      </x:c>
      <x:c r="F5" s="7" t="str">
        <x:v>Dirty VRAM bytes</x:v>
      </x:c>
      <x:c r="G5" s="7" t="str">
        <x:v>Total saved cycles</x:v>
      </x:c>
      <x:c r="H5" s="1"/>
      <x:c r="I5" s="1"/>
    </x:row>
    <x:row r="6" ht="23" customHeight="1">
      <x:c r="A6" s="1" t="str">
        <x:v>0-groups</x:v>
      </x:c>
      <x:c r="B6" s="9" t="n">
        <x:v>106</x:v>
      </x:c>
      <x:c r="C6" s="9" t="n">
        <x:v>10623.5</x:v>
      </x:c>
      <x:c r="D6" s="9" t="n">
        <x:v>117</x:v>
      </x:c>
      <x:c r="E6" s="9" t="n">
        <x:v>35417</x:v>
      </x:c>
      <x:c r="F6" s="9" t="n">
        <x:v>0</x:v>
      </x:c>
      <x:c r="G6" s="9" t="n">
        <x:f>E6-B6-C6-D6</x:f>
        <x:v>24570.5</x:v>
      </x:c>
      <x:c r="H6" s="1"/>
      <x:c r="I6" s="1"/>
    </x:row>
    <x:row r="7" ht="23" customHeight="1">
      <x:c r="A7" s="1" t="str">
        <x:v>0-groups-duplicates</x:v>
      </x:c>
      <x:c r="B7" s="9" t="n">
        <x:v>106</x:v>
      </x:c>
      <x:c r="C7" s="9" t="n">
        <x:v>13196.5</x:v>
      </x:c>
      <x:c r="D7" s="9" t="n">
        <x:v>117</x:v>
      </x:c>
      <x:c r="E7" s="9" t="n">
        <x:v>37990</x:v>
      </x:c>
      <x:c r="F7" s="9" t="n">
        <x:v>0</x:v>
      </x:c>
      <x:c r="G7" s="9" t="n">
        <x:f>E7-B7-C7-D7</x:f>
        <x:v>24570.5</x:v>
      </x:c>
      <x:c r="H7" s="1"/>
      <x:c r="I7" s="1"/>
    </x:row>
    <x:row r="8" ht="23" customHeight="1">
      <x:c r="A8" s="1" t="str">
        <x:v>1-groups</x:v>
      </x:c>
      <x:c r="B8" s="9" t="n">
        <x:v>144</x:v>
      </x:c>
      <x:c r="C8" s="9" t="n">
        <x:v>10623.5</x:v>
      </x:c>
      <x:c r="D8" s="9" t="n">
        <x:v>918</x:v>
      </x:c>
      <x:c r="E8" s="9" t="n">
        <x:v>35417</x:v>
      </x:c>
      <x:c r="F8" s="9" t="n">
        <x:v>1</x:v>
      </x:c>
      <x:c r="G8" s="9" t="n">
        <x:f>E8-B8-C8-D8</x:f>
        <x:v>23731.5</x:v>
      </x:c>
      <x:c r="H8" s="1"/>
      <x:c r="I8" s="1"/>
    </x:row>
    <x:row r="9" ht="23" customHeight="1">
      <x:c r="A9" s="1" t="str">
        <x:v>1-groups-duplicates</x:v>
      </x:c>
      <x:c r="B9" s="9" t="n">
        <x:v>144</x:v>
      </x:c>
      <x:c r="C9" s="9" t="n">
        <x:v>13196.5</x:v>
      </x:c>
      <x:c r="D9" s="9" t="n">
        <x:v>654</x:v>
      </x:c>
      <x:c r="E9" s="9" t="n">
        <x:v>37990</x:v>
      </x:c>
      <x:c r="F9" s="9" t="n">
        <x:v>0</x:v>
      </x:c>
      <x:c r="G9" s="9" t="n">
        <x:f>E9-B9-C9-D9</x:f>
        <x:v>23995.5</x:v>
      </x:c>
      <x:c r="H9" s="1"/>
      <x:c r="I9" s="1"/>
    </x:row>
    <x:row r="10" ht="23" customHeight="1">
      <x:c r="A10" s="1" t="str">
        <x:v>1024-cells-duplicated</x:v>
      </x:c>
      <x:c r="B10" s="9" t="n">
        <x:v>162</x:v>
      </x:c>
      <x:c r="C10" s="9" t="n">
        <x:v>35417</x:v>
      </x:c>
      <x:c r="D10" s="9" t="n">
        <x:v>3148</x:v>
      </x:c>
      <x:c r="E10" s="9" t="n">
        <x:v>35417</x:v>
      </x:c>
      <x:c r="F10" s="9" t="n">
        <x:v>0</x:v>
      </x:c>
      <x:c r="G10" s="9" t="n">
        <x:f>E10-B10-C10-D10</x:f>
        <x:v>-3310</x:v>
      </x:c>
      <x:c r="H10" s="1"/>
      <x:c r="I10" s="1"/>
    </x:row>
    <x:row r="11" ht="23" customHeight="1">
      <x:c r="A11" s="1" t="str">
        <x:v>127-groups</x:v>
      </x:c>
      <x:c r="B11" s="9" t="n">
        <x:v>162</x:v>
      </x:c>
      <x:c r="C11" s="9" t="n">
        <x:v>35417</x:v>
      </x:c>
      <x:c r="D11" s="9" t="n">
        <x:v>3148</x:v>
      </x:c>
      <x:c r="E11" s="9" t="n">
        <x:v>35417</x:v>
      </x:c>
      <x:c r="F11" s="9" t="n">
        <x:v>0</x:v>
      </x:c>
      <x:c r="G11" s="9" t="n">
        <x:f>E11-B11-C11-D11</x:f>
        <x:v>-3310</x:v>
      </x:c>
      <x:c r="H11" s="1"/>
      <x:c r="I11" s="1"/>
    </x:row>
    <x:row r="12" ht="23" customHeight="1">
      <x:c r="A12" s="1" t="str">
        <x:v>127-groups-duplicates</x:v>
      </x:c>
      <x:c r="B12" s="9" t="n">
        <x:v>162</x:v>
      </x:c>
      <x:c r="C12" s="9" t="n">
        <x:v>37990</x:v>
      </x:c>
      <x:c r="D12" s="9" t="n">
        <x:v>3148</x:v>
      </x:c>
      <x:c r="E12" s="9" t="n">
        <x:v>37990</x:v>
      </x:c>
      <x:c r="F12" s="9" t="n">
        <x:v>0</x:v>
      </x:c>
      <x:c r="G12" s="9" t="n">
        <x:f>E12-B12-C12-D12</x:f>
        <x:v>-3310</x:v>
      </x:c>
      <x:c r="H12" s="1"/>
      <x:c r="I12" s="1"/>
    </x:row>
    <x:row r="13" ht="23" customHeight="1">
      <x:c r="A13" s="1" t="str">
        <x:v>128-groups</x:v>
      </x:c>
      <x:c r="B13" s="9" t="n">
        <x:v>162</x:v>
      </x:c>
      <x:c r="C13" s="9" t="n">
        <x:v>35417</x:v>
      </x:c>
      <x:c r="D13" s="9" t="n">
        <x:v>3148</x:v>
      </x:c>
      <x:c r="E13" s="9" t="n">
        <x:v>35417</x:v>
      </x:c>
      <x:c r="F13" s="9" t="n">
        <x:v>0</x:v>
      </x:c>
      <x:c r="G13" s="9" t="n">
        <x:f>E13-B13-C13-D13</x:f>
        <x:v>-3310</x:v>
      </x:c>
      <x:c r="H13" s="1"/>
      <x:c r="I13" s="1"/>
    </x:row>
    <x:row r="14" ht="23" customHeight="1">
      <x:c r="A14" s="1" t="str">
        <x:v>128-groups-duplicates</x:v>
      </x:c>
      <x:c r="B14" s="9" t="n">
        <x:v>162</x:v>
      </x:c>
      <x:c r="C14" s="9" t="n">
        <x:v>37990</x:v>
      </x:c>
      <x:c r="D14" s="9" t="n">
        <x:v>3148</x:v>
      </x:c>
      <x:c r="E14" s="9" t="n">
        <x:v>37990</x:v>
      </x:c>
      <x:c r="F14" s="9" t="n">
        <x:v>0</x:v>
      </x:c>
      <x:c r="G14" s="9" t="n">
        <x:f>E14-B14-C14-D14</x:f>
        <x:v>-3310</x:v>
      </x:c>
      <x:c r="H14" s="1"/>
      <x:c r="I14" s="1"/>
    </x:row>
    <x:row r="15" ht="23" customHeight="1">
      <x:c r="A15" s="1" t="str">
        <x:v>23-groups</x:v>
      </x:c>
      <x:c r="B15" s="9" t="n">
        <x:v>144</x:v>
      </x:c>
      <x:c r="C15" s="9" t="n">
        <x:v>10623.5</x:v>
      </x:c>
      <x:c r="D15" s="9" t="n">
        <x:v>24386</x:v>
      </x:c>
      <x:c r="E15" s="9" t="n">
        <x:v>35417</x:v>
      </x:c>
      <x:c r="F15" s="9" t="n">
        <x:v>18</x:v>
      </x:c>
      <x:c r="G15" s="9" t="n">
        <x:f>E15-B15-C15-D15</x:f>
        <x:v>263.5</x:v>
      </x:c>
      <x:c r="H15" s="1"/>
      <x:c r="I15" s="1"/>
    </x:row>
    <x:row r="16" ht="23" customHeight="1">
      <x:c r="A16" s="1" t="str">
        <x:v>23-groups-duplicates</x:v>
      </x:c>
      <x:c r="B16" s="9" t="n">
        <x:v>144</x:v>
      </x:c>
      <x:c r="C16" s="9" t="n">
        <x:v>13196.5</x:v>
      </x:c>
      <x:c r="D16" s="9" t="n">
        <x:v>23622</x:v>
      </x:c>
      <x:c r="E16" s="9" t="n">
        <x:v>37990</x:v>
      </x:c>
      <x:c r="F16" s="9" t="n">
        <x:v>15</x:v>
      </x:c>
      <x:c r="G16" s="9" t="n">
        <x:f>E16-B16-C16-D16</x:f>
        <x:v>1027.5</x:v>
      </x:c>
      <x:c r="H16" s="1"/>
      <x:c r="I16" s="1"/>
    </x:row>
    <x:row r="17" ht="23" customHeight="1">
      <x:c r="A17" s="1" t="str">
        <x:v>24-groups</x:v>
      </x:c>
      <x:c r="B17" s="9" t="n">
        <x:v>162</x:v>
      </x:c>
      <x:c r="C17" s="9" t="n">
        <x:v>35417</x:v>
      </x:c>
      <x:c r="D17" s="9" t="n">
        <x:v>3148</x:v>
      </x:c>
      <x:c r="E17" s="9" t="n">
        <x:v>35417</x:v>
      </x:c>
      <x:c r="F17" s="9" t="n">
        <x:v>0</x:v>
      </x:c>
      <x:c r="G17" s="9" t="n">
        <x:f>E17-B17-C17-D17</x:f>
        <x:v>-3310</x:v>
      </x:c>
      <x:c r="H17" s="1"/>
      <x:c r="I17" s="1"/>
    </x:row>
    <x:row r="18" ht="23" customHeight="1">
      <x:c r="A18" s="1" t="str">
        <x:v>24-groups-duplicates</x:v>
      </x:c>
      <x:c r="B18" s="9" t="n">
        <x:v>162</x:v>
      </x:c>
      <x:c r="C18" s="9" t="n">
        <x:v>37990</x:v>
      </x:c>
      <x:c r="D18" s="9" t="n">
        <x:v>3148</x:v>
      </x:c>
      <x:c r="E18" s="9" t="n">
        <x:v>37990</x:v>
      </x:c>
      <x:c r="F18" s="9" t="n">
        <x:v>0</x:v>
      </x:c>
      <x:c r="G18" s="9" t="n">
        <x:f>E18-B18-C18-D18</x:f>
        <x:v>-3310</x:v>
      </x:c>
      <x:c r="H18" s="1"/>
      <x:c r="I18" s="1"/>
    </x:row>
    <x:row r="19" ht="23" customHeight="1">
      <x:c r="A19" s="1" t="str">
        <x:v>all-byte-masks</x:v>
      </x:c>
      <x:c r="B19" s="9" t="n">
        <x:v>144</x:v>
      </x:c>
      <x:c r="C19" s="9" t="n">
        <x:v>10620.5</x:v>
      </x:c>
      <x:c r="D19" s="9" t="n">
        <x:v>2760.58431372549</x:v>
      </x:c>
      <x:c r="E19" s="9" t="n">
        <x:v>35414</x:v>
      </x:c>
      <x:c r="F19" s="9" t="n">
        <x:v>4.015686274509804</x:v>
      </x:c>
      <x:c r="G19" s="9" t="n">
        <x:f>E19-B19-C19-D19</x:f>
        <x:v>21888.91568627451</x:v>
      </x:c>
      <x:c r="H19" s="1"/>
      <x:c r="I19" s="1"/>
    </x:row>
    <x:row r="20" ht="23" customHeight="1">
      <x:c r="A20" s="1" t="str">
        <x:v>camera-transitions</x:v>
      </x:c>
      <x:c r="B20" s="9" t="n">
        <x:v>146.59259259259258</x:v>
      </x:c>
      <x:c r="C20" s="9" t="n">
        <x:v>20022.444444444445</x:v>
      </x:c>
      <x:c r="D20" s="9" t="n">
        <x:v>2846.222222222222</x:v>
      </x:c>
      <x:c r="E20" s="9" t="n">
        <x:v>35416</x:v>
      </x:c>
      <x:c r="F20" s="9" t="n">
        <x:v>1.5925925925925926</x:v>
      </x:c>
      <x:c r="G20" s="9" t="n">
        <x:f>E20-B20-C20-D20</x:f>
        <x:v>12400.74074074074</x:v>
      </x:c>
      <x:c r="H20" s="1"/>
      <x:c r="I20" s="1"/>
    </x:row>
    <x:row r="21" ht="23" customHeight="1">
      <x:c r="A21" s="1" t="str">
        <x:v>first-plane-unseen</x:v>
      </x:c>
      <x:c r="B21" s="9" t="n">
        <x:v>161.5</x:v>
      </x:c>
      <x:c r="C21" s="9" t="n">
        <x:v>25592</x:v>
      </x:c>
      <x:c r="D21" s="9" t="n">
        <x:v>2033</x:v>
      </x:c>
      <x:c r="E21" s="9" t="n">
        <x:v>37990</x:v>
      </x:c>
      <x:c r="F21" s="9" t="n">
        <x:v>0.5</x:v>
      </x:c>
      <x:c r="G21" s="9" t="n">
        <x:f>E21-B21-C21-D21</x:f>
        <x:v>10203.5</x:v>
      </x:c>
      <x:c r="H21" s="1"/>
      <x:c r="I21" s="1"/>
    </x:row>
    <x:row r="22" ht="23" customHeight="1">
      <x:c r="A22" s="1" t="str">
        <x:v>second-plane-unseen</x:v>
      </x:c>
      <x:c r="B22" s="9" t="n">
        <x:v>161.5</x:v>
      </x:c>
      <x:c r="C22" s="9" t="n">
        <x:v>25594.5</x:v>
      </x:c>
      <x:c r="D22" s="9" t="n">
        <x:v>2033</x:v>
      </x:c>
      <x:c r="E22" s="9" t="n">
        <x:v>37990</x:v>
      </x:c>
      <x:c r="F22" s="9" t="n">
        <x:v>0.5</x:v>
      </x:c>
      <x:c r="G22" s="9" t="n">
        <x:f>E22-B22-C22-D22</x:f>
        <x:v>10201</x:v>
      </x:c>
      <x:c r="H22" s="1"/>
      <x:c r="I22" s="1"/>
    </x:row>
    <x:row r="23" ht="23" customHeight="1">
      <x:c r="A23" s="1" t="str">
        <x:v>single</x:v>
      </x:c>
      <x:c r="B23" s="9" t="n">
        <x:v>150.97265625</x:v>
      </x:c>
      <x:c r="C23" s="9" t="n">
        <x:v>16077.33203125</x:v>
      </x:c>
      <x:c r="D23" s="9" t="n">
        <x:v>1635</x:v>
      </x:c>
      <x:c r="E23" s="9" t="n">
        <x:v>35931.501953125</x:v>
      </x:c>
      <x:c r="F23" s="9" t="n">
        <x:v>0.5048828125</x:v>
      </x:c>
      <x:c r="G23" s="9" t="n">
        <x:f>E23-B23-C23-D23</x:f>
        <x:v>18068.197265625</x:v>
      </x:c>
      <x:c r="H23" s="1"/>
      <x:c r="I23" s="1"/>
    </x:row>
    <x:row r="24" ht="23" customHeight="1">
      <x:c r="A24" s="1" t="str">
        <x:v>unseen-empty</x:v>
      </x:c>
      <x:c r="B24" s="9" t="n">
        <x:v>106</x:v>
      </x:c>
      <x:c r="C24" s="9" t="n">
        <x:v>37990</x:v>
      </x:c>
      <x:c r="D24" s="9" t="n">
        <x:v>117</x:v>
      </x:c>
      <x:c r="E24" s="9" t="n">
        <x:v>37990</x:v>
      </x:c>
      <x:c r="F24" s="9" t="n">
        <x:v>0</x:v>
      </x:c>
      <x:c r="G24" s="9" t="n">
        <x:f>E24-B24-C24-D24</x:f>
        <x:v>-223</x:v>
      </x:c>
      <x:c r="H24" s="1"/>
      <x:c r="I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</x:row>
    <x:row r="27" ht="23" customHeight="1">
      <x:c r="A27" s="1" t="str">
        <x:v>Disjoint plan + ring + upload can be summed here; Mark runs during the parent patch and is listed separately in JSON.</x:v>
      </x:c>
      <x:c r="B27" s="1"/>
      <x:c r="C27" s="1"/>
      <x:c r="D27" s="1"/>
      <x:c r="E27" s="1"/>
      <x:c r="F27" s="1"/>
      <x:c r="G27" s="1"/>
      <x:c r="H27" s="1"/>
      <x:c r="I27" s="1"/>
    </x:row>
    <x:row r="28" ht="23" customHeight="1">
      <x:c r="A28" s="1" t="str">
        <x:v>24+ dirty groups use full sequential refill; no duplicate dirty upload. 23 scattered groups can cost more than a refill.</x:v>
      </x:c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 t="str">
        <x:v>Synthetic worst cases are not native workload rates; full-page data, all wraps, duplicate marks and both buffers are checked.</x:v>
      </x:c>
      <x:c r="B29" s="1"/>
      <x:c r="C29" s="1"/>
      <x:c r="D29" s="1"/>
      <x:c r="E29" s="1"/>
      <x:c r="F29" s="1"/>
      <x:c r="G29" s="1"/>
      <x:c r="H29" s="1"/>
      <x:c r="I29" s="1"/>
    </x:row>
    <x:row r="30" ht="23" customHeight="1">
      <x:c r="A30" s="1" t="str">
        <x:v>Probe ROM SHA256: a9d117b630294c5402aac7e0c9a6dd981a0faa161b7db118871c7eac2ed07ea5</x:v>
      </x:c>
      <x:c r="B30" s="1"/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</x:row>
  </x:sheetData>
  <x:pageMargins left="0.7" right="0.7" top="0.75" bottom="0.75" header="0.3" footer="0.3"/>
</x:worksheet>
</file>