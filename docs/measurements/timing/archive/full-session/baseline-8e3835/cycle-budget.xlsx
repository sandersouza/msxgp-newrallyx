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e81f3e353d40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a745eb32b1408b"/>
    <x:sheet xmlns:r="http://schemas.openxmlformats.org/officeDocument/2006/relationships" name="Routines" sheetId="2" r:id="Rb985555b5458409a"/>
    <x:sheet xmlns:r="http://schemas.openxmlformats.org/officeDocument/2006/relationships" name="Raster" sheetId="3" r:id="R880254b023784945"/>
    <x:sheet xmlns:r="http://schemas.openxmlformats.org/officeDocument/2006/relationships" name="Frames" sheetId="4" r:id="R137d56fdd50c4b1a"/>
    <x:sheet xmlns:r="http://schemas.openxmlformats.org/officeDocument/2006/relationships" name="Events" sheetId="5" r:id="R64e455a6c30a4d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"/>
    <x:numFmt numFmtId="201" formatCode="0"/>
    <x:numFmt numFmtId="202" formatCode="#,##0"/>
    <x:numFmt numFmtId="203" formatCode="#,##0.0"/>
    <x:numFmt numFmtId="204" formatCode="0.0%"/>
    <x:numFmt numFmtId="205" formatCode="0.00&quot;x&quot;"/>
    <x:numFmt numFmtId="206" formatCode="0.0"/>
  </x:numFmts>
  <x:fonts count="4">
    <x:font>
      <x:sz val="11"/>
      <x:name val="Carlito"/>
    </x:font>
    <x:font>
      <x:sz val="10"/>
      <x:color rgb="FF20344A"/>
      <x:name val="Arial"/>
    </x:font>
    <x:font>
      <x:b/>
      <x:sz val="15"/>
      <x:color rgb="FF20344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3e8a36b00440a0" /><Relationship Type="http://schemas.openxmlformats.org/officeDocument/2006/relationships/theme" Target="/xl/theme/theme1.xml" Id="R7202c1281fd14e15" /><Relationship Type="http://schemas.openxmlformats.org/officeDocument/2006/relationships/sharedStrings" Target="/xl/sharedStrings.xml" Id="R3d9424cd5ca74775" /><Relationship Type="http://schemas.openxmlformats.org/officeDocument/2006/relationships/worksheet" Target="/xl/worksheets/sheet1.xml" Id="R14a745eb32b1408b" /><Relationship Type="http://schemas.openxmlformats.org/officeDocument/2006/relationships/worksheet" Target="/xl/worksheets/sheet2.xml" Id="Rb985555b5458409a" /><Relationship Type="http://schemas.openxmlformats.org/officeDocument/2006/relationships/worksheet" Target="/xl/worksheets/sheet3.xml" Id="R880254b023784945" /><Relationship Type="http://schemas.openxmlformats.org/officeDocument/2006/relationships/worksheet" Target="/xl/worksheets/sheet4.xml" Id="R137d56fdd50c4b1a" /><Relationship Type="http://schemas.openxmlformats.org/officeDocument/2006/relationships/worksheet" Target="/xl/worksheets/sheet5.xml" Id="R64e455a6c30a4d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6" hidden="0" customWidth="1"/>
    <x:col min="4" max="4" width="79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Full session: three native enemies</x:v>
      </x:c>
      <x:c r="B2" s="2"/>
      <x:c r="C2" s="2"/>
      <x:c r="D2" s="2"/>
    </x:row>
    <x:row r="3" ht="24" customHeight="1">
      <x:c r="A3" s="2" t="str">
        <x:v>RND4, layout1; active endpoints exclude death, bonus and menus.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6" customHeight="1">
      <x:c r="A5" s="7" t="str">
        <x:v>Measure</x:v>
      </x:c>
      <x:c r="B5" s="7" t="str">
        <x:v>Result</x:v>
      </x:c>
      <x:c r="C5" s="7" t="str">
        <x:v>Unit</x:v>
      </x:c>
      <x:c r="D5" s="7" t="str">
        <x:v>Scope</x:v>
      </x:c>
    </x:row>
    <x:row r="6" ht="24" customHeight="1">
      <x:c r="A6" s="2" t="str">
        <x:v>Active presentations</x:v>
      </x:c>
      <x:c r="B6" s="9" t="n">
        <x:f>COUNT('Frames'!A6:A251)</x:f>
        <x:v>246</x:v>
      </x:c>
      <x:c r="C6" s="2" t="str">
        <x:v>frames</x:v>
      </x:c>
      <x:c r="D6" s="2" t="str">
        <x:v>Both endpoints active; no population override</x:v>
      </x:c>
    </x:row>
    <x:row r="7" ht="24" customHeight="1">
      <x:c r="A7" s="2" t="str">
        <x:v>Active duration</x:v>
      </x:c>
      <x:c r="B7" s="8" t="n">
        <x:f>SUM('Frames'!C6:C251)/$B$20</x:f>
        <x:v>8.258980959870604</x:v>
      </x:c>
      <x:c r="C7" s="2" t="str">
        <x:v>s</x:v>
      </x:c>
      <x:c r="D7" s="2" t="str">
        <x:v>Sum of active presentation intervals</x:v>
      </x:c>
    </x:row>
    <x:row r="8" ht="24" customHeight="1">
      <x:c r="A8" s="2" t="str">
        <x:v>Presentation rate</x:v>
      </x:c>
      <x:c r="B8" s="8" t="n">
        <x:f>B6/B7</x:f>
        <x:v>29.785757007466714</x:v>
      </x:c>
      <x:c r="C8" s="2" t="str">
        <x:v>FPS</x:v>
      </x:c>
      <x:c r="D8" s="2" t="str">
        <x:v>Short directional sample; not a complete phase</x:v>
      </x:c>
    </x:row>
    <x:row r="9" ht="24" customHeight="1">
      <x:c r="A9" s="2" t="str">
        <x:v>Mean CPU work</x:v>
      </x:c>
      <x:c r="B9" s="8" t="n">
        <x:f>AVERAGE('Frames'!D6:D251)/$B$20*1000</x:f>
        <x:v>23.085497524342458</x:v>
      </x:c>
      <x:c r="C9" s="2" t="str">
        <x:v>ms/frame</x:v>
      </x:c>
      <x:c r="D9" s="2" t="str">
        <x:v>Logic, drawing and publication; synchronization excluded</x:v>
      </x:c>
    </x:row>
    <x:row r="10" ht="24" customHeight="1">
      <x:c r="A10" s="2" t="str">
        <x:v>Late presentations</x:v>
      </x:c>
      <x:c r="B10" s="9" t="n">
        <x:f>COUNTIF('Frames'!B6:B251,"&gt;2")</x:f>
        <x:v>3</x:v>
      </x:c>
      <x:c r="C10" s="2" t="str">
        <x:v>frames</x:v>
      </x:c>
      <x:c r="D10" s="2" t="str">
        <x:v>Three refreshes instead of two</x:v>
      </x:c>
    </x:row>
    <x:row r="11" ht="24" customHeight="1">
      <x:c r="A11" s="2" t="str">
        <x:v>Physical refresh</x:v>
      </x:c>
      <x:c r="B11" s="8" t="n">
        <x:f>$B$20/$B$21</x:f>
        <x:v>59.92274340431231</x:v>
      </x:c>
      <x:c r="C11" s="2" t="str">
        <x:v>Hz</x:v>
      </x:c>
      <x:c r="D11" s="2" t="str">
        <x:v>Physical refresh and presentation rate are separate</x:v>
      </x:c>
    </x:row>
    <x:row r="12" ht="24" customHeight="1">
      <x:c r="A12" s="2" t="str">
        <x:v>Two-refresh cadence</x:v>
      </x:c>
      <x:c r="B12" s="8" t="n">
        <x:f>$B$20/(2*$B$21)</x:f>
        <x:v>29.961371702156153</x:v>
      </x:c>
      <x:c r="C12" s="2" t="str">
        <x:v>FPS</x:v>
      </x:c>
      <x:c r="D12" s="2" t="str">
        <x:v>Physical emulator clock; nominal target remains29.97</x:v>
      </x:c>
    </x:row>
    <x:row r="13" ht="24" customHeight="1">
      <x:c r="A13" s="2" t="str">
        <x:v>Physical VBlank</x:v>
      </x:c>
      <x:c r="B13" s="8" t="n">
        <x:f>$B$24/$B$20*1000</x:f>
        <x:v>3.1210670629926427</x:v>
      </x:c>
      <x:c r="C13" s="2" t="str">
        <x:v>ms</x:v>
      </x:c>
      <x:c r="D13" s="2" t="str">
        <x:v>Status2 VR; usable reserve is not established by this</x:v>
      </x:c>
    </x:row>
    <x:row r="14" ht="24" customHeight="1">
      <x:c r="A14" s="2" t="str">
        <x:v>Mean target work margin</x:v>
      </x:c>
      <x:c r="B14" s="8" t="n">
        <x:f>($B$20/$B$22-AVERAGE('Frames'!D6:D251))/$B$20*1000</x:f>
        <x:v>10.281202509024242</x:v>
      </x:c>
      <x:c r="C14" s="2" t="str">
        <x:v>ms</x:v>
      </x:c>
      <x:c r="D14" s="2" t="str">
        <x:v>Average margin does not imply every deadline was met</x:v>
      </x:c>
    </x:row>
    <x:row r="15" ht="24" customHeight="1">
      <x:c r="A15" s="2" t="str">
        <x:v>Worst readiness margin</x:v>
      </x:c>
      <x:c r="B15" s="8" t="n">
        <x:f>MIN('Frames'!E6:E251)/$B$20*1000</x:f>
        <x:v>-12.513694710732333</x:v>
      </x:c>
      <x:c r="C15" s="2" t="str">
        <x:v>ms</x:v>
      </x:c>
      <x:c r="D15" s="2" t="str">
        <x:v>Readiness relative to the second next VBlank edge</x:v>
      </x:c>
    </x:row>
    <x:row r="16" ht="24" customHeight="1">
      <x:c r="A16" s="2"/>
      <x:c r="B16" s="2"/>
      <x:c r="C16" s="2"/>
      <x:c r="D16" s="2"/>
    </x:row>
    <x:row r="17" ht="24" customHeight="1">
      <x:c r="A17" s="2"/>
      <x:c r="B17" s="2"/>
      <x:c r="C17" s="2"/>
      <x:c r="D17" s="2"/>
    </x:row>
    <x:row r="18" ht="24" customHeight="1">
      <x:c r="A18" s="2"/>
      <x:c r="B18" s="2"/>
      <x:c r="C18" s="2"/>
      <x:c r="D18" s="2"/>
    </x:row>
    <x:row r="19" ht="36" customHeight="1">
      <x:c r="A19" s="7" t="str">
        <x:v>Clock / assumption</x:v>
      </x:c>
      <x:c r="B19" s="7" t="str">
        <x:v>Cycles or rate</x:v>
      </x:c>
      <x:c r="C19" s="7" t="str">
        <x:v>Unit</x:v>
      </x:c>
      <x:c r="D19" s="7" t="str">
        <x:v>Evidence</x:v>
      </x:c>
    </x:row>
    <x:row r="20" ht="24" customHeight="1">
      <x:c r="A20" s="2" t="str">
        <x:v>Z80 clock</x:v>
      </x:c>
      <x:c r="B20" s="2" t="n">
        <x:v>3579545</x:v>
      </x:c>
      <x:c r="C20" s="2" t="str">
        <x:v>Hz</x:v>
      </x:c>
      <x:c r="D20" s="2" t="str">
        <x:v>Locked, turbo disabled</x:v>
      </x:c>
    </x:row>
    <x:row r="21" ht="24" customHeight="1">
      <x:c r="A21" s="2" t="str">
        <x:v>Physical refresh</x:v>
      </x:c>
      <x:c r="B21" s="2" t="n">
        <x:v>59736</x:v>
      </x:c>
      <x:c r="C21" s="2" t="str">
        <x:v>cycles</x:v>
      </x:c>
      <x:c r="D21" s="2" t="str">
        <x:v>262 lines x228 cycles</x:v>
      </x:c>
    </x:row>
    <x:row r="22" ht="24" customHeight="1">
      <x:c r="A22" s="2" t="str">
        <x:v>Nominal presentation target</x:v>
      </x:c>
      <x:c r="B22" s="2" t="n">
        <x:v>29.97</x:v>
      </x:c>
      <x:c r="C22" s="2" t="str">
        <x:v>FPS</x:v>
      </x:c>
      <x:c r="D22" s="2" t="str">
        <x:v>Requested target; distinct from physical two-refresh rate</x:v>
      </x:c>
    </x:row>
    <x:row r="23" ht="24" customHeight="1">
      <x:c r="A23" s="2" t="str">
        <x:v>Usable VBlank reserve</x:v>
      </x:c>
      <x:c r="B23" s="2" t="n">
        <x:v>5000</x:v>
      </x:c>
      <x:c r="C23" s="2" t="str">
        <x:v>cycles</x:v>
      </x:c>
      <x:c r="D23" s="2" t="str">
        <x:v>Planning assumption, not a measured hardware limit</x:v>
      </x:c>
    </x:row>
    <x:row r="24" ht="24" customHeight="1">
      <x:c r="A24" s="2" t="str">
        <x:v>Physical VR interval</x:v>
      </x:c>
      <x:c r="B24" s="2" t="n">
        <x:v>11172</x:v>
      </x:c>
      <x:c r="C24" s="2" t="str">
        <x:v>cycles</x:v>
      </x:c>
      <x:c r="D24" s="2" t="str">
        <x:v>Every measured endpoint checked against native VDP status2</x:v>
      </x:c>
    </x:row>
    <x:row r="25" ht="24" customHeight="1">
      <x:c r="A25" s="2"/>
      <x:c r="B25" s="2"/>
      <x:c r="C25" s="2"/>
      <x:c r="D25" s="2"/>
    </x:row>
    <x:row r="26" ht="24" customHeight="1">
      <x:c r="A26" s="2"/>
      <x:c r="B26" s="2"/>
      <x:c r="C26" s="2"/>
      <x:c r="D26" s="2"/>
    </x:row>
    <x:row r="27" ht="24" customHeight="1">
      <x:c r="A27" s="2" t="str">
        <x:v>Measured ROM SHA256</x:v>
      </x:c>
      <x:c r="B27" s="2"/>
      <x:c r="C27" s="2"/>
      <x:c r="D27" s="2"/>
    </x:row>
    <x:row r="28" ht="24" customHeight="1">
      <x:c r="A28" s="2" t="str">
        <x:v>8e38359a68fb8e17621f5e40229c91a0f919596526dcc1c12e5a2c96634e7c5b</x:v>
      </x:c>
      <x:c r="B28" s="2"/>
      <x:c r="C28" s="2"/>
      <x:c r="D28" s="2"/>
    </x:row>
    <x:row r="29" ht="24" customHeight="1">
      <x:c r="A29" s="2"/>
      <x:c r="B29" s="2"/>
      <x:c r="C29" s="2"/>
      <x:c r="D29" s="2"/>
    </x:row>
    <x:row r="30" ht="24" customHeight="1">
      <x:c r="A30" s="2" t="str">
        <x:v>Source revision: 6d562a791b0cc242119a31dd686ff8e93eb94fe0</x:v>
      </x:c>
      <x:c r="B30" s="2"/>
      <x:c r="C30" s="2"/>
      <x:c r="D30" s="2"/>
    </x:row>
    <x:row r="31" ht="24" customHeight="1">
      <x:c r="A31" s="2" t="str">
        <x:v>Panasonic_FS-A1WSX_NR128; openMSX 21.0; HUD/audio and real sprite limits enabled.</x:v>
      </x:c>
      <x:c r="B31" s="2"/>
      <x:c r="C31" s="2"/>
      <x:c r="D31" s="2"/>
    </x:row>
    <x:row r="32" ht="24" customHeight="1">
      <x:c r="A32" s="2" t="str">
        <x:v>356 camera/tick states match a run without routine breakpoints; total duration matches within5.01cycles; per-frame observation jitter &lt;=5 cycles</x:v>
      </x:c>
      <x:c r="B32" s="2"/>
      <x:c r="C32" s="2"/>
      <x:c r="D32" s="2"/>
    </x:row>
    <x:row r="33" ht="24" customHeight="1">
      <x:c r="A33" s="2" t="str">
        <x:v>Evidence: /Users/sandersouza/Developer/msx-gamePorts/newrallyx/references/experiments/full-session/profile-59pf9nlk</x:v>
      </x:c>
      <x:c r="B33" s="2"/>
      <x:c r="C33" s="2"/>
      <x:c r="D33" s="2"/>
    </x:row>
    <x:row r="34" ht="24" customHeight="1">
      <x:c r="A34" s="2" t="str">
        <x:v>Original first-stage workbook remains bound to its earlier ROM and workload.</x:v>
      </x:c>
      <x:c r="B34" s="2"/>
      <x:c r="C34" s="2"/>
      <x:c r="D34" s="2"/>
    </x:row>
    <x:row r="35" ht="24" customHeight="1">
      <x:c r="A35" s="2" t="str">
        <x:v>Separate checks: 163 stable graphics states; 54 cold-silence assertions; 16,000 steering refreshes.</x:v>
      </x:c>
      <x:c r="B35" s="2"/>
      <x:c r="C35" s="2"/>
      <x:c r="D35" s="2"/>
    </x:row>
    <x:row r="36" ht="24" customHeight="1">
      <x:c r="A36" s="2"/>
      <x:c r="B36" s="2"/>
      <x:c r="C36" s="2"/>
      <x:c r="D36" s="2"/>
    </x:row>
    <x:row r="37" ht="24" customHeight="1">
      <x:c r="A37" s="2"/>
      <x:c r="B37" s="2"/>
      <x:c r="C37" s="2"/>
      <x:c r="D37" s="2"/>
    </x:row>
    <x:row r="38" ht="36" customHeight="1">
      <x:c r="A38" s="7" t="str">
        <x:v>Measure</x:v>
      </x:c>
      <x:c r="B38" s="7" t="str">
        <x:v>Previous5451bd89</x:v>
      </x:c>
      <x:c r="C38" s="7" t="str">
        <x:v>Current</x:v>
      </x:c>
      <x:c r="D38" s="7" t="str">
        <x:v>Comparison scope</x:v>
      </x:c>
    </x:row>
    <x:row r="39" ht="24" customHeight="1">
      <x:c r="A39" s="2" t="str">
        <x:v>Presentation rate</x:v>
      </x:c>
      <x:c r="B39" s="8" t="n">
        <x:v>28.879552418891517</x:v>
      </x:c>
      <x:c r="C39" s="8" t="n">
        <x:f>B8</x:f>
        <x:v>29.785757007466714</x:v>
      </x:c>
      <x:c r="D39" s="2" t="str">
        <x:v>FPS; same scripted input, trajectories differ</x:v>
      </x:c>
    </x:row>
    <x:row r="40" ht="24" customHeight="1">
      <x:c r="A40" s="2" t="str">
        <x:v>Late presentations</x:v>
      </x:c>
      <x:c r="B40" s="10" t="n">
        <x:v>19</x:v>
      </x:c>
      <x:c r="C40" s="10" t="n">
        <x:f>B10</x:f>
        <x:v>3</x:v>
      </x:c>
      <x:c r="D40" s="2" t="str">
        <x:v>Frames; active/death partitions differ</x:v>
      </x:c>
    </x:row>
    <x:row r="41" ht="24" customHeight="1">
      <x:c r="A41" s="2" t="str">
        <x:v>Mean CPU work</x:v>
      </x:c>
      <x:c r="B41" s="8" t="n">
        <x:v>24.114172575848595</x:v>
      </x:c>
      <x:c r="C41" s="8" t="n">
        <x:f>B9</x:f>
        <x:v>23.085497524342458</x:v>
      </x:c>
      <x:c r="D41" s="2" t="str">
        <x:v>ms/frame; synchronization excluded</x:v>
      </x:c>
    </x:row>
    <x:row r="42" ht="24" customHeight="1">
      <x:c r="A42" s="2" t="str">
        <x:v>Active presentations</x:v>
      </x:c>
      <x:c r="B42" s="10" t="n">
        <x:v>252</x:v>
      </x:c>
      <x:c r="C42" s="10" t="n">
        <x:f>B6</x:f>
        <x:v>246</x:v>
      </x:c>
      <x:c r="D42" s="2" t="str">
        <x:v>frames; short directional samples</x:v>
      </x:c>
    </x:row>
    <x:row r="43" ht="24" customHeight="1">
      <x:c r="A43" s="2" t="str">
        <x:v>Cold video restore</x:v>
      </x:c>
      <x:c r="B43" s="8" t="n">
        <x:v>201.07836929793368</x:v>
      </x:c>
      <x:c r="C43" s="8" t="n">
        <x:f>1508666.928571426/$B$20*1000</x:f>
        <x:v>421.4689097556885</x:v>
      </x:c>
      <x:c r="D43" s="2" t="str">
        <x:v>ms/call; additional prewarm remains in cold transition</x:v>
      </x:c>
    </x:row>
    <x:row r="44" ht="24" customHeight="1">
      <x:c r="A44" s="2" t="str">
        <x:v>ROM bytes</x:v>
      </x:c>
      <x:c r="B44" s="10" t="n">
        <x:v>3932160</x:v>
      </x:c>
      <x:c r="C44" s="10" t="n">
        <x:f>3997696</x:f>
        <x:v>3997696</x:v>
      </x:c>
      <x:c r="D44" s="2" t="str">
        <x:v>bytes; both cartridges remain below the ASCII16 limit</x:v>
      </x:c>
    </x:row>
    <x:row r="45" ht="24" customHeight="1">
      <x:c r="A45" s="2"/>
      <x:c r="B45" s="2"/>
      <x:c r="C45" s="2"/>
      <x:c r="D45" s="2"/>
    </x:row>
    <x:row r="46" ht="24" customHeight="1">
      <x:c r="A46" s="2"/>
      <x:c r="B46" s="2"/>
      <x:c r="C46" s="2"/>
      <x:c r="D46" s="2"/>
    </x:row>
    <x:row r="47" ht="24" customHeight="1">
      <x:c r="A47" s="2"/>
      <x:c r="B47" s="2"/>
      <x:c r="C47" s="2"/>
      <x:c r="D47" s="2"/>
    </x:row>
    <x:row r="48" ht="36" customHeight="1">
      <x:c r="A48" s="7" t="str">
        <x:v>Remaining late frame</x:v>
      </x:c>
      <x:c r="B48" s="7" t="str">
        <x:v>CPU work ms</x:v>
      </x:c>
      <x:c r="C48" s="7" t="str">
        <x:v>Readiness margin ms</x:v>
      </x:c>
      <x:c r="D48" s="7" t="str">
        <x:v>Logic / drawing work</x:v>
      </x:c>
    </x:row>
    <x:row r="49" ht="24" customHeight="1">
      <x:c r="A49" s="2" t="n">
        <x:v>237</x:v>
      </x:c>
      <x:c r="B49" s="8" t="n">
        <x:v>45.041758100544875</x:v>
      </x:c>
      <x:c r="C49" s="8" t="n">
        <x:v>-12.513694710732333</x:v>
      </x:c>
      <x:c r="D49" s="2" t="str">
        <x:v>Game_Prepare 16.130 ms; render 27.736 ms</x:v>
      </x:c>
    </x:row>
    <x:row r="50" ht="24" customHeight="1">
      <x:c r="A50" s="2" t="n">
        <x:v>253</x:v>
      </x:c>
      <x:c r="B50" s="8" t="n">
        <x:v>34.40102024139524</x:v>
      </x:c>
      <x:c r="C50" s="8" t="n">
        <x:v>-1.5184425208590382</x:v>
      </x:c>
      <x:c r="D50" s="2" t="str">
        <x:v>Game_Prepare 10.002 ms; render 23.657 ms</x:v>
      </x:c>
    </x:row>
    <x:row r="51" ht="24" customHeight="1">
      <x:c r="A51" s="2" t="n">
        <x:v>254</x:v>
      </x:c>
      <x:c r="B51" s="8" t="n">
        <x:v>39.27426530466861</x:v>
      </x:c>
      <x:c r="C51" s="8" t="n">
        <x:v>-5.524817632779688</x:v>
      </x:c>
      <x:c r="D51" s="2" t="str">
        <x:v>Game_Prepare 13.518 ms; render 24.580 ms</x:v>
      </x:c>
    </x:row>
    <x:row r="52" ht="24" customHeight="1">
      <x:c r="A52" s="2"/>
      <x:c r="B52" s="8"/>
      <x:c r="C52" s="8"/>
      <x:c r="D52" s="2"/>
    </x:row>
    <x:row r="53" ht="24" customHeight="1">
      <x:c r="A53" s="2"/>
      <x:c r="B53" s="8"/>
      <x:c r="C53" s="8"/>
      <x:c r="D53" s="2"/>
    </x:row>
    <x:row r="54" ht="24" customHeight="1">
      <x:c r="A54" s="2"/>
      <x:c r="B54" s="8"/>
      <x:c r="C54" s="8"/>
      <x:c r="D54" s="2"/>
    </x:row>
    <x:row r="55" ht="24" customHeight="1">
      <x:c r="A55" s="2"/>
      <x:c r="B55" s="2"/>
      <x:c r="C55" s="2"/>
      <x:c r="D5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6" hidden="0" customWidth="1"/>
    <x:col min="18" max="18" width="16" hidden="0" customWidth="1"/>
    <x:col min="19" max="19" width="18" hidden="0" customWidth="1"/>
    <x:col min="20" max="20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3" t="str">
        <x:v>Measured routine costs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Inclusive parents overlap children. Self time subtracts tracked descendants; do not add inclusive rows.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 t="str">
        <x:v>Zero-call rows have no per-call sample; zero frame cost means the hook was not exercised on this route.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6" customHeight="1">
      <x:c r="A5" s="7" t="str">
        <x:v>Routine / hook</x:v>
      </x:c>
      <x:c r="B5" s="7" t="str">
        <x:v>Calls/frame</x:v>
      </x:c>
      <x:c r="C5" s="7" t="str">
        <x:v>Mean incl ms/frame</x:v>
      </x:c>
      <x:c r="D5" s="7" t="str">
        <x:v>P95 incl ms/frame</x:v>
      </x:c>
      <x:c r="E5" s="7" t="str">
        <x:v>Max incl ms/frame</x:v>
      </x:c>
      <x:c r="F5" s="7" t="str">
        <x:v>Self ms/frame</x:v>
      </x:c>
      <x:c r="G5" s="7" t="str">
        <x:v>Mean incl cycles/call</x:v>
      </x:c>
      <x:c r="H5" s="7" t="str">
        <x:v>P95 incl cycles/call</x:v>
      </x:c>
      <x:c r="I5" s="7" t="str">
        <x:v>Max incl cycles/call</x:v>
      </x:c>
      <x:c r="J5" s="7" t="str">
        <x:v>Self cycles/frame</x:v>
      </x:c>
      <x:c r="K5" s="7" t="str">
        <x:v>Mean incl cycles/frame</x:v>
      </x:c>
      <x:c r="L5" s="7" t="str">
        <x:v>P95 incl cycles/frame</x:v>
      </x:c>
      <x:c r="M5" s="7" t="str">
        <x:v>Max incl cycles/frame</x:v>
      </x:c>
      <x:c r="N5" s="7" t="str">
        <x:v>Mean self cycles/call</x:v>
      </x:c>
      <x:c r="O5" s="7" t="str">
        <x:v>P95 self cycles/call</x:v>
      </x:c>
      <x:c r="P5" s="7" t="str">
        <x:v>Max self cycles/call</x:v>
      </x:c>
      <x:c r="Q5" s="7" t="str">
        <x:v>P95 self ms/frame</x:v>
      </x:c>
      <x:c r="R5" s="7" t="str">
        <x:v>Max self ms/frame</x:v>
      </x:c>
      <x:c r="S5" s="7" t="str">
        <x:v>P95 self cycles/frame</x:v>
      </x:c>
      <x:c r="T5" s="7" t="str">
        <x:v>Max self cycles/frame</x:v>
      </x:c>
    </x:row>
    <x:row r="6" ht="24" customHeight="1">
      <x:c r="A6" s="2" t="str">
        <x:v>Game_Prepare</x:v>
      </x:c>
      <x:c r="B6" s="8" t="n">
        <x:v>1</x:v>
      </x:c>
      <x:c r="C6" s="8" t="n">
        <x:f>K6/'Summary'!$B$20*1000</x:f>
        <x:v>10.270985637714222</x:v>
      </x:c>
      <x:c r="D6" s="8" t="n">
        <x:f>L6/'Summary'!$B$20*1000</x:f>
        <x:v>13.518477907104142</x:v>
      </x:c>
      <x:c r="E6" s="8" t="n">
        <x:f>M6/'Summary'!$B$20*1000</x:f>
        <x:v>18.19840231090823</x:v>
      </x:c>
      <x:c r="F6" s="8" t="n">
        <x:f>J6/'Summary'!$B$20*1000</x:f>
        <x:v>0.05028572067077111</x:v>
      </x:c>
      <x:c r="G6" s="12" t="n">
        <x:v>36765.455284551754</x:v>
      </x:c>
      <x:c r="H6" s="12" t="n">
        <x:v>48389.9999999851</x:v>
      </x:c>
      <x:c r="I6" s="12" t="n">
        <x:v>65142</x:v>
      </x:c>
      <x:c r="J6" s="12" t="n">
        <x:v>179.99999999845537</x:v>
      </x:c>
      <x:c r="K6" s="2" t="n">
        <x:v>36765.455284551754</x:v>
      </x:c>
      <x:c r="L6" s="2" t="n">
        <x:v>48389.9999999851</x:v>
      </x:c>
      <x:c r="M6" s="2" t="n">
        <x:v>65142</x:v>
      </x:c>
      <x:c r="N6" s="12" t="n">
        <x:v>179.99999999845537</x:v>
      </x:c>
      <x:c r="O6" s="12" t="n">
        <x:v>180.00000002980232</x:v>
      </x:c>
      <x:c r="P6" s="12" t="n">
        <x:v>180.00000005960464</x:v>
      </x:c>
      <x:c r="Q6" s="8" t="n">
        <x:f>S6/'Summary'!$B$20*1000</x:f>
        <x:v>0.050285720679528356</x:v>
      </x:c>
      <x:c r="R6" s="8" t="n">
        <x:f>T6/'Summary'!$B$20*1000</x:f>
        <x:v>0.050285720687854085</x:v>
      </x:c>
      <x:c r="S6" s="12" t="n">
        <x:v>180.00000002980232</x:v>
      </x:c>
      <x:c r="T6" s="12" t="n">
        <x:v>180.00000005960464</x:v>
      </x:c>
    </x:row>
    <x:row r="7" ht="24" customHeight="1">
      <x:c r="A7" s="2" t="str">
        <x:v>Game_Frame</x:v>
      </x:c>
      <x:c r="B7" s="8" t="n">
        <x:v>1</x:v>
      </x:c>
      <x:c r="C7" s="8" t="n">
        <x:f>K7/'Summary'!$B$20*1000</x:f>
        <x:v>6.880466378936362</x:v>
      </x:c>
      <x:c r="D7" s="8" t="n">
        <x:f>L7/'Summary'!$B$20*1000</x:f>
        <x:v>8.246299459843387</x:v>
      </x:c>
      <x:c r="E7" s="8" t="n">
        <x:f>M7/'Summary'!$B$20*1000</x:f>
        <x:v>12.506896826272612</x:v>
      </x:c>
      <x:c r="F7" s="8" t="n">
        <x:f>J7/'Summary'!$B$20*1000</x:f>
        <x:v>0.45570696198344096</x:v>
      </x:c>
      <x:c r="G7" s="12" t="n">
        <x:v>24628.939024389758</x:v>
      </x:c>
      <x:c r="H7" s="12" t="n">
        <x:v>29517.9999999851</x:v>
      </x:c>
      <x:c r="I7" s="12" t="n">
        <x:v>44769</x:v>
      </x:c>
      <x:c r="J7" s="12" t="n">
        <x:v>1631.2235772330162</x:v>
      </x:c>
      <x:c r="K7" s="2" t="n">
        <x:v>24628.939024389758</x:v>
      </x:c>
      <x:c r="L7" s="2" t="n">
        <x:v>29517.9999999851</x:v>
      </x:c>
      <x:c r="M7" s="2" t="n">
        <x:v>44769</x:v>
      </x:c>
      <x:c r="N7" s="12" t="n">
        <x:v>1631.2235772330162</x:v>
      </x:c>
      <x:c r="O7" s="12" t="n">
        <x:v>1642.9999999701977</x:v>
      </x:c>
      <x:c r="P7" s="12" t="n">
        <x:v>3116.999999985099</x:v>
      </x:c>
      <x:c r="Q7" s="8" t="n">
        <x:f>S7/'Summary'!$B$20*1000</x:f>
        <x:v>0.45899688367381825</x:v>
      </x:c>
      <x:c r="R7" s="8" t="n">
        <x:f>T7/'Summary'!$B$20*1000</x:f>
        <x:v>0.8707810629521626</x:v>
      </x:c>
      <x:c r="S7" s="12" t="n">
        <x:v>1642.9999999701977</x:v>
      </x:c>
      <x:c r="T7" s="12" t="n">
        <x:v>3116.999999985099</x:v>
      </x:c>
    </x:row>
    <x:row r="8" ht="24" customHeight="1">
      <x:c r="A8" s="2" t="str">
        <x:v>Game_LogicTick</x:v>
      </x:c>
      <x:c r="B8" s="8" t="n">
        <x:v>2.0203252032520327</x:v>
      </x:c>
      <x:c r="C8" s="8" t="n">
        <x:f>K8/'Summary'!$B$20*1000</x:f>
        <x:v>4.679983456588621</x:v>
      </x:c>
      <x:c r="D8" s="8" t="n">
        <x:f>L8/'Summary'!$B$20*1000</x:f>
        <x:v>5.977854727346632</x:v>
      </x:c>
      <x:c r="E8" s="8" t="n">
        <x:f>M8/'Summary'!$B$20*1000</x:f>
        <x:v>8.80670588021662</x:v>
      </x:c>
      <x:c r="F8" s="8" t="n">
        <x:f>J8/'Summary'!$B$20*1000</x:f>
        <x:v>4.6123532505559375</x:v>
      </x:c>
      <x:c r="G8" s="12" t="n">
        <x:v>8291.839034205575</x:v>
      </x:c>
      <x:c r="H8" s="12" t="n">
        <x:v>16540</x:v>
      </x:c>
      <x:c r="I8" s="12" t="n">
        <x:v>19483</x:v>
      </x:c>
      <x:c r="J8" s="12" t="n">
        <x:v>16510.126016261253</x:v>
      </x:c>
      <x:c r="K8" s="2" t="n">
        <x:v>16752.211382114518</x:v>
      </x:c>
      <x:c r="L8" s="2" t="n">
        <x:v>21398</x:v>
      </x:c>
      <x:c r="M8" s="2" t="n">
        <x:v>31524</x:v>
      </x:c>
      <x:c r="N8" s="12" t="n">
        <x:v>8172.014084507582</x:v>
      </x:c>
      <x:c r="O8" s="12" t="n">
        <x:v>16413.0000000149</x:v>
      </x:c>
      <x:c r="P8" s="12" t="n">
        <x:v>19355.9999999851</x:v>
      </x:c>
      <x:c r="Q8" s="8" t="n">
        <x:f>S8/'Summary'!$B$20*1000</x:f>
        <x:v>5.94237535776195</x:v>
      </x:c>
      <x:c r="R8" s="8" t="n">
        <x:f>T8/'Summary'!$B$20*1000</x:f>
        <x:v>8.735747141047256</x:v>
      </x:c>
      <x:c r="S8" s="12" t="n">
        <x:v>21271</x:v>
      </x:c>
      <x:c r="T8" s="12" t="n">
        <x:v>31270</x:v>
      </x:c>
    </x:row>
    <x:row r="9" ht="24" customHeight="1">
      <x:c r="A9" s="2" t="str">
        <x:v>Game_Position</x:v>
      </x:c>
      <x:c r="B9" s="8" t="n">
        <x:v>1</x:v>
      </x:c>
      <x:c r="C9" s="8" t="n">
        <x:f>K9/'Summary'!$B$20*1000</x:f>
        <x:v>0.2514286033559962</x:v>
      </x:c>
      <x:c r="D9" s="8" t="n">
        <x:f>L9/'Summary'!$B$20*1000</x:f>
        <x:v>0.25142860335601314</x:v>
      </x:c>
      <x:c r="E9" s="8" t="n">
        <x:f>M9/'Summary'!$B$20*1000</x:f>
        <x:v>0.251428603360176</x:v>
      </x:c>
      <x:c r="F9" s="8" t="n">
        <x:f>J9/'Summary'!$B$20*1000</x:f>
        <x:v>0.2514286033559962</x:v>
      </x:c>
      <x:c r="G9" s="12" t="n">
        <x:v>899.9999999999394</x:v>
      </x:c>
      <x:c r="H9" s="12" t="n">
        <x:v>900</x:v>
      </x:c>
      <x:c r="I9" s="12" t="n">
        <x:v>900.0000000149012</x:v>
      </x:c>
      <x:c r="J9" s="12" t="n">
        <x:v>899.9999999999394</x:v>
      </x:c>
      <x:c r="K9" s="2" t="n">
        <x:v>899.9999999999394</x:v>
      </x:c>
      <x:c r="L9" s="2" t="n">
        <x:v>900</x:v>
      </x:c>
      <x:c r="M9" s="2" t="n">
        <x:v>900.0000000149012</x:v>
      </x:c>
      <x:c r="N9" s="12" t="n">
        <x:v>899.9999999999394</x:v>
      </x:c>
      <x:c r="O9" s="12" t="n">
        <x:v>900</x:v>
      </x:c>
      <x:c r="P9" s="12" t="n">
        <x:v>900.0000000149012</x:v>
      </x:c>
      <x:c r="Q9" s="8" t="n">
        <x:f>S9/'Summary'!$B$20*1000</x:f>
        <x:v>0.25142860335601314</x:v>
      </x:c>
      <x:c r="R9" s="8" t="n">
        <x:f>T9/'Summary'!$B$20*1000</x:f>
        <x:v>0.251428603360176</x:v>
      </x:c>
      <x:c r="S9" s="12" t="n">
        <x:v>900</x:v>
      </x:c>
      <x:c r="T9" s="12" t="n">
        <x:v>900.0000000149012</x:v>
      </x:c>
    </x:row>
    <x:row r="10" ht="24" customHeight="1">
      <x:c r="A10" s="2" t="str">
        <x:v>Game_Actors</x:v>
      </x:c>
      <x:c r="B10" s="8" t="n">
        <x:v>1</x:v>
      </x:c>
      <x:c r="C10" s="8" t="n">
        <x:f>K10/'Summary'!$B$20*1000</x:f>
        <x:v>1.113269982637661</x:v>
      </x:c>
      <x:c r="D10" s="8" t="n">
        <x:f>L10/'Summary'!$B$20*1000</x:f>
        <x:v>1.1132699826416208</x:v>
      </x:c>
      <x:c r="E10" s="8" t="n">
        <x:f>M10/'Summary'!$B$20*1000</x:f>
        <x:v>1.1132699826416208</x:v>
      </x:c>
      <x:c r="F10" s="8" t="n">
        <x:f>J10/'Summary'!$B$20*1000</x:f>
        <x:v>1.113269982637661</x:v>
      </x:c>
      <x:c r="G10" s="12" t="n">
        <x:v>3985.0000000007267</x:v>
      </x:c>
      <x:c r="H10" s="12" t="n">
        <x:v>3985.000000014901</x:v>
      </x:c>
      <x:c r="I10" s="12" t="n">
        <x:v>3985.000000014901</x:v>
      </x:c>
      <x:c r="J10" s="12" t="n">
        <x:v>3985.0000000007267</x:v>
      </x:c>
      <x:c r="K10" s="2" t="n">
        <x:v>3985.0000000007267</x:v>
      </x:c>
      <x:c r="L10" s="2" t="n">
        <x:v>3985.000000014901</x:v>
      </x:c>
      <x:c r="M10" s="2" t="n">
        <x:v>3985.000000014901</x:v>
      </x:c>
      <x:c r="N10" s="12" t="n">
        <x:v>3985.0000000007267</x:v>
      </x:c>
      <x:c r="O10" s="12" t="n">
        <x:v>3985.000000014901</x:v>
      </x:c>
      <x:c r="P10" s="12" t="n">
        <x:v>3985.000000014901</x:v>
      </x:c>
      <x:c r="Q10" s="8" t="n">
        <x:f>S10/'Summary'!$B$20*1000</x:f>
        <x:v>1.1132699826416208</x:v>
      </x:c>
      <x:c r="R10" s="8" t="n">
        <x:f>T10/'Summary'!$B$20*1000</x:f>
        <x:v>1.1132699826416208</x:v>
      </x:c>
      <x:c r="S10" s="12" t="n">
        <x:v>3985.000000014901</x:v>
      </x:c>
      <x:c r="T10" s="12" t="n">
        <x:v>3985.000000014901</x:v>
      </x:c>
    </x:row>
    <x:row r="11" ht="24" customHeight="1">
      <x:c r="A11" s="2" t="str">
        <x:v>GameSprites_Prepare</x:v>
      </x:c>
      <x:c r="B11" s="8" t="n">
        <x:v>1</x:v>
      </x:c>
      <x:c r="C11" s="8" t="n">
        <x:f>K11/'Summary'!$B$20*1000</x:f>
        <x:v>1.6470481379140225</x:v>
      </x:c>
      <x:c r="D11" s="8" t="n">
        <x:f>L11/'Summary'!$B$20*1000</x:f>
        <x:v>4.03431162340465</x:v>
      </x:c>
      <x:c r="E11" s="8" t="n">
        <x:f>M11/'Summary'!$B$20*1000</x:f>
        <x:v>9.458185328025614</x:v>
      </x:c>
      <x:c r="F11" s="8" t="n">
        <x:f>J11/'Summary'!$B$20*1000</x:f>
        <x:v>1.4899257021666514</x:v>
      </x:c>
      <x:c r="G11" s="12" t="n">
        <x:v>5895.68292682945</x:v>
      </x:c>
      <x:c r="H11" s="12" t="n">
        <x:v>14441</x:v>
      </x:c>
      <x:c r="I11" s="12" t="n">
        <x:v>33856.00000000745</x:v>
      </x:c>
      <x:c r="J11" s="12" t="n">
        <x:v>5333.256097562126</x:v>
      </x:c>
      <x:c r="K11" s="2" t="n">
        <x:v>5895.68292682945</x:v>
      </x:c>
      <x:c r="L11" s="2" t="n">
        <x:v>14441</x:v>
      </x:c>
      <x:c r="M11" s="2" t="n">
        <x:v>33856.00000000745</x:v>
      </x:c>
      <x:c r="N11" s="12" t="n">
        <x:v>5333.256097562126</x:v>
      </x:c>
      <x:c r="O11" s="12" t="n">
        <x:v>13617</x:v>
      </x:c>
      <x:c r="P11" s="12" t="n">
        <x:v>33273</x:v>
      </x:c>
      <x:c r="Q11" s="8" t="n">
        <x:f>S11/'Summary'!$B$20*1000</x:f>
        <x:v>3.8041147687764787</x:v>
      </x:c>
      <x:c r="R11" s="8" t="n">
        <x:f>T11/'Summary'!$B$20*1000</x:f>
        <x:v>9.295315466071804</x:v>
      </x:c>
      <x:c r="S11" s="12" t="n">
        <x:v>13617</x:v>
      </x:c>
      <x:c r="T11" s="12" t="n">
        <x:v>33273</x:v>
      </x:c>
    </x:row>
    <x:row r="12" ht="24" customHeight="1">
      <x:c r="A12" s="2" t="str">
        <x:v>GameSprites_Commit</x:v>
      </x:c>
      <x:c r="B12" s="8" t="n">
        <x:v>1</x:v>
      </x:c>
      <x:c r="C12" s="8" t="n">
        <x:f>K12/'Summary'!$B$20*1000</x:f>
        <x:v>0.552604638503339</x:v>
      </x:c>
      <x:c r="D12" s="8" t="n">
        <x:f>L12/'Summary'!$B$20*1000</x:f>
        <x:v>0.5450413390570312</x:v>
      </x:c>
      <x:c r="E12" s="8" t="n">
        <x:f>M12/'Summary'!$B$20*1000</x:f>
        <x:v>1.3462604884140303</x:v>
      </x:c>
      <x:c r="F12" s="8" t="n">
        <x:f>J12/'Summary'!$B$20*1000</x:f>
        <x:v>0.552604638503339</x:v>
      </x:c>
      <x:c r="G12" s="12" t="n">
        <x:v>1978.0731707314346</x:v>
      </x:c>
      <x:c r="H12" s="12" t="n">
        <x:v>1951.0000000149012</x:v>
      </x:c>
      <x:c r="I12" s="12" t="n">
        <x:v>4819</x:v>
      </x:c>
      <x:c r="J12" s="12" t="n">
        <x:v>1978.0731707314346</x:v>
      </x:c>
      <x:c r="K12" s="2" t="n">
        <x:v>1978.0731707314346</x:v>
      </x:c>
      <x:c r="L12" s="2" t="n">
        <x:v>1951.0000000149012</x:v>
      </x:c>
      <x:c r="M12" s="2" t="n">
        <x:v>4819</x:v>
      </x:c>
      <x:c r="N12" s="12" t="n">
        <x:v>1978.0731707314346</x:v>
      </x:c>
      <x:c r="O12" s="12" t="n">
        <x:v>1951.0000000149012</x:v>
      </x:c>
      <x:c r="P12" s="12" t="n">
        <x:v>4819</x:v>
      </x:c>
      <x:c r="Q12" s="8" t="n">
        <x:f>S12/'Summary'!$B$20*1000</x:f>
        <x:v>0.5450413390570312</x:v>
      </x:c>
      <x:c r="R12" s="8" t="n">
        <x:f>T12/'Summary'!$B$20*1000</x:f>
        <x:v>1.3462604884140303</x:v>
      </x:c>
      <x:c r="S12" s="12" t="n">
        <x:v>1951.0000000149012</x:v>
      </x:c>
      <x:c r="T12" s="12" t="n">
        <x:v>4819</x:v>
      </x:c>
    </x:row>
    <x:row r="13" ht="24" customHeight="1">
      <x:c r="A13" s="2" t="str">
        <x:v>GameHUD_Prepare</x:v>
      </x:c>
      <x:c r="B13" s="8" t="n">
        <x:v>1</x:v>
      </x:c>
      <x:c r="C13" s="8" t="n">
        <x:f>K13/'Summary'!$B$20*1000</x:f>
        <x:v>0.5213361869911829</x:v>
      </x:c>
      <x:c r="D13" s="8" t="n">
        <x:f>L13/'Summary'!$B$20*1000</x:f>
        <x:v>0.5651556273255124</x:v>
      </x:c>
      <x:c r="E13" s="8" t="n">
        <x:f>M13/'Summary'!$B$20*1000</x:f>
        <x:v>1.72368275856289</x:v>
      </x:c>
      <x:c r="F13" s="8" t="n">
        <x:f>J13/'Summary'!$B$20*1000</x:f>
        <x:v>0.5213361869911829</x:v>
      </x:c>
      <x:c r="G13" s="12" t="n">
        <x:v>1866.146341463354</x:v>
      </x:c>
      <x:c r="H13" s="12" t="n">
        <x:v>2023.0000000149012</x:v>
      </x:c>
      <x:c r="I13" s="12" t="n">
        <x:v>6170</x:v>
      </x:c>
      <x:c r="J13" s="12" t="n">
        <x:v>1866.146341463354</x:v>
      </x:c>
      <x:c r="K13" s="2" t="n">
        <x:v>1866.146341463354</x:v>
      </x:c>
      <x:c r="L13" s="2" t="n">
        <x:v>2023.0000000149012</x:v>
      </x:c>
      <x:c r="M13" s="2" t="n">
        <x:v>6170</x:v>
      </x:c>
      <x:c r="N13" s="12" t="n">
        <x:v>1866.146341463354</x:v>
      </x:c>
      <x:c r="O13" s="12" t="n">
        <x:v>2023.0000000149012</x:v>
      </x:c>
      <x:c r="P13" s="12" t="n">
        <x:v>6170</x:v>
      </x:c>
      <x:c r="Q13" s="8" t="n">
        <x:f>S13/'Summary'!$B$20*1000</x:f>
        <x:v>0.5651556273255124</x:v>
      </x:c>
      <x:c r="R13" s="8" t="n">
        <x:f>T13/'Summary'!$B$20*1000</x:f>
        <x:v>1.72368275856289</x:v>
      </x:c>
      <x:c r="S13" s="12" t="n">
        <x:v>2023.0000000149012</x:v>
      </x:c>
      <x:c r="T13" s="12" t="n">
        <x:v>6170</x:v>
      </x:c>
    </x:row>
    <x:row r="14" ht="24" customHeight="1">
      <x:c r="A14" s="2" t="str">
        <x:v>GameHUD_Commit</x:v>
      </x:c>
      <x:c r="B14" s="8" t="n">
        <x:v>1</x:v>
      </x:c>
      <x:c r="C14" s="8" t="n">
        <x:f>K14/'Summary'!$B$20*1000</x:f>
        <x:v>0.3627135832896896</x:v>
      </x:c>
      <x:c r="D14" s="8" t="n">
        <x:f>L14/'Summary'!$B$20*1000</x:f>
        <x:v>0.45340958138950654</x:v>
      </x:c>
      <x:c r="E14" s="8" t="n">
        <x:f>M14/'Summary'!$B$20*1000</x:f>
        <x:v>1.2414985703531876</x:v>
      </x:c>
      <x:c r="F14" s="8" t="n">
        <x:f>J14/'Summary'!$B$20*1000</x:f>
        <x:v>0.3627135832896896</x:v>
      </x:c>
      <x:c r="G14" s="12" t="n">
        <x:v>1298.349593496692</x:v>
      </x:c>
      <x:c r="H14" s="12" t="n">
        <x:v>1623.0000000149012</x:v>
      </x:c>
      <x:c r="I14" s="12" t="n">
        <x:v>4444.000000014901</x:v>
      </x:c>
      <x:c r="J14" s="12" t="n">
        <x:v>1298.349593496692</x:v>
      </x:c>
      <x:c r="K14" s="2" t="n">
        <x:v>1298.349593496692</x:v>
      </x:c>
      <x:c r="L14" s="2" t="n">
        <x:v>1623.0000000149012</x:v>
      </x:c>
      <x:c r="M14" s="2" t="n">
        <x:v>4444.000000014901</x:v>
      </x:c>
      <x:c r="N14" s="12" t="n">
        <x:v>1298.349593496692</x:v>
      </x:c>
      <x:c r="O14" s="12" t="n">
        <x:v>1623.0000000149012</x:v>
      </x:c>
      <x:c r="P14" s="12" t="n">
        <x:v>4444.000000014901</x:v>
      </x:c>
      <x:c r="Q14" s="8" t="n">
        <x:f>S14/'Summary'!$B$20*1000</x:f>
        <x:v>0.45340958138950654</x:v>
      </x:c>
      <x:c r="R14" s="8" t="n">
        <x:f>T14/'Summary'!$B$20*1000</x:f>
        <x:v>1.2414985703531876</x:v>
      </x:c>
      <x:c r="S14" s="12" t="n">
        <x:v>1623.0000000149012</x:v>
      </x:c>
      <x:c r="T14" s="12" t="n">
        <x:v>4444.000000014901</x:v>
      </x:c>
    </x:row>
    <x:row r="15" ht="24" customHeight="1">
      <x:c r="A15" s="2" t="str">
        <x:v>render</x:v>
      </x:c>
      <x:c r="B15" s="8" t="n">
        <x:v>1</x:v>
      </x:c>
      <x:c r="C15" s="8" t="n">
        <x:f>K15/'Summary'!$B$20*1000</x:f>
        <x:v>11.722076182026619</x:v>
      </x:c>
      <x:c r="D15" s="8" t="n">
        <x:f>L15/'Summary'!$B$20*1000</x:f>
        <x:v>19.242389745065367</x:v>
      </x:c>
      <x:c r="E15" s="8" t="n">
        <x:f>M15/'Summary'!$B$20*1000</x:f>
        <x:v>27.735927331542165</x:v>
      </x:c>
      <x:c r="F15" s="8" t="n">
        <x:f>J15/'Summary'!$B$20*1000</x:f>
        <x:v>1.1334047122563131</x:v>
      </x:c>
      <x:c r="G15" s="12" t="n">
        <x:v>41959.699186992475</x:v>
      </x:c>
      <x:c r="H15" s="12" t="n">
        <x:v>68879</x:v>
      </x:c>
      <x:c r="I15" s="12" t="n">
        <x:v>99281.9999999851</x:v>
      </x:c>
      <x:c r="J15" s="12" t="n">
        <x:v>4057.0731707335244</x:v>
      </x:c>
      <x:c r="K15" s="2" t="n">
        <x:v>41959.699186992475</x:v>
      </x:c>
      <x:c r="L15" s="2" t="n">
        <x:v>68879</x:v>
      </x:c>
      <x:c r="M15" s="2" t="n">
        <x:v>99281.9999999851</x:v>
      </x:c>
      <x:c r="N15" s="12" t="n">
        <x:v>4057.0731707335244</x:v>
      </x:c>
      <x:c r="O15" s="12" t="n">
        <x:v>4195.999999985099</x:v>
      </x:c>
      <x:c r="P15" s="12" t="n">
        <x:v>4226.000000014901</x:v>
      </x:c>
      <x:c r="Q15" s="8" t="n">
        <x:f>S15/'Summary'!$B$20*1000</x:f>
        <x:v>1.1722160218645383</x:v>
      </x:c>
      <x:c r="R15" s="8" t="n">
        <x:f>T15/'Summary'!$B$20*1000</x:f>
        <x:v>1.1805969753180645</x:v>
      </x:c>
      <x:c r="S15" s="12" t="n">
        <x:v>4195.999999985099</x:v>
      </x:c>
      <x:c r="T15" s="12" t="n">
        <x:v>4226.000000014901</x:v>
      </x:c>
    </x:row>
    <x:row r="16" ht="24" customHeight="1">
      <x:c r="A16" s="2" t="str">
        <x:v>wait_blank</x:v>
      </x:c>
      <x:c r="B16" s="8" t="n">
        <x:v>1</x:v>
      </x:c>
      <x:c r="C16" s="8" t="n">
        <x:f>K16/'Summary'!$B$20*1000</x:f>
        <x:v>10.487595808464878</x:v>
      </x:c>
      <x:c r="D16" s="8" t="n">
        <x:f>L16/'Summary'!$B$20*1000</x:f>
        <x:v>15.408941639230685</x:v>
      </x:c>
      <x:c r="E16" s="8" t="n">
        <x:f>M16/'Summary'!$B$20*1000</x:f>
        <x:v>16.44259256413874</x:v>
      </x:c>
      <x:c r="F16" s="8" t="n">
        <x:f>J16/'Summary'!$B$20*1000</x:f>
        <x:v>10.43982437382732</x:v>
      </x:c>
      <x:c r="G16" s="12" t="n">
        <x:v>37540.82113821141</x:v>
      </x:c>
      <x:c r="H16" s="12" t="n">
        <x:v>55157</x:v>
      </x:c>
      <x:c r="I16" s="12" t="n">
        <x:v>58857</x:v>
      </x:c>
      <x:c r="J16" s="12" t="n">
        <x:v>37369.821138211715</x:v>
      </x:c>
      <x:c r="K16" s="2" t="n">
        <x:v>37540.82113821141</x:v>
      </x:c>
      <x:c r="L16" s="2" t="n">
        <x:v>55157</x:v>
      </x:c>
      <x:c r="M16" s="2" t="n">
        <x:v>58857</x:v>
      </x:c>
      <x:c r="N16" s="12" t="n">
        <x:v>37369.821138211715</x:v>
      </x:c>
      <x:c r="O16" s="12" t="n">
        <x:v>54985.9999999851</x:v>
      </x:c>
      <x:c r="P16" s="12" t="n">
        <x:v>58686</x:v>
      </x:c>
      <x:c r="Q16" s="8" t="n">
        <x:f>S16/'Summary'!$B$20*1000</x:f>
        <x:v>15.361170204588879</x:v>
      </x:c>
      <x:c r="R16" s="8" t="n">
        <x:f>T16/'Summary'!$B$20*1000</x:f>
        <x:v>16.394821129501093</x:v>
      </x:c>
      <x:c r="S16" s="12" t="n">
        <x:v>54985.9999999851</x:v>
      </x:c>
      <x:c r="T16" s="12" t="n">
        <x:v>58686</x:v>
      </x:c>
    </x:row>
    <x:row r="17" ht="24" customHeight="1">
      <x:c r="A17" s="2" t="str">
        <x:v>commit</x:v>
      </x:c>
      <x:c r="B17" s="8" t="n">
        <x:v>1</x:v>
      </x:c>
      <x:c r="C17" s="8" t="n">
        <x:f>K17/'Summary'!$B$20*1000</x:f>
        <x:v>1.062823002428658</x:v>
      </x:c>
      <x:c r="D17" s="8" t="n">
        <x:f>L17/'Summary'!$B$20*1000</x:f>
        <x:v>1.1459557010779027</x:v>
      </x:c>
      <x:c r="E17" s="8" t="n">
        <x:f>M17/'Summary'!$B$20*1000</x:f>
        <x:v>1.9471748504390645</x:v>
      </x:c>
      <x:c r="F17" s="8" t="n">
        <x:f>J17/'Summary'!$B$20*1000</x:f>
        <x:v>0.14750478063562925</x:v>
      </x:c>
      <x:c r="G17" s="12" t="n">
        <x:v>3804.4227642284905</x:v>
      </x:c>
      <x:c r="H17" s="12" t="n">
        <x:v>4102.000000014901</x:v>
      </x:c>
      <x:c r="I17" s="12" t="n">
        <x:v>6970.000000014901</x:v>
      </x:c>
      <x:c r="J17" s="12" t="n">
        <x:v>528.0000000003635</x:v>
      </x:c>
      <x:c r="K17" s="2" t="n">
        <x:v>3804.4227642284905</x:v>
      </x:c>
      <x:c r="L17" s="2" t="n">
        <x:v>4102.000000014901</x:v>
      </x:c>
      <x:c r="M17" s="2" t="n">
        <x:v>6970.000000014901</x:v>
      </x:c>
      <x:c r="N17" s="12" t="n">
        <x:v>528.0000000003635</x:v>
      </x:c>
      <x:c r="O17" s="12" t="n">
        <x:v>528.0000000298023</x:v>
      </x:c>
      <x:c r="P17" s="12" t="n">
        <x:v>528.0000000298023</x:v>
      </x:c>
      <x:c r="Q17" s="8" t="n">
        <x:f>S17/'Summary'!$B$20*1000</x:f>
        <x:v>0.14750478064385342</x:v>
      </x:c>
      <x:c r="R17" s="8" t="n">
        <x:f>T17/'Summary'!$B$20*1000</x:f>
        <x:v>0.14750478064385342</x:v>
      </x:c>
      <x:c r="S17" s="12" t="n">
        <x:v>528.0000000298023</x:v>
      </x:c>
      <x:c r="T17" s="12" t="n">
        <x:v>528.0000000298023</x:v>
      </x:c>
    </x:row>
    <x:row r="18" ht="24" customHeight="1">
      <x:c r="A18" s="2" t="str">
        <x:v>Ring_Prepare</x:v>
      </x:c>
      <x:c r="B18" s="8" t="n">
        <x:v>1</x:v>
      </x:c>
      <x:c r="C18" s="8" t="n">
        <x:f>K18/'Summary'!$B$20*1000</x:f>
        <x:v>1.8756993993661133</x:v>
      </x:c>
      <x:c r="D18" s="8" t="n">
        <x:f>L18/'Summary'!$B$20*1000</x:f>
        <x:v>4.7486482220505675</x:v>
      </x:c>
      <x:c r="E18" s="8" t="n">
        <x:f>M18/'Summary'!$B$20*1000</x:f>
        <x:v>5.193118119761031</x:v>
      </x:c>
      <x:c r="F18" s="8" t="n">
        <x:f>J18/'Summary'!$B$20*1000</x:f>
        <x:v>1.8739516639525409</x:v>
      </x:c>
      <x:c r="G18" s="12" t="n">
        <x:v>6714.150406503974</x:v>
      </x:c>
      <x:c r="H18" s="12" t="n">
        <x:v>16998</x:v>
      </x:c>
      <x:c r="I18" s="12" t="n">
        <x:v>18589</x:v>
      </x:c>
      <x:c r="J18" s="12" t="n">
        <x:v>6707.894308942999</x:v>
      </x:c>
      <x:c r="K18" s="2" t="n">
        <x:v>6714.150406503974</x:v>
      </x:c>
      <x:c r="L18" s="2" t="n">
        <x:v>16998</x:v>
      </x:c>
      <x:c r="M18" s="2" t="n">
        <x:v>18589</x:v>
      </x:c>
      <x:c r="N18" s="12" t="n">
        <x:v>6707.894308942999</x:v>
      </x:c>
      <x:c r="O18" s="12" t="n">
        <x:v>16998</x:v>
      </x:c>
      <x:c r="P18" s="12" t="n">
        <x:v>18589</x:v>
      </x:c>
      <x:c r="Q18" s="8" t="n">
        <x:f>S18/'Summary'!$B$20*1000</x:f>
        <x:v>4.7486482220505675</x:v>
      </x:c>
      <x:c r="R18" s="8" t="n">
        <x:f>T18/'Summary'!$B$20*1000</x:f>
        <x:v>5.193118119761031</x:v>
      </x:c>
      <x:c r="S18" s="12" t="n">
        <x:v>16998</x:v>
      </x:c>
      <x:c r="T18" s="12" t="n">
        <x:v>18589</x:v>
      </x:c>
    </x:row>
    <x:row r="19" ht="24" customHeight="1">
      <x:c r="A19" s="2" t="str">
        <x:v>Game_RingPatch</x:v>
      </x:c>
      <x:c r="B19" s="8" t="n">
        <x:v>1</x:v>
      </x:c>
      <x:c r="C19" s="8" t="n">
        <x:f>K19/'Summary'!$B$20*1000</x:f>
        <x:v>0.27965129373838876</x:v>
      </x:c>
      <x:c r="D19" s="8" t="n">
        <x:f>L19/'Summary'!$B$20*1000</x:f>
        <x:v>0.498387364874586</x:v>
      </x:c>
      <x:c r="E19" s="8" t="n">
        <x:f>M19/'Summary'!$B$20*1000</x:f>
        <x:v>0.5500699111199887</x:v>
      </x:c>
      <x:c r="F19" s="8" t="n">
        <x:f>J19/'Summary'!$B$20*1000</x:f>
        <x:v>0.246624886137668</x:v>
      </x:c>
      <x:c r="G19" s="12" t="n">
        <x:v>1001.0243902447808</x:v>
      </x:c>
      <x:c r="H19" s="12" t="n">
        <x:v>1784</x:v>
      </x:c>
      <x:c r="I19" s="12" t="n">
        <x:v>1969</x:v>
      </x:c>
      <x:c r="J19" s="12" t="n">
        <x:v>882.8048780496588</x:v>
      </x:c>
      <x:c r="K19" s="2" t="n">
        <x:v>1001.0243902447808</x:v>
      </x:c>
      <x:c r="L19" s="2" t="n">
        <x:v>1784</x:v>
      </x:c>
      <x:c r="M19" s="2" t="n">
        <x:v>1969</x:v>
      </x:c>
      <x:c r="N19" s="12" t="n">
        <x:v>882.8048780496588</x:v>
      </x:c>
      <x:c r="O19" s="12" t="n">
        <x:v>1568</x:v>
      </x:c>
      <x:c r="P19" s="12" t="n">
        <x:v>1582</x:v>
      </x:c>
      <x:c r="Q19" s="8" t="n">
        <x:f>S19/'Summary'!$B$20*1000</x:f>
        <x:v>0.43804450006914286</x:v>
      </x:c>
      <x:c r="R19" s="8" t="n">
        <x:f>T19/'Summary'!$B$20*1000</x:f>
        <x:v>0.4419556116769031</x:v>
      </x:c>
      <x:c r="S19" s="12" t="n">
        <x:v>1568</x:v>
      </x:c>
      <x:c r="T19" s="12" t="n">
        <x:v>1582</x:v>
      </x:c>
    </x:row>
    <x:row r="20" ht="24" customHeight="1">
      <x:c r="A20" s="2" t="str">
        <x:v>Game_DirtyTileUpload</x:v>
      </x:c>
      <x:c r="B20" s="8" t="n">
        <x:v>1</x:v>
      </x:c>
      <x:c r="C20" s="8" t="n">
        <x:f>K20/'Summary'!$B$20*1000</x:f>
        <x:v>0.03575873469952187</x:v>
      </x:c>
      <x:c r="D20" s="8" t="n">
        <x:f>L20/'Summary'!$B$20*1000</x:f>
        <x:v>0.04050794165180212</x:v>
      </x:c>
      <x:c r="E20" s="8" t="n">
        <x:f>M20/'Summary'!$B$20*1000</x:f>
        <x:v>0.040507941655964975</x:v>
      </x:c>
      <x:c r="F20" s="8" t="n">
        <x:f>J20/'Summary'!$B$20*1000</x:f>
        <x:v>0.03575873469952187</x:v>
      </x:c>
      <x:c r="G20" s="12" t="n">
        <x:v>128</x:v>
      </x:c>
      <x:c r="H20" s="12" t="n">
        <x:v>145</x:v>
      </x:c>
      <x:c r="I20" s="12" t="n">
        <x:v>145.00000001490116</x:v>
      </x:c>
      <x:c r="J20" s="12" t="n">
        <x:v>128</x:v>
      </x:c>
      <x:c r="K20" s="2" t="n">
        <x:v>128</x:v>
      </x:c>
      <x:c r="L20" s="2" t="n">
        <x:v>145</x:v>
      </x:c>
      <x:c r="M20" s="2" t="n">
        <x:v>145.00000001490116</x:v>
      </x:c>
      <x:c r="N20" s="12" t="n">
        <x:v>128</x:v>
      </x:c>
      <x:c r="O20" s="12" t="n">
        <x:v>145</x:v>
      </x:c>
      <x:c r="P20" s="12" t="n">
        <x:v>145.00000001490116</x:v>
      </x:c>
      <x:c r="Q20" s="8" t="n">
        <x:f>S20/'Summary'!$B$20*1000</x:f>
        <x:v>0.04050794165180212</x:v>
      </x:c>
      <x:c r="R20" s="8" t="n">
        <x:f>T20/'Summary'!$B$20*1000</x:f>
        <x:v>0.040507941655964975</x:v>
      </x:c>
      <x:c r="S20" s="12" t="n">
        <x:v>145</x:v>
      </x:c>
      <x:c r="T20" s="12" t="n">
        <x:v>145.00000001490116</x:v>
      </x:c>
    </x:row>
    <x:row r="21" ht="24" customHeight="1">
      <x:c r="A21" s="2" t="str">
        <x:v>Game_Radar</x:v>
      </x:c>
      <x:c r="B21" s="8" t="n">
        <x:v>1</x:v>
      </x:c>
      <x:c r="C21" s="8" t="n">
        <x:f>K21/'Summary'!$B$20*1000</x:f>
        <x:v>1.3853466206193026</x:v>
      </x:c>
      <x:c r="D21" s="8" t="n">
        <x:f>L21/'Summary'!$B$20*1000</x:f>
        <x:v>1.5879113127506428</x:v>
      </x:c>
      <x:c r="E21" s="8" t="n">
        <x:f>M21/'Summary'!$B$20*1000</x:f>
        <x:v>1.8158732464600946</x:v>
      </x:c>
      <x:c r="F21" s="8" t="n">
        <x:f>J21/'Summary'!$B$20*1000</x:f>
        <x:v>1.0234279787130163</x:v>
      </x:c>
      <x:c r="G21" s="12" t="n">
        <x:v>4958.910569104722</x:v>
      </x:c>
      <x:c r="H21" s="12" t="n">
        <x:v>5684</x:v>
      </x:c>
      <x:c r="I21" s="12" t="n">
        <x:v>6500</x:v>
      </x:c>
      <x:c r="J21" s="12" t="n">
        <x:v>3663.4065040622845</x:v>
      </x:c>
      <x:c r="K21" s="2" t="n">
        <x:v>4958.910569104722</x:v>
      </x:c>
      <x:c r="L21" s="2" t="n">
        <x:v>5684</x:v>
      </x:c>
      <x:c r="M21" s="2" t="n">
        <x:v>6500</x:v>
      </x:c>
      <x:c r="N21" s="12" t="n">
        <x:v>3663.4065040622845</x:v>
      </x:c>
      <x:c r="O21" s="12" t="n">
        <x:v>4275.000000029802</x:v>
      </x:c>
      <x:c r="P21" s="12" t="n">
        <x:v>5211.9999999552965</x:v>
      </x:c>
      <x:c r="Q21" s="8" t="n">
        <x:f>S21/'Summary'!$B$20*1000</x:f>
        <x:v>1.1942858659493882</x:v>
      </x:c>
      <x:c r="R21" s="8" t="n">
        <x:f>T21/'Summary'!$B$20*1000</x:f>
        <x:v>1.4560509785336675</x:v>
      </x:c>
      <x:c r="S21" s="12" t="n">
        <x:v>4275.000000029802</x:v>
      </x:c>
      <x:c r="T21" s="12" t="n">
        <x:v>5211.9999999552965</x:v>
      </x:c>
    </x:row>
    <x:row r="22" ht="24" customHeight="1">
      <x:c r="A22" s="2" t="str">
        <x:v>Game_RadarUpload</x:v>
      </x:c>
      <x:c r="B22" s="8" t="n">
        <x:v>1</x:v>
      </x:c>
      <x:c r="C22" s="8" t="n">
        <x:f>K22/'Summary'!$B$20*1000</x:f>
        <x:v>0.4660253011447245</x:v>
      </x:c>
      <x:c r="D22" s="8" t="n">
        <x:f>L22/'Summary'!$B$20*1000</x:f>
        <x:v>0.5425270530234712</x:v>
      </x:c>
      <x:c r="E22" s="8" t="n">
        <x:f>M22/'Summary'!$B$20*1000</x:f>
        <x:v>0.7059556452007169</x:v>
      </x:c>
      <x:c r="F22" s="8" t="n">
        <x:f>J22/'Summary'!$B$20*1000</x:f>
        <x:v>0.4654427226735337</x:v>
      </x:c>
      <x:c r="G22" s="12" t="n">
        <x:v>1668.1585365860929</x:v>
      </x:c>
      <x:c r="H22" s="12" t="n">
        <x:v>1942.0000000149012</x:v>
      </x:c>
      <x:c r="I22" s="12" t="n">
        <x:v>2527</x:v>
      </x:c>
      <x:c r="J22" s="12" t="n">
        <x:v>1666.0731707324342</x:v>
      </x:c>
      <x:c r="K22" s="2" t="n">
        <x:v>1668.1585365860929</x:v>
      </x:c>
      <x:c r="L22" s="2" t="n">
        <x:v>1942.0000000149012</x:v>
      </x:c>
      <x:c r="M22" s="2" t="n">
        <x:v>2527</x:v>
      </x:c>
      <x:c r="N22" s="12" t="n">
        <x:v>1666.0731707324342</x:v>
      </x:c>
      <x:c r="O22" s="12" t="n">
        <x:v>1942.0000000149012</x:v>
      </x:c>
      <x:c r="P22" s="12" t="n">
        <x:v>2356</x:v>
      </x:c>
      <x:c r="Q22" s="8" t="n">
        <x:f>S22/'Summary'!$B$20*1000</x:f>
        <x:v>0.5425270530234712</x:v>
      </x:c>
      <x:c r="R22" s="8" t="n">
        <x:f>T22/'Summary'!$B$20*1000</x:f>
        <x:v>0.6581842105630744</x:v>
      </x:c>
      <x:c r="S22" s="12" t="n">
        <x:v>1942.0000000149012</x:v>
      </x:c>
      <x:c r="T22" s="12" t="n">
        <x:v>2356</x:v>
      </x:c>
    </x:row>
    <x:row r="23" ht="24" customHeight="1">
      <x:c r="A23" s="2" t="str">
        <x:v>Ring_UploadNames</x:v>
      </x:c>
      <x:c r="B23" s="8" t="n">
        <x:v>1</x:v>
      </x:c>
      <x:c r="C23" s="8" t="n">
        <x:f>K23/'Summary'!$B$20*1000</x:f>
        <x:v>3.880300815358488</x:v>
      </x:c>
      <x:c r="D23" s="8" t="n">
        <x:f>L23/'Summary'!$B$20*1000</x:f>
        <x:v>4.824914898401891</x:v>
      </x:c>
      <x:c r="E23" s="8" t="n">
        <x:f>M23/'Summary'!$B$20*1000</x:f>
        <x:v>10.657499766027552</x:v>
      </x:c>
      <x:c r="F23" s="8" t="n">
        <x:f>J23/'Summary'!$B$20*1000</x:f>
        <x:v>3.864377003812582</x:v>
      </x:c>
      <x:c r="G23" s="12" t="n">
        <x:v>13889.711382112398</x:v>
      </x:c>
      <x:c r="H23" s="12" t="n">
        <x:v>17271</x:v>
      </x:c>
      <x:c r="I23" s="12" t="n">
        <x:v>38148.9999999851</x:v>
      </x:c>
      <x:c r="J23" s="12" t="n">
        <x:v>13832.711382112308</x:v>
      </x:c>
      <x:c r="K23" s="2" t="n">
        <x:v>13889.711382112398</x:v>
      </x:c>
      <x:c r="L23" s="2" t="n">
        <x:v>17271</x:v>
      </x:c>
      <x:c r="M23" s="2" t="n">
        <x:v>38148.9999999851</x:v>
      </x:c>
      <x:c r="N23" s="12" t="n">
        <x:v>13832.711382112308</x:v>
      </x:c>
      <x:c r="O23" s="12" t="n">
        <x:v>17271</x:v>
      </x:c>
      <x:c r="P23" s="12" t="n">
        <x:v>38148.9999999851</x:v>
      </x:c>
      <x:c r="Q23" s="8" t="n">
        <x:f>S23/'Summary'!$B$20*1000</x:f>
        <x:v>4.824914898401891</x:v>
      </x:c>
      <x:c r="R23" s="8" t="n">
        <x:f>T23/'Summary'!$B$20*1000</x:f>
        <x:v>10.657499766027552</x:v>
      </x:c>
      <x:c r="S23" s="12" t="n">
        <x:v>17271</x:v>
      </x:c>
      <x:c r="T23" s="12" t="n">
        <x:v>38148.9999999851</x:v>
      </x:c>
    </x:row>
    <x:row r="24" ht="24" customHeight="1">
      <x:c r="A24" s="2" t="str">
        <x:v>hud_upload</x:v>
      </x:c>
      <x:c r="B24" s="8" t="n">
        <x:v>1</x:v>
      </x:c>
      <x:c r="C24" s="8" t="n">
        <x:f>K24/'Summary'!$B$20*1000</x:f>
        <x:v>0.8123926183241551</x:v>
      </x:c>
      <x:c r="D24" s="8" t="n">
        <x:f>L24/'Summary'!$B$20*1000</x:f>
        <x:v>3.2182861229569677</x:v>
      </x:c>
      <x:c r="E24" s="8" t="n">
        <x:f>M24/'Summary'!$B$20*1000</x:f>
        <x:v>3.7613719062059565</x:v>
      </x:c>
      <x:c r="F24" s="8" t="n">
        <x:f>J24/'Summary'!$B$20*1000</x:f>
        <x:v>0.8077319905546289</x:v>
      </x:c>
      <x:c r="G24" s="12" t="n">
        <x:v>2907.9959349591377</x:v>
      </x:c>
      <x:c r="H24" s="12" t="n">
        <x:v>11520</x:v>
      </x:c>
      <x:c r="I24" s="12" t="n">
        <x:v>13464</x:v>
      </x:c>
      <x:c r="J24" s="12" t="n">
        <x:v>2891.313008129869</x:v>
      </x:c>
      <x:c r="K24" s="2" t="n">
        <x:v>2907.9959349591377</x:v>
      </x:c>
      <x:c r="L24" s="2" t="n">
        <x:v>11520</x:v>
      </x:c>
      <x:c r="M24" s="2" t="n">
        <x:v>13464</x:v>
      </x:c>
      <x:c r="N24" s="12" t="n">
        <x:v>2891.313008129869</x:v>
      </x:c>
      <x:c r="O24" s="12" t="n">
        <x:v>11520</x:v>
      </x:c>
      <x:c r="P24" s="12" t="n">
        <x:v>13464</x:v>
      </x:c>
      <x:c r="Q24" s="8" t="n">
        <x:f>S24/'Summary'!$B$20*1000</x:f>
        <x:v>3.2182861229569677</x:v>
      </x:c>
      <x:c r="R24" s="8" t="n">
        <x:f>T24/'Summary'!$B$20*1000</x:f>
        <x:v>3.7613719062059565</x:v>
      </x:c>
      <x:c r="S24" s="12" t="n">
        <x:v>11520</x:v>
      </x:c>
      <x:c r="T24" s="12" t="n">
        <x:v>13464</x:v>
      </x:c>
    </x:row>
    <x:row r="25" ht="24" customHeight="1">
      <x:c r="A25" s="2" t="str">
        <x:v>GameAudio_Tick</x:v>
      </x:c>
      <x:c r="B25" s="8" t="n">
        <x:v>2.0203252032520327</x:v>
      </x:c>
      <x:c r="C25" s="8" t="n">
        <x:f>K25/'Summary'!$B$20*1000</x:f>
        <x:v>0.9869515255083288</x:v>
      </x:c>
      <x:c r="D25" s="8" t="n">
        <x:f>L25/'Summary'!$B$20*1000</x:f>
        <x:v>1.2314414262106215</x:v>
      </x:c>
      <x:c r="E25" s="8" t="n">
        <x:f>M25/'Summary'!$B$20*1000</x:f>
        <x:v>2.030705019767903</x:v>
      </x:c>
      <x:c r="F25" s="8" t="n">
        <x:f>J25/'Summary'!$B$20*1000</x:f>
        <x:v>0.9869515255083288</x:v>
      </x:c>
      <x:c r="G25" s="12" t="n">
        <x:v>1748.6478873247981</x:v>
      </x:c>
      <x:c r="H25" s="12" t="n">
        <x:v>4280.000000014901</x:v>
      </x:c>
      <x:c r="I25" s="12" t="n">
        <x:v>7110</x:v>
      </x:c>
      <x:c r="J25" s="12" t="n">
        <x:v>3532.83739837571</x:v>
      </x:c>
      <x:c r="K25" s="2" t="n">
        <x:v>3532.83739837571</x:v>
      </x:c>
      <x:c r="L25" s="2" t="n">
        <x:v>4407.999999985099</x:v>
      </x:c>
      <x:c r="M25" s="2" t="n">
        <x:v>7268.999999985099</x:v>
      </x:c>
      <x:c r="N25" s="12" t="n">
        <x:v>1748.6478873247981</x:v>
      </x:c>
      <x:c r="O25" s="12" t="n">
        <x:v>4280.000000014901</x:v>
      </x:c>
      <x:c r="P25" s="12" t="n">
        <x:v>7110</x:v>
      </x:c>
      <x:c r="Q25" s="8" t="n">
        <x:f>S25/'Summary'!$B$20*1000</x:f>
        <x:v>1.2314414262106215</x:v>
      </x:c>
      <x:c r="R25" s="8" t="n">
        <x:f>T25/'Summary'!$B$20*1000</x:f>
        <x:v>2.030705019767903</x:v>
      </x:c>
      <x:c r="S25" s="12" t="n">
        <x:v>4407.999999985099</x:v>
      </x:c>
      <x:c r="T25" s="12" t="n">
        <x:v>7268.999999985099</x:v>
      </x:c>
    </x:row>
    <x:row r="26" ht="24" customHeight="1">
      <x:c r="A26" s="2" t="str">
        <x:v>GameSession_PhaseSelect</x:v>
      </x:c>
      <x:c r="B26" s="8" t="n">
        <x:v>1</x:v>
      </x:c>
      <x:c r="C26" s="8" t="n">
        <x:f>K26/'Summary'!$B$20*1000</x:f>
        <x:v>0.2564855661869382</x:v>
      </x:c>
      <x:c r="D26" s="8" t="n">
        <x:f>L26/'Summary'!$B$20*1000</x:f>
        <x:v>0.7805461308630008</x:v>
      </x:c>
      <x:c r="E26" s="8" t="n">
        <x:f>M26/'Summary'!$B$20*1000</x:f>
        <x:v>0.8308318515342034</x:v>
      </x:c>
      <x:c r="F26" s="8" t="n">
        <x:f>J26/'Summary'!$B$20*1000</x:f>
        <x:v>0.2543494451259054</x:v>
      </x:c>
      <x:c r="G26" s="12" t="n">
        <x:v>918.1016260166236</x:v>
      </x:c>
      <x:c r="H26" s="12" t="n">
        <x:v>2794</x:v>
      </x:c>
      <x:c r="I26" s="12" t="n">
        <x:v>2974</x:v>
      </x:c>
      <x:c r="J26" s="12" t="n">
        <x:v>910.455284553209</x:v>
      </x:c>
      <x:c r="K26" s="2" t="n">
        <x:v>918.1016260166236</x:v>
      </x:c>
      <x:c r="L26" s="2" t="n">
        <x:v>2794</x:v>
      </x:c>
      <x:c r="M26" s="2" t="n">
        <x:v>2974</x:v>
      </x:c>
      <x:c r="N26" s="12" t="n">
        <x:v>910.455284553209</x:v>
      </x:c>
      <x:c r="O26" s="12" t="n">
        <x:v>2771</x:v>
      </x:c>
      <x:c r="P26" s="12" t="n">
        <x:v>2802.999999985099</x:v>
      </x:c>
      <x:c r="Q26" s="8" t="n">
        <x:f>S26/'Summary'!$B$20*1000</x:f>
        <x:v>0.7741207332216804</x:v>
      </x:c>
      <x:c r="R26" s="8" t="n">
        <x:f>T26/'Summary'!$B$20*1000</x:f>
        <x:v>0.783060416892398</x:v>
      </x:c>
      <x:c r="S26" s="12" t="n">
        <x:v>2771</x:v>
      </x:c>
      <x:c r="T26" s="12" t="n">
        <x:v>2802.999999985099</x:v>
      </x:c>
    </x:row>
    <x:row r="27" ht="24" customHeight="1">
      <x:c r="A27" s="2" t="str">
        <x:v>Game_ReadInput</x:v>
      </x:c>
      <x:c r="B27" s="8" t="n">
        <x:v>1</x:v>
      </x:c>
      <x:c r="C27" s="8" t="n">
        <x:f>K27/'Summary'!$B$20*1000</x:f>
        <x:v>0.4635007944360619</x:v>
      </x:c>
      <x:c r="D27" s="8" t="n">
        <x:f>L27/'Summary'!$B$20*1000</x:f>
        <x:v>0.46653974178282437</x:v>
      </x:c>
      <x:c r="E27" s="8" t="n">
        <x:f>M27/'Summary'!$B$20*1000</x:f>
        <x:v>0.4665397417869872</x:v>
      </x:c>
      <x:c r="F27" s="8" t="n">
        <x:f>J27/'Summary'!$B$20*1000</x:f>
        <x:v>0.4635007944360619</x:v>
      </x:c>
      <x:c r="G27" s="12" t="n">
        <x:v>1659.1219512196333</x:v>
      </x:c>
      <x:c r="H27" s="12" t="n">
        <x:v>1670</x:v>
      </x:c>
      <x:c r="I27" s="12" t="n">
        <x:v>1670.0000000149012</x:v>
      </x:c>
      <x:c r="J27" s="12" t="n">
        <x:v>1659.1219512196333</x:v>
      </x:c>
      <x:c r="K27" s="2" t="n">
        <x:v>1659.1219512196333</x:v>
      </x:c>
      <x:c r="L27" s="2" t="n">
        <x:v>1670</x:v>
      </x:c>
      <x:c r="M27" s="2" t="n">
        <x:v>1670.0000000149012</x:v>
      </x:c>
      <x:c r="N27" s="12" t="n">
        <x:v>1659.1219512196333</x:v>
      </x:c>
      <x:c r="O27" s="12" t="n">
        <x:v>1670</x:v>
      </x:c>
      <x:c r="P27" s="12" t="n">
        <x:v>1670.0000000149012</x:v>
      </x:c>
      <x:c r="Q27" s="8" t="n">
        <x:f>S27/'Summary'!$B$20*1000</x:f>
        <x:v>0.46653974178282437</x:v>
      </x:c>
      <x:c r="R27" s="8" t="n">
        <x:f>T27/'Summary'!$B$20*1000</x:f>
        <x:v>0.4665397417869872</x:v>
      </x:c>
      <x:c r="S27" s="12" t="n">
        <x:v>1670</x:v>
      </x:c>
      <x:c r="T27" s="12" t="n">
        <x:v>1670.0000000149012</x:v>
      </x:c>
    </x:row>
    <x:row r="28" ht="24" customHeight="1">
      <x:c r="A28" s="2" t="str">
        <x:v>GameSession_InputTick</x:v>
      </x:c>
      <x:c r="B28" s="8" t="n">
        <x:v>2.0203252032520327</x:v>
      </x:c>
      <x:c r="C28" s="8" t="n">
        <x:f>K28/'Summary'!$B$20*1000</x:f>
        <x:v>0.04289503706391244</x:v>
      </x:c>
      <x:c r="D28" s="8" t="n">
        <x:f>L28/'Summary'!$B$20*1000</x:f>
        <x:v>0.042463497464007946</x:v>
      </x:c>
      <x:c r="E28" s="8" t="n">
        <x:f>M28/'Summary'!$B$20*1000</x:f>
        <x:v>0.08492699491969016</x:v>
      </x:c>
      <x:c r="F28" s="8" t="n">
        <x:f>J28/'Summary'!$B$20*1000</x:f>
        <x:v>0.04289503706391244</x:v>
      </x:c>
      <x:c r="G28" s="12" t="n">
        <x:v>75.99999999989507</x:v>
      </x:c>
      <x:c r="H28" s="12" t="n">
        <x:v>76.00000001490116</x:v>
      </x:c>
      <x:c r="I28" s="12" t="n">
        <x:v>76.00000001490116</x:v>
      </x:c>
      <x:c r="J28" s="12" t="n">
        <x:v>153.54471544694246</x:v>
      </x:c>
      <x:c r="K28" s="2" t="n">
        <x:v>153.54471544694246</x:v>
      </x:c>
      <x:c r="L28" s="2" t="n">
        <x:v>152.00000002980232</x:v>
      </x:c>
      <x:c r="M28" s="2" t="n">
        <x:v>304.0000000298023</x:v>
      </x:c>
      <x:c r="N28" s="12" t="n">
        <x:v>75.99999999989507</x:v>
      </x:c>
      <x:c r="O28" s="12" t="n">
        <x:v>76.00000001490116</x:v>
      </x:c>
      <x:c r="P28" s="12" t="n">
        <x:v>76.00000001490116</x:v>
      </x:c>
      <x:c r="Q28" s="8" t="n">
        <x:f>S28/'Summary'!$B$20*1000</x:f>
        <x:v>0.042463497464007946</x:v>
      </x:c>
      <x:c r="R28" s="8" t="n">
        <x:f>T28/'Summary'!$B$20*1000</x:f>
        <x:v>0.08492699491969016</x:v>
      </x:c>
      <x:c r="S28" s="12" t="n">
        <x:v>152.00000002980232</x:v>
      </x:c>
      <x:c r="T28" s="12" t="n">
        <x:v>304.0000000298023</x:v>
      </x:c>
    </x:row>
    <x:row r="29" ht="24" customHeight="1">
      <x:c r="A29" s="2" t="str">
        <x:v>GameSession_SharedSprite</x:v>
      </x:c>
      <x:c r="B29" s="8" t="n">
        <x:v>1.386178861788618</x:v>
      </x:c>
      <x:c r="C29" s="8" t="n">
        <x:f>K29/'Summary'!$B$20*1000</x:f>
        <x:v>0.15537470033379036</x:v>
      </x:c>
      <x:c r="D29" s="8" t="n">
        <x:f>L29/'Summary'!$B$20*1000</x:f>
        <x:v>0.4603937092542626</x:v>
      </x:c>
      <x:c r="E29" s="8" t="n">
        <x:f>M29/'Summary'!$B$20*1000</x:f>
        <x:v>0.46039370926883266</x:v>
      </x:c>
      <x:c r="F29" s="8" t="n">
        <x:f>J29/'Summary'!$B$20*1000</x:f>
        <x:v>0.15537470033379036</x:v>
      </x:c>
      <x:c r="G29" s="12" t="n">
        <x:v>401.22580645089187</x:v>
      </x:c>
      <x:c r="H29" s="12" t="n">
        <x:v>412.00000001490116</x:v>
      </x:c>
      <x:c r="I29" s="12" t="n">
        <x:v>412.00000001490116</x:v>
      </x:c>
      <x:c r="J29" s="12" t="n">
        <x:v>556.1707317063176</x:v>
      </x:c>
      <x:c r="K29" s="2" t="n">
        <x:v>556.1707317063176</x:v>
      </x:c>
      <x:c r="L29" s="2" t="n">
        <x:v>1647.9999999925494</x:v>
      </x:c>
      <x:c r="M29" s="2" t="n">
        <x:v>1648.0000000447035</x:v>
      </x:c>
      <x:c r="N29" s="12" t="n">
        <x:v>401.22580645089187</x:v>
      </x:c>
      <x:c r="O29" s="12" t="n">
        <x:v>412.00000001490116</x:v>
      </x:c>
      <x:c r="P29" s="12" t="n">
        <x:v>412.00000001490116</x:v>
      </x:c>
      <x:c r="Q29" s="8" t="n">
        <x:f>S29/'Summary'!$B$20*1000</x:f>
        <x:v>0.4603937092542626</x:v>
      </x:c>
      <x:c r="R29" s="8" t="n">
        <x:f>T29/'Summary'!$B$20*1000</x:f>
        <x:v>0.46039370926883266</x:v>
      </x:c>
      <x:c r="S29" s="12" t="n">
        <x:v>1647.9999999925494</x:v>
      </x:c>
      <x:c r="T29" s="12" t="n">
        <x:v>1648.0000000447035</x:v>
      </x:c>
    </x:row>
    <x:row r="30" ht="24" customHeight="1">
      <x:c r="A30" s="2" t="str">
        <x:v>GameSession_FlagBlinkUpload</x:v>
      </x:c>
      <x:c r="B30" s="8" t="n">
        <x:v>0.18292682926829268</x:v>
      </x:c>
      <x:c r="C30" s="8" t="n">
        <x:f>K30/'Summary'!$B$20*1000</x:f>
        <x:v>0.02245482282805035</x:v>
      </x:c>
      <x:c r="D30" s="8" t="n">
        <x:f>L30/'Summary'!$B$20*1000</x:f>
        <x:v>0.12403811098896649</x:v>
      </x:c>
      <x:c r="E30" s="8" t="n">
        <x:f>M30/'Summary'!$B$20*1000</x:f>
        <x:v>0.12403811099312932</x:v>
      </x:c>
      <x:c r="F30" s="8" t="n">
        <x:f>J30/'Summary'!$B$20*1000</x:f>
        <x:v>0.02245482282805035</x:v>
      </x:c>
      <x:c r="G30" s="12" t="n">
        <x:v>439.3999999975165</x:v>
      </x:c>
      <x:c r="H30" s="12" t="n">
        <x:v>444</x:v>
      </x:c>
      <x:c r="I30" s="12" t="n">
        <x:v>444.00000001490116</x:v>
      </x:c>
      <x:c r="J30" s="12" t="n">
        <x:v>80.3780487800335</x:v>
      </x:c>
      <x:c r="K30" s="2" t="n">
        <x:v>80.3780487800335</x:v>
      </x:c>
      <x:c r="L30" s="2" t="n">
        <x:v>444</x:v>
      </x:c>
      <x:c r="M30" s="2" t="n">
        <x:v>444.00000001490116</x:v>
      </x:c>
      <x:c r="N30" s="12" t="n">
        <x:v>439.3999999975165</x:v>
      </x:c>
      <x:c r="O30" s="12" t="n">
        <x:v>444</x:v>
      </x:c>
      <x:c r="P30" s="12" t="n">
        <x:v>444.00000001490116</x:v>
      </x:c>
      <x:c r="Q30" s="8" t="n">
        <x:f>S30/'Summary'!$B$20*1000</x:f>
        <x:v>0.12403811098896649</x:v>
      </x:c>
      <x:c r="R30" s="8" t="n">
        <x:f>T30/'Summary'!$B$20*1000</x:f>
        <x:v>0.12403811099312932</x:v>
      </x:c>
      <x:c r="S30" s="12" t="n">
        <x:v>444</x:v>
      </x:c>
      <x:c r="T30" s="12" t="n">
        <x:v>444.00000001490116</x:v>
      </x:c>
    </x:row>
    <x:row r="31" ht="24" customHeight="1">
      <x:c r="A31" s="2" t="str">
        <x:v>GameSession_Boundaries</x:v>
      </x:c>
      <x:c r="B31" s="8" t="n">
        <x:v>1</x:v>
      </x:c>
      <x:c r="C31" s="8" t="n">
        <x:f>K31/'Summary'!$B$20*1000</x:f>
        <x:v>0.7143297848625354</x:v>
      </x:c>
      <x:c r="D31" s="8" t="n">
        <x:f>L31/'Summary'!$B$20*1000</x:f>
        <x:v>0.7654604146616399</x:v>
      </x:c>
      <x:c r="E31" s="8" t="n">
        <x:f>M31/'Summary'!$B$20*1000</x:f>
        <x:v>0.7654604146658028</x:v>
      </x:c>
      <x:c r="F31" s="8" t="n">
        <x:f>J31/'Summary'!$B$20*1000</x:f>
        <x:v>0.71005754274047</x:v>
      </x:c>
      <x:c r="G31" s="12" t="n">
        <x:v>2556.9756097557643</x:v>
      </x:c>
      <x:c r="H31" s="12" t="n">
        <x:v>2740</x:v>
      </x:c>
      <x:c r="I31" s="12" t="n">
        <x:v>2740.000000014901</x:v>
      </x:c>
      <x:c r="J31" s="12" t="n">
        <x:v>2541.6829268289353</x:v>
      </x:c>
      <x:c r="K31" s="2" t="n">
        <x:v>2556.9756097557643</x:v>
      </x:c>
      <x:c r="L31" s="2" t="n">
        <x:v>2740</x:v>
      </x:c>
      <x:c r="M31" s="2" t="n">
        <x:v>2740.000000014901</x:v>
      </x:c>
      <x:c r="N31" s="12" t="n">
        <x:v>2541.6829268289353</x:v>
      </x:c>
      <x:c r="O31" s="12" t="n">
        <x:v>2569</x:v>
      </x:c>
      <x:c r="P31" s="12" t="n">
        <x:v>2569.000000014901</x:v>
      </x:c>
      <x:c r="Q31" s="8" t="n">
        <x:f>S31/'Summary'!$B$20*1000</x:f>
        <x:v>0.7176889800239975</x:v>
      </x:c>
      <x:c r="R31" s="8" t="n">
        <x:f>T31/'Summary'!$B$20*1000</x:f>
        <x:v>0.7176889800281604</x:v>
      </x:c>
      <x:c r="S31" s="12" t="n">
        <x:v>2569</x:v>
      </x:c>
      <x:c r="T31" s="12" t="n">
        <x:v>2569.000000014901</x:v>
      </x:c>
    </x:row>
    <x:row r="32" ht="24" customHeight="1">
      <x:c r="A32" s="2" t="str">
        <x:v>GameBoundary_Upload</x:v>
      </x:c>
      <x:c r="B32" s="8" t="n">
        <x:v>0.12195121951219512</x:v>
      </x:c>
      <x:c r="C32" s="8" t="n">
        <x:f>K32/'Summary'!$B$20*1000</x:f>
        <x:v>0.4340834207172649</x:v>
      </x:c>
      <x:c r="D32" s="8" t="n">
        <x:f>L32/'Summary'!$B$20*1000</x:f>
        <x:v>3.601016330283625</x:v>
      </x:c>
      <x:c r="E32" s="8" t="n">
        <x:f>M32/'Summary'!$B$20*1000</x:f>
        <x:v>4.0885084556836135</x:v>
      </x:c>
      <x:c r="F32" s="8" t="n">
        <x:f>J32/'Summary'!$B$20*1000</x:f>
        <x:v>0.43388922789353473</x:v>
      </x:c>
      <x:c r="G32" s="12" t="n">
        <x:v>12741.333333333334</x:v>
      </x:c>
      <x:c r="H32" s="12" t="n">
        <x:v>14606</x:v>
      </x:c>
      <x:c r="I32" s="12" t="n">
        <x:v>14635</x:v>
      </x:c>
      <x:c r="J32" s="12" t="n">
        <x:v>1553.1260162601627</x:v>
      </x:c>
      <x:c r="K32" s="2" t="n">
        <x:v>1553.821138211382</x:v>
      </x:c>
      <x:c r="L32" s="2" t="n">
        <x:v>12889.999999985099</x:v>
      </x:c>
      <x:c r="M32" s="2" t="n">
        <x:v>14635</x:v>
      </x:c>
      <x:c r="N32" s="12" t="n">
        <x:v>12735.633333333333</x:v>
      </x:c>
      <x:c r="O32" s="12" t="n">
        <x:v>14464</x:v>
      </x:c>
      <x:c r="P32" s="12" t="n">
        <x:v>14606</x:v>
      </x:c>
      <x:c r="Q32" s="8" t="n">
        <x:f>S32/'Summary'!$B$20*1000</x:f>
        <x:v>3.601016330283625</x:v>
      </x:c>
      <x:c r="R32" s="8" t="n">
        <x:f>T32/'Summary'!$B$20*1000</x:f>
        <x:v>4.080406867353253</x:v>
      </x:c>
      <x:c r="S32" s="12" t="n">
        <x:v>12889.999999985099</x:v>
      </x:c>
      <x:c r="T32" s="12" t="n">
        <x:v>14606</x:v>
      </x:c>
    </x:row>
    <x:row r="33" ht="24" customHeight="1">
      <x:c r="A33" s="2" t="str">
        <x:v>Session_SaveMotion</x:v>
      </x:c>
      <x:c r="B33" s="8" t="n">
        <x:v>1.008130081300813</x:v>
      </x:c>
      <x:c r="C33" s="8" t="n">
        <x:f>K33/'Summary'!$B$20*1000</x:f>
        <x:v>0.04815527776276664</x:v>
      </x:c>
      <x:c r="D33" s="8" t="n">
        <x:f>L33/'Summary'!$B$20*1000</x:f>
        <x:v>0.3419429005641778</x:v>
      </x:c>
      <x:c r="E33" s="8" t="n">
        <x:f>M33/'Summary'!$B$20*1000</x:f>
        <x:v>0.3743492538897824</x:v>
      </x:c>
      <x:c r="F33" s="8" t="n">
        <x:f>J33/'Summary'!$B$20*1000</x:f>
        <x:v>0.04815527776276664</x:v>
      </x:c>
      <x:c r="G33" s="12" t="n">
        <x:v>170.9838709672312</x:v>
      </x:c>
      <x:c r="H33" s="12" t="n">
        <x:v>1224</x:v>
      </x:c>
      <x:c r="I33" s="12" t="n">
        <x:v>1234.0000000149012</x:v>
      </x:c>
      <x:c r="J33" s="12" t="n">
        <x:v>172.3739837393225</x:v>
      </x:c>
      <x:c r="K33" s="2" t="n">
        <x:v>172.3739837393225</x:v>
      </x:c>
      <x:c r="L33" s="2" t="n">
        <x:v>1224</x:v>
      </x:c>
      <x:c r="M33" s="2" t="n">
        <x:v>1340.0000000149012</x:v>
      </x:c>
      <x:c r="N33" s="12" t="n">
        <x:v>170.9838709672312</x:v>
      </x:c>
      <x:c r="O33" s="12" t="n">
        <x:v>1224</x:v>
      </x:c>
      <x:c r="P33" s="12" t="n">
        <x:v>1234.0000000149012</x:v>
      </x:c>
      <x:c r="Q33" s="8" t="n">
        <x:f>S33/'Summary'!$B$20*1000</x:f>
        <x:v>0.3419429005641778</x:v>
      </x:c>
      <x:c r="R33" s="8" t="n">
        <x:f>T33/'Summary'!$B$20*1000</x:f>
        <x:v>0.3743492538897824</x:v>
      </x:c>
      <x:c r="S33" s="12" t="n">
        <x:v>1224</x:v>
      </x:c>
      <x:c r="T33" s="12" t="n">
        <x:v>1340.0000000149012</x:v>
      </x:c>
    </x:row>
    <x:row r="34" ht="24" customHeight="1">
      <x:c r="A34" s="2" t="str">
        <x:v>Session_RestoreMotion</x:v>
      </x:c>
      <x:c r="B34" s="8" t="n">
        <x:v>0</x:v>
      </x:c>
      <x:c r="C34" s="8" t="n">
        <x:f>K34/'Summary'!$B$20*1000</x:f>
        <x:v>0</x:v>
      </x:c>
      <x:c r="D34" s="8" t="n">
        <x:f>L34/'Summary'!$B$20*1000</x:f>
        <x:v>0</x:v>
      </x:c>
      <x:c r="E34" s="8" t="n">
        <x:f>M34/'Summary'!$B$20*1000</x:f>
        <x:v>0</x:v>
      </x:c>
      <x:c r="F34" s="8" t="n">
        <x:f>J34/'Summary'!$B$20*1000</x:f>
        <x:v>0</x:v>
      </x:c>
      <x:c r="G34" s="12"/>
      <x:c r="H34" s="12"/>
      <x:c r="I34" s="12"/>
      <x:c r="J34" s="12" t="n">
        <x:v>0</x:v>
      </x:c>
      <x:c r="K34" s="2" t="n">
        <x:v>0</x:v>
      </x:c>
      <x:c r="L34" s="2" t="n">
        <x:v>0</x:v>
      </x:c>
      <x:c r="M34" s="2" t="n">
        <x:v>0</x:v>
      </x:c>
      <x:c r="N34" s="13" t="str">
        <x:v>n.a.</x:v>
      </x:c>
      <x:c r="O34" s="13" t="str">
        <x:v>n.a.</x:v>
      </x:c>
      <x:c r="P34" s="13" t="str">
        <x:v>n.a.</x:v>
      </x:c>
      <x:c r="Q34" s="8" t="n">
        <x:f>S34/'Summary'!$B$20*1000</x:f>
        <x:v>0</x:v>
      </x:c>
      <x:c r="R34" s="8" t="n">
        <x:f>T34/'Summary'!$B$20*1000</x:f>
        <x:v>0</x:v>
      </x:c>
      <x:c r="S34" s="12" t="n">
        <x:v>0</x:v>
      </x:c>
      <x:c r="T34" s="12" t="n">
        <x:v>0</x:v>
      </x:c>
    </x:row>
    <x:row r="35" ht="24" customHeight="1">
      <x:c r="A35" s="2" t="str">
        <x:v>GameSession_ValidateMotion</x:v>
      </x:c>
      <x:c r="B35" s="8" t="n">
        <x:v>1.008130081300813</x:v>
      </x:c>
      <x:c r="C35" s="8" t="n">
        <x:f>K35/'Summary'!$B$20*1000</x:f>
        <x:v>0.01947492826991763</x:v>
      </x:c>
      <x:c r="D35" s="8" t="n">
        <x:f>L35/'Summary'!$B$20*1000</x:f>
        <x:v>0.18773335717248982</x:v>
      </x:c>
      <x:c r="E35" s="8" t="n">
        <x:f>M35/'Summary'!$B$20*1000</x:f>
        <x:v>0.2193016151535743</x:v>
      </x:c>
      <x:c r="F35" s="8" t="n">
        <x:f>J35/'Summary'!$B$20*1000</x:f>
        <x:v>0.01947492826991763</x:v>
      </x:c>
      <x:c r="G35" s="12" t="n">
        <x:v>69.14919354850727</x:v>
      </x:c>
      <x:c r="H35" s="12" t="n">
        <x:v>672</x:v>
      </x:c>
      <x:c r="I35" s="12" t="n">
        <x:v>754.0000000149012</x:v>
      </x:c>
      <x:c r="J35" s="12" t="n">
        <x:v>69.71138211394229</x:v>
      </x:c>
      <x:c r="K35" s="2" t="n">
        <x:v>69.71138211394229</x:v>
      </x:c>
      <x:c r="L35" s="2" t="n">
        <x:v>672</x:v>
      </x:c>
      <x:c r="M35" s="2" t="n">
        <x:v>785.0000000149012</x:v>
      </x:c>
      <x:c r="N35" s="12" t="n">
        <x:v>69.14919354850727</x:v>
      </x:c>
      <x:c r="O35" s="12" t="n">
        <x:v>672</x:v>
      </x:c>
      <x:c r="P35" s="12" t="n">
        <x:v>754.0000000149012</x:v>
      </x:c>
      <x:c r="Q35" s="8" t="n">
        <x:f>S35/'Summary'!$B$20*1000</x:f>
        <x:v>0.18773335717248982</x:v>
      </x:c>
      <x:c r="R35" s="8" t="n">
        <x:f>T35/'Summary'!$B$20*1000</x:f>
        <x:v>0.2193016151535743</x:v>
      </x:c>
      <x:c r="S35" s="12" t="n">
        <x:v>672</x:v>
      </x:c>
      <x:c r="T35" s="12" t="n">
        <x:v>785.0000000149012</x:v>
      </x:c>
    </x:row>
    <x:row r="36" ht="24" customHeight="1">
      <x:c r="A36" s="2" t="str">
        <x:v>GameSession_SpecialFrame</x:v>
      </x:c>
      <x:c r="B36" s="8" t="n">
        <x:v>1</x:v>
      </x:c>
      <x:c r="C36" s="8" t="n">
        <x:f>K36/'Summary'!$B$20*1000</x:f>
        <x:v>0.016953828453017947</x:v>
      </x:c>
      <x:c r="D36" s="8" t="n">
        <x:f>L36/'Summary'!$B$20*1000</x:f>
        <x:v>0.03184762309176166</x:v>
      </x:c>
      <x:c r="E36" s="8" t="n">
        <x:f>M36/'Summary'!$B$20*1000</x:f>
        <x:v>0.03184762309176166</x:v>
      </x:c>
      <x:c r="F36" s="8" t="n">
        <x:f>J36/'Summary'!$B$20*1000</x:f>
        <x:v>0.016953828453017947</x:v>
      </x:c>
      <x:c r="G36" s="12" t="n">
        <x:v>60.686991869858126</x:v>
      </x:c>
      <x:c r="H36" s="12" t="n">
        <x:v>114</x:v>
      </x:c>
      <x:c r="I36" s="12" t="n">
        <x:v>114</x:v>
      </x:c>
      <x:c r="J36" s="12" t="n">
        <x:v>60.686991869858126</x:v>
      </x:c>
      <x:c r="K36" s="2" t="n">
        <x:v>60.686991869858126</x:v>
      </x:c>
      <x:c r="L36" s="2" t="n">
        <x:v>114</x:v>
      </x:c>
      <x:c r="M36" s="2" t="n">
        <x:v>114</x:v>
      </x:c>
      <x:c r="N36" s="12" t="n">
        <x:v>60.686991869858126</x:v>
      </x:c>
      <x:c r="O36" s="12" t="n">
        <x:v>114</x:v>
      </x:c>
      <x:c r="P36" s="12" t="n">
        <x:v>114</x:v>
      </x:c>
      <x:c r="Q36" s="8" t="n">
        <x:f>S36/'Summary'!$B$20*1000</x:f>
        <x:v>0.03184762309176166</x:v>
      </x:c>
      <x:c r="R36" s="8" t="n">
        <x:f>T36/'Summary'!$B$20*1000</x:f>
        <x:v>0.03184762309176166</x:v>
      </x:c>
      <x:c r="S36" s="12" t="n">
        <x:v>114</x:v>
      </x:c>
      <x:c r="T36" s="12" t="n">
        <x:v>114</x:v>
      </x:c>
    </x:row>
    <x:row r="37" ht="24" customHeight="1">
      <x:c r="A37" s="2" t="str">
        <x:v>GameSession_SpecialOverlay</x:v>
      </x:c>
      <x:c r="B37" s="8" t="n">
        <x:v>0.5284552845528455</x:v>
      </x:c>
      <x:c r="C37" s="8" t="n">
        <x:f>K37/'Summary'!$B$20*1000</x:f>
        <x:v>0.027090466725627583</x:v>
      </x:c>
      <x:c r="D37" s="8" t="n">
        <x:f>L37/'Summary'!$B$20*1000</x:f>
        <x:v>0.051682546245402694</x:v>
      </x:c>
      <x:c r="E37" s="8" t="n">
        <x:f>M37/'Summary'!$B$20*1000</x:f>
        <x:v>0.051682546249565565</x:v>
      </x:c>
      <x:c r="F37" s="8" t="n">
        <x:f>J37/'Summary'!$B$20*1000</x:f>
        <x:v>0.027090466725627583</x:v>
      </x:c>
      <x:c r="G37" s="12" t="n">
        <x:v>183.49999999988538</x:v>
      </x:c>
      <x:c r="H37" s="12" t="n">
        <x:v>185.00000001490116</x:v>
      </x:c>
      <x:c r="I37" s="12" t="n">
        <x:v>185.00000001490116</x:v>
      </x:c>
      <x:c r="J37" s="12" t="n">
        <x:v>96.97154471538659</x:v>
      </x:c>
      <x:c r="K37" s="2" t="n">
        <x:v>96.97154471538659</x:v>
      </x:c>
      <x:c r="L37" s="2" t="n">
        <x:v>185</x:v>
      </x:c>
      <x:c r="M37" s="2" t="n">
        <x:v>185.00000001490116</x:v>
      </x:c>
      <x:c r="N37" s="12" t="n">
        <x:v>183.49999999988538</x:v>
      </x:c>
      <x:c r="O37" s="12" t="n">
        <x:v>185.00000001490116</x:v>
      </x:c>
      <x:c r="P37" s="12" t="n">
        <x:v>185.00000001490116</x:v>
      </x:c>
      <x:c r="Q37" s="8" t="n">
        <x:f>S37/'Summary'!$B$20*1000</x:f>
        <x:v>0.051682546245402694</x:v>
      </x:c>
      <x:c r="R37" s="8" t="n">
        <x:f>T37/'Summary'!$B$20*1000</x:f>
        <x:v>0.051682546249565565</x:v>
      </x:c>
      <x:c r="S37" s="12" t="n">
        <x:v>185</x:v>
      </x:c>
      <x:c r="T37" s="12" t="n">
        <x:v>185.00000001490116</x:v>
      </x:c>
    </x:row>
    <x:row r="38" ht="24" customHeight="1">
      <x:c r="A38" s="2" t="str">
        <x:v>GameSession_RadarColor</x:v>
      </x:c>
      <x:c r="B38" s="8" t="n">
        <x:v>4</x:v>
      </x:c>
      <x:c r="C38" s="8" t="n">
        <x:f>K38/'Summary'!$B$20*1000</x:f>
        <x:v>0.22369082721854364</x:v>
      </x:c>
      <x:c r="D38" s="8" t="n">
        <x:f>L38/'Summary'!$B$20*1000</x:f>
        <x:v>0.2260063779180604</x:v>
      </x:c>
      <x:c r="E38" s="8" t="n">
        <x:f>M38/'Summary'!$B$20*1000</x:f>
        <x:v>0.2813206706438947</x:v>
      </x:c>
      <x:c r="F38" s="8" t="n">
        <x:f>J38/'Summary'!$B$20*1000</x:f>
        <x:v>0.22271986309989236</x:v>
      </x:c>
      <x:c r="G38" s="12" t="n">
        <x:v>200.17784552900045</x:v>
      </x:c>
      <x:c r="H38" s="12" t="n">
        <x:v>208.00000001490116</x:v>
      </x:c>
      <x:c r="I38" s="12" t="n">
        <x:v>409.00000001490116</x:v>
      </x:c>
      <x:c r="J38" s="12" t="n">
        <x:v>797.2357723599042</x:v>
      </x:c>
      <x:c r="K38" s="2" t="n">
        <x:v>800.7113821160018</x:v>
      </x:c>
      <x:c r="L38" s="2" t="n">
        <x:v>809.0000000447035</x:v>
      </x:c>
      <x:c r="M38" s="2" t="n">
        <x:v>1007</x:v>
      </x:c>
      <x:c r="N38" s="12" t="n">
        <x:v>199.30894308997605</x:v>
      </x:c>
      <x:c r="O38" s="12" t="n">
        <x:v>208.00000001490116</x:v>
      </x:c>
      <x:c r="P38" s="12" t="n">
        <x:v>238.00000001490116</x:v>
      </x:c>
      <x:c r="Q38" s="8" t="n">
        <x:f>S38/'Summary'!$B$20*1000</x:f>
        <x:v>0.2260063779180604</x:v>
      </x:c>
      <x:c r="R38" s="8" t="n">
        <x:f>T38/'Summary'!$B$20*1000</x:f>
        <x:v>0.2335492360062522</x:v>
      </x:c>
      <x:c r="S38" s="12" t="n">
        <x:v>809.0000000447035</x:v>
      </x:c>
      <x:c r="T38" s="12" t="n">
        <x:v>836</x:v>
      </x:c>
    </x:row>
    <x:row r="39" ht="24" customHeight="1">
      <x:c r="A39" s="2" t="str">
        <x:v>GameSession_FlagNames</x:v>
      </x:c>
      <x:c r="B39" s="8" t="n">
        <x:v>1</x:v>
      </x:c>
      <x:c r="C39" s="8" t="n">
        <x:f>K39/'Summary'!$B$20*1000</x:f>
        <x:v>0.12218816882593556</x:v>
      </x:c>
      <x:c r="D39" s="8" t="n">
        <x:f>L39/'Summary'!$B$20*1000</x:f>
        <x:v>0.1251555714524894</x:v>
      </x:c>
      <x:c r="E39" s="8" t="n">
        <x:f>M39/'Summary'!$B$20*1000</x:f>
        <x:v>0.18130795953116946</x:v>
      </x:c>
      <x:c r="F39" s="8" t="n">
        <x:f>J39/'Summary'!$B$20*1000</x:f>
        <x:v>0.12082881905982377</x:v>
      </x:c>
      <x:c r="G39" s="12" t="n">
        <x:v>437.3780487800335</x:v>
      </x:c>
      <x:c r="H39" s="12" t="n">
        <x:v>448.00000001490116</x:v>
      </x:c>
      <x:c r="I39" s="12" t="n">
        <x:v>649</x:v>
      </x:c>
      <x:c r="J39" s="12" t="n">
        <x:v>432.5121951214969</x:v>
      </x:c>
      <x:c r="K39" s="2" t="n">
        <x:v>437.3780487800335</x:v>
      </x:c>
      <x:c r="L39" s="2" t="n">
        <x:v>448.00000001490116</x:v>
      </x:c>
      <x:c r="M39" s="2" t="n">
        <x:v>649</x:v>
      </x:c>
      <x:c r="N39" s="12" t="n">
        <x:v>432.5121951214969</x:v>
      </x:c>
      <x:c r="O39" s="12" t="n">
        <x:v>448.00000001490116</x:v>
      </x:c>
      <x:c r="P39" s="12" t="n">
        <x:v>478</x:v>
      </x:c>
      <x:c r="Q39" s="8" t="n">
        <x:f>S39/'Summary'!$B$20*1000</x:f>
        <x:v>0.1251555714524894</x:v>
      </x:c>
      <x:c r="R39" s="8" t="n">
        <x:f>T39/'Summary'!$B$20*1000</x:f>
        <x:v>0.13353652489352696</x:v>
      </x:c>
      <x:c r="S39" s="12" t="n">
        <x:v>448.00000001490116</x:v>
      </x:c>
      <x:c r="T39" s="12" t="n">
        <x:v>478</x:v>
      </x:c>
    </x:row>
    <x:row r="40" ht="24" customHeight="1">
      <x:c r="A40" s="2" t="str">
        <x:v>GameSession_FlagUpload</x:v>
      </x:c>
      <x:c r="B40" s="8" t="n">
        <x:v>1</x:v>
      </x:c>
      <x:c r="C40" s="8" t="n">
        <x:f>K40/'Summary'!$B$20*1000</x:f>
        <x:v>0.42583987856843053</x:v>
      </x:c>
      <x:c r="D40" s="8" t="n">
        <x:f>L40/'Summary'!$B$20*1000</x:f>
        <x:v>1.4119112903972708</x:v>
      </x:c>
      <x:c r="E40" s="8" t="n">
        <x:f>M40/'Summary'!$B$20*1000</x:f>
        <x:v>1.4680636784884393</x:v>
      </x:c>
      <x:c r="F40" s="8" t="n">
        <x:f>J40/'Summary'!$B$20*1000</x:f>
        <x:v>0.4028024772691725</x:v>
      </x:c>
      <x:c r="G40" s="12" t="n">
        <x:v>1524.3130081302327</x:v>
      </x:c>
      <x:c r="H40" s="12" t="n">
        <x:v>5053.999999985099</x:v>
      </x:c>
      <x:c r="I40" s="12" t="n">
        <x:v>5255.000000014901</x:v>
      </x:c>
      <x:c r="J40" s="12" t="n">
        <x:v>1441.84959349648</x:v>
      </x:c>
      <x:c r="K40" s="2" t="n">
        <x:v>1524.3130081302327</x:v>
      </x:c>
      <x:c r="L40" s="2" t="n">
        <x:v>5053.999999985099</x:v>
      </x:c>
      <x:c r="M40" s="2" t="n">
        <x:v>5255.000000014901</x:v>
      </x:c>
      <x:c r="N40" s="12" t="n">
        <x:v>1441.84959349648</x:v>
      </x:c>
      <x:c r="O40" s="12" t="n">
        <x:v>5053.999999985099</x:v>
      </x:c>
      <x:c r="P40" s="12" t="n">
        <x:v>5084.000000029802</x:v>
      </x:c>
      <x:c r="Q40" s="8" t="n">
        <x:f>S40/'Summary'!$B$20*1000</x:f>
        <x:v>1.4119112903972708</x:v>
      </x:c>
      <x:c r="R40" s="8" t="n">
        <x:f>T40/'Summary'!$B$20*1000</x:f>
        <x:v>1.42029224385496</x:v>
      </x:c>
      <x:c r="S40" s="12" t="n">
        <x:v>5053.999999985099</x:v>
      </x:c>
      <x:c r="T40" s="12" t="n">
        <x:v>5084.000000029802</x:v>
      </x:c>
    </x:row>
    <x:row r="41" ht="24" customHeight="1">
      <x:c r="A41" s="2" t="str">
        <x:v>GameSession_LabelNames</x:v>
      </x:c>
      <x:c r="B41" s="8" t="n">
        <x:v>1</x:v>
      </x:c>
      <x:c r="C41" s="8" t="n">
        <x:f>K41/'Summary'!$B$20*1000</x:f>
        <x:v>0.008660318560057376</x:v>
      </x:c>
      <x:c r="D41" s="8" t="n">
        <x:f>L41/'Summary'!$B$20*1000</x:f>
        <x:v>0.008660318560040452</x:v>
      </x:c>
      <x:c r="E41" s="8" t="n">
        <x:f>M41/'Summary'!$B$20*1000</x:f>
        <x:v>0.008660318564203316</x:v>
      </x:c>
      <x:c r="F41" s="8" t="n">
        <x:f>J41/'Summary'!$B$20*1000</x:f>
        <x:v>0.008660318560057376</x:v>
      </x:c>
      <x:c r="G41" s="12" t="n">
        <x:v>31.000000000060574</x:v>
      </x:c>
      <x:c r="H41" s="12" t="n">
        <x:v>31</x:v>
      </x:c>
      <x:c r="I41" s="12" t="n">
        <x:v>31.00000001490116</x:v>
      </x:c>
      <x:c r="J41" s="12" t="n">
        <x:v>31.000000000060574</x:v>
      </x:c>
      <x:c r="K41" s="2" t="n">
        <x:v>31.000000000060574</x:v>
      </x:c>
      <x:c r="L41" s="2" t="n">
        <x:v>31</x:v>
      </x:c>
      <x:c r="M41" s="2" t="n">
        <x:v>31.00000001490116</x:v>
      </x:c>
      <x:c r="N41" s="12" t="n">
        <x:v>31.000000000060574</x:v>
      </x:c>
      <x:c r="O41" s="12" t="n">
        <x:v>31</x:v>
      </x:c>
      <x:c r="P41" s="12" t="n">
        <x:v>31.00000001490116</x:v>
      </x:c>
      <x:c r="Q41" s="8" t="n">
        <x:f>S41/'Summary'!$B$20*1000</x:f>
        <x:v>0.008660318560040452</x:v>
      </x:c>
      <x:c r="R41" s="8" t="n">
        <x:f>T41/'Summary'!$B$20*1000</x:f>
        <x:v>0.008660318564203316</x:v>
      </x:c>
      <x:c r="S41" s="12" t="n">
        <x:v>31</x:v>
      </x:c>
      <x:c r="T41" s="12" t="n">
        <x:v>31.00000001490116</x:v>
      </x:c>
    </x:row>
    <x:row r="42" ht="24" customHeight="1">
      <x:c r="A42" s="2" t="str">
        <x:v>GameSession_LabelUpload</x:v>
      </x:c>
      <x:c r="B42" s="8" t="n">
        <x:v>1</x:v>
      </x:c>
      <x:c r="C42" s="8" t="n">
        <x:f>K42/'Summary'!$B$20*1000</x:f>
        <x:v>0.008660318559989685</x:v>
      </x:c>
      <x:c r="D42" s="8" t="n">
        <x:f>L42/'Summary'!$B$20*1000</x:f>
        <x:v>0.008660318560040452</x:v>
      </x:c>
      <x:c r="E42" s="8" t="n">
        <x:f>M42/'Summary'!$B$20*1000</x:f>
        <x:v>0.008660318560040452</x:v>
      </x:c>
      <x:c r="F42" s="8" t="n">
        <x:f>J42/'Summary'!$B$20*1000</x:f>
        <x:v>0.008660318559989685</x:v>
      </x:c>
      <x:c r="G42" s="12" t="n">
        <x:v>30.99999999981828</x:v>
      </x:c>
      <x:c r="H42" s="12" t="n">
        <x:v>31</x:v>
      </x:c>
      <x:c r="I42" s="12" t="n">
        <x:v>31</x:v>
      </x:c>
      <x:c r="J42" s="12" t="n">
        <x:v>30.99999999981828</x:v>
      </x:c>
      <x:c r="K42" s="2" t="n">
        <x:v>30.99999999981828</x:v>
      </x:c>
      <x:c r="L42" s="2" t="n">
        <x:v>31</x:v>
      </x:c>
      <x:c r="M42" s="2" t="n">
        <x:v>31</x:v>
      </x:c>
      <x:c r="N42" s="12" t="n">
        <x:v>30.99999999981828</x:v>
      </x:c>
      <x:c r="O42" s="12" t="n">
        <x:v>31</x:v>
      </x:c>
      <x:c r="P42" s="12" t="n">
        <x:v>31</x:v>
      </x:c>
      <x:c r="Q42" s="8" t="n">
        <x:f>S42/'Summary'!$B$20*1000</x:f>
        <x:v>0.008660318560040452</x:v>
      </x:c>
      <x:c r="R42" s="8" t="n">
        <x:f>T42/'Summary'!$B$20*1000</x:f>
        <x:v>0.008660318560040452</x:v>
      </x:c>
      <x:c r="S42" s="12" t="n">
        <x:v>31</x:v>
      </x:c>
      <x:c r="T42" s="12" t="n">
        <x:v>31</x:v>
      </x:c>
    </x:row>
    <x:row r="43" ht="24" customHeight="1">
      <x:c r="A43" s="2" t="str">
        <x:v>GameSession_PopupFrame</x:v>
      </x:c>
      <x:c r="B43" s="8" t="n">
        <x:v>1</x:v>
      </x:c>
      <x:c r="C43" s="8" t="n">
        <x:f>K43/'Summary'!$B$20*1000</x:f>
        <x:v>0.02458413010590436</x:v>
      </x:c>
      <x:c r="D43" s="8" t="n">
        <x:f>L43/'Summary'!$B$20*1000</x:f>
        <x:v>0.02458413010592128</x:v>
      </x:c>
      <x:c r="E43" s="8" t="n">
        <x:f>M43/'Summary'!$B$20*1000</x:f>
        <x:v>0.02458413011008415</x:v>
      </x:c>
      <x:c r="F43" s="8" t="n">
        <x:f>J43/'Summary'!$B$20*1000</x:f>
        <x:v>0.02458413010590436</x:v>
      </x:c>
      <x:c r="G43" s="12" t="n">
        <x:v>87.99999999993942</x:v>
      </x:c>
      <x:c r="H43" s="12" t="n">
        <x:v>88</x:v>
      </x:c>
      <x:c r="I43" s="12" t="n">
        <x:v>88.00000001490116</x:v>
      </x:c>
      <x:c r="J43" s="12" t="n">
        <x:v>87.99999999993942</x:v>
      </x:c>
      <x:c r="K43" s="2" t="n">
        <x:v>87.99999999993942</x:v>
      </x:c>
      <x:c r="L43" s="2" t="n">
        <x:v>88</x:v>
      </x:c>
      <x:c r="M43" s="2" t="n">
        <x:v>88.00000001490116</x:v>
      </x:c>
      <x:c r="N43" s="12" t="n">
        <x:v>87.99999999993942</x:v>
      </x:c>
      <x:c r="O43" s="12" t="n">
        <x:v>88</x:v>
      </x:c>
      <x:c r="P43" s="12" t="n">
        <x:v>88.00000001490116</x:v>
      </x:c>
      <x:c r="Q43" s="8" t="n">
        <x:f>S43/'Summary'!$B$20*1000</x:f>
        <x:v>0.02458413010592128</x:v>
      </x:c>
      <x:c r="R43" s="8" t="n">
        <x:f>T43/'Summary'!$B$20*1000</x:f>
        <x:v>0.02458413011008415</x:v>
      </x:c>
      <x:c r="S43" s="12" t="n">
        <x:v>88</x:v>
      </x:c>
      <x:c r="T43" s="12" t="n">
        <x:v>88.00000001490116</x:v>
      </x:c>
    </x:row>
    <x:row r="44" ht="24" customHeight="1">
      <x:c r="A44" s="2" t="str">
        <x:v>GameSession_PopupOverlay</x:v>
      </x:c>
      <x:c r="B44" s="8" t="n">
        <x:v>0.5284552845528455</x:v>
      </x:c>
      <x:c r="C44" s="8" t="n">
        <x:f>K44/'Summary'!$B$20*1000</x:f>
        <x:v>0.0045765911089813895</x:v>
      </x:c>
      <x:c r="D44" s="8" t="n">
        <x:f>L44/'Summary'!$B$20*1000</x:f>
        <x:v>0.008660318560040452</x:v>
      </x:c>
      <x:c r="E44" s="8" t="n">
        <x:f>M44/'Summary'!$B$20*1000</x:f>
        <x:v>0.008660318564203316</x:v>
      </x:c>
      <x:c r="F44" s="8" t="n">
        <x:f>J44/'Summary'!$B$20*1000</x:f>
        <x:v>0.0045765911089813895</x:v>
      </x:c>
      <x:c r="G44" s="12" t="n">
        <x:v>31.000000000114625</x:v>
      </x:c>
      <x:c r="H44" s="12" t="n">
        <x:v>31</x:v>
      </x:c>
      <x:c r="I44" s="12" t="n">
        <x:v>31.00000001490116</x:v>
      </x:c>
      <x:c r="J44" s="12" t="n">
        <x:v>16.382113821198786</x:v>
      </x:c>
      <x:c r="K44" s="2" t="n">
        <x:v>16.382113821198786</x:v>
      </x:c>
      <x:c r="L44" s="2" t="n">
        <x:v>31</x:v>
      </x:c>
      <x:c r="M44" s="2" t="n">
        <x:v>31.00000001490116</x:v>
      </x:c>
      <x:c r="N44" s="12" t="n">
        <x:v>31.000000000114625</x:v>
      </x:c>
      <x:c r="O44" s="12" t="n">
        <x:v>31</x:v>
      </x:c>
      <x:c r="P44" s="12" t="n">
        <x:v>31.00000001490116</x:v>
      </x:c>
      <x:c r="Q44" s="8" t="n">
        <x:f>S44/'Summary'!$B$20*1000</x:f>
        <x:v>0.008660318560040452</x:v>
      </x:c>
      <x:c r="R44" s="8" t="n">
        <x:f>T44/'Summary'!$B$20*1000</x:f>
        <x:v>0.008660318564203316</x:v>
      </x:c>
      <x:c r="S44" s="12" t="n">
        <x:v>31</x:v>
      </x:c>
      <x:c r="T44" s="12" t="n">
        <x:v>31.00000001490116</x:v>
      </x:c>
    </x:row>
    <x:row r="45" ht="24" customHeight="1">
      <x:c r="A45" s="2" t="str">
        <x:v>GameSession_PopupUpload</x:v>
      </x:c>
      <x:c r="B45" s="8" t="n">
        <x:v>1</x:v>
      </x:c>
      <x:c r="C45" s="8" t="n">
        <x:f>K45/'Summary'!$B$20*1000</x:f>
        <x:v>0.008660318560006607</x:v>
      </x:c>
      <x:c r="D45" s="8" t="n">
        <x:f>L45/'Summary'!$B$20*1000</x:f>
        <x:v>0.008660318560040452</x:v>
      </x:c>
      <x:c r="E45" s="8" t="n">
        <x:f>M45/'Summary'!$B$20*1000</x:f>
        <x:v>0.008660318560040452</x:v>
      </x:c>
      <x:c r="F45" s="8" t="n">
        <x:f>J45/'Summary'!$B$20*1000</x:f>
        <x:v>0.008660318560006607</x:v>
      </x:c>
      <x:c r="G45" s="12" t="n">
        <x:v>30.999999999878852</x:v>
      </x:c>
      <x:c r="H45" s="12" t="n">
        <x:v>31</x:v>
      </x:c>
      <x:c r="I45" s="12" t="n">
        <x:v>31</x:v>
      </x:c>
      <x:c r="J45" s="12" t="n">
        <x:v>30.999999999878852</x:v>
      </x:c>
      <x:c r="K45" s="2" t="n">
        <x:v>30.999999999878852</x:v>
      </x:c>
      <x:c r="L45" s="2" t="n">
        <x:v>31</x:v>
      </x:c>
      <x:c r="M45" s="2" t="n">
        <x:v>31</x:v>
      </x:c>
      <x:c r="N45" s="12" t="n">
        <x:v>30.999999999878852</x:v>
      </x:c>
      <x:c r="O45" s="12" t="n">
        <x:v>31</x:v>
      </x:c>
      <x:c r="P45" s="12" t="n">
        <x:v>31</x:v>
      </x:c>
      <x:c r="Q45" s="8" t="n">
        <x:f>S45/'Summary'!$B$20*1000</x:f>
        <x:v>0.008660318560040452</x:v>
      </x:c>
      <x:c r="R45" s="8" t="n">
        <x:f>T45/'Summary'!$B$20*1000</x:f>
        <x:v>0.008660318560040452</x:v>
      </x:c>
      <x:c r="S45" s="12" t="n">
        <x:v>31</x:v>
      </x:c>
      <x:c r="T45" s="12" t="n">
        <x:v>31</x:v>
      </x:c>
    </x:row>
    <x:row r="46" ht="24" customHeight="1">
      <x:c r="A46" s="2" t="str">
        <x:v>GameSession_AfterFrame</x:v>
      </x:c>
      <x:c r="B46" s="8" t="n">
        <x:v>1</x:v>
      </x:c>
      <x:c r="C46" s="8" t="n">
        <x:f>K46/'Summary'!$B$20*1000</x:f>
        <x:v>0.05857923056422243</x:v>
      </x:c>
      <x:c r="D46" s="8" t="n">
        <x:f>L46/'Summary'!$B$20*1000</x:f>
        <x:v>0.07347302520292383</x:v>
      </x:c>
      <x:c r="E46" s="8" t="n">
        <x:f>M46/'Summary'!$B$20*1000</x:f>
        <x:v>0.07347302520708669</x:v>
      </x:c>
      <x:c r="F46" s="8" t="n">
        <x:f>J46/'Summary'!$B$20*1000</x:f>
        <x:v>0.017041272005300118</x:v>
      </x:c>
      <x:c r="G46" s="12" t="n">
        <x:v>209.68699187000956</x:v>
      </x:c>
      <x:c r="H46" s="12" t="n">
        <x:v>263</x:v>
      </x:c>
      <x:c r="I46" s="12" t="n">
        <x:v>263.00000001490116</x:v>
      </x:c>
      <x:c r="J46" s="12" t="n">
        <x:v>61.00000000021201</x:v>
      </x:c>
      <x:c r="K46" s="2" t="n">
        <x:v>209.68699187000956</x:v>
      </x:c>
      <x:c r="L46" s="2" t="n">
        <x:v>263</x:v>
      </x:c>
      <x:c r="M46" s="2" t="n">
        <x:v>263.00000001490116</x:v>
      </x:c>
      <x:c r="N46" s="12" t="n">
        <x:v>61.00000000021201</x:v>
      </x:c>
      <x:c r="O46" s="12" t="n">
        <x:v>61.00000001490116</x:v>
      </x:c>
      <x:c r="P46" s="12" t="n">
        <x:v>61.00000001490116</x:v>
      </x:c>
      <x:c r="Q46" s="8" t="n">
        <x:f>S46/'Summary'!$B$20*1000</x:f>
        <x:v>0.017041272009403755</x:v>
      </x:c>
      <x:c r="R46" s="8" t="n">
        <x:f>T46/'Summary'!$B$20*1000</x:f>
        <x:v>0.017041272009403755</x:v>
      </x:c>
      <x:c r="S46" s="12" t="n">
        <x:v>61.00000001490116</x:v>
      </x:c>
      <x:c r="T46" s="12" t="n">
        <x:v>61.00000001490116</x:v>
      </x:c>
    </x:row>
    <x:row r="47" ht="24" customHeight="1">
      <x:c r="A47" s="2" t="str">
        <x:v>clock_irq</x:v>
      </x:c>
      <x:c r="B47" s="8" t="n">
        <x:v>2.0121951219512195</x:v>
      </x:c>
      <x:c r="C47" s="8" t="n">
        <x:f>K47/'Summary'!$B$20*1000</x:f>
        <x:v>0.0961254477464419</x:v>
      </x:c>
      <x:c r="D47" s="8" t="n">
        <x:f>L47/'Summary'!$B$20*1000</x:f>
        <x:v>0.09554286927944786</x:v>
      </x:c>
      <x:c r="E47" s="8" t="n">
        <x:f>M47/'Summary'!$B$20*1000</x:f>
        <x:v>0.14331430391709035</x:v>
      </x:c>
      <x:c r="F47" s="8" t="n">
        <x:f>J47/'Summary'!$B$20*1000</x:f>
        <x:v>0.0961254477464419</x:v>
      </x:c>
      <x:c r="G47" s="12" t="n">
        <x:v>170.9999999999398</x:v>
      </x:c>
      <x:c r="H47" s="12" t="n">
        <x:v>171.00000001490116</x:v>
      </x:c>
      <x:c r="I47" s="12" t="n">
        <x:v>171.00000001490116</x:v>
      </x:c>
      <x:c r="J47" s="12" t="n">
        <x:v>344.0853658535374</x:v>
      </x:c>
      <x:c r="K47" s="2" t="n">
        <x:v>344.0853658535374</x:v>
      </x:c>
      <x:c r="L47" s="2" t="n">
        <x:v>342.00000001490116</x:v>
      </x:c>
      <x:c r="M47" s="2" t="n">
        <x:v>513.0000000149012</x:v>
      </x:c>
      <x:c r="N47" s="12" t="n">
        <x:v>170.9999999999398</x:v>
      </x:c>
      <x:c r="O47" s="12" t="n">
        <x:v>171.00000001490116</x:v>
      </x:c>
      <x:c r="P47" s="12" t="n">
        <x:v>171.00000001490116</x:v>
      </x:c>
      <x:c r="Q47" s="8" t="n">
        <x:f>S47/'Summary'!$B$20*1000</x:f>
        <x:v>0.09554286927944786</x:v>
      </x:c>
      <x:c r="R47" s="8" t="n">
        <x:f>T47/'Summary'!$B$20*1000</x:f>
        <x:v>0.14331430391709035</x:v>
      </x:c>
      <x:c r="S47" s="12" t="n">
        <x:v>342.00000001490116</x:v>
      </x:c>
      <x:c r="T47" s="12" t="n">
        <x:v>513.0000000149012</x:v>
      </x:c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9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Logic and publication within the raster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Physical line0 = VSYNC;228 CPU cycles/line. Foreground routines have variable placement.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6" customHeight="1">
      <x:c r="A5" s="7" t="str">
        <x:v>Routine / hook</x:v>
      </x:c>
      <x:c r="B5" s="7" t="str">
        <x:v>Start line min..max</x:v>
      </x:c>
      <x:c r="C5" s="7" t="str">
        <x:v>Start cycle min..max</x:v>
      </x:c>
      <x:c r="D5" s="7" t="str">
        <x:v>Mean in VBlank cycles/call</x:v>
      </x:c>
      <x:c r="E5" s="7" t="str">
        <x:v>Mean outside cycles/call</x:v>
      </x:c>
      <x:c r="F5" s="7" t="str">
        <x:v>Max in VBlank cycles/call</x:v>
      </x:c>
      <x:c r="G5" s="7" t="str">
        <x:v>Wholly in VBlank calls</x:v>
      </x:c>
      <x:c r="H5" s="7" t="str">
        <x:v>Wholly outside calls</x:v>
      </x:c>
    </x:row>
    <x:row r="6" ht="24" customHeight="1">
      <x:c r="A6" s="2" t="str">
        <x:v>Game_Prepare</x:v>
      </x:c>
      <x:c r="B6" s="2" t="str">
        <x:v>1..256</x:v>
      </x:c>
      <x:c r="C6" s="2" t="str">
        <x:v>86.000..220.000</x:v>
      </x:c>
      <x:c r="D6" s="12" t="n">
        <x:v>7333.569105691057</x:v>
      </x:c>
      <x:c r="E6" s="12" t="n">
        <x:v>29431.8861788607</x:v>
      </x:c>
      <x:c r="F6" s="12" t="n">
        <x:v>16578</x:v>
      </x:c>
      <x:c r="G6" s="2" t="n">
        <x:v>0</x:v>
      </x:c>
      <x:c r="H6" s="2" t="n">
        <x:v>0</x:v>
      </x:c>
    </x:row>
    <x:row r="7" ht="24" customHeight="1">
      <x:c r="A7" s="2" t="str">
        <x:v>Game_Frame</x:v>
      </x:c>
      <x:c r="B7" s="2" t="str">
        <x:v>1..257</x:v>
      </x:c>
      <x:c r="C7" s="2" t="str">
        <x:v>17.000..205.000</x:v>
      </x:c>
      <x:c r="D7" s="12" t="n">
        <x:v>6944.178861788618</x:v>
      </x:c>
      <x:c r="E7" s="12" t="n">
        <x:v>17684.760162601142</x:v>
      </x:c>
      <x:c r="F7" s="12" t="n">
        <x:v>8224.666666666666</x:v>
      </x:c>
      <x:c r="G7" s="2" t="n">
        <x:v>0</x:v>
      </x:c>
      <x:c r="H7" s="2" t="n">
        <x:v>0</x:v>
      </x:c>
    </x:row>
    <x:row r="8" ht="24" customHeight="1">
      <x:c r="A8" s="2" t="str">
        <x:v>Game_LogicTick</x:v>
      </x:c>
      <x:c r="B8" s="2" t="str">
        <x:v>13..149</x:v>
      </x:c>
      <x:c r="C8" s="2" t="str">
        <x:v>1.000..227.000</x:v>
      </x:c>
      <x:c r="D8" s="12" t="n">
        <x:v>638.5057008718981</x:v>
      </x:c>
      <x:c r="E8" s="12" t="n">
        <x:v>7653.333333333679</x:v>
      </x:c>
      <x:c r="F8" s="12" t="n">
        <x:v>4090.6666666666665</x:v>
      </x:c>
      <x:c r="G8" s="2" t="n">
        <x:v>0</x:v>
      </x:c>
      <x:c r="H8" s="2" t="n">
        <x:v>267</x:v>
      </x:c>
    </x:row>
    <x:row r="9" ht="24" customHeight="1">
      <x:c r="A9" s="2" t="str">
        <x:v>Game_Position</x:v>
      </x:c>
      <x:c r="B9" s="2" t="str">
        <x:v>78..206</x:v>
      </x:c>
      <x:c r="C9" s="2" t="str">
        <x:v>0.000..227.000</x:v>
      </x:c>
      <x:c r="D9" s="12" t="n">
        <x:v>0</x:v>
      </x:c>
      <x:c r="E9" s="12" t="n">
        <x:v>899.9999999999394</x:v>
      </x:c>
      <x:c r="F9" s="12" t="n">
        <x:v>0</x:v>
      </x:c>
      <x:c r="G9" s="2" t="n">
        <x:v>0</x:v>
      </x:c>
      <x:c r="H9" s="2" t="n">
        <x:v>246</x:v>
      </x:c>
    </x:row>
    <x:row r="10" ht="24" customHeight="1">
      <x:c r="A10" s="2" t="str">
        <x:v>Game_Actors</x:v>
      </x:c>
      <x:c r="B10" s="2" t="str">
        <x:v>83..211</x:v>
      </x:c>
      <x:c r="C10" s="2" t="str">
        <x:v>1.000..227.000</x:v>
      </x:c>
      <x:c r="D10" s="12" t="n">
        <x:v>0</x:v>
      </x:c>
      <x:c r="E10" s="12" t="n">
        <x:v>3985.0000000007267</x:v>
      </x:c>
      <x:c r="F10" s="12" t="n">
        <x:v>0</x:v>
      </x:c>
      <x:c r="G10" s="2" t="n">
        <x:v>0</x:v>
      </x:c>
      <x:c r="H10" s="2" t="n">
        <x:v>246</x:v>
      </x:c>
    </x:row>
    <x:row r="11" ht="24" customHeight="1">
      <x:c r="A11" s="2" t="str">
        <x:v>GameSprites_Prepare</x:v>
      </x:c>
      <x:c r="B11" s="2" t="str">
        <x:v>101..229</x:v>
      </x:c>
      <x:c r="C11" s="2" t="str">
        <x:v>1.000..227.000</x:v>
      </x:c>
      <x:c r="D11" s="12" t="n">
        <x:v>199.97560975609755</x:v>
      </x:c>
      <x:c r="E11" s="12" t="n">
        <x:v>5695.707317073353</x:v>
      </x:c>
      <x:c r="F11" s="12" t="n">
        <x:v>7759.333333333333</x:v>
      </x:c>
      <x:c r="G11" s="2" t="n">
        <x:v>0</x:v>
      </x:c>
      <x:c r="H11" s="2" t="n">
        <x:v>237</x:v>
      </x:c>
    </x:row>
    <x:row r="12" ht="24" customHeight="1">
      <x:c r="A12" s="2" t="str">
        <x:v>GameSprites_Commit</x:v>
      </x:c>
      <x:c r="B12" s="2" t="str">
        <x:v>4..254</x:v>
      </x:c>
      <x:c r="C12" s="2" t="str">
        <x:v>119.000..208.000</x:v>
      </x:c>
      <x:c r="D12" s="12" t="n">
        <x:v>1978.0731707317073</x:v>
      </x:c>
      <x:c r="E12" s="12" t="n">
        <x:v>2.6046745176237774e-9</x:v>
      </x:c>
      <x:c r="F12" s="12" t="n">
        <x:v>4819</x:v>
      </x:c>
      <x:c r="G12" s="2" t="n">
        <x:v>246</x:v>
      </x:c>
      <x:c r="H12" s="2" t="n">
        <x:v>0</x:v>
      </x:c>
    </x:row>
    <x:row r="13" ht="24" customHeight="1">
      <x:c r="A13" s="2" t="str">
        <x:v>GameHUD_Prepare</x:v>
      </x:c>
      <x:c r="B13" s="2" t="str">
        <x:v>1..259</x:v>
      </x:c>
      <x:c r="C13" s="2" t="str">
        <x:v>0.000..227.000</x:v>
      </x:c>
      <x:c r="D13" s="12" t="n">
        <x:v>74.01219512195122</x:v>
      </x:c>
      <x:c r="E13" s="12" t="n">
        <x:v>1792.1341463415542</x:v>
      </x:c>
      <x:c r="F13" s="12" t="n">
        <x:v>2023</x:v>
      </x:c>
      <x:c r="G13" s="2" t="n">
        <x:v>9</x:v>
      </x:c>
      <x:c r="H13" s="2" t="n">
        <x:v>237</x:v>
      </x:c>
    </x:row>
    <x:row r="14" ht="24" customHeight="1">
      <x:c r="A14" s="2" t="str">
        <x:v>GameHUD_Commit</x:v>
      </x:c>
      <x:c r="B14" s="2" t="str">
        <x:v>247..247</x:v>
      </x:c>
      <x:c r="C14" s="2" t="str">
        <x:v>74.000..78.000</x:v>
      </x:c>
      <x:c r="D14" s="12" t="n">
        <x:v>1298.3495934959349</x:v>
      </x:c>
      <x:c r="E14" s="12" t="n">
        <x:v>2.756109082601904e-9</x:v>
      </x:c>
      <x:c r="F14" s="12" t="n">
        <x:v>4444</x:v>
      </x:c>
      <x:c r="G14" s="2" t="n">
        <x:v>246</x:v>
      </x:c>
      <x:c r="H14" s="2" t="n">
        <x:v>0</x:v>
      </x:c>
    </x:row>
    <x:row r="15" ht="24" customHeight="1">
      <x:c r="A15" s="2" t="str">
        <x:v>render</x:v>
      </x:c>
      <x:c r="B15" s="2" t="str">
        <x:v>5..222</x:v>
      </x:c>
      <x:c r="C15" s="2" t="str">
        <x:v>0.000..227.000</x:v>
      </x:c>
      <x:c r="D15" s="12" t="n">
        <x:v>9659.470189701897</x:v>
      </x:c>
      <x:c r="E15" s="12" t="n">
        <x:v>32300.22899729058</x:v>
      </x:c>
      <x:c r="F15" s="12" t="n">
        <x:v>22344</x:v>
      </x:c>
      <x:c r="G15" s="2" t="n">
        <x:v>0</x:v>
      </x:c>
      <x:c r="H15" s="2" t="n">
        <x:v>0</x:v>
      </x:c>
    </x:row>
    <x:row r="16" ht="24" customHeight="1">
      <x:c r="A16" s="2" t="str">
        <x:v>wait_blank</x:v>
      </x:c>
      <x:c r="B16" s="2" t="str">
        <x:v>1..261</x:v>
      </x:c>
      <x:c r="C16" s="2" t="str">
        <x:v>1.000..225.000</x:v>
      </x:c>
      <x:c r="D16" s="12" t="n">
        <x:v>1582.39972899729</x:v>
      </x:c>
      <x:c r="E16" s="12" t="n">
        <x:v>35958.42140921412</x:v>
      </x:c>
      <x:c r="F16" s="12" t="n">
        <x:v>10293</x:v>
      </x:c>
      <x:c r="G16" s="2" t="n">
        <x:v>0</x:v>
      </x:c>
      <x:c r="H16" s="2" t="n">
        <x:v>0</x:v>
      </x:c>
    </x:row>
    <x:row r="17" ht="24" customHeight="1">
      <x:c r="A17" s="2" t="str">
        <x:v>commit</x:v>
      </x:c>
      <x:c r="B17" s="2" t="str">
        <x:v>245..245</x:v>
      </x:c>
      <x:c r="C17" s="2" t="str">
        <x:v>36.000..40.000</x:v>
      </x:c>
      <x:c r="D17" s="12" t="n">
        <x:v>3804.4227642276423</x:v>
      </x:c>
      <x:c r="E17" s="12" t="n">
        <x:v>2.5138137786369014e-9</x:v>
      </x:c>
      <x:c r="F17" s="12" t="n">
        <x:v>6970</x:v>
      </x:c>
      <x:c r="G17" s="2" t="n">
        <x:v>246</x:v>
      </x:c>
      <x:c r="H17" s="2" t="n">
        <x:v>0</x:v>
      </x:c>
    </x:row>
    <x:row r="18" ht="24" customHeight="1">
      <x:c r="A18" s="2" t="str">
        <x:v>Ring_Prepare</x:v>
      </x:c>
      <x:c r="B18" s="2" t="str">
        <x:v>6..223</x:v>
      </x:c>
      <x:c r="C18" s="2" t="str">
        <x:v>0.000..227.000</x:v>
      </x:c>
      <x:c r="D18" s="12" t="n">
        <x:v>221.5460704607046</x:v>
      </x:c>
      <x:c r="E18" s="12" t="n">
        <x:v>6492.6043360432695</x:v>
      </x:c>
      <x:c r="F18" s="12" t="n">
        <x:v>8110.333333333333</x:v>
      </x:c>
      <x:c r="G18" s="2" t="n">
        <x:v>4</x:v>
      </x:c>
      <x:c r="H18" s="2" t="n">
        <x:v>228</x:v>
      </x:c>
    </x:row>
    <x:row r="19" ht="24" customHeight="1">
      <x:c r="A19" s="2" t="str">
        <x:v>Game_RingPatch</x:v>
      </x:c>
      <x:c r="B19" s="2" t="str">
        <x:v>1..258</x:v>
      </x:c>
      <x:c r="C19" s="2" t="str">
        <x:v>0.000..227.000</x:v>
      </x:c>
      <x:c r="D19" s="12" t="n">
        <x:v>111.48915989159892</x:v>
      </x:c>
      <x:c r="E19" s="12" t="n">
        <x:v>889.5352303532727</x:v>
      </x:c>
      <x:c r="F19" s="12" t="n">
        <x:v>1784</x:v>
      </x:c>
      <x:c r="G19" s="2" t="n">
        <x:v>13</x:v>
      </x:c>
      <x:c r="H19" s="2" t="n">
        <x:v>226</x:v>
      </x:c>
    </x:row>
    <x:row r="20" ht="24" customHeight="1">
      <x:c r="A20" s="2" t="str">
        <x:v>Game_DirtyTileUpload</x:v>
      </x:c>
      <x:c r="B20" s="2" t="str">
        <x:v>0..261</x:v>
      </x:c>
      <x:c r="C20" s="2" t="str">
        <x:v>1.000..227.000</x:v>
      </x:c>
      <x:c r="D20" s="12" t="n">
        <x:v>39.53116531165312</x:v>
      </x:c>
      <x:c r="E20" s="12" t="n">
        <x:v>88.46883468895263</x:v>
      </x:c>
      <x:c r="F20" s="12" t="n">
        <x:v>145</x:v>
      </x:c>
      <x:c r="G20" s="2" t="n">
        <x:v>77</x:v>
      </x:c>
      <x:c r="H20" s="2" t="n">
        <x:v>168</x:v>
      </x:c>
    </x:row>
    <x:row r="21" ht="24" customHeight="1">
      <x:c r="A21" s="2" t="str">
        <x:v>Game_Radar</x:v>
      </x:c>
      <x:c r="B21" s="2" t="str">
        <x:v>0..261</x:v>
      </x:c>
      <x:c r="C21" s="2" t="str">
        <x:v>0.000..225.000</x:v>
      </x:c>
      <x:c r="D21" s="12" t="n">
        <x:v>1861.0230352303522</x:v>
      </x:c>
      <x:c r="E21" s="12" t="n">
        <x:v>3097.8875338749754</x:v>
      </x:c>
      <x:c r="F21" s="12" t="n">
        <x:v>5572.333333333333</x:v>
      </x:c>
      <x:c r="G21" s="2" t="n">
        <x:v>53</x:v>
      </x:c>
      <x:c r="H21" s="2" t="n">
        <x:v>125</x:v>
      </x:c>
    </x:row>
    <x:row r="22" ht="24" customHeight="1">
      <x:c r="A22" s="2" t="str">
        <x:v>Game_RadarUpload</x:v>
      </x:c>
      <x:c r="B22" s="2" t="str">
        <x:v>0..261</x:v>
      </x:c>
      <x:c r="C22" s="2" t="str">
        <x:v>0.000..225.000</x:v>
      </x:c>
      <x:c r="D22" s="12" t="n">
        <x:v>586.3279132791328</x:v>
      </x:c>
      <x:c r="E22" s="12" t="n">
        <x:v>1081.8306233077474</x:v>
      </x:c>
      <x:c r="F22" s="12" t="n">
        <x:v>1942</x:v>
      </x:c>
      <x:c r="G22" s="2" t="n">
        <x:v>79</x:v>
      </x:c>
      <x:c r="H22" s="2" t="n">
        <x:v>151</x:v>
      </x:c>
    </x:row>
    <x:row r="23" ht="24" customHeight="1">
      <x:c r="A23" s="2" t="str">
        <x:v>Ring_UploadNames</x:v>
      </x:c>
      <x:c r="B23" s="2" t="str">
        <x:v>1..261</x:v>
      </x:c>
      <x:c r="C23" s="2" t="str">
        <x:v>0.000..226.000</x:v>
      </x:c>
      <x:c r="D23" s="12" t="n">
        <x:v>3762.2140921409214</x:v>
      </x:c>
      <x:c r="E23" s="12" t="n">
        <x:v>10127.497289971476</x:v>
      </x:c>
      <x:c r="F23" s="12" t="n">
        <x:v>11172</x:v>
      </x:c>
      <x:c r="G23" s="2" t="n">
        <x:v>0</x:v>
      </x:c>
      <x:c r="H23" s="2" t="n">
        <x:v>82</x:v>
      </x:c>
    </x:row>
    <x:row r="24" ht="24" customHeight="1">
      <x:c r="A24" s="2" t="str">
        <x:v>hud_upload</x:v>
      </x:c>
      <x:c r="B24" s="2" t="str">
        <x:v>0..261</x:v>
      </x:c>
      <x:c r="C24" s="2" t="str">
        <x:v>0.000..227.000</x:v>
      </x:c>
      <x:c r="D24" s="12" t="n">
        <x:v>845.2493224932249</x:v>
      </x:c>
      <x:c r="E24" s="12" t="n">
        <x:v>2062.746612466579</x:v>
      </x:c>
      <x:c r="F24" s="12" t="n">
        <x:v>11172</x:v>
      </x:c>
      <x:c r="G24" s="2" t="n">
        <x:v>80</x:v>
      </x:c>
      <x:c r="H24" s="2" t="n">
        <x:v>120</x:v>
      </x:c>
    </x:row>
    <x:row r="25" ht="24" customHeight="1">
      <x:c r="A25" s="2" t="str">
        <x:v>GameAudio_Tick</x:v>
      </x:c>
      <x:c r="B25" s="2" t="str">
        <x:v>3..147</x:v>
      </x:c>
      <x:c r="C25" s="2" t="str">
        <x:v>1.000..227.000</x:v>
      </x:c>
      <x:c r="D25" s="12" t="n">
        <x:v>1681.2407780013414</x:v>
      </x:c>
      <x:c r="E25" s="12" t="n">
        <x:v>67.40710932428128</x:v>
      </x:c>
      <x:c r="F25" s="12" t="n">
        <x:v>4485</x:v>
      </x:c>
      <x:c r="G25" s="2" t="n">
        <x:v>236</x:v>
      </x:c>
      <x:c r="H25" s="2" t="n">
        <x:v>251</x:v>
      </x:c>
    </x:row>
    <x:row r="26" ht="24" customHeight="1">
      <x:c r="A26" s="2" t="str">
        <x:v>GameSession_PhaseSelect</x:v>
      </x:c>
      <x:c r="B26" s="2" t="str">
        <x:v>0..260</x:v>
      </x:c>
      <x:c r="C26" s="2" t="str">
        <x:v>0.000..227.000</x:v>
      </x:c>
      <x:c r="D26" s="12" t="n">
        <x:v>168.6260162601626</x:v>
      </x:c>
      <x:c r="E26" s="12" t="n">
        <x:v>749.4756097565215</x:v>
      </x:c>
      <x:c r="F26" s="12" t="n">
        <x:v>2879.3333333333335</x:v>
      </x:c>
      <x:c r="G26" s="2" t="n">
        <x:v>19</x:v>
      </x:c>
      <x:c r="H26" s="2" t="n">
        <x:v>214</x:v>
      </x:c>
    </x:row>
    <x:row r="27" ht="24" customHeight="1">
      <x:c r="A27" s="2" t="str">
        <x:v>Game_ReadInput</x:v>
      </x:c>
      <x:c r="B27" s="2" t="str">
        <x:v>2..257</x:v>
      </x:c>
      <x:c r="C27" s="2" t="str">
        <x:v>40.000..174.000</x:v>
      </x:c>
      <x:c r="D27" s="12" t="n">
        <x:v>1659.121951219512</x:v>
      </x:c>
      <x:c r="E27" s="12" t="n">
        <x:v>4.2401678193875443e-10</x:v>
      </x:c>
      <x:c r="F27" s="12" t="n">
        <x:v>1670</x:v>
      </x:c>
      <x:c r="G27" s="2" t="n">
        <x:v>246</x:v>
      </x:c>
      <x:c r="H27" s="2" t="n">
        <x:v>0</x:v>
      </x:c>
    </x:row>
    <x:row r="28" ht="24" customHeight="1">
      <x:c r="A28" s="2" t="str">
        <x:v>GameSession_InputTick</x:v>
      </x:c>
      <x:c r="B28" s="2" t="str">
        <x:v>11..147</x:v>
      </x:c>
      <x:c r="C28" s="2" t="str">
        <x:v>0.000..227.000</x:v>
      </x:c>
      <x:c r="D28" s="12" t="n">
        <x:v>36.07176391683434</x:v>
      </x:c>
      <x:c r="E28" s="12" t="n">
        <x:v>39.92823608446989</x:v>
      </x:c>
      <x:c r="F28" s="12" t="n">
        <x:v>76</x:v>
      </x:c>
      <x:c r="G28" s="2" t="n">
        <x:v>235</x:v>
      </x:c>
      <x:c r="H28" s="2" t="n">
        <x:v>261</x:v>
      </x:c>
    </x:row>
    <x:row r="29" ht="24" customHeight="1">
      <x:c r="A29" s="2" t="str">
        <x:v>GameSession_SharedSprite</x:v>
      </x:c>
      <x:c r="B29" s="2" t="str">
        <x:v>106..251</x:v>
      </x:c>
      <x:c r="C29" s="2" t="str">
        <x:v>1.000..226.000</x:v>
      </x:c>
      <x:c r="D29" s="12" t="n">
        <x:v>2.4164222873900294</x:v>
      </x:c>
      <x:c r="E29" s="12" t="n">
        <x:v>398.80938416358924</x:v>
      </x:c>
      <x:c r="F29" s="12" t="n">
        <x:v>412</x:v>
      </x:c>
      <x:c r="G29" s="2" t="n">
        <x:v>2</x:v>
      </x:c>
      <x:c r="H29" s="2" t="n">
        <x:v>339</x:v>
      </x:c>
    </x:row>
    <x:row r="30" ht="24" customHeight="1">
      <x:c r="A30" s="2" t="str">
        <x:v>GameSession_FlagBlinkUpload</x:v>
      </x:c>
      <x:c r="B30" s="2" t="str">
        <x:v>0..261</x:v>
      </x:c>
      <x:c r="C30" s="2" t="str">
        <x:v>2.000..227.000</x:v>
      </x:c>
      <x:c r="D30" s="12" t="n">
        <x:v>195.33333333333334</x:v>
      </x:c>
      <x:c r="E30" s="12" t="n">
        <x:v>244.06666666600438</x:v>
      </x:c>
      <x:c r="F30" s="12" t="n">
        <x:v>444</x:v>
      </x:c>
      <x:c r="G30" s="2" t="n">
        <x:v>20</x:v>
      </x:c>
      <x:c r="H30" s="2" t="n">
        <x:v>25</x:v>
      </x:c>
    </x:row>
    <x:row r="31" ht="24" customHeight="1">
      <x:c r="A31" s="2" t="str">
        <x:v>GameSession_Boundaries</x:v>
      </x:c>
      <x:c r="B31" s="2" t="str">
        <x:v>2..260</x:v>
      </x:c>
      <x:c r="C31" s="2" t="str">
        <x:v>2.000..227.000</x:v>
      </x:c>
      <x:c r="D31" s="12" t="n">
        <x:v>623.2046070460705</x:v>
      </x:c>
      <x:c r="E31" s="12" t="n">
        <x:v>1933.7710027098756</x:v>
      </x:c>
      <x:c r="F31" s="12" t="n">
        <x:v>2626.3333333333335</x:v>
      </x:c>
      <x:c r="G31" s="2" t="n">
        <x:v>48</x:v>
      </x:c>
      <x:c r="H31" s="2" t="n">
        <x:v>173</x:v>
      </x:c>
    </x:row>
    <x:row r="32" ht="24" customHeight="1">
      <x:c r="A32" s="2" t="str">
        <x:v>GameBoundary_Upload</x:v>
      </x:c>
      <x:c r="B32" s="2" t="str">
        <x:v>3..200</x:v>
      </x:c>
      <x:c r="C32" s="2" t="str">
        <x:v>7.000..219.000</x:v>
      </x:c>
      <x:c r="D32" s="12" t="n">
        <x:v>827.0666666666666</x:v>
      </x:c>
      <x:c r="E32" s="12" t="n">
        <x:v>11914.266666666666</x:v>
      </x:c>
      <x:c r="F32" s="12" t="n">
        <x:v>6344.666666666667</x:v>
      </x:c>
      <x:c r="G32" s="2" t="n">
        <x:v>0</x:v>
      </x:c>
      <x:c r="H32" s="2" t="n">
        <x:v>22</x:v>
      </x:c>
    </x:row>
    <x:row r="33" ht="24" customHeight="1">
      <x:c r="A33" s="2" t="str">
        <x:v>Session_SaveMotion</x:v>
      </x:c>
      <x:c r="B33" s="2" t="str">
        <x:v>16..153</x:v>
      </x:c>
      <x:c r="C33" s="2" t="str">
        <x:v>1.000..227.000</x:v>
      </x:c>
      <x:c r="D33" s="12" t="n">
        <x:v>66.24193548387096</x:v>
      </x:c>
      <x:c r="E33" s="12" t="n">
        <x:v>104.74193548447182</x:v>
      </x:c>
      <x:c r="F33" s="12" t="n">
        <x:v>1234</x:v>
      </x:c>
      <x:c r="G33" s="2" t="n">
        <x:v>102</x:v>
      </x:c>
      <x:c r="H33" s="2" t="n">
        <x:v>143</x:v>
      </x:c>
    </x:row>
    <x:row r="34" ht="24" customHeight="1">
      <x:c r="A34" s="2" t="str">
        <x:v>GameSession_ValidateMotion</x:v>
      </x:c>
      <x:c r="B34" s="2" t="str">
        <x:v>41..181</x:v>
      </x:c>
      <x:c r="C34" s="2" t="str">
        <x:v>0.000..226.000</x:v>
      </x:c>
      <x:c r="D34" s="12" t="n">
        <x:v>0</x:v>
      </x:c>
      <x:c r="E34" s="12" t="n">
        <x:v>69.14919354850727</x:v>
      </x:c>
      <x:c r="F34" s="12" t="n">
        <x:v>0</x:v>
      </x:c>
      <x:c r="G34" s="2" t="n">
        <x:v>0</x:v>
      </x:c>
      <x:c r="H34" s="2" t="n">
        <x:v>248</x:v>
      </x:c>
    </x:row>
    <x:row r="35" ht="24" customHeight="1">
      <x:c r="A35" s="2" t="str">
        <x:v>GameSession_SpecialFrame</x:v>
      </x:c>
      <x:c r="B35" s="2" t="str">
        <x:v>83..210</x:v>
      </x:c>
      <x:c r="C35" s="2" t="str">
        <x:v>2.000..223.000</x:v>
      </x:c>
      <x:c r="D35" s="12" t="n">
        <x:v>0</x:v>
      </x:c>
      <x:c r="E35" s="12" t="n">
        <x:v>60.686991869858126</x:v>
      </x:c>
      <x:c r="F35" s="12" t="n">
        <x:v>0</x:v>
      </x:c>
      <x:c r="G35" s="2" t="n">
        <x:v>0</x:v>
      </x:c>
      <x:c r="H35" s="2" t="n">
        <x:v>246</x:v>
      </x:c>
    </x:row>
    <x:row r="36" ht="24" customHeight="1">
      <x:c r="A36" s="2" t="str">
        <x:v>GameSession_SpecialOverlay</x:v>
      </x:c>
      <x:c r="B36" s="2" t="str">
        <x:v>2..260</x:v>
      </x:c>
      <x:c r="C36" s="2" t="str">
        <x:v>0.000..227.000</x:v>
      </x:c>
      <x:c r="D36" s="12" t="n">
        <x:v>24.076923076923077</x:v>
      </x:c>
      <x:c r="E36" s="12" t="n">
        <x:v>159.4230769229623</x:v>
      </x:c>
      <x:c r="F36" s="12" t="n">
        <x:v>185</x:v>
      </x:c>
      <x:c r="G36" s="2" t="n">
        <x:v>17</x:v>
      </x:c>
      <x:c r="H36" s="2" t="n">
        <x:v>113</x:v>
      </x:c>
    </x:row>
    <x:row r="37" ht="24" customHeight="1">
      <x:c r="A37" s="2" t="str">
        <x:v>GameSession_RadarColor</x:v>
      </x:c>
      <x:c r="B37" s="2" t="str">
        <x:v>0..261</x:v>
      </x:c>
      <x:c r="C37" s="2" t="str">
        <x:v>0.000..227.000</x:v>
      </x:c>
      <x:c r="D37" s="12" t="n">
        <x:v>80.24457994579946</x:v>
      </x:c>
      <x:c r="E37" s="12" t="n">
        <x:v>119.93326558398088</x:v>
      </x:c>
      <x:c r="F37" s="12" t="n">
        <x:v>314.3333333333333</x:v>
      </x:c>
      <x:c r="G37" s="2" t="n">
        <x:v>389</x:v>
      </x:c>
      <x:c r="H37" s="2" t="n">
        <x:v>587</x:v>
      </x:c>
    </x:row>
    <x:row r="38" ht="24" customHeight="1">
      <x:c r="A38" s="2" t="str">
        <x:v>GameSession_FlagNames</x:v>
      </x:c>
      <x:c r="B38" s="2" t="str">
        <x:v>0..261</x:v>
      </x:c>
      <x:c r="C38" s="2" t="str">
        <x:v>0.000..227.000</x:v>
      </x:c>
      <x:c r="D38" s="12" t="n">
        <x:v>137.7940379403794</x:v>
      </x:c>
      <x:c r="E38" s="12" t="n">
        <x:v>299.58401084071414</x:v>
      </x:c>
      <x:c r="F38" s="12" t="n">
        <x:v>542.3333333333334</x:v>
      </x:c>
      <x:c r="G38" s="2" t="n">
        <x:v>72</x:v>
      </x:c>
      <x:c r="H38" s="2" t="n">
        <x:v>167</x:v>
      </x:c>
    </x:row>
    <x:row r="39" ht="24" customHeight="1">
      <x:c r="A39" s="2" t="str">
        <x:v>GameSession_FlagUpload</x:v>
      </x:c>
      <x:c r="B39" s="2" t="str">
        <x:v>0..261</x:v>
      </x:c>
      <x:c r="C39" s="2" t="str">
        <x:v>0.000..227.000</x:v>
      </x:c>
      <x:c r="D39" s="12" t="n">
        <x:v>591.1287262872629</x:v>
      </x:c>
      <x:c r="E39" s="12" t="n">
        <x:v>933.1842818439997</x:v>
      </x:c>
      <x:c r="F39" s="12" t="n">
        <x:v>5070.333333333333</x:v>
      </x:c>
      <x:c r="G39" s="2" t="n">
        <x:v>96</x:v>
      </x:c>
      <x:c r="H39" s="2" t="n">
        <x:v>140</x:v>
      </x:c>
    </x:row>
    <x:row r="40" ht="24" customHeight="1">
      <x:c r="A40" s="2" t="str">
        <x:v>GameSession_LabelNames</x:v>
      </x:c>
      <x:c r="B40" s="2" t="str">
        <x:v>0..261</x:v>
      </x:c>
      <x:c r="C40" s="2" t="str">
        <x:v>1.000..225.000</x:v>
      </x:c>
      <x:c r="D40" s="12" t="n">
        <x:v>9.955284552845528</x:v>
      </x:c>
      <x:c r="E40" s="12" t="n">
        <x:v>21.044715447215044</x:v>
      </x:c>
      <x:c r="F40" s="12" t="n">
        <x:v>31</x:v>
      </x:c>
      <x:c r="G40" s="2" t="n">
        <x:v>79</x:v>
      </x:c>
      <x:c r="H40" s="2" t="n">
        <x:v>167</x:v>
      </x:c>
    </x:row>
    <x:row r="41" ht="24" customHeight="1">
      <x:c r="A41" s="2" t="str">
        <x:v>GameSession_LabelUpload</x:v>
      </x:c>
      <x:c r="B41" s="2" t="str">
        <x:v>0..261</x:v>
      </x:c>
      <x:c r="C41" s="2" t="str">
        <x:v>0.000..227.000</x:v>
      </x:c>
      <x:c r="D41" s="12" t="n">
        <x:v>11.59349593495935</x:v>
      </x:c>
      <x:c r="E41" s="12" t="n">
        <x:v>19.406504064919503</x:v>
      </x:c>
      <x:c r="F41" s="12" t="n">
        <x:v>31</x:v>
      </x:c>
      <x:c r="G41" s="2" t="n">
        <x:v>92</x:v>
      </x:c>
      <x:c r="H41" s="2" t="n">
        <x:v>154</x:v>
      </x:c>
    </x:row>
    <x:row r="42" ht="24" customHeight="1">
      <x:c r="A42" s="2" t="str">
        <x:v>GameSession_PopupFrame</x:v>
      </x:c>
      <x:c r="B42" s="2" t="str">
        <x:v>83..211</x:v>
      </x:c>
      <x:c r="C42" s="2" t="str">
        <x:v>0.000..227.000</x:v>
      </x:c>
      <x:c r="D42" s="12" t="n">
        <x:v>0</x:v>
      </x:c>
      <x:c r="E42" s="12" t="n">
        <x:v>87.99999999993942</x:v>
      </x:c>
      <x:c r="F42" s="12" t="n">
        <x:v>0</x:v>
      </x:c>
      <x:c r="G42" s="2" t="n">
        <x:v>0</x:v>
      </x:c>
      <x:c r="H42" s="2" t="n">
        <x:v>246</x:v>
      </x:c>
    </x:row>
    <x:row r="43" ht="24" customHeight="1">
      <x:c r="A43" s="2" t="str">
        <x:v>GameSession_PopupOverlay</x:v>
      </x:c>
      <x:c r="B43" s="2" t="str">
        <x:v>3..261</x:v>
      </x:c>
      <x:c r="C43" s="2" t="str">
        <x:v>4.000..226.000</x:v>
      </x:c>
      <x:c r="D43" s="12" t="n">
        <x:v>4.053846153846154</x:v>
      </x:c>
      <x:c r="E43" s="12" t="n">
        <x:v>26.94615384626847</x:v>
      </x:c>
      <x:c r="F43" s="12" t="n">
        <x:v>31</x:v>
      </x:c>
      <x:c r="G43" s="2" t="n">
        <x:v>17</x:v>
      </x:c>
      <x:c r="H43" s="2" t="n">
        <x:v>113</x:v>
      </x:c>
    </x:row>
    <x:row r="44" ht="24" customHeight="1">
      <x:c r="A44" s="2" t="str">
        <x:v>GameSession_PopupUpload</x:v>
      </x:c>
      <x:c r="B44" s="2" t="str">
        <x:v>0..261</x:v>
      </x:c>
      <x:c r="C44" s="2" t="str">
        <x:v>0.000..225.000</x:v>
      </x:c>
      <x:c r="D44" s="12" t="n">
        <x:v>11.59349593495935</x:v>
      </x:c>
      <x:c r="E44" s="12" t="n">
        <x:v>19.40650406504065</x:v>
      </x:c>
      <x:c r="F44" s="12" t="n">
        <x:v>31</x:v>
      </x:c>
      <x:c r="G44" s="2" t="n">
        <x:v>92</x:v>
      </x:c>
      <x:c r="H44" s="2" t="n">
        <x:v>154</x:v>
      </x:c>
    </x:row>
    <x:row r="45" ht="24" customHeight="1">
      <x:c r="A45" s="2" t="str">
        <x:v>GameSession_AfterFrame</x:v>
      </x:c>
      <x:c r="B45" s="2" t="str">
        <x:v>83..210</x:v>
      </x:c>
      <x:c r="C45" s="2" t="str">
        <x:v>0.000..226.000</x:v>
      </x:c>
      <x:c r="D45" s="12" t="n">
        <x:v>0</x:v>
      </x:c>
      <x:c r="E45" s="12" t="n">
        <x:v>209.68699187000956</x:v>
      </x:c>
      <x:c r="F45" s="12" t="n">
        <x:v>0</x:v>
      </x:c>
      <x:c r="G45" s="2" t="n">
        <x:v>0</x:v>
      </x:c>
      <x:c r="H45" s="2" t="n">
        <x:v>246</x:v>
      </x:c>
    </x:row>
    <x:row r="46" ht="24" customHeight="1">
      <x:c r="A46" s="2" t="str">
        <x:v>clock_irq</x:v>
      </x:c>
      <x:c r="B46" s="2" t="str">
        <x:v>244..244</x:v>
      </x:c>
      <x:c r="C46" s="2" t="str">
        <x:v>64.000..208.000</x:v>
      </x:c>
      <x:c r="D46" s="12" t="n">
        <x:v>171</x:v>
      </x:c>
      <x:c r="E46" s="12" t="n">
        <x:v>8.27842288547092e-10</x:v>
      </x:c>
      <x:c r="F46" s="12" t="n">
        <x:v>171</x:v>
      </x:c>
      <x:c r="G46" s="2" t="n">
        <x:v>495</x:v>
      </x:c>
      <x:c r="H46" s="2" t="n">
        <x:v>0</x:v>
      </x:c>
    </x:row>
    <x:row r="47" ht="24" customHeight="1">
      <x:c r="A47" s="2"/>
      <x:c r="B47" s="2"/>
      <x:c r="C47" s="2"/>
      <x:c r="D47" s="2"/>
      <x:c r="E47" s="2"/>
      <x:c r="F47" s="2"/>
      <x:c r="G47" s="2"/>
      <x:c r="H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</x:row>
    <x:row r="49" ht="24" customHeight="1">
      <x:c r="A49" s="2" t="str">
        <x:v>VR rises at line244 cycle33.667 and falls next line31 cycle33.667.</x:v>
      </x:c>
      <x:c r="B49" s="2"/>
      <x:c r="C49" s="2"/>
      <x:c r="D49" s="2"/>
      <x:c r="E49" s="2"/>
      <x:c r="F49" s="2"/>
      <x:c r="G49" s="2"/>
      <x:c r="H49" s="2"/>
    </x:row>
    <x:row r="50" ht="24" customHeight="1">
      <x:c r="A50" s="2" t="str">
        <x:v>Gameplay logic, PSG and inactive-table drawing run in foreground, including visible scanlines.</x:v>
      </x:c>
      <x:c r="B50" s="2"/>
      <x:c r="C50" s="2"/>
      <x:c r="D50" s="2"/>
      <x:c r="E50" s="2"/>
      <x:c r="F50" s="2"/>
      <x:c r="G50" s="2"/>
      <x:c r="H50" s="2"/>
    </x:row>
    <x:row r="51" ht="24" customHeight="1">
      <x:c r="A51" s="2" t="str">
        <x:v>Active VBlank IRQ acknowledges VDP status and advances the clock. UI additionally latches keys in its IRQ.</x:v>
      </x:c>
      <x:c r="B51" s="2"/>
      <x:c r="C51" s="2"/>
      <x:c r="D51" s="2"/>
      <x:c r="E51" s="2"/>
      <x:c r="F51" s="2"/>
      <x:c r="G51" s="2"/>
      <x:c r="H51" s="2"/>
    </x:row>
    <x:row r="52" ht="24" customHeight="1">
      <x:c r="A52" s="2" t="str">
        <x:v>Commit publishes display registers and sprite attribute tables after HALT. See observed endpoints above.</x:v>
      </x:c>
      <x:c r="B52" s="2"/>
      <x:c r="C52" s="2"/>
      <x:c r="D52" s="2"/>
      <x:c r="E52" s="2"/>
      <x:c r="F52" s="2"/>
      <x:c r="G52" s="2"/>
      <x:c r="H52" s="2"/>
    </x:row>
    <x:row r="53" ht="24" customHeight="1">
      <x:c r="A53" s="2" t="str">
        <x:v>Inclusive spans may cross VBlank. In/outside partitions do not establish a safe VRAM transfer allowance.</x:v>
      </x:c>
      <x:c r="B53" s="2"/>
      <x:c r="C53" s="2"/>
      <x:c r="D53" s="2"/>
      <x:c r="E53" s="2"/>
      <x:c r="F53" s="2"/>
      <x:c r="G53" s="2"/>
      <x:c r="H53" s="2"/>
    </x:row>
    <x:row r="54" ht="24" customHeight="1">
      <x:c r="A54" s="2" t="str">
        <x:v>UI/cold restoration and flag-capture costs are separate event samples in Events; excluded from active FPS.</x:v>
      </x:c>
      <x:c r="B54" s="2"/>
      <x:c r="C54" s="2"/>
      <x:c r="D54" s="2"/>
      <x:c r="E54" s="2"/>
      <x:c r="F54" s="2"/>
      <x:c r="G54" s="2"/>
      <x:c r="H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5" hidden="0" customWidth="1"/>
    <x:col min="11" max="11" width="12" hidden="0" customWidth="1"/>
    <x:col min="12" max="12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Active frame observations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Raw guest cycles, native VDP cadence and camera endpoints; same recorded workload as the routine ledger.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7" t="str">
        <x:v>Frame</x:v>
      </x:c>
      <x:c r="B5" s="7" t="str">
        <x:v>Refreshes</x:v>
      </x:c>
      <x:c r="C5" s="7" t="str">
        <x:v>Interval cycles</x:v>
      </x:c>
      <x:c r="D5" s="7" t="str">
        <x:v>CPU work cycles</x:v>
      </x:c>
      <x:c r="E5" s="7" t="str">
        <x:v>Readiness margin cycles</x:v>
      </x:c>
      <x:c r="F5" s="7" t="str">
        <x:v>Game_Prepare cycles</x:v>
      </x:c>
      <x:c r="G5" s="7" t="str">
        <x:v>Render cycles</x:v>
      </x:c>
      <x:c r="H5" s="7" t="str">
        <x:v>Wait cycles</x:v>
      </x:c>
      <x:c r="I5" s="7" t="str">
        <x:v>Commit cycles</x:v>
      </x:c>
      <x:c r="J5" s="7" t="str">
        <x:v>Untracked cycles</x:v>
      </x:c>
      <x:c r="K5" s="7" t="str">
        <x:v>Camera X</x:v>
      </x:c>
      <x:c r="L5" s="7" t="str">
        <x:v>Camera Y</x:v>
      </x:c>
    </x:row>
    <x:row r="6" ht="24" customHeight="1">
      <x:c r="A6" s="2" t="n">
        <x:v>5</x:v>
      </x:c>
      <x:c r="B6" s="2" t="n">
        <x:v>2</x:v>
      </x:c>
      <x:c r="C6" s="12" t="n">
        <x:v>122292.00000000745</x:v>
      </x:c>
      <x:c r="D6" s="12" t="n">
        <x:v>87450.00000000745</x:v>
      </x:c>
      <x:c r="E6" s="12" t="n">
        <x:v>34629.66666666418</x:v>
      </x:c>
      <x:c r="F6" s="12" t="n">
        <x:v>40351.99999999255</x:v>
      </x:c>
      <x:c r="G6" s="12" t="n">
        <x:v>40069</x:v>
      </x:c>
      <x:c r="H6" s="12" t="n">
        <x:v>34842</x:v>
      </x:c>
      <x:c r="I6" s="12" t="n">
        <x:v>6922.999999992549</x:v>
      </x:c>
      <x:c r="J6" s="12" t="n">
        <x:v>106.00000002235174</x:v>
      </x:c>
      <x:c r="K6" s="2" t="n">
        <x:v>292</x:v>
      </x:c>
      <x:c r="L6" s="2" t="n">
        <x:v>1111</x:v>
      </x:c>
    </x:row>
    <x:row r="7" ht="24" customHeight="1">
      <x:c r="A7" s="2" t="n">
        <x:v>6</x:v>
      </x:c>
      <x:c r="B7" s="2" t="n">
        <x:v>2</x:v>
      </x:c>
      <x:c r="C7" s="12" t="n">
        <x:v>116651</x:v>
      </x:c>
      <x:c r="D7" s="12" t="n">
        <x:v>69798.99999999255</x:v>
      </x:c>
      <x:c r="E7" s="12" t="n">
        <x:v>46639.66666666418</x:v>
      </x:c>
      <x:c r="F7" s="12" t="n">
        <x:v>36805.99999999255</x:v>
      </x:c>
      <x:c r="G7" s="12" t="n">
        <x:v>28785</x:v>
      </x:c>
      <x:c r="H7" s="12" t="n">
        <x:v>46852.00000000745</x:v>
      </x:c>
      <x:c r="I7" s="12" t="n">
        <x:v>4102</x:v>
      </x:c>
      <x:c r="J7" s="12" t="n">
        <x:v>106</x:v>
      </x:c>
      <x:c r="K7" s="2" t="n">
        <x:v>292</x:v>
      </x:c>
      <x:c r="L7" s="2" t="n">
        <x:v>1107</x:v>
      </x:c>
    </x:row>
    <x:row r="8" ht="24" customHeight="1">
      <x:c r="A8" s="2" t="n">
        <x:v>7</x:v>
      </x:c>
      <x:c r="B8" s="2" t="n">
        <x:v>2</x:v>
      </x:c>
      <x:c r="C8" s="12" t="n">
        <x:v>119471.99999999255</x:v>
      </x:c>
      <x:c r="D8" s="12" t="n">
        <x:v>79290</x:v>
      </x:c>
      <x:c r="E8" s="12" t="n">
        <x:v>39969.66666666418</x:v>
      </x:c>
      <x:c r="F8" s="12" t="n">
        <x:v>35013</x:v>
      </x:c>
      <x:c r="G8" s="12" t="n">
        <x:v>40069.00000000745</x:v>
      </x:c>
      <x:c r="H8" s="12" t="n">
        <x:v>40181.99999999255</x:v>
      </x:c>
      <x:c r="I8" s="12" t="n">
        <x:v>4102</x:v>
      </x:c>
      <x:c r="J8" s="12" t="n">
        <x:v>105.99999999254942</x:v>
      </x:c>
      <x:c r="K8" s="2" t="n">
        <x:v>292</x:v>
      </x:c>
      <x:c r="L8" s="2" t="n">
        <x:v>1103</x:v>
      </x:c>
    </x:row>
    <x:row r="9" ht="24" customHeight="1">
      <x:c r="A9" s="2" t="n">
        <x:v>8</x:v>
      </x:c>
      <x:c r="B9" s="2" t="n">
        <x:v>2</x:v>
      </x:c>
      <x:c r="C9" s="12" t="n">
        <x:v>119476.00000000745</x:v>
      </x:c>
      <x:c r="D9" s="12" t="n">
        <x:v>69289.00000000745</x:v>
      </x:c>
      <x:c r="E9" s="12" t="n">
        <x:v>49970.66666666418</x:v>
      </x:c>
      <x:c r="F9" s="12" t="n">
        <x:v>36295.99999999255</x:v>
      </x:c>
      <x:c r="G9" s="12" t="n">
        <x:v>28785</x:v>
      </x:c>
      <x:c r="H9" s="12" t="n">
        <x:v>50187</x:v>
      </x:c>
      <x:c r="I9" s="12" t="n">
        <x:v>4101.999999992549</x:v>
      </x:c>
      <x:c r="J9" s="12" t="n">
        <x:v>106.00000002235174</x:v>
      </x:c>
      <x:c r="K9" s="2" t="n">
        <x:v>292</x:v>
      </x:c>
      <x:c r="L9" s="2" t="n">
        <x:v>1099</x:v>
      </x:c>
    </x:row>
    <x:row r="10" ht="24" customHeight="1">
      <x:c r="A10" s="2" t="n">
        <x:v>9</x:v>
      </x:c>
      <x:c r="B10" s="2" t="n">
        <x:v>2</x:v>
      </x:c>
      <x:c r="C10" s="12" t="n">
        <x:v>119470</x:v>
      </x:c>
      <x:c r="D10" s="12" t="n">
        <x:v>81088</x:v>
      </x:c>
      <x:c r="E10" s="12" t="n">
        <x:v>38167.66666666418</x:v>
      </x:c>
      <x:c r="F10" s="12" t="n">
        <x:v>36269</x:v>
      </x:c>
      <x:c r="G10" s="12" t="n">
        <x:v>40610.99999999255</x:v>
      </x:c>
      <x:c r="H10" s="12" t="n">
        <x:v>38382</x:v>
      </x:c>
      <x:c r="I10" s="12" t="n">
        <x:v>4101.999999992549</x:v>
      </x:c>
      <x:c r="J10" s="12" t="n">
        <x:v>106.00000001490116</x:v>
      </x:c>
      <x:c r="K10" s="2" t="n">
        <x:v>292</x:v>
      </x:c>
      <x:c r="L10" s="2" t="n">
        <x:v>1095</x:v>
      </x:c>
    </x:row>
    <x:row r="11" ht="24" customHeight="1">
      <x:c r="A11" s="2" t="n">
        <x:v>10</x:v>
      </x:c>
      <x:c r="B11" s="2" t="n">
        <x:v>2</x:v>
      </x:c>
      <x:c r="C11" s="12" t="n">
        <x:v>119471.99999999255</x:v>
      </x:c>
      <x:c r="D11" s="12" t="n">
        <x:v>69554.99999999255</x:v>
      </x:c>
      <x:c r="E11" s="12" t="n">
        <x:v>49702.66666666418</x:v>
      </x:c>
      <x:c r="F11" s="12" t="n">
        <x:v>36039.00000000745</x:v>
      </x:c>
      <x:c r="G11" s="12" t="n">
        <x:v>29308</x:v>
      </x:c>
      <x:c r="H11" s="12" t="n">
        <x:v>49917</x:v>
      </x:c>
      <x:c r="I11" s="12" t="n">
        <x:v>4102.000000007451</x:v>
      </x:c>
      <x:c r="J11" s="12" t="n">
        <x:v>105.99999997764826</x:v>
      </x:c>
      <x:c r="K11" s="2" t="n">
        <x:v>292</x:v>
      </x:c>
      <x:c r="L11" s="2" t="n">
        <x:v>1091</x:v>
      </x:c>
    </x:row>
    <x:row r="12" ht="24" customHeight="1">
      <x:c r="A12" s="2" t="n">
        <x:v>11</x:v>
      </x:c>
      <x:c r="B12" s="2" t="n">
        <x:v>2</x:v>
      </x:c>
      <x:c r="C12" s="12" t="n">
        <x:v>119471</x:v>
      </x:c>
      <x:c r="D12" s="12" t="n">
        <x:v>79309</x:v>
      </x:c>
      <x:c r="E12" s="12" t="n">
        <x:v>39948.66666666418</x:v>
      </x:c>
      <x:c r="F12" s="12" t="n">
        <x:v>34991</x:v>
      </x:c>
      <x:c r="G12" s="12" t="n">
        <x:v>40110.00000000745</x:v>
      </x:c>
      <x:c r="H12" s="12" t="n">
        <x:v>40162</x:v>
      </x:c>
      <x:c r="I12" s="12" t="n">
        <x:v>4102</x:v>
      </x:c>
      <x:c r="J12" s="12" t="n">
        <x:v>105.99999999254942</x:v>
      </x:c>
      <x:c r="K12" s="2" t="n">
        <x:v>292</x:v>
      </x:c>
      <x:c r="L12" s="2" t="n">
        <x:v>1087</x:v>
      </x:c>
    </x:row>
    <x:row r="13" ht="24" customHeight="1">
      <x:c r="A13" s="2" t="n">
        <x:v>12</x:v>
      </x:c>
      <x:c r="B13" s="2" t="n">
        <x:v>2</x:v>
      </x:c>
      <x:c r="C13" s="12" t="n">
        <x:v>119473</x:v>
      </x:c>
      <x:c r="D13" s="12" t="n">
        <x:v>69315.99999999255</x:v>
      </x:c>
      <x:c r="E13" s="12" t="n">
        <x:v>49942.66666666418</x:v>
      </x:c>
      <x:c r="F13" s="12" t="n">
        <x:v>36310.99999999255</x:v>
      </x:c>
      <x:c r="G13" s="12" t="n">
        <x:v>28797</x:v>
      </x:c>
      <x:c r="H13" s="12" t="n">
        <x:v>50157.00000000745</x:v>
      </x:c>
      <x:c r="I13" s="12" t="n">
        <x:v>4102.000000007451</x:v>
      </x:c>
      <x:c r="J13" s="12" t="n">
        <x:v>105.99999999254942</x:v>
      </x:c>
      <x:c r="K13" s="2" t="n">
        <x:v>292</x:v>
      </x:c>
      <x:c r="L13" s="2" t="n">
        <x:v>1083</x:v>
      </x:c>
    </x:row>
    <x:row r="14" ht="24" customHeight="1">
      <x:c r="A14" s="2" t="n">
        <x:v>13</x:v>
      </x:c>
      <x:c r="B14" s="2" t="n">
        <x:v>2</x:v>
      </x:c>
      <x:c r="C14" s="12" t="n">
        <x:v>119473.00000000745</x:v>
      </x:c>
      <x:c r="D14" s="12" t="n">
        <x:v>108851.0000000149</x:v>
      </x:c>
      <x:c r="E14" s="12" t="n">
        <x:v>10406.666666664183</x:v>
      </x:c>
      <x:c r="F14" s="12" t="n">
        <x:v>63871</x:v>
      </x:c>
      <x:c r="G14" s="12" t="n">
        <x:v>40772</x:v>
      </x:c>
      <x:c r="H14" s="12" t="n">
        <x:v>10621.99999999255</x:v>
      </x:c>
      <x:c r="I14" s="12" t="n">
        <x:v>4101.999999992549</x:v>
      </x:c>
      <x:c r="J14" s="12" t="n">
        <x:v>106.00000002235174</x:v>
      </x:c>
      <x:c r="K14" s="2" t="n">
        <x:v>292</x:v>
      </x:c>
      <x:c r="L14" s="2" t="n">
        <x:v>1079</x:v>
      </x:c>
    </x:row>
    <x:row r="15" ht="24" customHeight="1">
      <x:c r="A15" s="2" t="n">
        <x:v>14</x:v>
      </x:c>
      <x:c r="B15" s="2" t="n">
        <x:v>2</x:v>
      </x:c>
      <x:c r="C15" s="12" t="n">
        <x:v>119470</x:v>
      </x:c>
      <x:c r="D15" s="12" t="n">
        <x:v>96272.99999999255</x:v>
      </x:c>
      <x:c r="E15" s="12" t="n">
        <x:v>22983.666666664183</x:v>
      </x:c>
      <x:c r="F15" s="12" t="n">
        <x:v>63469.00000000745</x:v>
      </x:c>
      <x:c r="G15" s="12" t="n">
        <x:v>28596.00000000745</x:v>
      </x:c>
      <x:c r="H15" s="12" t="n">
        <x:v>23197.00000000745</x:v>
      </x:c>
      <x:c r="I15" s="12" t="n">
        <x:v>4101.999999992549</x:v>
      </x:c>
      <x:c r="J15" s="12" t="n">
        <x:v>105.99999998509884</x:v>
      </x:c>
      <x:c r="K15" s="2" t="n">
        <x:v>292</x:v>
      </x:c>
      <x:c r="L15" s="2" t="n">
        <x:v>1075</x:v>
      </x:c>
    </x:row>
    <x:row r="16" ht="24" customHeight="1">
      <x:c r="A16" s="2" t="n">
        <x:v>15</x:v>
      </x:c>
      <x:c r="B16" s="2" t="n">
        <x:v>2</x:v>
      </x:c>
      <x:c r="C16" s="12" t="n">
        <x:v>119471.99999999255</x:v>
      </x:c>
      <x:c r="D16" s="12" t="n">
        <x:v>106799.99999999255</x:v>
      </x:c>
      <x:c r="E16" s="12" t="n">
        <x:v>12458.666666664183</x:v>
      </x:c>
      <x:c r="F16" s="12" t="n">
        <x:v>61820.00000000745</x:v>
      </x:c>
      <x:c r="G16" s="12" t="n">
        <x:v>40772</x:v>
      </x:c>
      <x:c r="H16" s="12" t="n">
        <x:v>12672</x:v>
      </x:c>
      <x:c r="I16" s="12" t="n">
        <x:v>4102.000000007451</x:v>
      </x:c>
      <x:c r="J16" s="12" t="n">
        <x:v>105.99999997764826</x:v>
      </x:c>
      <x:c r="K16" s="2" t="n">
        <x:v>292</x:v>
      </x:c>
      <x:c r="L16" s="2" t="n">
        <x:v>1071</x:v>
      </x:c>
    </x:row>
    <x:row r="17" ht="24" customHeight="1">
      <x:c r="A17" s="2" t="n">
        <x:v>16</x:v>
      </x:c>
      <x:c r="B17" s="2" t="n">
        <x:v>2</x:v>
      </x:c>
      <x:c r="C17" s="12" t="n">
        <x:v>119475.00000000745</x:v>
      </x:c>
      <x:c r="D17" s="12" t="n">
        <x:v>95823.00000000745</x:v>
      </x:c>
      <x:c r="E17" s="12" t="n">
        <x:v>23435.666666656733</x:v>
      </x:c>
      <x:c r="F17" s="12" t="n">
        <x:v>63018.99999999255</x:v>
      </x:c>
      <x:c r="G17" s="12" t="n">
        <x:v>28596</x:v>
      </x:c>
      <x:c r="H17" s="12" t="n">
        <x:v>23652</x:v>
      </x:c>
      <x:c r="I17" s="12" t="n">
        <x:v>4102</x:v>
      </x:c>
      <x:c r="J17" s="12" t="n">
        <x:v>106.00000001490116</x:v>
      </x:c>
      <x:c r="K17" s="2" t="n">
        <x:v>292</x:v>
      </x:c>
      <x:c r="L17" s="2" t="n">
        <x:v>1067</x:v>
      </x:c>
    </x:row>
    <x:row r="18" ht="24" customHeight="1">
      <x:c r="A18" s="2" t="n">
        <x:v>17</x:v>
      </x:c>
      <x:c r="B18" s="2" t="n">
        <x:v>2</x:v>
      </x:c>
      <x:c r="C18" s="12" t="n">
        <x:v>119468</x:v>
      </x:c>
      <x:c r="D18" s="12" t="n">
        <x:v>80511</x:v>
      </x:c>
      <x:c r="E18" s="12" t="n">
        <x:v>38744.666666671634</x:v>
      </x:c>
      <x:c r="F18" s="12" t="n">
        <x:v>34827</x:v>
      </x:c>
      <x:c r="G18" s="12" t="n">
        <x:v>41476</x:v>
      </x:c>
      <x:c r="H18" s="12" t="n">
        <x:v>38957</x:v>
      </x:c>
      <x:c r="I18" s="12" t="n">
        <x:v>4102</x:v>
      </x:c>
      <x:c r="J18" s="12" t="n">
        <x:v>106</x:v>
      </x:c>
      <x:c r="K18" s="2" t="n">
        <x:v>292</x:v>
      </x:c>
      <x:c r="L18" s="2" t="n">
        <x:v>1063</x:v>
      </x:c>
    </x:row>
    <x:row r="19" ht="24" customHeight="1">
      <x:c r="A19" s="2" t="n">
        <x:v>18</x:v>
      </x:c>
      <x:c r="B19" s="2" t="n">
        <x:v>2</x:v>
      </x:c>
      <x:c r="C19" s="12" t="n">
        <x:v>119473</x:v>
      </x:c>
      <x:c r="D19" s="12" t="n">
        <x:v>67996</x:v>
      </x:c>
      <x:c r="E19" s="12" t="n">
        <x:v>51263.666666671634</x:v>
      </x:c>
      <x:c r="F19" s="12" t="n">
        <x:v>34501.0000000149</x:v>
      </x:c>
      <x:c r="G19" s="12" t="n">
        <x:v>29287</x:v>
      </x:c>
      <x:c r="H19" s="12" t="n">
        <x:v>51477</x:v>
      </x:c>
      <x:c r="I19" s="12" t="n">
        <x:v>4102</x:v>
      </x:c>
      <x:c r="J19" s="12" t="n">
        <x:v>105.99999998509884</x:v>
      </x:c>
      <x:c r="K19" s="2" t="n">
        <x:v>292</x:v>
      </x:c>
      <x:c r="L19" s="2" t="n">
        <x:v>1059</x:v>
      </x:c>
    </x:row>
    <x:row r="20" ht="24" customHeight="1">
      <x:c r="A20" s="2" t="n">
        <x:v>19</x:v>
      </x:c>
      <x:c r="B20" s="2" t="n">
        <x:v>2</x:v>
      </x:c>
      <x:c r="C20" s="12" t="n">
        <x:v>119473</x:v>
      </x:c>
      <x:c r="D20" s="12" t="n">
        <x:v>77905.9999999851</x:v>
      </x:c>
      <x:c r="E20" s="12" t="n">
        <x:v>41352.666666671634</x:v>
      </x:c>
      <x:c r="F20" s="12" t="n">
        <x:v>32766</x:v>
      </x:c>
      <x:c r="G20" s="12" t="n">
        <x:v>40932</x:v>
      </x:c>
      <x:c r="H20" s="12" t="n">
        <x:v>41567.0000000149</x:v>
      </x:c>
      <x:c r="I20" s="12" t="n">
        <x:v>4102.000000014901</x:v>
      </x:c>
      <x:c r="J20" s="12" t="n">
        <x:v>105.99999997019768</x:v>
      </x:c>
      <x:c r="K20" s="2" t="n">
        <x:v>292</x:v>
      </x:c>
      <x:c r="L20" s="2" t="n">
        <x:v>1055</x:v>
      </x:c>
    </x:row>
    <x:row r="21" ht="24" customHeight="1">
      <x:c r="A21" s="2" t="n">
        <x:v>20</x:v>
      </x:c>
      <x:c r="B21" s="2" t="n">
        <x:v>2</x:v>
      </x:c>
      <x:c r="C21" s="12" t="n">
        <x:v>119473</x:v>
      </x:c>
      <x:c r="D21" s="12" t="n">
        <x:v>67155.9999999851</x:v>
      </x:c>
      <x:c r="E21" s="12" t="n">
        <x:v>52101.666666671634</x:v>
      </x:c>
      <x:c r="F21" s="12" t="n">
        <x:v>34163</x:v>
      </x:c>
      <x:c r="G21" s="12" t="n">
        <x:v>28785</x:v>
      </x:c>
      <x:c r="H21" s="12" t="n">
        <x:v>52317.0000000149</x:v>
      </x:c>
      <x:c r="I21" s="12" t="n">
        <x:v>4102</x:v>
      </x:c>
      <x:c r="J21" s="12" t="n">
        <x:v>105.99999998509884</x:v>
      </x:c>
      <x:c r="K21" s="2" t="n">
        <x:v>292</x:v>
      </x:c>
      <x:c r="L21" s="2" t="n">
        <x:v>1051</x:v>
      </x:c>
    </x:row>
    <x:row r="22" ht="24" customHeight="1">
      <x:c r="A22" s="2" t="n">
        <x:v>21</x:v>
      </x:c>
      <x:c r="B22" s="2" t="n">
        <x:v>2</x:v>
      </x:c>
      <x:c r="C22" s="12" t="n">
        <x:v>119470</x:v>
      </x:c>
      <x:c r="D22" s="12" t="n">
        <x:v>79193</x:v>
      </x:c>
      <x:c r="E22" s="12" t="n">
        <x:v>40063.666666671634</x:v>
      </x:c>
      <x:c r="F22" s="12" t="n">
        <x:v>34053</x:v>
      </x:c>
      <x:c r="G22" s="12" t="n">
        <x:v>40932.0000000149</x:v>
      </x:c>
      <x:c r="H22" s="12" t="n">
        <x:v>40277</x:v>
      </x:c>
      <x:c r="I22" s="12" t="n">
        <x:v>4102</x:v>
      </x:c>
      <x:c r="J22" s="12" t="n">
        <x:v>105.99999998509884</x:v>
      </x:c>
      <x:c r="K22" s="2" t="n">
        <x:v>292</x:v>
      </x:c>
      <x:c r="L22" s="2" t="n">
        <x:v>1047</x:v>
      </x:c>
    </x:row>
    <x:row r="23" ht="24" customHeight="1">
      <x:c r="A23" s="2" t="n">
        <x:v>22</x:v>
      </x:c>
      <x:c r="B23" s="2" t="n">
        <x:v>2</x:v>
      </x:c>
      <x:c r="C23" s="12" t="n">
        <x:v>119474</x:v>
      </x:c>
      <x:c r="D23" s="12" t="n">
        <x:v>66882</x:v>
      </x:c>
      <x:c r="E23" s="12" t="n">
        <x:v>52376.666666671634</x:v>
      </x:c>
      <x:c r="F23" s="12" t="n">
        <x:v>33889.0000000149</x:v>
      </x:c>
      <x:c r="G23" s="12" t="n">
        <x:v>28785</x:v>
      </x:c>
      <x:c r="H23" s="12" t="n">
        <x:v>52592</x:v>
      </x:c>
      <x:c r="I23" s="12" t="n">
        <x:v>4102</x:v>
      </x:c>
      <x:c r="J23" s="12" t="n">
        <x:v>105.99999998509884</x:v>
      </x:c>
      <x:c r="K23" s="2" t="n">
        <x:v>292</x:v>
      </x:c>
      <x:c r="L23" s="2" t="n">
        <x:v>1043</x:v>
      </x:c>
    </x:row>
    <x:row r="24" ht="24" customHeight="1">
      <x:c r="A24" s="2" t="n">
        <x:v>23</x:v>
      </x:c>
      <x:c r="B24" s="2" t="n">
        <x:v>2</x:v>
      </x:c>
      <x:c r="C24" s="12" t="n">
        <x:v>119470</x:v>
      </x:c>
      <x:c r="D24" s="12" t="n">
        <x:v>77847.9999999851</x:v>
      </x:c>
      <x:c r="E24" s="12" t="n">
        <x:v>41408.666666671634</x:v>
      </x:c>
      <x:c r="F24" s="12" t="n">
        <x:v>32708</x:v>
      </x:c>
      <x:c r="G24" s="12" t="n">
        <x:v>40932</x:v>
      </x:c>
      <x:c r="H24" s="12" t="n">
        <x:v>41622.0000000149</x:v>
      </x:c>
      <x:c r="I24" s="12" t="n">
        <x:v>4102</x:v>
      </x:c>
      <x:c r="J24" s="12" t="n">
        <x:v>105.99999998509884</x:v>
      </x:c>
      <x:c r="K24" s="2" t="n">
        <x:v>292</x:v>
      </x:c>
      <x:c r="L24" s="2" t="n">
        <x:v>1039</x:v>
      </x:c>
    </x:row>
    <x:row r="25" ht="24" customHeight="1">
      <x:c r="A25" s="2" t="n">
        <x:v>24</x:v>
      </x:c>
      <x:c r="B25" s="2" t="n">
        <x:v>2</x:v>
      </x:c>
      <x:c r="C25" s="12" t="n">
        <x:v>119471</x:v>
      </x:c>
      <x:c r="D25" s="12" t="n">
        <x:v>67114</x:v>
      </x:c>
      <x:c r="E25" s="12" t="n">
        <x:v>52144.666666671634</x:v>
      </x:c>
      <x:c r="F25" s="12" t="n">
        <x:v>34121</x:v>
      </x:c>
      <x:c r="G25" s="12" t="n">
        <x:v>28785</x:v>
      </x:c>
      <x:c r="H25" s="12" t="n">
        <x:v>52357</x:v>
      </x:c>
      <x:c r="I25" s="12" t="n">
        <x:v>4101.999999985099</x:v>
      </x:c>
      <x:c r="J25" s="12" t="n">
        <x:v>106.00000001490116</x:v>
      </x:c>
      <x:c r="K25" s="2" t="n">
        <x:v>292</x:v>
      </x:c>
      <x:c r="L25" s="2" t="n">
        <x:v>1035</x:v>
      </x:c>
    </x:row>
    <x:row r="26" ht="24" customHeight="1">
      <x:c r="A26" s="2" t="n">
        <x:v>25</x:v>
      </x:c>
      <x:c r="B26" s="2" t="n">
        <x:v>2</x:v>
      </x:c>
      <x:c r="C26" s="12" t="n">
        <x:v>119473</x:v>
      </x:c>
      <x:c r="D26" s="12" t="n">
        <x:v>80611.0000000149</x:v>
      </x:c>
      <x:c r="E26" s="12" t="n">
        <x:v>38648.666666671634</x:v>
      </x:c>
      <x:c r="F26" s="12" t="n">
        <x:v>34928.9999999851</x:v>
      </x:c>
      <x:c r="G26" s="12" t="n">
        <x:v>41474</x:v>
      </x:c>
      <x:c r="H26" s="12" t="n">
        <x:v>38861.9999999851</x:v>
      </x:c>
      <x:c r="I26" s="12" t="n">
        <x:v>4102</x:v>
      </x:c>
      <x:c r="J26" s="12" t="n">
        <x:v>106.00000002980232</x:v>
      </x:c>
      <x:c r="K26" s="2" t="n">
        <x:v>292</x:v>
      </x:c>
      <x:c r="L26" s="2" t="n">
        <x:v>1031</x:v>
      </x:c>
    </x:row>
    <x:row r="27" ht="24" customHeight="1">
      <x:c r="A27" s="2" t="n">
        <x:v>26</x:v>
      </x:c>
      <x:c r="B27" s="2" t="n">
        <x:v>2</x:v>
      </x:c>
      <x:c r="C27" s="12" t="n">
        <x:v>119471</x:v>
      </x:c>
      <x:c r="D27" s="12" t="n">
        <x:v>68059</x:v>
      </x:c>
      <x:c r="E27" s="12" t="n">
        <x:v>51199.666666671634</x:v>
      </x:c>
      <x:c r="F27" s="12" t="n">
        <x:v>34542.9999999851</x:v>
      </x:c>
      <x:c r="G27" s="12" t="n">
        <x:v>29308</x:v>
      </x:c>
      <x:c r="H27" s="12" t="n">
        <x:v>51412</x:v>
      </x:c>
      <x:c r="I27" s="12" t="n">
        <x:v>4102</x:v>
      </x:c>
      <x:c r="J27" s="12" t="n">
        <x:v>106.00000001490116</x:v>
      </x:c>
      <x:c r="K27" s="2" t="n">
        <x:v>292</x:v>
      </x:c>
      <x:c r="L27" s="2" t="n">
        <x:v>1027</x:v>
      </x:c>
    </x:row>
    <x:row r="28" ht="24" customHeight="1">
      <x:c r="A28" s="2" t="n">
        <x:v>27</x:v>
      </x:c>
      <x:c r="B28" s="2" t="n">
        <x:v>2</x:v>
      </x:c>
      <x:c r="C28" s="12" t="n">
        <x:v>119474</x:v>
      </x:c>
      <x:c r="D28" s="12" t="n">
        <x:v>75997</x:v>
      </x:c>
      <x:c r="E28" s="12" t="n">
        <x:v>43262.666666671634</x:v>
      </x:c>
      <x:c r="F28" s="12" t="n">
        <x:v>30818</x:v>
      </x:c>
      <x:c r="G28" s="12" t="n">
        <x:v>40971</x:v>
      </x:c>
      <x:c r="H28" s="12" t="n">
        <x:v>43477</x:v>
      </x:c>
      <x:c r="I28" s="12" t="n">
        <x:v>4102</x:v>
      </x:c>
      <x:c r="J28" s="12" t="n">
        <x:v>106</x:v>
      </x:c>
      <x:c r="K28" s="2" t="n">
        <x:v>292</x:v>
      </x:c>
      <x:c r="L28" s="2" t="n">
        <x:v>1023</x:v>
      </x:c>
    </x:row>
    <x:row r="29" ht="24" customHeight="1">
      <x:c r="A29" s="2" t="n">
        <x:v>28</x:v>
      </x:c>
      <x:c r="B29" s="2" t="n">
        <x:v>2</x:v>
      </x:c>
      <x:c r="C29" s="12" t="n">
        <x:v>119472</x:v>
      </x:c>
      <x:c r="D29" s="12" t="n">
        <x:v>65200</x:v>
      </x:c>
      <x:c r="E29" s="12" t="n">
        <x:v>54057.666666671634</x:v>
      </x:c>
      <x:c r="F29" s="12" t="n">
        <x:v>32195</x:v>
      </x:c>
      <x:c r="G29" s="12" t="n">
        <x:v>28797</x:v>
      </x:c>
      <x:c r="H29" s="12" t="n">
        <x:v>54272</x:v>
      </x:c>
      <x:c r="I29" s="12" t="n">
        <x:v>4102.000000014901</x:v>
      </x:c>
      <x:c r="J29" s="12" t="n">
        <x:v>105.99999998509884</x:v>
      </x:c>
      <x:c r="K29" s="2" t="n">
        <x:v>292</x:v>
      </x:c>
      <x:c r="L29" s="2" t="n">
        <x:v>1019</x:v>
      </x:c>
    </x:row>
    <x:row r="30" ht="24" customHeight="1">
      <x:c r="A30" s="2" t="n">
        <x:v>29</x:v>
      </x:c>
      <x:c r="B30" s="2" t="n">
        <x:v>2</x:v>
      </x:c>
      <x:c r="C30" s="12" t="n">
        <x:v>119470</x:v>
      </x:c>
      <x:c r="D30" s="12" t="n">
        <x:v>79888</x:v>
      </x:c>
      <x:c r="E30" s="12" t="n">
        <x:v>39369.666666671634</x:v>
      </x:c>
      <x:c r="F30" s="12" t="n">
        <x:v>34709</x:v>
      </x:c>
      <x:c r="G30" s="12" t="n">
        <x:v>40971</x:v>
      </x:c>
      <x:c r="H30" s="12" t="n">
        <x:v>39582</x:v>
      </x:c>
      <x:c r="I30" s="12" t="n">
        <x:v>4102</x:v>
      </x:c>
      <x:c r="J30" s="12" t="n">
        <x:v>106</x:v>
      </x:c>
      <x:c r="K30" s="2" t="n">
        <x:v>292</x:v>
      </x:c>
      <x:c r="L30" s="2" t="n">
        <x:v>1015</x:v>
      </x:c>
    </x:row>
    <x:row r="31" ht="24" customHeight="1">
      <x:c r="A31" s="2" t="n">
        <x:v>30</x:v>
      </x:c>
      <x:c r="B31" s="2" t="n">
        <x:v>2</x:v>
      </x:c>
      <x:c r="C31" s="12" t="n">
        <x:v>119474</x:v>
      </x:c>
      <x:c r="D31" s="12" t="n">
        <x:v>67467</x:v>
      </x:c>
      <x:c r="E31" s="12" t="n">
        <x:v>51792.666666671634</x:v>
      </x:c>
      <x:c r="F31" s="12" t="n">
        <x:v>34461.9999999851</x:v>
      </x:c>
      <x:c r="G31" s="12" t="n">
        <x:v>28797</x:v>
      </x:c>
      <x:c r="H31" s="12" t="n">
        <x:v>52007</x:v>
      </x:c>
      <x:c r="I31" s="12" t="n">
        <x:v>4102</x:v>
      </x:c>
      <x:c r="J31" s="12" t="n">
        <x:v>106.00000001490116</x:v>
      </x:c>
      <x:c r="K31" s="2" t="n">
        <x:v>292</x:v>
      </x:c>
      <x:c r="L31" s="2" t="n">
        <x:v>1011</x:v>
      </x:c>
    </x:row>
    <x:row r="32" ht="24" customHeight="1">
      <x:c r="A32" s="2" t="n">
        <x:v>31</x:v>
      </x:c>
      <x:c r="B32" s="2" t="n">
        <x:v>2</x:v>
      </x:c>
      <x:c r="C32" s="12" t="n">
        <x:v>119470</x:v>
      </x:c>
      <x:c r="D32" s="12" t="n">
        <x:v>77888</x:v>
      </x:c>
      <x:c r="E32" s="12" t="n">
        <x:v>41369.666666671634</x:v>
      </x:c>
      <x:c r="F32" s="12" t="n">
        <x:v>32709</x:v>
      </x:c>
      <x:c r="G32" s="12" t="n">
        <x:v>40971</x:v>
      </x:c>
      <x:c r="H32" s="12" t="n">
        <x:v>41582</x:v>
      </x:c>
      <x:c r="I32" s="12" t="n">
        <x:v>4102.000000014901</x:v>
      </x:c>
      <x:c r="J32" s="12" t="n">
        <x:v>105.99999998509884</x:v>
      </x:c>
      <x:c r="K32" s="2" t="n">
        <x:v>292</x:v>
      </x:c>
      <x:c r="L32" s="2" t="n">
        <x:v>1007</x:v>
      </x:c>
    </x:row>
    <x:row r="33" ht="24" customHeight="1">
      <x:c r="A33" s="2" t="n">
        <x:v>32</x:v>
      </x:c>
      <x:c r="B33" s="2" t="n">
        <x:v>2</x:v>
      </x:c>
      <x:c r="C33" s="12" t="n">
        <x:v>119474</x:v>
      </x:c>
      <x:c r="D33" s="12" t="n">
        <x:v>67062</x:v>
      </x:c>
      <x:c r="E33" s="12" t="n">
        <x:v>52197.666666671634</x:v>
      </x:c>
      <x:c r="F33" s="12" t="n">
        <x:v>34057</x:v>
      </x:c>
      <x:c r="G33" s="12" t="n">
        <x:v>28797.0000000149</x:v>
      </x:c>
      <x:c r="H33" s="12" t="n">
        <x:v>52412</x:v>
      </x:c>
      <x:c r="I33" s="12" t="n">
        <x:v>4101.999999985099</x:v>
      </x:c>
      <x:c r="J33" s="12" t="n">
        <x:v>106</x:v>
      </x:c>
      <x:c r="K33" s="2" t="n">
        <x:v>292</x:v>
      </x:c>
      <x:c r="L33" s="2" t="n">
        <x:v>1003</x:v>
      </x:c>
    </x:row>
    <x:row r="34" ht="24" customHeight="1">
      <x:c r="A34" s="2" t="n">
        <x:v>33</x:v>
      </x:c>
      <x:c r="B34" s="2" t="n">
        <x:v>2</x:v>
      </x:c>
      <x:c r="C34" s="12" t="n">
        <x:v>119474</x:v>
      </x:c>
      <x:c r="D34" s="12" t="n">
        <x:v>79797</x:v>
      </x:c>
      <x:c r="E34" s="12" t="n">
        <x:v>39460.666666671634</x:v>
      </x:c>
      <x:c r="F34" s="12" t="n">
        <x:v>34115.0000000149</x:v>
      </x:c>
      <x:c r="G34" s="12" t="n">
        <x:v>41474</x:v>
      </x:c>
      <x:c r="H34" s="12" t="n">
        <x:v>39677</x:v>
      </x:c>
      <x:c r="I34" s="12" t="n">
        <x:v>4102</x:v>
      </x:c>
      <x:c r="J34" s="12" t="n">
        <x:v>105.99999998509884</x:v>
      </x:c>
      <x:c r="K34" s="2" t="n">
        <x:v>292</x:v>
      </x:c>
      <x:c r="L34" s="2" t="n">
        <x:v>999</x:v>
      </x:c>
    </x:row>
    <x:row r="35" ht="24" customHeight="1">
      <x:c r="A35" s="2" t="n">
        <x:v>34</x:v>
      </x:c>
      <x:c r="B35" s="2" t="n">
        <x:v>2</x:v>
      </x:c>
      <x:c r="C35" s="12" t="n">
        <x:v>119472</x:v>
      </x:c>
      <x:c r="D35" s="12" t="n">
        <x:v>67345</x:v>
      </x:c>
      <x:c r="E35" s="12" t="n">
        <x:v>51910.666666671634</x:v>
      </x:c>
      <x:c r="F35" s="12" t="n">
        <x:v>33850</x:v>
      </x:c>
      <x:c r="G35" s="12" t="n">
        <x:v>29287</x:v>
      </x:c>
      <x:c r="H35" s="12" t="n">
        <x:v>52127</x:v>
      </x:c>
      <x:c r="I35" s="12" t="n">
        <x:v>4102</x:v>
      </x:c>
      <x:c r="J35" s="12" t="n">
        <x:v>106</x:v>
      </x:c>
      <x:c r="K35" s="2" t="n">
        <x:v>292</x:v>
      </x:c>
      <x:c r="L35" s="2" t="n">
        <x:v>995</x:v>
      </x:c>
    </x:row>
    <x:row r="36" ht="24" customHeight="1">
      <x:c r="A36" s="2" t="n">
        <x:v>35</x:v>
      </x:c>
      <x:c r="B36" s="2" t="n">
        <x:v>2</x:v>
      </x:c>
      <x:c r="C36" s="12" t="n">
        <x:v>119472</x:v>
      </x:c>
      <x:c r="D36" s="12" t="n">
        <x:v>77825.0000000149</x:v>
      </x:c>
      <x:c r="E36" s="12" t="n">
        <x:v>41430.666666671634</x:v>
      </x:c>
      <x:c r="F36" s="12" t="n">
        <x:v>32687</x:v>
      </x:c>
      <x:c r="G36" s="12" t="n">
        <x:v>40930</x:v>
      </x:c>
      <x:c r="H36" s="12" t="n">
        <x:v>41646.9999999851</x:v>
      </x:c>
      <x:c r="I36" s="12" t="n">
        <x:v>4102</x:v>
      </x:c>
      <x:c r="J36" s="12" t="n">
        <x:v>106.00000001490116</x:v>
      </x:c>
      <x:c r="K36" s="2" t="n">
        <x:v>292</x:v>
      </x:c>
      <x:c r="L36" s="2" t="n">
        <x:v>991</x:v>
      </x:c>
    </x:row>
    <x:row r="37" ht="24" customHeight="1">
      <x:c r="A37" s="2" t="n">
        <x:v>36</x:v>
      </x:c>
      <x:c r="B37" s="2" t="n">
        <x:v>2</x:v>
      </x:c>
      <x:c r="C37" s="12" t="n">
        <x:v>119469</x:v>
      </x:c>
      <x:c r="D37" s="12" t="n">
        <x:v>65212</x:v>
      </x:c>
      <x:c r="E37" s="12" t="n">
        <x:v>54043.666666671634</x:v>
      </x:c>
      <x:c r="F37" s="12" t="n">
        <x:v>32219</x:v>
      </x:c>
      <x:c r="G37" s="12" t="n">
        <x:v>28785</x:v>
      </x:c>
      <x:c r="H37" s="12" t="n">
        <x:v>54257</x:v>
      </x:c>
      <x:c r="I37" s="12" t="n">
        <x:v>4102</x:v>
      </x:c>
      <x:c r="J37" s="12" t="n">
        <x:v>106</x:v>
      </x:c>
      <x:c r="K37" s="2" t="n">
        <x:v>292</x:v>
      </x:c>
      <x:c r="L37" s="2" t="n">
        <x:v>987</x:v>
      </x:c>
    </x:row>
    <x:row r="38" ht="24" customHeight="1">
      <x:c r="A38" s="2" t="n">
        <x:v>37</x:v>
      </x:c>
      <x:c r="B38" s="2" t="n">
        <x:v>2</x:v>
      </x:c>
      <x:c r="C38" s="12" t="n">
        <x:v>119473.9999999851</x:v>
      </x:c>
      <x:c r="D38" s="12" t="n">
        <x:v>79886.9999999851</x:v>
      </x:c>
      <x:c r="E38" s="12" t="n">
        <x:v>39371.666666671634</x:v>
      </x:c>
      <x:c r="F38" s="12" t="n">
        <x:v>34749</x:v>
      </x:c>
      <x:c r="G38" s="12" t="n">
        <x:v>40930</x:v>
      </x:c>
      <x:c r="H38" s="12" t="n">
        <x:v>39587</x:v>
      </x:c>
      <x:c r="I38" s="12" t="n">
        <x:v>4102</x:v>
      </x:c>
      <x:c r="J38" s="12" t="n">
        <x:v>105.99999998509884</x:v>
      </x:c>
      <x:c r="K38" s="2" t="n">
        <x:v>292</x:v>
      </x:c>
      <x:c r="L38" s="2" t="n">
        <x:v>983</x:v>
      </x:c>
    </x:row>
    <x:row r="39" ht="24" customHeight="1">
      <x:c r="A39" s="2" t="n">
        <x:v>38</x:v>
      </x:c>
      <x:c r="B39" s="2" t="n">
        <x:v>2</x:v>
      </x:c>
      <x:c r="C39" s="12" t="n">
        <x:v>119469.0000000149</x:v>
      </x:c>
      <x:c r="D39" s="12" t="n">
        <x:v>67572.0000000149</x:v>
      </x:c>
      <x:c r="E39" s="12" t="n">
        <x:v>51684.666666671634</x:v>
      </x:c>
      <x:c r="F39" s="12" t="n">
        <x:v>34579</x:v>
      </x:c>
      <x:c r="G39" s="12" t="n">
        <x:v>28785</x:v>
      </x:c>
      <x:c r="H39" s="12" t="n">
        <x:v>51897</x:v>
      </x:c>
      <x:c r="I39" s="12" t="n">
        <x:v>4102</x:v>
      </x:c>
      <x:c r="J39" s="12" t="n">
        <x:v>106.00000001490116</x:v>
      </x:c>
      <x:c r="K39" s="2" t="n">
        <x:v>292</x:v>
      </x:c>
      <x:c r="L39" s="2" t="n">
        <x:v>979</x:v>
      </x:c>
    </x:row>
    <x:row r="40" ht="24" customHeight="1">
      <x:c r="A40" s="2" t="n">
        <x:v>39</x:v>
      </x:c>
      <x:c r="B40" s="2" t="n">
        <x:v>2</x:v>
      </x:c>
      <x:c r="C40" s="12" t="n">
        <x:v>119475.9999999851</x:v>
      </x:c>
      <x:c r="D40" s="12" t="n">
        <x:v>77133.9999999851</x:v>
      </x:c>
      <x:c r="E40" s="12" t="n">
        <x:v>42125.666666671634</x:v>
      </x:c>
      <x:c r="F40" s="12" t="n">
        <x:v>31996</x:v>
      </x:c>
      <x:c r="G40" s="12" t="n">
        <x:v>40929.9999999851</x:v>
      </x:c>
      <x:c r="H40" s="12" t="n">
        <x:v>42342</x:v>
      </x:c>
      <x:c r="I40" s="12" t="n">
        <x:v>4102</x:v>
      </x:c>
      <x:c r="J40" s="12" t="n">
        <x:v>106</x:v>
      </x:c>
      <x:c r="K40" s="2" t="n">
        <x:v>292</x:v>
      </x:c>
      <x:c r="L40" s="2" t="n">
        <x:v>975</x:v>
      </x:c>
    </x:row>
    <x:row r="41" ht="24" customHeight="1">
      <x:c r="A41" s="2" t="n">
        <x:v>40</x:v>
      </x:c>
      <x:c r="B41" s="2" t="n">
        <x:v>2</x:v>
      </x:c>
      <x:c r="C41" s="12" t="n">
        <x:v>119470.0000000149</x:v>
      </x:c>
      <x:c r="D41" s="12" t="n">
        <x:v>65188.0000000149</x:v>
      </x:c>
      <x:c r="E41" s="12" t="n">
        <x:v>54067.666666671634</x:v>
      </x:c>
      <x:c r="F41" s="12" t="n">
        <x:v>32195</x:v>
      </x:c>
      <x:c r="G41" s="12" t="n">
        <x:v>28785</x:v>
      </x:c>
      <x:c r="H41" s="12" t="n">
        <x:v>54282</x:v>
      </x:c>
      <x:c r="I41" s="12" t="n">
        <x:v>4102</x:v>
      </x:c>
      <x:c r="J41" s="12" t="n">
        <x:v>106.00000001490116</x:v>
      </x:c>
      <x:c r="K41" s="2" t="n">
        <x:v>292</x:v>
      </x:c>
      <x:c r="L41" s="2" t="n">
        <x:v>971</x:v>
      </x:c>
    </x:row>
    <x:row r="42" ht="24" customHeight="1">
      <x:c r="A42" s="2" t="n">
        <x:v>41</x:v>
      </x:c>
      <x:c r="B42" s="2" t="n">
        <x:v>2</x:v>
      </x:c>
      <x:c r="C42" s="12" t="n">
        <x:v>119470</x:v>
      </x:c>
      <x:c r="D42" s="12" t="n">
        <x:v>80468.0000000149</x:v>
      </x:c>
      <x:c r="E42" s="12" t="n">
        <x:v>38789.666666671634</x:v>
      </x:c>
      <x:c r="F42" s="12" t="n">
        <x:v>34788</x:v>
      </x:c>
      <x:c r="G42" s="12" t="n">
        <x:v>41472</x:v>
      </x:c>
      <x:c r="H42" s="12" t="n">
        <x:v>39001.9999999851</x:v>
      </x:c>
      <x:c r="I42" s="12" t="n">
        <x:v>4102</x:v>
      </x:c>
      <x:c r="J42" s="12" t="n">
        <x:v>106.00000001490116</x:v>
      </x:c>
      <x:c r="K42" s="2" t="n">
        <x:v>292</x:v>
      </x:c>
      <x:c r="L42" s="2" t="n">
        <x:v>967</x:v>
      </x:c>
    </x:row>
    <x:row r="43" ht="24" customHeight="1">
      <x:c r="A43" s="2" t="n">
        <x:v>42</x:v>
      </x:c>
      <x:c r="B43" s="2" t="n">
        <x:v>2</x:v>
      </x:c>
      <x:c r="C43" s="12" t="n">
        <x:v>119472</x:v>
      </x:c>
      <x:c r="D43" s="12" t="n">
        <x:v>67349.9999999851</x:v>
      </x:c>
      <x:c r="E43" s="12" t="n">
        <x:v>51909.666666671634</x:v>
      </x:c>
      <x:c r="F43" s="12" t="n">
        <x:v>33834</x:v>
      </x:c>
      <x:c r="G43" s="12" t="n">
        <x:v>29308</x:v>
      </x:c>
      <x:c r="H43" s="12" t="n">
        <x:v>52122.0000000149</x:v>
      </x:c>
      <x:c r="I43" s="12" t="n">
        <x:v>4101.999999985099</x:v>
      </x:c>
      <x:c r="J43" s="12" t="n">
        <x:v>106</x:v>
      </x:c>
      <x:c r="K43" s="2" t="n">
        <x:v>292</x:v>
      </x:c>
      <x:c r="L43" s="2" t="n">
        <x:v>963</x:v>
      </x:c>
    </x:row>
    <x:row r="44" ht="24" customHeight="1">
      <x:c r="A44" s="2" t="n">
        <x:v>43</x:v>
      </x:c>
      <x:c r="B44" s="2" t="n">
        <x:v>2</x:v>
      </x:c>
      <x:c r="C44" s="12" t="n">
        <x:v>119473</x:v>
      </x:c>
      <x:c r="D44" s="12" t="n">
        <x:v>77901.0000000149</x:v>
      </x:c>
      <x:c r="E44" s="12" t="n">
        <x:v>41358.666666671634</x:v>
      </x:c>
      <x:c r="F44" s="12" t="n">
        <x:v>32722</x:v>
      </x:c>
      <x:c r="G44" s="12" t="n">
        <x:v>40971</x:v>
      </x:c>
      <x:c r="H44" s="12" t="n">
        <x:v>41571.9999999851</x:v>
      </x:c>
      <x:c r="I44" s="12" t="n">
        <x:v>4102</x:v>
      </x:c>
      <x:c r="J44" s="12" t="n">
        <x:v>106.00000001490116</x:v>
      </x:c>
      <x:c r="K44" s="2" t="n">
        <x:v>292</x:v>
      </x:c>
      <x:c r="L44" s="2" t="n">
        <x:v>959</x:v>
      </x:c>
    </x:row>
    <x:row r="45" ht="24" customHeight="1">
      <x:c r="A45" s="2" t="n">
        <x:v>44</x:v>
      </x:c>
      <x:c r="B45" s="2" t="n">
        <x:v>2</x:v>
      </x:c>
      <x:c r="C45" s="12" t="n">
        <x:v>119474</x:v>
      </x:c>
      <x:c r="D45" s="12" t="n">
        <x:v>67106.9999999851</x:v>
      </x:c>
      <x:c r="E45" s="12" t="n">
        <x:v>52151.666666671634</x:v>
      </x:c>
      <x:c r="F45" s="12" t="n">
        <x:v>34102</x:v>
      </x:c>
      <x:c r="G45" s="12" t="n">
        <x:v>28797</x:v>
      </x:c>
      <x:c r="H45" s="12" t="n">
        <x:v>52367.0000000149</x:v>
      </x:c>
      <x:c r="I45" s="12" t="n">
        <x:v>4102</x:v>
      </x:c>
      <x:c r="J45" s="12" t="n">
        <x:v>105.99999998509884</x:v>
      </x:c>
      <x:c r="K45" s="2" t="n">
        <x:v>292</x:v>
      </x:c>
      <x:c r="L45" s="2" t="n">
        <x:v>955</x:v>
      </x:c>
    </x:row>
    <x:row r="46" ht="24" customHeight="1">
      <x:c r="A46" s="2" t="n">
        <x:v>45</x:v>
      </x:c>
      <x:c r="B46" s="2" t="n">
        <x:v>2</x:v>
      </x:c>
      <x:c r="C46" s="12" t="n">
        <x:v>122290</x:v>
      </x:c>
      <x:c r="D46" s="12" t="n">
        <x:v>85353</x:v>
      </x:c>
      <x:c r="E46" s="12" t="n">
        <x:v>36724.666666671634</x:v>
      </x:c>
      <x:c r="F46" s="12" t="n">
        <x:v>37353</x:v>
      </x:c>
      <x:c r="G46" s="12" t="n">
        <x:v>40970.9999999851</x:v>
      </x:c>
      <x:c r="H46" s="12" t="n">
        <x:v>36937</x:v>
      </x:c>
      <x:c r="I46" s="12" t="n">
        <x:v>6923</x:v>
      </x:c>
      <x:c r="J46" s="12" t="n">
        <x:v>106.00000001490116</x:v>
      </x:c>
      <x:c r="K46" s="2" t="n">
        <x:v>292</x:v>
      </x:c>
      <x:c r="L46" s="2" t="n">
        <x:v>951</x:v>
      </x:c>
    </x:row>
    <x:row r="47" ht="24" customHeight="1">
      <x:c r="A47" s="2" t="n">
        <x:v>46</x:v>
      </x:c>
      <x:c r="B47" s="2" t="n">
        <x:v>2</x:v>
      </x:c>
      <x:c r="C47" s="12" t="n">
        <x:v>116655</x:v>
      </x:c>
      <x:c r="D47" s="12" t="n">
        <x:v>66833.0000000149</x:v>
      </x:c>
      <x:c r="E47" s="12" t="n">
        <x:v>49605.666666671634</x:v>
      </x:c>
      <x:c r="F47" s="12" t="n">
        <x:v>33827.9999999851</x:v>
      </x:c>
      <x:c r="G47" s="12" t="n">
        <x:v>28797</x:v>
      </x:c>
      <x:c r="H47" s="12" t="n">
        <x:v>49821.9999999851</x:v>
      </x:c>
      <x:c r="I47" s="12" t="n">
        <x:v>4102</x:v>
      </x:c>
      <x:c r="J47" s="12" t="n">
        <x:v>106.00000002980232</x:v>
      </x:c>
      <x:c r="K47" s="2" t="n">
        <x:v>292</x:v>
      </x:c>
      <x:c r="L47" s="2" t="n">
        <x:v>947</x:v>
      </x:c>
    </x:row>
    <x:row r="48" ht="24" customHeight="1">
      <x:c r="A48" s="2" t="n">
        <x:v>47</x:v>
      </x:c>
      <x:c r="B48" s="2" t="n">
        <x:v>2</x:v>
      </x:c>
      <x:c r="C48" s="12" t="n">
        <x:v>119470</x:v>
      </x:c>
      <x:c r="D48" s="12" t="n">
        <x:v>77923.0000000149</x:v>
      </x:c>
      <x:c r="E48" s="12" t="n">
        <x:v>41332.666666671634</x:v>
      </x:c>
      <x:c r="F48" s="12" t="n">
        <x:v>32744</x:v>
      </x:c>
      <x:c r="G48" s="12" t="n">
        <x:v>40971</x:v>
      </x:c>
      <x:c r="H48" s="12" t="n">
        <x:v>41546.9999999851</x:v>
      </x:c>
      <x:c r="I48" s="12" t="n">
        <x:v>4102</x:v>
      </x:c>
      <x:c r="J48" s="12" t="n">
        <x:v>106.00000001490116</x:v>
      </x:c>
      <x:c r="K48" s="2" t="n">
        <x:v>292</x:v>
      </x:c>
      <x:c r="L48" s="2" t="n">
        <x:v>943</x:v>
      </x:c>
    </x:row>
    <x:row r="49" ht="24" customHeight="1">
      <x:c r="A49" s="2" t="n">
        <x:v>48</x:v>
      </x:c>
      <x:c r="B49" s="2" t="n">
        <x:v>2</x:v>
      </x:c>
      <x:c r="C49" s="12" t="n">
        <x:v>119471</x:v>
      </x:c>
      <x:c r="D49" s="12" t="n">
        <x:v>67154</x:v>
      </x:c>
      <x:c r="E49" s="12" t="n">
        <x:v>52103.666666671634</x:v>
      </x:c>
      <x:c r="F49" s="12" t="n">
        <x:v>34149</x:v>
      </x:c>
      <x:c r="G49" s="12" t="n">
        <x:v>28797</x:v>
      </x:c>
      <x:c r="H49" s="12" t="n">
        <x:v>52317</x:v>
      </x:c>
      <x:c r="I49" s="12" t="n">
        <x:v>4102</x:v>
      </x:c>
      <x:c r="J49" s="12" t="n">
        <x:v>106</x:v>
      </x:c>
      <x:c r="K49" s="2" t="n">
        <x:v>292</x:v>
      </x:c>
      <x:c r="L49" s="2" t="n">
        <x:v>939</x:v>
      </x:c>
    </x:row>
    <x:row r="50" ht="24" customHeight="1">
      <x:c r="A50" s="2" t="n">
        <x:v>49</x:v>
      </x:c>
      <x:c r="B50" s="2" t="n">
        <x:v>2</x:v>
      </x:c>
      <x:c r="C50" s="12" t="n">
        <x:v>117919</x:v>
      </x:c>
      <x:c r="D50" s="12" t="n">
        <x:v>116167</x:v>
      </x:c>
      <x:c r="E50" s="12" t="n">
        <x:v>1539.6666666716337</x:v>
      </x:c>
      <x:c r="F50" s="12" t="n">
        <x:v>33481</x:v>
      </x:c>
      <x:c r="G50" s="12" t="n">
        <x:v>80030</x:v>
      </x:c>
      <x:c r="H50" s="12" t="n">
        <x:v>1752</x:v>
      </x:c>
      <x:c r="I50" s="12" t="n">
        <x:v>2550.000000014901</x:v>
      </x:c>
      <x:c r="J50" s="12" t="n">
        <x:v>105.99999998509884</x:v>
      </x:c>
      <x:c r="K50" s="2" t="n">
        <x:v>296</x:v>
      </x:c>
      <x:c r="L50" s="2" t="n">
        <x:v>939</x:v>
      </x:c>
    </x:row>
    <x:row r="51" ht="24" customHeight="1">
      <x:c r="A51" s="2" t="n">
        <x:v>50</x:v>
      </x:c>
      <x:c r="B51" s="2" t="n">
        <x:v>2</x:v>
      </x:c>
      <x:c r="C51" s="12" t="n">
        <x:v>119472</x:v>
      </x:c>
      <x:c r="D51" s="12" t="n">
        <x:v>68335</x:v>
      </x:c>
      <x:c r="E51" s="12" t="n">
        <x:v>50924.666666671634</x:v>
      </x:c>
      <x:c r="F51" s="12" t="n">
        <x:v>33612</x:v>
      </x:c>
      <x:c r="G51" s="12" t="n">
        <x:v>32067</x:v>
      </x:c>
      <x:c r="H51" s="12" t="n">
        <x:v>51137</x:v>
      </x:c>
      <x:c r="I51" s="12" t="n">
        <x:v>2550</x:v>
      </x:c>
      <x:c r="J51" s="12" t="n">
        <x:v>106</x:v>
      </x:c>
      <x:c r="K51" s="2" t="n">
        <x:v>300</x:v>
      </x:c>
      <x:c r="L51" s="2" t="n">
        <x:v>939</x:v>
      </x:c>
    </x:row>
    <x:row r="52" ht="24" customHeight="1">
      <x:c r="A52" s="2" t="n">
        <x:v>51</x:v>
      </x:c>
      <x:c r="B52" s="2" t="n">
        <x:v>2</x:v>
      </x:c>
      <x:c r="C52" s="12" t="n">
        <x:v>119474</x:v>
      </x:c>
      <x:c r="D52" s="12" t="n">
        <x:v>82892</x:v>
      </x:c>
      <x:c r="E52" s="12" t="n">
        <x:v>36367.666666671634</x:v>
      </x:c>
      <x:c r="F52" s="12" t="n">
        <x:v>29494</x:v>
      </x:c>
      <x:c r="G52" s="12" t="n">
        <x:v>50742</x:v>
      </x:c>
      <x:c r="H52" s="12" t="n">
        <x:v>36582</x:v>
      </x:c>
      <x:c r="I52" s="12" t="n">
        <x:v>2550</x:v>
      </x:c>
      <x:c r="J52" s="12" t="n">
        <x:v>106</x:v>
      </x:c>
      <x:c r="K52" s="2" t="n">
        <x:v>304</x:v>
      </x:c>
      <x:c r="L52" s="2" t="n">
        <x:v>939</x:v>
      </x:c>
    </x:row>
    <x:row r="53" ht="24" customHeight="1">
      <x:c r="A53" s="2" t="n">
        <x:v>52</x:v>
      </x:c>
      <x:c r="B53" s="2" t="n">
        <x:v>2</x:v>
      </x:c>
      <x:c r="C53" s="12" t="n">
        <x:v>119469.9999999851</x:v>
      </x:c>
      <x:c r="D53" s="12" t="n">
        <x:v>66912.9999999851</x:v>
      </x:c>
      <x:c r="E53" s="12" t="n">
        <x:v>52344.666666671634</x:v>
      </x:c>
      <x:c r="F53" s="12" t="n">
        <x:v>32692</x:v>
      </x:c>
      <x:c r="G53" s="12" t="n">
        <x:v>31565</x:v>
      </x:c>
      <x:c r="H53" s="12" t="n">
        <x:v>52557</x:v>
      </x:c>
      <x:c r="I53" s="12" t="n">
        <x:v>2550</x:v>
      </x:c>
      <x:c r="J53" s="12" t="n">
        <x:v>105.99999998509884</x:v>
      </x:c>
      <x:c r="K53" s="2" t="n">
        <x:v>308</x:v>
      </x:c>
      <x:c r="L53" s="2" t="n">
        <x:v>939</x:v>
      </x:c>
    </x:row>
    <x:row r="54" ht="24" customHeight="1">
      <x:c r="A54" s="2" t="n">
        <x:v>53</x:v>
      </x:c>
      <x:c r="B54" s="2" t="n">
        <x:v>2</x:v>
      </x:c>
      <x:c r="C54" s="12" t="n">
        <x:v>119473.0000000149</x:v>
      </x:c>
      <x:c r="D54" s="12" t="n">
        <x:v>88481.0000000149</x:v>
      </x:c>
      <x:c r="E54" s="12" t="n">
        <x:v>30778.666666671634</x:v>
      </x:c>
      <x:c r="F54" s="12" t="n">
        <x:v>33492</x:v>
      </x:c>
      <x:c r="G54" s="12" t="n">
        <x:v>52333.0000000149</x:v>
      </x:c>
      <x:c r="H54" s="12" t="n">
        <x:v>30992</x:v>
      </x:c>
      <x:c r="I54" s="12" t="n">
        <x:v>2550</x:v>
      </x:c>
      <x:c r="J54" s="12" t="n">
        <x:v>106</x:v>
      </x:c>
      <x:c r="K54" s="2" t="n">
        <x:v>312</x:v>
      </x:c>
      <x:c r="L54" s="2" t="n">
        <x:v>939</x:v>
      </x:c>
    </x:row>
    <x:row r="55" ht="24" customHeight="1">
      <x:c r="A55" s="2" t="n">
        <x:v>54</x:v>
      </x:c>
      <x:c r="B55" s="2" t="n">
        <x:v>2</x:v>
      </x:c>
      <x:c r="C55" s="12" t="n">
        <x:v>119471.9999999851</x:v>
      </x:c>
      <x:c r="D55" s="12" t="n">
        <x:v>67495</x:v>
      </x:c>
      <x:c r="E55" s="12" t="n">
        <x:v>51763.666666671634</x:v>
      </x:c>
      <x:c r="F55" s="12" t="n">
        <x:v>33273.9999999851</x:v>
      </x:c>
      <x:c r="G55" s="12" t="n">
        <x:v>31564.9999999851</x:v>
      </x:c>
      <x:c r="H55" s="12" t="n">
        <x:v>51976.9999999851</x:v>
      </x:c>
      <x:c r="I55" s="12" t="n">
        <x:v>2550</x:v>
      </x:c>
      <x:c r="J55" s="12" t="n">
        <x:v>106.00000002980232</x:v>
      </x:c>
      <x:c r="K55" s="2" t="n">
        <x:v>316</x:v>
      </x:c>
      <x:c r="L55" s="2" t="n">
        <x:v>939</x:v>
      </x:c>
    </x:row>
    <x:row r="56" ht="24" customHeight="1">
      <x:c r="A56" s="2" t="n">
        <x:v>55</x:v>
      </x:c>
      <x:c r="B56" s="2" t="n">
        <x:v>2</x:v>
      </x:c>
      <x:c r="C56" s="12" t="n">
        <x:v>119474.0000000149</x:v>
      </x:c>
      <x:c r="D56" s="12" t="n">
        <x:v>83747.0000000149</x:v>
      </x:c>
      <x:c r="E56" s="12" t="n">
        <x:v>35511.666666671634</x:v>
      </x:c>
      <x:c r="F56" s="12" t="n">
        <x:v>31331</x:v>
      </x:c>
      <x:c r="G56" s="12" t="n">
        <x:v>49759.9999999851</x:v>
      </x:c>
      <x:c r="H56" s="12" t="n">
        <x:v>35727</x:v>
      </x:c>
      <x:c r="I56" s="12" t="n">
        <x:v>2550</x:v>
      </x:c>
      <x:c r="J56" s="12" t="n">
        <x:v>106.00000002980232</x:v>
      </x:c>
      <x:c r="K56" s="2" t="n">
        <x:v>320</x:v>
      </x:c>
      <x:c r="L56" s="2" t="n">
        <x:v>939</x:v>
      </x:c>
    </x:row>
    <x:row r="57" ht="24" customHeight="1">
      <x:c r="A57" s="2" t="n">
        <x:v>56</x:v>
      </x:c>
      <x:c r="B57" s="2" t="n">
        <x:v>2</x:v>
      </x:c>
      <x:c r="C57" s="12" t="n">
        <x:v>119472</x:v>
      </x:c>
      <x:c r="D57" s="12" t="n">
        <x:v>64315</x:v>
      </x:c>
      <x:c r="E57" s="12" t="n">
        <x:v>54941.666666671634</x:v>
      </x:c>
      <x:c r="F57" s="12" t="n">
        <x:v>32666.9999999851</x:v>
      </x:c>
      <x:c r="G57" s="12" t="n">
        <x:v>28992</x:v>
      </x:c>
      <x:c r="H57" s="12" t="n">
        <x:v>55157</x:v>
      </x:c>
      <x:c r="I57" s="12" t="n">
        <x:v>2550</x:v>
      </x:c>
      <x:c r="J57" s="12" t="n">
        <x:v>106.00000001490116</x:v>
      </x:c>
      <x:c r="K57" s="2" t="n">
        <x:v>324</x:v>
      </x:c>
      <x:c r="L57" s="2" t="n">
        <x:v>939</x:v>
      </x:c>
    </x:row>
    <x:row r="58" ht="24" customHeight="1">
      <x:c r="A58" s="2" t="n">
        <x:v>57</x:v>
      </x:c>
      <x:c r="B58" s="2" t="n">
        <x:v>2</x:v>
      </x:c>
      <x:c r="C58" s="12" t="n">
        <x:v>119469</x:v>
      </x:c>
      <x:c r="D58" s="12" t="n">
        <x:v>84147</x:v>
      </x:c>
      <x:c r="E58" s="12" t="n">
        <x:v>35109.666666671634</x:v>
      </x:c>
      <x:c r="F58" s="12" t="n">
        <x:v>32728</x:v>
      </x:c>
      <x:c r="G58" s="12" t="n">
        <x:v>48763</x:v>
      </x:c>
      <x:c r="H58" s="12" t="n">
        <x:v>35322</x:v>
      </x:c>
      <x:c r="I58" s="12" t="n">
        <x:v>2550</x:v>
      </x:c>
      <x:c r="J58" s="12" t="n">
        <x:v>106</x:v>
      </x:c>
      <x:c r="K58" s="2" t="n">
        <x:v>328</x:v>
      </x:c>
      <x:c r="L58" s="2" t="n">
        <x:v>939</x:v>
      </x:c>
    </x:row>
    <x:row r="59" ht="24" customHeight="1">
      <x:c r="A59" s="2" t="n">
        <x:v>58</x:v>
      </x:c>
      <x:c r="B59" s="2" t="n">
        <x:v>2</x:v>
      </x:c>
      <x:c r="C59" s="12" t="n">
        <x:v>119472</x:v>
      </x:c>
      <x:c r="D59" s="12" t="n">
        <x:v>64644.9999999851</x:v>
      </x:c>
      <x:c r="E59" s="12" t="n">
        <x:v>54614.666666671634</x:v>
      </x:c>
      <x:c r="F59" s="12" t="n">
        <x:v>32473.9999999851</x:v>
      </x:c>
      <x:c r="G59" s="12" t="n">
        <x:v>29515</x:v>
      </x:c>
      <x:c r="H59" s="12" t="n">
        <x:v>54827.0000000149</x:v>
      </x:c>
      <x:c r="I59" s="12" t="n">
        <x:v>2550.000000014901</x:v>
      </x:c>
      <x:c r="J59" s="12" t="n">
        <x:v>105.99999998509884</x:v>
      </x:c>
      <x:c r="K59" s="2" t="n">
        <x:v>332</x:v>
      </x:c>
      <x:c r="L59" s="2" t="n">
        <x:v>939</x:v>
      </x:c>
    </x:row>
    <x:row r="60" ht="24" customHeight="1">
      <x:c r="A60" s="2" t="n">
        <x:v>59</x:v>
      </x:c>
      <x:c r="B60" s="2" t="n">
        <x:v>2</x:v>
      </x:c>
      <x:c r="C60" s="12" t="n">
        <x:v>119475</x:v>
      </x:c>
      <x:c r="D60" s="12" t="n">
        <x:v>82168</x:v>
      </x:c>
      <x:c r="E60" s="12" t="n">
        <x:v>37091.666666671634</x:v>
      </x:c>
      <x:c r="F60" s="12" t="n">
        <x:v>31328</x:v>
      </x:c>
      <x:c r="G60" s="12" t="n">
        <x:v>48184</x:v>
      </x:c>
      <x:c r="H60" s="12" t="n">
        <x:v>37307</x:v>
      </x:c>
      <x:c r="I60" s="12" t="n">
        <x:v>2550.000000014901</x:v>
      </x:c>
      <x:c r="J60" s="12" t="n">
        <x:v>105.99999998509884</x:v>
      </x:c>
      <x:c r="K60" s="2" t="n">
        <x:v>336</x:v>
      </x:c>
      <x:c r="L60" s="2" t="n">
        <x:v>939</x:v>
      </x:c>
    </x:row>
    <x:row r="61" ht="24" customHeight="1">
      <x:c r="A61" s="2" t="n">
        <x:v>60</x:v>
      </x:c>
      <x:c r="B61" s="2" t="n">
        <x:v>2</x:v>
      </x:c>
      <x:c r="C61" s="12" t="n">
        <x:v>119472</x:v>
      </x:c>
      <x:c r="D61" s="12" t="n">
        <x:v>64255.0000000149</x:v>
      </x:c>
      <x:c r="E61" s="12" t="n">
        <x:v>55001.666666671634</x:v>
      </x:c>
      <x:c r="F61" s="12" t="n">
        <x:v>32595</x:v>
      </x:c>
      <x:c r="G61" s="12" t="n">
        <x:v>29004</x:v>
      </x:c>
      <x:c r="H61" s="12" t="n">
        <x:v>55216.9999999851</x:v>
      </x:c>
      <x:c r="I61" s="12" t="n">
        <x:v>2550</x:v>
      </x:c>
      <x:c r="J61" s="12" t="n">
        <x:v>106.00000001490116</x:v>
      </x:c>
      <x:c r="K61" s="2" t="n">
        <x:v>340</x:v>
      </x:c>
      <x:c r="L61" s="2" t="n">
        <x:v>939</x:v>
      </x:c>
    </x:row>
    <x:row r="62" ht="24" customHeight="1">
      <x:c r="A62" s="2" t="n">
        <x:v>61</x:v>
      </x:c>
      <x:c r="B62" s="2" t="n">
        <x:v>2</x:v>
      </x:c>
      <x:c r="C62" s="12" t="n">
        <x:v>119468.9999999851</x:v>
      </x:c>
      <x:c r="D62" s="12" t="n">
        <x:v>90256.9999999851</x:v>
      </x:c>
      <x:c r="E62" s="12" t="n">
        <x:v>28999.666666671634</x:v>
      </x:c>
      <x:c r="F62" s="12" t="n">
        <x:v>39417</x:v>
      </x:c>
      <x:c r="G62" s="12" t="n">
        <x:v>48184</x:v>
      </x:c>
      <x:c r="H62" s="12" t="n">
        <x:v>29212</x:v>
      </x:c>
      <x:c r="I62" s="12" t="n">
        <x:v>2550</x:v>
      </x:c>
      <x:c r="J62" s="12" t="n">
        <x:v>105.99999998509884</x:v>
      </x:c>
      <x:c r="K62" s="2" t="n">
        <x:v>344</x:v>
      </x:c>
      <x:c r="L62" s="2" t="n">
        <x:v>939</x:v>
      </x:c>
    </x:row>
    <x:row r="63" ht="24" customHeight="1">
      <x:c r="A63" s="2" t="n">
        <x:v>62</x:v>
      </x:c>
      <x:c r="B63" s="2" t="n">
        <x:v>2</x:v>
      </x:c>
      <x:c r="C63" s="12" t="n">
        <x:v>119472.0000000149</x:v>
      </x:c>
      <x:c r="D63" s="12" t="n">
        <x:v>66190.0000000149</x:v>
      </x:c>
      <x:c r="E63" s="12" t="n">
        <x:v>53069.666666671634</x:v>
      </x:c>
      <x:c r="F63" s="12" t="n">
        <x:v>34530</x:v>
      </x:c>
      <x:c r="G63" s="12" t="n">
        <x:v>29003.9999999851</x:v>
      </x:c>
      <x:c r="H63" s="12" t="n">
        <x:v>53282</x:v>
      </x:c>
      <x:c r="I63" s="12" t="n">
        <x:v>2550</x:v>
      </x:c>
      <x:c r="J63" s="12" t="n">
        <x:v>106.00000002980232</x:v>
      </x:c>
      <x:c r="K63" s="2" t="n">
        <x:v>348</x:v>
      </x:c>
      <x:c r="L63" s="2" t="n">
        <x:v>939</x:v>
      </x:c>
    </x:row>
    <x:row r="64" ht="24" customHeight="1">
      <x:c r="A64" s="2" t="n">
        <x:v>63</x:v>
      </x:c>
      <x:c r="B64" s="2" t="n">
        <x:v>2</x:v>
      </x:c>
      <x:c r="C64" s="12" t="n">
        <x:v>119473</x:v>
      </x:c>
      <x:c r="D64" s="12" t="n">
        <x:v>81706.0000000149</x:v>
      </x:c>
      <x:c r="E64" s="12" t="n">
        <x:v>37553.666666671634</x:v>
      </x:c>
      <x:c r="F64" s="12" t="n">
        <x:v>30866</x:v>
      </x:c>
      <x:c r="G64" s="12" t="n">
        <x:v>48184</x:v>
      </x:c>
      <x:c r="H64" s="12" t="n">
        <x:v>37766.9999999851</x:v>
      </x:c>
      <x:c r="I64" s="12" t="n">
        <x:v>2550</x:v>
      </x:c>
      <x:c r="J64" s="12" t="n">
        <x:v>106.00000001490116</x:v>
      </x:c>
      <x:c r="K64" s="2" t="n">
        <x:v>352</x:v>
      </x:c>
      <x:c r="L64" s="2" t="n">
        <x:v>939</x:v>
      </x:c>
    </x:row>
    <x:row r="65" ht="24" customHeight="1">
      <x:c r="A65" s="2" t="n">
        <x:v>64</x:v>
      </x:c>
      <x:c r="B65" s="2" t="n">
        <x:v>2</x:v>
      </x:c>
      <x:c r="C65" s="12" t="n">
        <x:v>119475</x:v>
      </x:c>
      <x:c r="D65" s="12" t="n">
        <x:v>63968</x:v>
      </x:c>
      <x:c r="E65" s="12" t="n">
        <x:v>55290.666666671634</x:v>
      </x:c>
      <x:c r="F65" s="12" t="n">
        <x:v>32308</x:v>
      </x:c>
      <x:c r="G65" s="12" t="n">
        <x:v>29004</x:v>
      </x:c>
      <x:c r="H65" s="12" t="n">
        <x:v>55507</x:v>
      </x:c>
      <x:c r="I65" s="12" t="n">
        <x:v>2550</x:v>
      </x:c>
      <x:c r="J65" s="12" t="n">
        <x:v>106</x:v>
      </x:c>
      <x:c r="K65" s="2" t="n">
        <x:v>356</x:v>
      </x:c>
      <x:c r="L65" s="2" t="n">
        <x:v>939</x:v>
      </x:c>
    </x:row>
    <x:row r="66" ht="24" customHeight="1">
      <x:c r="A66" s="2" t="n">
        <x:v>65</x:v>
      </x:c>
      <x:c r="B66" s="2" t="n">
        <x:v>2</x:v>
      </x:c>
      <x:c r="C66" s="12" t="n">
        <x:v>119470</x:v>
      </x:c>
      <x:c r="D66" s="12" t="n">
        <x:v>86318.0000000149</x:v>
      </x:c>
      <x:c r="E66" s="12" t="n">
        <x:v>32937.666666671634</x:v>
      </x:c>
      <x:c r="F66" s="12" t="n">
        <x:v>34923</x:v>
      </x:c>
      <x:c r="G66" s="12" t="n">
        <x:v>48739</x:v>
      </x:c>
      <x:c r="H66" s="12" t="n">
        <x:v>33151.9999999851</x:v>
      </x:c>
      <x:c r="I66" s="12" t="n">
        <x:v>2550</x:v>
      </x:c>
      <x:c r="J66" s="12" t="n">
        <x:v>106.00000001490116</x:v>
      </x:c>
      <x:c r="K66" s="2" t="n">
        <x:v>360</x:v>
      </x:c>
      <x:c r="L66" s="2" t="n">
        <x:v>939</x:v>
      </x:c>
    </x:row>
    <x:row r="67" ht="24" customHeight="1">
      <x:c r="A67" s="2" t="n">
        <x:v>66</x:v>
      </x:c>
      <x:c r="B67" s="2" t="n">
        <x:v>2</x:v>
      </x:c>
      <x:c r="C67" s="12" t="n">
        <x:v>119470</x:v>
      </x:c>
      <x:c r="D67" s="12" t="n">
        <x:v>70778</x:v>
      </x:c>
      <x:c r="E67" s="12" t="n">
        <x:v>48479.666666671634</x:v>
      </x:c>
      <x:c r="F67" s="12" t="n">
        <x:v>38628</x:v>
      </x:c>
      <x:c r="G67" s="12" t="n">
        <x:v>29494</x:v>
      </x:c>
      <x:c r="H67" s="12" t="n">
        <x:v>48692</x:v>
      </x:c>
      <x:c r="I67" s="12" t="n">
        <x:v>2550</x:v>
      </x:c>
      <x:c r="J67" s="12" t="n">
        <x:v>106</x:v>
      </x:c>
      <x:c r="K67" s="2" t="n">
        <x:v>364</x:v>
      </x:c>
      <x:c r="L67" s="2" t="n">
        <x:v>939</x:v>
      </x:c>
    </x:row>
    <x:row r="68" ht="24" customHeight="1">
      <x:c r="A68" s="2" t="n">
        <x:v>67</x:v>
      </x:c>
      <x:c r="B68" s="2" t="n">
        <x:v>2</x:v>
      </x:c>
      <x:c r="C68" s="12" t="n">
        <x:v>121024</x:v>
      </x:c>
      <x:c r="D68" s="12" t="n">
        <x:v>100401.9999999851</x:v>
      </x:c>
      <x:c r="E68" s="12" t="n">
        <x:v>20409.666666671634</x:v>
      </x:c>
      <x:c r="F68" s="12" t="n">
        <x:v>39622</x:v>
      </x:c>
      <x:c r="G68" s="12" t="n">
        <x:v>56572</x:v>
      </x:c>
      <x:c r="H68" s="12" t="n">
        <x:v>20622.0000000149</x:v>
      </x:c>
      <x:c r="I68" s="12" t="n">
        <x:v>4102.000000014901</x:v>
      </x:c>
      <x:c r="J68" s="12" t="n">
        <x:v>105.99999997019768</x:v>
      </x:c>
      <x:c r="K68" s="2" t="n">
        <x:v>364</x:v>
      </x:c>
      <x:c r="L68" s="2" t="n">
        <x:v>935</x:v>
      </x:c>
    </x:row>
    <x:row r="69" ht="24" customHeight="1">
      <x:c r="A69" s="2" t="n">
        <x:v>68</x:v>
      </x:c>
      <x:c r="B69" s="2" t="n">
        <x:v>2</x:v>
      </x:c>
      <x:c r="C69" s="12" t="n">
        <x:v>119474</x:v>
      </x:c>
      <x:c r="D69" s="12" t="n">
        <x:v>96037</x:v>
      </x:c>
      <x:c r="E69" s="12" t="n">
        <x:v>23222.666666671634</x:v>
      </x:c>
      <x:c r="F69" s="12" t="n">
        <x:v>35702</x:v>
      </x:c>
      <x:c r="G69" s="12" t="n">
        <x:v>56126.9999999851</x:v>
      </x:c>
      <x:c r="H69" s="12" t="n">
        <x:v>23437</x:v>
      </x:c>
      <x:c r="I69" s="12" t="n">
        <x:v>4101.999999985099</x:v>
      </x:c>
      <x:c r="J69" s="12" t="n">
        <x:v>106.00000002980232</x:v>
      </x:c>
      <x:c r="K69" s="2" t="n">
        <x:v>365</x:v>
      </x:c>
      <x:c r="L69" s="2" t="n">
        <x:v>931</x:v>
      </x:c>
    </x:row>
    <x:row r="70" ht="24" customHeight="1">
      <x:c r="A70" s="2" t="n">
        <x:v>69</x:v>
      </x:c>
      <x:c r="B70" s="2" t="n">
        <x:v>2</x:v>
      </x:c>
      <x:c r="C70" s="12" t="n">
        <x:v>119470</x:v>
      </x:c>
      <x:c r="D70" s="12" t="n">
        <x:v>108627.9999999851</x:v>
      </x:c>
      <x:c r="E70" s="12" t="n">
        <x:v>10629.666666671634</x:v>
      </x:c>
      <x:c r="F70" s="12" t="n">
        <x:v>35455</x:v>
      </x:c>
      <x:c r="G70" s="12" t="n">
        <x:v>68965</x:v>
      </x:c>
      <x:c r="H70" s="12" t="n">
        <x:v>10842.000000014901</x:v>
      </x:c>
      <x:c r="I70" s="12" t="n">
        <x:v>4102</x:v>
      </x:c>
      <x:c r="J70" s="12" t="n">
        <x:v>105.99999998509884</x:v>
      </x:c>
      <x:c r="K70" s="2" t="n">
        <x:v>365</x:v>
      </x:c>
      <x:c r="L70" s="2" t="n">
        <x:v>927</x:v>
      </x:c>
    </x:row>
    <x:row r="71" ht="24" customHeight="1">
      <x:c r="A71" s="2" t="n">
        <x:v>70</x:v>
      </x:c>
      <x:c r="B71" s="2" t="n">
        <x:v>2</x:v>
      </x:c>
      <x:c r="C71" s="12" t="n">
        <x:v>119472</x:v>
      </x:c>
      <x:c r="D71" s="12" t="n">
        <x:v>96405</x:v>
      </x:c>
      <x:c r="E71" s="12" t="n">
        <x:v>22854.666666671634</x:v>
      </x:c>
      <x:c r="F71" s="12" t="n">
        <x:v>35486.9999999851</x:v>
      </x:c>
      <x:c r="G71" s="12" t="n">
        <x:v>56710</x:v>
      </x:c>
      <x:c r="H71" s="12" t="n">
        <x:v>23067</x:v>
      </x:c>
      <x:c r="I71" s="12" t="n">
        <x:v>4102</x:v>
      </x:c>
      <x:c r="J71" s="12" t="n">
        <x:v>106.00000001490116</x:v>
      </x:c>
      <x:c r="K71" s="2" t="n">
        <x:v>366</x:v>
      </x:c>
      <x:c r="L71" s="2" t="n">
        <x:v>923</x:v>
      </x:c>
    </x:row>
    <x:row r="72" ht="24" customHeight="1">
      <x:c r="A72" s="2" t="n">
        <x:v>71</x:v>
      </x:c>
      <x:c r="B72" s="2" t="n">
        <x:v>2</x:v>
      </x:c>
      <x:c r="C72" s="12" t="n">
        <x:v>119473.9999999851</x:v>
      </x:c>
      <x:c r="D72" s="12" t="n">
        <x:v>107681.9999999851</x:v>
      </x:c>
      <x:c r="E72" s="12" t="n">
        <x:v>11577.666666671634</x:v>
      </x:c>
      <x:c r="F72" s="12" t="n">
        <x:v>34897</x:v>
      </x:c>
      <x:c r="G72" s="12" t="n">
        <x:v>68577</x:v>
      </x:c>
      <x:c r="H72" s="12" t="n">
        <x:v>11792</x:v>
      </x:c>
      <x:c r="I72" s="12" t="n">
        <x:v>4102</x:v>
      </x:c>
      <x:c r="J72" s="12" t="n">
        <x:v>105.99999998509884</x:v>
      </x:c>
      <x:c r="K72" s="2" t="n">
        <x:v>366</x:v>
      </x:c>
      <x:c r="L72" s="2" t="n">
        <x:v>919</x:v>
      </x:c>
    </x:row>
    <x:row r="73" ht="24" customHeight="1">
      <x:c r="A73" s="2" t="n">
        <x:v>72</x:v>
      </x:c>
      <x:c r="B73" s="2" t="n">
        <x:v>2</x:v>
      </x:c>
      <x:c r="C73" s="12" t="n">
        <x:v>119471.0000000149</x:v>
      </x:c>
      <x:c r="D73" s="12" t="n">
        <x:v>96119.0000000298</x:v>
      </x:c>
      <x:c r="E73" s="12" t="n">
        <x:v>23138.666666671634</x:v>
      </x:c>
      <x:c r="F73" s="12" t="n">
        <x:v>35867.9999999851</x:v>
      </x:c>
      <x:c r="G73" s="12" t="n">
        <x:v>56042.9999999851</x:v>
      </x:c>
      <x:c r="H73" s="12" t="n">
        <x:v>23351.9999999851</x:v>
      </x:c>
      <x:c r="I73" s="12" t="n">
        <x:v>4102</x:v>
      </x:c>
      <x:c r="J73" s="12" t="n">
        <x:v>106.00000005960464</x:v>
      </x:c>
      <x:c r="K73" s="2" t="n">
        <x:v>367</x:v>
      </x:c>
      <x:c r="L73" s="2" t="n">
        <x:v>915</x:v>
      </x:c>
    </x:row>
    <x:row r="74" ht="24" customHeight="1">
      <x:c r="A74" s="2" t="n">
        <x:v>73</x:v>
      </x:c>
      <x:c r="B74" s="2" t="n">
        <x:v>2</x:v>
      </x:c>
      <x:c r="C74" s="12" t="n">
        <x:v>119472</x:v>
      </x:c>
      <x:c r="D74" s="12" t="n">
        <x:v>113550</x:v>
      </x:c>
      <x:c r="E74" s="12" t="n">
        <x:v>5708.666666671634</x:v>
      </x:c>
      <x:c r="F74" s="12" t="n">
        <x:v>41428</x:v>
      </x:c>
      <x:c r="G74" s="12" t="n">
        <x:v>67914</x:v>
      </x:c>
      <x:c r="H74" s="12" t="n">
        <x:v>5922</x:v>
      </x:c>
      <x:c r="I74" s="12" t="n">
        <x:v>4101.999999985099</x:v>
      </x:c>
      <x:c r="J74" s="12" t="n">
        <x:v>106.00000001490116</x:v>
      </x:c>
      <x:c r="K74" s="2" t="n">
        <x:v>367</x:v>
      </x:c>
      <x:c r="L74" s="2" t="n">
        <x:v>911</x:v>
      </x:c>
    </x:row>
    <x:row r="75" ht="24" customHeight="1">
      <x:c r="A75" s="2" t="n">
        <x:v>74</x:v>
      </x:c>
      <x:c r="B75" s="2" t="n">
        <x:v>2</x:v>
      </x:c>
      <x:c r="C75" s="12" t="n">
        <x:v>119473</x:v>
      </x:c>
      <x:c r="D75" s="12" t="n">
        <x:v>69841</x:v>
      </x:c>
      <x:c r="E75" s="12" t="n">
        <x:v>49417.666666671634</x:v>
      </x:c>
      <x:c r="F75" s="12" t="n">
        <x:v>37997</x:v>
      </x:c>
      <x:c r="G75" s="12" t="n">
        <x:v>27636</x:v>
      </x:c>
      <x:c r="H75" s="12" t="n">
        <x:v>49632</x:v>
      </x:c>
      <x:c r="I75" s="12" t="n">
        <x:v>4102</x:v>
      </x:c>
      <x:c r="J75" s="12" t="n">
        <x:v>106</x:v>
      </x:c>
      <x:c r="K75" s="2" t="n">
        <x:v>367</x:v>
      </x:c>
      <x:c r="L75" s="2" t="n">
        <x:v>907</x:v>
      </x:c>
    </x:row>
    <x:row r="76" ht="24" customHeight="1">
      <x:c r="A76" s="2" t="n">
        <x:v>75</x:v>
      </x:c>
      <x:c r="B76" s="2" t="n">
        <x:v>2</x:v>
      </x:c>
      <x:c r="C76" s="12" t="n">
        <x:v>119473</x:v>
      </x:c>
      <x:c r="D76" s="12" t="n">
        <x:v>76596</x:v>
      </x:c>
      <x:c r="E76" s="12" t="n">
        <x:v>42661.666666671634</x:v>
      </x:c>
      <x:c r="F76" s="12" t="n">
        <x:v>33137</x:v>
      </x:c>
      <x:c r="G76" s="12" t="n">
        <x:v>39251</x:v>
      </x:c>
      <x:c r="H76" s="12" t="n">
        <x:v>42877</x:v>
      </x:c>
      <x:c r="I76" s="12" t="n">
        <x:v>4102</x:v>
      </x:c>
      <x:c r="J76" s="12" t="n">
        <x:v>106</x:v>
      </x:c>
      <x:c r="K76" s="2" t="n">
        <x:v>367</x:v>
      </x:c>
      <x:c r="L76" s="2" t="n">
        <x:v>903</x:v>
      </x:c>
    </x:row>
    <x:row r="77" ht="24" customHeight="1">
      <x:c r="A77" s="2" t="n">
        <x:v>76</x:v>
      </x:c>
      <x:c r="B77" s="2" t="n">
        <x:v>2</x:v>
      </x:c>
      <x:c r="C77" s="12" t="n">
        <x:v>119469</x:v>
      </x:c>
      <x:c r="D77" s="12" t="n">
        <x:v>65922</x:v>
      </x:c>
      <x:c r="E77" s="12" t="n">
        <x:v>53334.666666671634</x:v>
      </x:c>
      <x:c r="F77" s="12" t="n">
        <x:v>34589</x:v>
      </x:c>
      <x:c r="G77" s="12" t="n">
        <x:v>27124.9999999851</x:v>
      </x:c>
      <x:c r="H77" s="12" t="n">
        <x:v>53547</x:v>
      </x:c>
      <x:c r="I77" s="12" t="n">
        <x:v>4102.000000014901</x:v>
      </x:c>
      <x:c r="J77" s="12" t="n">
        <x:v>106</x:v>
      </x:c>
      <x:c r="K77" s="2" t="n">
        <x:v>367</x:v>
      </x:c>
      <x:c r="L77" s="2" t="n">
        <x:v>899</x:v>
      </x:c>
    </x:row>
    <x:row r="78" ht="24" customHeight="1">
      <x:c r="A78" s="2" t="n">
        <x:v>77</x:v>
      </x:c>
      <x:c r="B78" s="2" t="n">
        <x:v>2</x:v>
      </x:c>
      <x:c r="C78" s="12" t="n">
        <x:v>119475.9999999851</x:v>
      </x:c>
      <x:c r="D78" s="12" t="n">
        <x:v>79608.9999999702</x:v>
      </x:c>
      <x:c r="E78" s="12" t="n">
        <x:v>39650.666666671634</x:v>
      </x:c>
      <x:c r="F78" s="12" t="n">
        <x:v>36124</x:v>
      </x:c>
      <x:c r="G78" s="12" t="n">
        <x:v>39277</x:v>
      </x:c>
      <x:c r="H78" s="12" t="n">
        <x:v>39867.0000000149</x:v>
      </x:c>
      <x:c r="I78" s="12" t="n">
        <x:v>4102</x:v>
      </x:c>
      <x:c r="J78" s="12" t="n">
        <x:v>105.99999997019768</x:v>
      </x:c>
      <x:c r="K78" s="2" t="n">
        <x:v>367</x:v>
      </x:c>
      <x:c r="L78" s="2" t="n">
        <x:v>895</x:v>
      </x:c>
    </x:row>
    <x:row r="79" ht="24" customHeight="1">
      <x:c r="A79" s="2" t="n">
        <x:v>78</x:v>
      </x:c>
      <x:c r="B79" s="2" t="n">
        <x:v>2</x:v>
      </x:c>
      <x:c r="C79" s="12" t="n">
        <x:v>117917.0000000149</x:v>
      </x:c>
      <x:c r="D79" s="12" t="n">
        <x:v>115955.0000000149</x:v>
      </x:c>
      <x:c r="E79" s="12" t="n">
        <x:v>1748.6666666716337</x:v>
      </x:c>
      <x:c r="F79" s="12" t="n">
        <x:v>35003</x:v>
      </x:c>
      <x:c r="G79" s="12" t="n">
        <x:v>78296</x:v>
      </x:c>
      <x:c r="H79" s="12" t="n">
        <x:v>1962</x:v>
      </x:c>
      <x:c r="I79" s="12" t="n">
        <x:v>2550</x:v>
      </x:c>
      <x:c r="J79" s="12" t="n">
        <x:v>106.00000001490116</x:v>
      </x:c>
      <x:c r="K79" s="2" t="n">
        <x:v>371</x:v>
      </x:c>
      <x:c r="L79" s="2" t="n">
        <x:v>895</x:v>
      </x:c>
    </x:row>
    <x:row r="80" ht="24" customHeight="1">
      <x:c r="A80" s="2" t="n">
        <x:v>79</x:v>
      </x:c>
      <x:c r="B80" s="2" t="n">
        <x:v>2</x:v>
      </x:c>
      <x:c r="C80" s="12" t="n">
        <x:v>121024</x:v>
      </x:c>
      <x:c r="D80" s="12" t="n">
        <x:v>84347.0000000149</x:v>
      </x:c>
      <x:c r="E80" s="12" t="n">
        <x:v>36463.666666671634</x:v>
      </x:c>
      <x:c r="F80" s="12" t="n">
        <x:v>34255.9999999851</x:v>
      </x:c>
      <x:c r="G80" s="12" t="n">
        <x:v>45883</x:v>
      </x:c>
      <x:c r="H80" s="12" t="n">
        <x:v>36676.9999999851</x:v>
      </x:c>
      <x:c r="I80" s="12" t="n">
        <x:v>4102</x:v>
      </x:c>
      <x:c r="J80" s="12" t="n">
        <x:v>106.00000002980232</x:v>
      </x:c>
      <x:c r="K80" s="2" t="n">
        <x:v>375</x:v>
      </x:c>
      <x:c r="L80" s="2" t="n">
        <x:v>894</x:v>
      </x:c>
    </x:row>
    <x:row r="81" ht="24" customHeight="1">
      <x:c r="A81" s="2" t="n">
        <x:v>80</x:v>
      </x:c>
      <x:c r="B81" s="2" t="n">
        <x:v>2</x:v>
      </x:c>
      <x:c r="C81" s="12" t="n">
        <x:v>117919</x:v>
      </x:c>
      <x:c r="D81" s="12" t="n">
        <x:v>110812</x:v>
      </x:c>
      <x:c r="E81" s="12" t="n">
        <x:v>6894.666666671634</x:v>
      </x:c>
      <x:c r="F81" s="12" t="n">
        <x:v>41208</x:v>
      </x:c>
      <x:c r="G81" s="12" t="n">
        <x:v>66948</x:v>
      </x:c>
      <x:c r="H81" s="12" t="n">
        <x:v>7107</x:v>
      </x:c>
      <x:c r="I81" s="12" t="n">
        <x:v>2550</x:v>
      </x:c>
      <x:c r="J81" s="12" t="n">
        <x:v>106</x:v>
      </x:c>
      <x:c r="K81" s="2" t="n">
        <x:v>379</x:v>
      </x:c>
      <x:c r="L81" s="2" t="n">
        <x:v>894</x:v>
      </x:c>
    </x:row>
    <x:row r="82" ht="24" customHeight="1">
      <x:c r="A82" s="2" t="n">
        <x:v>81</x:v>
      </x:c>
      <x:c r="B82" s="2" t="n">
        <x:v>2</x:v>
      </x:c>
      <x:c r="C82" s="12" t="n">
        <x:v>121026</x:v>
      </x:c>
      <x:c r="D82" s="12" t="n">
        <x:v>88334</x:v>
      </x:c>
      <x:c r="E82" s="12" t="n">
        <x:v>32477.666666671634</x:v>
      </x:c>
      <x:c r="F82" s="12" t="n">
        <x:v>37518.0000000149</x:v>
      </x:c>
      <x:c r="G82" s="12" t="n">
        <x:v>46608.0000000149</x:v>
      </x:c>
      <x:c r="H82" s="12" t="n">
        <x:v>32692</x:v>
      </x:c>
      <x:c r="I82" s="12" t="n">
        <x:v>4102</x:v>
      </x:c>
      <x:c r="J82" s="12" t="n">
        <x:v>105.99999997019768</x:v>
      </x:c>
      <x:c r="K82" s="2" t="n">
        <x:v>383</x:v>
      </x:c>
      <x:c r="L82" s="2" t="n">
        <x:v>893</x:v>
      </x:c>
    </x:row>
    <x:row r="83" ht="24" customHeight="1">
      <x:c r="A83" s="2" t="n">
        <x:v>82</x:v>
      </x:c>
      <x:c r="B83" s="2" t="n">
        <x:v>2</x:v>
      </x:c>
      <x:c r="C83" s="12" t="n">
        <x:v>117920</x:v>
      </x:c>
      <x:c r="D83" s="12" t="n">
        <x:v>104288</x:v>
      </x:c>
      <x:c r="E83" s="12" t="n">
        <x:v>13417.666666671634</x:v>
      </x:c>
      <x:c r="F83" s="12" t="n">
        <x:v>36294</x:v>
      </x:c>
      <x:c r="G83" s="12" t="n">
        <x:v>65338</x:v>
      </x:c>
      <x:c r="H83" s="12" t="n">
        <x:v>13632</x:v>
      </x:c>
      <x:c r="I83" s="12" t="n">
        <x:v>2550</x:v>
      </x:c>
      <x:c r="J83" s="12" t="n">
        <x:v>106</x:v>
      </x:c>
      <x:c r="K83" s="2" t="n">
        <x:v>387</x:v>
      </x:c>
      <x:c r="L83" s="2" t="n">
        <x:v>893</x:v>
      </x:c>
    </x:row>
    <x:row r="84" ht="24" customHeight="1">
      <x:c r="A84" s="2" t="n">
        <x:v>83</x:v>
      </x:c>
      <x:c r="B84" s="2" t="n">
        <x:v>2</x:v>
      </x:c>
      <x:c r="C84" s="12" t="n">
        <x:v>121026</x:v>
      </x:c>
      <x:c r="D84" s="12" t="n">
        <x:v>83799</x:v>
      </x:c>
      <x:c r="E84" s="12" t="n">
        <x:v>37010.666666671634</x:v>
      </x:c>
      <x:c r="F84" s="12" t="n">
        <x:v>36085</x:v>
      </x:c>
      <x:c r="G84" s="12" t="n">
        <x:v>43506</x:v>
      </x:c>
      <x:c r="H84" s="12" t="n">
        <x:v>37227</x:v>
      </x:c>
      <x:c r="I84" s="12" t="n">
        <x:v>4102</x:v>
      </x:c>
      <x:c r="J84" s="12" t="n">
        <x:v>106</x:v>
      </x:c>
      <x:c r="K84" s="2" t="n">
        <x:v>391</x:v>
      </x:c>
      <x:c r="L84" s="2" t="n">
        <x:v>892</x:v>
      </x:c>
    </x:row>
    <x:row r="85" ht="24" customHeight="1">
      <x:c r="A85" s="2" t="n">
        <x:v>84</x:v>
      </x:c>
      <x:c r="B85" s="2" t="n">
        <x:v>2</x:v>
      </x:c>
      <x:c r="C85" s="12" t="n">
        <x:v>117916</x:v>
      </x:c>
      <x:c r="D85" s="12" t="n">
        <x:v>99798.9999999851</x:v>
      </x:c>
      <x:c r="E85" s="12" t="n">
        <x:v>17904.666666671634</x:v>
      </x:c>
      <x:c r="F85" s="12" t="n">
        <x:v>33665</x:v>
      </x:c>
      <x:c r="G85" s="12" t="n">
        <x:v>63478</x:v>
      </x:c>
      <x:c r="H85" s="12" t="n">
        <x:v>18117.0000000149</x:v>
      </x:c>
      <x:c r="I85" s="12" t="n">
        <x:v>2550</x:v>
      </x:c>
      <x:c r="J85" s="12" t="n">
        <x:v>105.99999998509884</x:v>
      </x:c>
      <x:c r="K85" s="2" t="n">
        <x:v>395</x:v>
      </x:c>
      <x:c r="L85" s="2" t="n">
        <x:v>892</x:v>
      </x:c>
    </x:row>
    <x:row r="86" ht="24" customHeight="1">
      <x:c r="A86" s="2" t="n">
        <x:v>85</x:v>
      </x:c>
      <x:c r="B86" s="2" t="n">
        <x:v>2</x:v>
      </x:c>
      <x:c r="C86" s="12" t="n">
        <x:v>123848.9999999851</x:v>
      </x:c>
      <x:c r="D86" s="12" t="n">
        <x:v>93306.9999999851</x:v>
      </x:c>
      <x:c r="E86" s="12" t="n">
        <x:v>30325.666666671634</x:v>
      </x:c>
      <x:c r="F86" s="12" t="n">
        <x:v>39776</x:v>
      </x:c>
      <x:c r="G86" s="12" t="n">
        <x:v>46502</x:v>
      </x:c>
      <x:c r="H86" s="12" t="n">
        <x:v>30542</x:v>
      </x:c>
      <x:c r="I86" s="12" t="n">
        <x:v>6923</x:v>
      </x:c>
      <x:c r="J86" s="12" t="n">
        <x:v>105.99999998509884</x:v>
      </x:c>
      <x:c r="K86" s="2" t="n">
        <x:v>399</x:v>
      </x:c>
      <x:c r="L86" s="2" t="n">
        <x:v>891</x:v>
      </x:c>
    </x:row>
    <x:row r="87" ht="24" customHeight="1">
      <x:c r="A87" s="2" t="n">
        <x:v>86</x:v>
      </x:c>
      <x:c r="B87" s="2" t="n">
        <x:v>2</x:v>
      </x:c>
      <x:c r="C87" s="12" t="n">
        <x:v>115099.0000000149</x:v>
      </x:c>
      <x:c r="D87" s="12" t="n">
        <x:v>108827</x:v>
      </x:c>
      <x:c r="E87" s="12" t="n">
        <x:v>6055.666666671634</x:v>
      </x:c>
      <x:c r="F87" s="12" t="n">
        <x:v>39434</x:v>
      </x:c>
      <x:c r="G87" s="12" t="n">
        <x:v>66737.0000000149</x:v>
      </x:c>
      <x:c r="H87" s="12" t="n">
        <x:v>6272.000000014901</x:v>
      </x:c>
      <x:c r="I87" s="12" t="n">
        <x:v>2550</x:v>
      </x:c>
      <x:c r="J87" s="12" t="n">
        <x:v>105.99999998509884</x:v>
      </x:c>
      <x:c r="K87" s="2" t="n">
        <x:v>403</x:v>
      </x:c>
      <x:c r="L87" s="2" t="n">
        <x:v>891</x:v>
      </x:c>
    </x:row>
    <x:row r="88" ht="24" customHeight="1">
      <x:c r="A88" s="2" t="n">
        <x:v>87</x:v>
      </x:c>
      <x:c r="B88" s="2" t="n">
        <x:v>2</x:v>
      </x:c>
      <x:c r="C88" s="12" t="n">
        <x:v>119471</x:v>
      </x:c>
      <x:c r="D88" s="12" t="n">
        <x:v>66194.0000000149</x:v>
      </x:c>
      <x:c r="E88" s="12" t="n">
        <x:v>53061.666666671634</x:v>
      </x:c>
      <x:c r="F88" s="12" t="n">
        <x:v>33704</x:v>
      </x:c>
      <x:c r="G88" s="12" t="n">
        <x:v>29834.0000000149</x:v>
      </x:c>
      <x:c r="H88" s="12" t="n">
        <x:v>53276.9999999851</x:v>
      </x:c>
      <x:c r="I88" s="12" t="n">
        <x:v>2550</x:v>
      </x:c>
      <x:c r="J88" s="12" t="n">
        <x:v>106</x:v>
      </x:c>
      <x:c r="K88" s="2" t="n">
        <x:v>407</x:v>
      </x:c>
      <x:c r="L88" s="2" t="n">
        <x:v>891</x:v>
      </x:c>
    </x:row>
    <x:row r="89" ht="24" customHeight="1">
      <x:c r="A89" s="2" t="n">
        <x:v>88</x:v>
      </x:c>
      <x:c r="B89" s="2" t="n">
        <x:v>2</x:v>
      </x:c>
      <x:c r="C89" s="12" t="n">
        <x:v>119471</x:v>
      </x:c>
      <x:c r="D89" s="12" t="n">
        <x:v>83634</x:v>
      </x:c>
      <x:c r="E89" s="12" t="n">
        <x:v>35622.666666671634</x:v>
      </x:c>
      <x:c r="F89" s="12" t="n">
        <x:v>33629</x:v>
      </x:c>
      <x:c r="G89" s="12" t="n">
        <x:v>47349</x:v>
      </x:c>
      <x:c r="H89" s="12" t="n">
        <x:v>35837</x:v>
      </x:c>
      <x:c r="I89" s="12" t="n">
        <x:v>2550</x:v>
      </x:c>
      <x:c r="J89" s="12" t="n">
        <x:v>106</x:v>
      </x:c>
      <x:c r="K89" s="2" t="n">
        <x:v>411</x:v>
      </x:c>
      <x:c r="L89" s="2" t="n">
        <x:v>891</x:v>
      </x:c>
    </x:row>
    <x:row r="90" ht="24" customHeight="1">
      <x:c r="A90" s="2" t="n">
        <x:v>89</x:v>
      </x:c>
      <x:c r="B90" s="2" t="n">
        <x:v>2</x:v>
      </x:c>
      <x:c r="C90" s="12" t="n">
        <x:v>119471</x:v>
      </x:c>
      <x:c r="D90" s="12" t="n">
        <x:v>69499</x:v>
      </x:c>
      <x:c r="E90" s="12" t="n">
        <x:v>49758.666666671634</x:v>
      </x:c>
      <x:c r="F90" s="12" t="n">
        <x:v>34844</x:v>
      </x:c>
      <x:c r="G90" s="12" t="n">
        <x:v>31999</x:v>
      </x:c>
      <x:c r="H90" s="12" t="n">
        <x:v>49972</x:v>
      </x:c>
      <x:c r="I90" s="12" t="n">
        <x:v>2550.000000014901</x:v>
      </x:c>
      <x:c r="J90" s="12" t="n">
        <x:v>105.99999998509884</x:v>
      </x:c>
      <x:c r="K90" s="2" t="n">
        <x:v>415</x:v>
      </x:c>
      <x:c r="L90" s="2" t="n">
        <x:v>891</x:v>
      </x:c>
    </x:row>
    <x:row r="91" ht="24" customHeight="1">
      <x:c r="A91" s="2" t="n">
        <x:v>90</x:v>
      </x:c>
      <x:c r="B91" s="2" t="n">
        <x:v>2</x:v>
      </x:c>
      <x:c r="C91" s="12" t="n">
        <x:v>119472</x:v>
      </x:c>
      <x:c r="D91" s="12" t="n">
        <x:v>83980.0000000149</x:v>
      </x:c>
      <x:c r="E91" s="12" t="n">
        <x:v>35278.666666671634</x:v>
      </x:c>
      <x:c r="F91" s="12" t="n">
        <x:v>33448.9999999851</x:v>
      </x:c>
      <x:c r="G91" s="12" t="n">
        <x:v>47875</x:v>
      </x:c>
      <x:c r="H91" s="12" t="n">
        <x:v>35491.9999999851</x:v>
      </x:c>
      <x:c r="I91" s="12" t="n">
        <x:v>2550</x:v>
      </x:c>
      <x:c r="J91" s="12" t="n">
        <x:v>106.00000002980232</x:v>
      </x:c>
      <x:c r="K91" s="2" t="n">
        <x:v>419</x:v>
      </x:c>
      <x:c r="L91" s="2" t="n">
        <x:v>891</x:v>
      </x:c>
    </x:row>
    <x:row r="92" ht="24" customHeight="1">
      <x:c r="A92" s="2" t="n">
        <x:v>91</x:v>
      </x:c>
      <x:c r="B92" s="2" t="n">
        <x:v>2</x:v>
      </x:c>
      <x:c r="C92" s="12" t="n">
        <x:v>119475</x:v>
      </x:c>
      <x:c r="D92" s="12" t="n">
        <x:v>65063.0000000149</x:v>
      </x:c>
      <x:c r="E92" s="12" t="n">
        <x:v>54195.666666671634</x:v>
      </x:c>
      <x:c r="F92" s="12" t="n">
        <x:v>32561</x:v>
      </x:c>
      <x:c r="G92" s="12" t="n">
        <x:v>29846</x:v>
      </x:c>
      <x:c r="H92" s="12" t="n">
        <x:v>54411.9999999851</x:v>
      </x:c>
      <x:c r="I92" s="12" t="n">
        <x:v>2550</x:v>
      </x:c>
      <x:c r="J92" s="12" t="n">
        <x:v>106.00000001490116</x:v>
      </x:c>
      <x:c r="K92" s="2" t="n">
        <x:v>423</x:v>
      </x:c>
      <x:c r="L92" s="2" t="n">
        <x:v>891</x:v>
      </x:c>
    </x:row>
    <x:row r="93" ht="24" customHeight="1">
      <x:c r="A93" s="2" t="n">
        <x:v>92</x:v>
      </x:c>
      <x:c r="B93" s="2" t="n">
        <x:v>2</x:v>
      </x:c>
      <x:c r="C93" s="12" t="n">
        <x:v>119468</x:v>
      </x:c>
      <x:c r="D93" s="12" t="n">
        <x:v>89815.9999999851</x:v>
      </x:c>
      <x:c r="E93" s="12" t="n">
        <x:v>29439.666666671634</x:v>
      </x:c>
      <x:c r="F93" s="12" t="n">
        <x:v>39796</x:v>
      </x:c>
      <x:c r="G93" s="12" t="n">
        <x:v>47364</x:v>
      </x:c>
      <x:c r="H93" s="12" t="n">
        <x:v>29652.0000000149</x:v>
      </x:c>
      <x:c r="I93" s="12" t="n">
        <x:v>2550</x:v>
      </x:c>
      <x:c r="J93" s="12" t="n">
        <x:v>105.99999998509884</x:v>
      </x:c>
      <x:c r="K93" s="2" t="n">
        <x:v>427</x:v>
      </x:c>
      <x:c r="L93" s="2" t="n">
        <x:v>891</x:v>
      </x:c>
    </x:row>
    <x:row r="94" ht="24" customHeight="1">
      <x:c r="A94" s="2" t="n">
        <x:v>93</x:v>
      </x:c>
      <x:c r="B94" s="2" t="n">
        <x:v>2</x:v>
      </x:c>
      <x:c r="C94" s="12" t="n">
        <x:v>119475.9999999851</x:v>
      </x:c>
      <x:c r="D94" s="12" t="n">
        <x:v>68813.9999999851</x:v>
      </x:c>
      <x:c r="E94" s="12" t="n">
        <x:v>50445.666666671634</x:v>
      </x:c>
      <x:c r="F94" s="12" t="n">
        <x:v>36312</x:v>
      </x:c>
      <x:c r="G94" s="12" t="n">
        <x:v>29846</x:v>
      </x:c>
      <x:c r="H94" s="12" t="n">
        <x:v>50662</x:v>
      </x:c>
      <x:c r="I94" s="12" t="n">
        <x:v>2550</x:v>
      </x:c>
      <x:c r="J94" s="12" t="n">
        <x:v>105.99999998509884</x:v>
      </x:c>
      <x:c r="K94" s="2" t="n">
        <x:v>431</x:v>
      </x:c>
      <x:c r="L94" s="2" t="n">
        <x:v>891</x:v>
      </x:c>
    </x:row>
    <x:row r="95" ht="24" customHeight="1">
      <x:c r="A95" s="2" t="n">
        <x:v>94</x:v>
      </x:c>
      <x:c r="B95" s="2" t="n">
        <x:v>2</x:v>
      </x:c>
      <x:c r="C95" s="12" t="n">
        <x:v>119468.0000000149</x:v>
      </x:c>
      <x:c r="D95" s="12" t="n">
        <x:v>84826.0000000149</x:v>
      </x:c>
      <x:c r="E95" s="12" t="n">
        <x:v>34429.666666671634</x:v>
      </x:c>
      <x:c r="F95" s="12" t="n">
        <x:v>34806</x:v>
      </x:c>
      <x:c r="G95" s="12" t="n">
        <x:v>47364</x:v>
      </x:c>
      <x:c r="H95" s="12" t="n">
        <x:v>34642</x:v>
      </x:c>
      <x:c r="I95" s="12" t="n">
        <x:v>2550.000000014901</x:v>
      </x:c>
      <x:c r="J95" s="12" t="n">
        <x:v>106</x:v>
      </x:c>
      <x:c r="K95" s="2" t="n">
        <x:v>435</x:v>
      </x:c>
      <x:c r="L95" s="2" t="n">
        <x:v>891</x:v>
      </x:c>
    </x:row>
    <x:row r="96" ht="24" customHeight="1">
      <x:c r="A96" s="2" t="n">
        <x:v>95</x:v>
      </x:c>
      <x:c r="B96" s="2" t="n">
        <x:v>2</x:v>
      </x:c>
      <x:c r="C96" s="12" t="n">
        <x:v>119476</x:v>
      </x:c>
      <x:c r="D96" s="12" t="n">
        <x:v>67584</x:v>
      </x:c>
      <x:c r="E96" s="12" t="n">
        <x:v>51675.666666671634</x:v>
      </x:c>
      <x:c r="F96" s="12" t="n">
        <x:v>35082</x:v>
      </x:c>
      <x:c r="G96" s="12" t="n">
        <x:v>29846</x:v>
      </x:c>
      <x:c r="H96" s="12" t="n">
        <x:v>51892</x:v>
      </x:c>
      <x:c r="I96" s="12" t="n">
        <x:v>2550</x:v>
      </x:c>
      <x:c r="J96" s="12" t="n">
        <x:v>106</x:v>
      </x:c>
      <x:c r="K96" s="2" t="n">
        <x:v>439</x:v>
      </x:c>
      <x:c r="L96" s="2" t="n">
        <x:v>891</x:v>
      </x:c>
    </x:row>
    <x:row r="97" ht="24" customHeight="1">
      <x:c r="A97" s="2" t="n">
        <x:v>96</x:v>
      </x:c>
      <x:c r="B97" s="2" t="n">
        <x:v>2</x:v>
      </x:c>
      <x:c r="C97" s="12" t="n">
        <x:v>121021</x:v>
      </x:c>
      <x:c r="D97" s="12" t="n">
        <x:v>86424</x:v>
      </x:c>
      <x:c r="E97" s="12" t="n">
        <x:v>34383.666666671634</x:v>
      </x:c>
      <x:c r="F97" s="12" t="n">
        <x:v>39371</x:v>
      </x:c>
      <x:c r="G97" s="12" t="n">
        <x:v>42845</x:v>
      </x:c>
      <x:c r="H97" s="12" t="n">
        <x:v>34597</x:v>
      </x:c>
      <x:c r="I97" s="12" t="n">
        <x:v>4102</x:v>
      </x:c>
      <x:c r="J97" s="12" t="n">
        <x:v>106</x:v>
      </x:c>
      <x:c r="K97" s="2" t="n">
        <x:v>439</x:v>
      </x:c>
      <x:c r="L97" s="2" t="n">
        <x:v>895</x:v>
      </x:c>
    </x:row>
    <x:row r="98" ht="24" customHeight="1">
      <x:c r="A98" s="2" t="n">
        <x:v>97</x:v>
      </x:c>
      <x:c r="B98" s="2" t="n">
        <x:v>2</x:v>
      </x:c>
      <x:c r="C98" s="12" t="n">
        <x:v>119471</x:v>
      </x:c>
      <x:c r="D98" s="12" t="n">
        <x:v>111819</x:v>
      </x:c>
      <x:c r="E98" s="12" t="n">
        <x:v>7439.666666671634</x:v>
      </x:c>
      <x:c r="F98" s="12" t="n">
        <x:v>38370</x:v>
      </x:c>
      <x:c r="G98" s="12" t="n">
        <x:v>69241</x:v>
      </x:c>
      <x:c r="H98" s="12" t="n">
        <x:v>7652</x:v>
      </x:c>
      <x:c r="I98" s="12" t="n">
        <x:v>4102</x:v>
      </x:c>
      <x:c r="J98" s="12" t="n">
        <x:v>106</x:v>
      </x:c>
      <x:c r="K98" s="2" t="n">
        <x:v>438</x:v>
      </x:c>
      <x:c r="L98" s="2" t="n">
        <x:v>899</x:v>
      </x:c>
    </x:row>
    <x:row r="99" ht="24" customHeight="1">
      <x:c r="A99" s="2" t="n">
        <x:v>98</x:v>
      </x:c>
      <x:c r="B99" s="2" t="n">
        <x:v>2</x:v>
      </x:c>
      <x:c r="C99" s="12" t="n">
        <x:v>119472</x:v>
      </x:c>
      <x:c r="D99" s="12" t="n">
        <x:v>99860</x:v>
      </x:c>
      <x:c r="E99" s="12" t="n">
        <x:v>19399.666666671634</x:v>
      </x:c>
      <x:c r="F99" s="12" t="n">
        <x:v>38393</x:v>
      </x:c>
      <x:c r="G99" s="12" t="n">
        <x:v>57259</x:v>
      </x:c>
      <x:c r="H99" s="12" t="n">
        <x:v>19612</x:v>
      </x:c>
      <x:c r="I99" s="12" t="n">
        <x:v>4101.999999985099</x:v>
      </x:c>
      <x:c r="J99" s="12" t="n">
        <x:v>106.00000001490116</x:v>
      </x:c>
      <x:c r="K99" s="2" t="n">
        <x:v>438</x:v>
      </x:c>
      <x:c r="L99" s="2" t="n">
        <x:v>903</x:v>
      </x:c>
    </x:row>
    <x:row r="100" ht="24" customHeight="1">
      <x:c r="A100" s="2" t="n">
        <x:v>99</x:v>
      </x:c>
      <x:c r="B100" s="2" t="n">
        <x:v>2</x:v>
      </x:c>
      <x:c r="C100" s="12" t="n">
        <x:v>119473</x:v>
      </x:c>
      <x:c r="D100" s="12" t="n">
        <x:v>111596.0000000149</x:v>
      </x:c>
      <x:c r="E100" s="12" t="n">
        <x:v>7663.666666671634</x:v>
      </x:c>
      <x:c r="F100" s="12" t="n">
        <x:v>38986.0000000149</x:v>
      </x:c>
      <x:c r="G100" s="12" t="n">
        <x:v>68402.0000000149</x:v>
      </x:c>
      <x:c r="H100" s="12" t="n">
        <x:v>7876.999999985099</x:v>
      </x:c>
      <x:c r="I100" s="12" t="n">
        <x:v>4102</x:v>
      </x:c>
      <x:c r="J100" s="12" t="n">
        <x:v>105.99999998509884</x:v>
      </x:c>
      <x:c r="K100" s="2" t="n">
        <x:v>437</x:v>
      </x:c>
      <x:c r="L100" s="2" t="n">
        <x:v>907</x:v>
      </x:c>
    </x:row>
    <x:row r="101" ht="24" customHeight="1">
      <x:c r="A101" s="2" t="n">
        <x:v>100</x:v>
      </x:c>
      <x:c r="B101" s="2" t="n">
        <x:v>2</x:v>
      </x:c>
      <x:c r="C101" s="12" t="n">
        <x:v>119471</x:v>
      </x:c>
      <x:c r="D101" s="12" t="n">
        <x:v>95024</x:v>
      </x:c>
      <x:c r="E101" s="12" t="n">
        <x:v>24234.666666671634</x:v>
      </x:c>
      <x:c r="F101" s="12" t="n">
        <x:v>33844.9999999851</x:v>
      </x:c>
      <x:c r="G101" s="12" t="n">
        <x:v>56971</x:v>
      </x:c>
      <x:c r="H101" s="12" t="n">
        <x:v>24447</x:v>
      </x:c>
      <x:c r="I101" s="12" t="n">
        <x:v>4102</x:v>
      </x:c>
      <x:c r="J101" s="12" t="n">
        <x:v>106.00000001490116</x:v>
      </x:c>
      <x:c r="K101" s="2" t="n">
        <x:v>437</x:v>
      </x:c>
      <x:c r="L101" s="2" t="n">
        <x:v>911</x:v>
      </x:c>
    </x:row>
    <x:row r="102" ht="24" customHeight="1">
      <x:c r="A102" s="2" t="n">
        <x:v>101</x:v>
      </x:c>
      <x:c r="B102" s="2" t="n">
        <x:v>2</x:v>
      </x:c>
      <x:c r="C102" s="12" t="n">
        <x:v>119475</x:v>
      </x:c>
      <x:c r="D102" s="12" t="n">
        <x:v>79222.9999999851</x:v>
      </x:c>
      <x:c r="E102" s="12" t="n">
        <x:v>40036.666666671634</x:v>
      </x:c>
      <x:c r="F102" s="12" t="n">
        <x:v>35796.0000000149</x:v>
      </x:c>
      <x:c r="G102" s="12" t="n">
        <x:v>39219.0000000149</x:v>
      </x:c>
      <x:c r="H102" s="12" t="n">
        <x:v>40252.0000000149</x:v>
      </x:c>
      <x:c r="I102" s="12" t="n">
        <x:v>4102</x:v>
      </x:c>
      <x:c r="J102" s="12" t="n">
        <x:v>105.99999995529652</x:v>
      </x:c>
      <x:c r="K102" s="2" t="n">
        <x:v>436</x:v>
      </x:c>
      <x:c r="L102" s="2" t="n">
        <x:v>915</x:v>
      </x:c>
    </x:row>
    <x:row r="103" ht="24" customHeight="1">
      <x:c r="A103" s="2" t="n">
        <x:v>102</x:v>
      </x:c>
      <x:c r="B103" s="2" t="n">
        <x:v>2</x:v>
      </x:c>
      <x:c r="C103" s="12" t="n">
        <x:v>119473</x:v>
      </x:c>
      <x:c r="D103" s="12" t="n">
        <x:v>84206</x:v>
      </x:c>
      <x:c r="E103" s="12" t="n">
        <x:v>35050.666666671634</x:v>
      </x:c>
      <x:c r="F103" s="12" t="n">
        <x:v>35549.0000000149</x:v>
      </x:c>
      <x:c r="G103" s="12" t="n">
        <x:v>44449</x:v>
      </x:c>
      <x:c r="H103" s="12" t="n">
        <x:v>35267</x:v>
      </x:c>
      <x:c r="I103" s="12" t="n">
        <x:v>4102</x:v>
      </x:c>
      <x:c r="J103" s="12" t="n">
        <x:v>105.99999998509884</x:v>
      </x:c>
      <x:c r="K103" s="2" t="n">
        <x:v>436</x:v>
      </x:c>
      <x:c r="L103" s="2" t="n">
        <x:v>919</x:v>
      </x:c>
    </x:row>
    <x:row r="104" ht="24" customHeight="1">
      <x:c r="A104" s="2" t="n">
        <x:v>103</x:v>
      </x:c>
      <x:c r="B104" s="2" t="n">
        <x:v>2</x:v>
      </x:c>
      <x:c r="C104" s="12" t="n">
        <x:v>119468</x:v>
      </x:c>
      <x:c r="D104" s="12" t="n">
        <x:v>76405.9999999851</x:v>
      </x:c>
      <x:c r="E104" s="12" t="n">
        <x:v>42849.666666671634</x:v>
      </x:c>
      <x:c r="F104" s="12" t="n">
        <x:v>33855</x:v>
      </x:c>
      <x:c r="G104" s="12" t="n">
        <x:v>38343</x:v>
      </x:c>
      <x:c r="H104" s="12" t="n">
        <x:v>43062.0000000149</x:v>
      </x:c>
      <x:c r="I104" s="12" t="n">
        <x:v>4102.000000014901</x:v>
      </x:c>
      <x:c r="J104" s="12" t="n">
        <x:v>105.99999997019768</x:v>
      </x:c>
      <x:c r="K104" s="2" t="n">
        <x:v>436</x:v>
      </x:c>
      <x:c r="L104" s="2" t="n">
        <x:v>923</x:v>
      </x:c>
    </x:row>
    <x:row r="105" ht="24" customHeight="1">
      <x:c r="A105" s="2" t="n">
        <x:v>104</x:v>
      </x:c>
      <x:c r="B105" s="2" t="n">
        <x:v>2</x:v>
      </x:c>
      <x:c r="C105" s="12" t="n">
        <x:v>119474</x:v>
      </x:c>
      <x:c r="D105" s="12" t="n">
        <x:v>65442</x:v>
      </x:c>
      <x:c r="E105" s="12" t="n">
        <x:v>53817.666666671634</x:v>
      </x:c>
      <x:c r="F105" s="12" t="n">
        <x:v>34997</x:v>
      </x:c>
      <x:c r="G105" s="12" t="n">
        <x:v>26237</x:v>
      </x:c>
      <x:c r="H105" s="12" t="n">
        <x:v>54032</x:v>
      </x:c>
      <x:c r="I105" s="12" t="n">
        <x:v>4101.999999985099</x:v>
      </x:c>
      <x:c r="J105" s="12" t="n">
        <x:v>106.00000001490116</x:v>
      </x:c>
      <x:c r="K105" s="2" t="n">
        <x:v>436</x:v>
      </x:c>
      <x:c r="L105" s="2" t="n">
        <x:v>927</x:v>
      </x:c>
    </x:row>
    <x:row r="106" ht="24" customHeight="1">
      <x:c r="A106" s="2" t="n">
        <x:v>105</x:v>
      </x:c>
      <x:c r="B106" s="2" t="n">
        <x:v>2</x:v>
      </x:c>
      <x:c r="C106" s="12" t="n">
        <x:v>119471</x:v>
      </x:c>
      <x:c r="D106" s="12" t="n">
        <x:v>83224</x:v>
      </x:c>
      <x:c r="E106" s="12" t="n">
        <x:v>36033.666666671634</x:v>
      </x:c>
      <x:c r="F106" s="12" t="n">
        <x:v>40104.9999999851</x:v>
      </x:c>
      <x:c r="G106" s="12" t="n">
        <x:v>38911</x:v>
      </x:c>
      <x:c r="H106" s="12" t="n">
        <x:v>36247</x:v>
      </x:c>
      <x:c r="I106" s="12" t="n">
        <x:v>4102</x:v>
      </x:c>
      <x:c r="J106" s="12" t="n">
        <x:v>106.00000001490116</x:v>
      </x:c>
      <x:c r="K106" s="2" t="n">
        <x:v>436</x:v>
      </x:c>
      <x:c r="L106" s="2" t="n">
        <x:v>931</x:v>
      </x:c>
    </x:row>
    <x:row r="107" ht="24" customHeight="1">
      <x:c r="A107" s="2" t="n">
        <x:v>106</x:v>
      </x:c>
      <x:c r="B107" s="2" t="n">
        <x:v>2</x:v>
      </x:c>
      <x:c r="C107" s="12" t="n">
        <x:v>119472</x:v>
      </x:c>
      <x:c r="D107" s="12" t="n">
        <x:v>68755</x:v>
      </x:c>
      <x:c r="E107" s="12" t="n">
        <x:v>50503.666666671634</x:v>
      </x:c>
      <x:c r="F107" s="12" t="n">
        <x:v>37786.9999999851</x:v>
      </x:c>
      <x:c r="G107" s="12" t="n">
        <x:v>26760</x:v>
      </x:c>
      <x:c r="H107" s="12" t="n">
        <x:v>50717</x:v>
      </x:c>
      <x:c r="I107" s="12" t="n">
        <x:v>4102</x:v>
      </x:c>
      <x:c r="J107" s="12" t="n">
        <x:v>106.00000001490116</x:v>
      </x:c>
      <x:c r="K107" s="2" t="n">
        <x:v>436</x:v>
      </x:c>
      <x:c r="L107" s="2" t="n">
        <x:v>935</x:v>
      </x:c>
    </x:row>
    <x:row r="108" ht="24" customHeight="1">
      <x:c r="A108" s="2" t="n">
        <x:v>107</x:v>
      </x:c>
      <x:c r="B108" s="2" t="n">
        <x:v>2</x:v>
      </x:c>
      <x:c r="C108" s="12" t="n">
        <x:v>119475</x:v>
      </x:c>
      <x:c r="D108" s="12" t="n">
        <x:v>87192.9999999851</x:v>
      </x:c>
      <x:c r="E108" s="12" t="n">
        <x:v>32065.666666671634</x:v>
      </x:c>
      <x:c r="F108" s="12" t="n">
        <x:v>43690.9999999851</x:v>
      </x:c>
      <x:c r="G108" s="12" t="n">
        <x:v>39294</x:v>
      </x:c>
      <x:c r="H108" s="12" t="n">
        <x:v>32282.0000000149</x:v>
      </x:c>
      <x:c r="I108" s="12" t="n">
        <x:v>4102</x:v>
      </x:c>
      <x:c r="J108" s="12" t="n">
        <x:v>106</x:v>
      </x:c>
      <x:c r="K108" s="2" t="n">
        <x:v>436</x:v>
      </x:c>
      <x:c r="L108" s="2" t="n">
        <x:v>939</x:v>
      </x:c>
    </x:row>
    <x:row r="109" ht="24" customHeight="1">
      <x:c r="A109" s="2" t="n">
        <x:v>108</x:v>
      </x:c>
      <x:c r="B109" s="2" t="n">
        <x:v>2</x:v>
      </x:c>
      <x:c r="C109" s="12" t="n">
        <x:v>119467.9999999851</x:v>
      </x:c>
      <x:c r="D109" s="12" t="n">
        <x:v>75575.9999999851</x:v>
      </x:c>
      <x:c r="E109" s="12" t="n">
        <x:v>43679.666666671634</x:v>
      </x:c>
      <x:c r="F109" s="12" t="n">
        <x:v>45119</x:v>
      </x:c>
      <x:c r="G109" s="12" t="n">
        <x:v>26249</x:v>
      </x:c>
      <x:c r="H109" s="12" t="n">
        <x:v>43892</x:v>
      </x:c>
      <x:c r="I109" s="12" t="n">
        <x:v>4102</x:v>
      </x:c>
      <x:c r="J109" s="12" t="n">
        <x:v>105.99999998509884</x:v>
      </x:c>
      <x:c r="K109" s="2" t="n">
        <x:v>436</x:v>
      </x:c>
      <x:c r="L109" s="2" t="n">
        <x:v>943</x:v>
      </x:c>
    </x:row>
    <x:row r="110" ht="24" customHeight="1">
      <x:c r="A110" s="2" t="n">
        <x:v>109</x:v>
      </x:c>
      <x:c r="B110" s="2" t="n">
        <x:v>2</x:v>
      </x:c>
      <x:c r="C110" s="12" t="n">
        <x:v>119476.0000000149</x:v>
      </x:c>
      <x:c r="D110" s="12" t="n">
        <x:v>89969.0000000298</x:v>
      </x:c>
      <x:c r="E110" s="12" t="n">
        <x:v>29290.666666671634</x:v>
      </x:c>
      <x:c r="F110" s="12" t="n">
        <x:v>46467</x:v>
      </x:c>
      <x:c r="G110" s="12" t="n">
        <x:v>39294</x:v>
      </x:c>
      <x:c r="H110" s="12" t="n">
        <x:v>29506.9999999851</x:v>
      </x:c>
      <x:c r="I110" s="12" t="n">
        <x:v>4102</x:v>
      </x:c>
      <x:c r="J110" s="12" t="n">
        <x:v>106.00000002980232</x:v>
      </x:c>
      <x:c r="K110" s="2" t="n">
        <x:v>436</x:v>
      </x:c>
      <x:c r="L110" s="2" t="n">
        <x:v>947</x:v>
      </x:c>
    </x:row>
    <x:row r="111" ht="24" customHeight="1">
      <x:c r="A111" s="2" t="n">
        <x:v>110</x:v>
      </x:c>
      <x:c r="B111" s="2" t="n">
        <x:v>2</x:v>
      </x:c>
      <x:c r="C111" s="12" t="n">
        <x:v>119472</x:v>
      </x:c>
      <x:c r="D111" s="12" t="n">
        <x:v>76630</x:v>
      </x:c>
      <x:c r="E111" s="12" t="n">
        <x:v>42625.666666671634</x:v>
      </x:c>
      <x:c r="F111" s="12" t="n">
        <x:v>46173</x:v>
      </x:c>
      <x:c r="G111" s="12" t="n">
        <x:v>26248.9999999851</x:v>
      </x:c>
      <x:c r="H111" s="12" t="n">
        <x:v>42842</x:v>
      </x:c>
      <x:c r="I111" s="12" t="n">
        <x:v>4102.000000014901</x:v>
      </x:c>
      <x:c r="J111" s="12" t="n">
        <x:v>106</x:v>
      </x:c>
      <x:c r="K111" s="2" t="n">
        <x:v>436</x:v>
      </x:c>
      <x:c r="L111" s="2" t="n">
        <x:v>951</x:v>
      </x:c>
    </x:row>
    <x:row r="112" ht="24" customHeight="1">
      <x:c r="A112" s="2" t="n">
        <x:v>111</x:v>
      </x:c>
      <x:c r="B112" s="2" t="n">
        <x:v>2</x:v>
      </x:c>
      <x:c r="C112" s="12" t="n">
        <x:v>119469</x:v>
      </x:c>
      <x:c r="D112" s="12" t="n">
        <x:v>87397</x:v>
      </x:c>
      <x:c r="E112" s="12" t="n">
        <x:v>31858.666666671634</x:v>
      </x:c>
      <x:c r="F112" s="12" t="n">
        <x:v>43895</x:v>
      </x:c>
      <x:c r="G112" s="12" t="n">
        <x:v>39294</x:v>
      </x:c>
      <x:c r="H112" s="12" t="n">
        <x:v>32072</x:v>
      </x:c>
      <x:c r="I112" s="12" t="n">
        <x:v>4101.999999985099</x:v>
      </x:c>
      <x:c r="J112" s="12" t="n">
        <x:v>106.00000001490116</x:v>
      </x:c>
      <x:c r="K112" s="2" t="n">
        <x:v>436</x:v>
      </x:c>
      <x:c r="L112" s="2" t="n">
        <x:v>955</x:v>
      </x:c>
    </x:row>
    <x:row r="113" ht="24" customHeight="1">
      <x:c r="A113" s="2" t="n">
        <x:v>112</x:v>
      </x:c>
      <x:c r="B113" s="2" t="n">
        <x:v>2</x:v>
      </x:c>
      <x:c r="C113" s="12" t="n">
        <x:v>119474</x:v>
      </x:c>
      <x:c r="D113" s="12" t="n">
        <x:v>80377</x:v>
      </x:c>
      <x:c r="E113" s="12" t="n">
        <x:v>38881.666666671634</x:v>
      </x:c>
      <x:c r="F113" s="12" t="n">
        <x:v>49904.0000000149</x:v>
      </x:c>
      <x:c r="G113" s="12" t="n">
        <x:v>26265</x:v>
      </x:c>
      <x:c r="H113" s="12" t="n">
        <x:v>39097</x:v>
      </x:c>
      <x:c r="I113" s="12" t="n">
        <x:v>4102</x:v>
      </x:c>
      <x:c r="J113" s="12" t="n">
        <x:v>105.99999998509884</x:v>
      </x:c>
      <x:c r="K113" s="2" t="n">
        <x:v>436</x:v>
      </x:c>
      <x:c r="L113" s="2" t="n">
        <x:v>959</x:v>
      </x:c>
    </x:row>
    <x:row r="114" ht="24" customHeight="1">
      <x:c r="A114" s="2" t="n">
        <x:v>113</x:v>
      </x:c>
      <x:c r="B114" s="2" t="n">
        <x:v>2</x:v>
      </x:c>
      <x:c r="C114" s="12" t="n">
        <x:v>119470</x:v>
      </x:c>
      <x:c r="D114" s="12" t="n">
        <x:v>81218</x:v>
      </x:c>
      <x:c r="E114" s="12" t="n">
        <x:v>38038.666666671634</x:v>
      </x:c>
      <x:c r="F114" s="12" t="n">
        <x:v>37232</x:v>
      </x:c>
      <x:c r="G114" s="12" t="n">
        <x:v>39778</x:v>
      </x:c>
      <x:c r="H114" s="12" t="n">
        <x:v>38252</x:v>
      </x:c>
      <x:c r="I114" s="12" t="n">
        <x:v>4102</x:v>
      </x:c>
      <x:c r="J114" s="12" t="n">
        <x:v>106</x:v>
      </x:c>
      <x:c r="K114" s="2" t="n">
        <x:v>436</x:v>
      </x:c>
      <x:c r="L114" s="2" t="n">
        <x:v>963</x:v>
      </x:c>
    </x:row>
    <x:row r="115" ht="24" customHeight="1">
      <x:c r="A115" s="2" t="n">
        <x:v>114</x:v>
      </x:c>
      <x:c r="B115" s="2" t="n">
        <x:v>2</x:v>
      </x:c>
      <x:c r="C115" s="12" t="n">
        <x:v>119471</x:v>
      </x:c>
      <x:c r="D115" s="12" t="n">
        <x:v>67813.9999999851</x:v>
      </x:c>
      <x:c r="E115" s="12" t="n">
        <x:v>51444.666666671634</x:v>
      </x:c>
      <x:c r="F115" s="12" t="n">
        <x:v>36851.0000000149</x:v>
      </x:c>
      <x:c r="G115" s="12" t="n">
        <x:v>26755.0000000149</x:v>
      </x:c>
      <x:c r="H115" s="12" t="n">
        <x:v>51657.0000000149</x:v>
      </x:c>
      <x:c r="I115" s="12" t="n">
        <x:v>4102.000000014901</x:v>
      </x:c>
      <x:c r="J115" s="12" t="n">
        <x:v>105.99999994039536</x:v>
      </x:c>
      <x:c r="K115" s="2" t="n">
        <x:v>436</x:v>
      </x:c>
      <x:c r="L115" s="2" t="n">
        <x:v>967</x:v>
      </x:c>
    </x:row>
    <x:row r="116" ht="24" customHeight="1">
      <x:c r="A116" s="2" t="n">
        <x:v>115</x:v>
      </x:c>
      <x:c r="B116" s="2" t="n">
        <x:v>2</x:v>
      </x:c>
      <x:c r="C116" s="12" t="n">
        <x:v>119472</x:v>
      </x:c>
      <x:c r="D116" s="12" t="n">
        <x:v>78590</x:v>
      </x:c>
      <x:c r="E116" s="12" t="n">
        <x:v>40669.666666671634</x:v>
      </x:c>
      <x:c r="F116" s="12" t="n">
        <x:v>35122</x:v>
      </x:c>
      <x:c r="G116" s="12" t="n">
        <x:v>39260.0000000149</x:v>
      </x:c>
      <x:c r="H116" s="12" t="n">
        <x:v>40882</x:v>
      </x:c>
      <x:c r="I116" s="12" t="n">
        <x:v>4102</x:v>
      </x:c>
      <x:c r="J116" s="12" t="n">
        <x:v>105.99999998509884</x:v>
      </x:c>
      <x:c r="K116" s="2" t="n">
        <x:v>436</x:v>
      </x:c>
      <x:c r="L116" s="2" t="n">
        <x:v>971</x:v>
      </x:c>
    </x:row>
    <x:row r="117" ht="24" customHeight="1">
      <x:c r="A117" s="2" t="n">
        <x:v>116</x:v>
      </x:c>
      <x:c r="B117" s="2" t="n">
        <x:v>2</x:v>
      </x:c>
      <x:c r="C117" s="12" t="n">
        <x:v>121369</x:v>
      </x:c>
      <x:c r="D117" s="12" t="n">
        <x:v>77042</x:v>
      </x:c>
      <x:c r="E117" s="12" t="n">
        <x:v>44113.666666671634</x:v>
      </x:c>
      <x:c r="F117" s="12" t="n">
        <x:v>44684.9999999851</x:v>
      </x:c>
      <x:c r="G117" s="12" t="n">
        <x:v>26253</x:v>
      </x:c>
      <x:c r="H117" s="12" t="n">
        <x:v>44327</x:v>
      </x:c>
      <x:c r="I117" s="12" t="n">
        <x:v>5998.000000014901</x:v>
      </x:c>
      <x:c r="J117" s="12" t="n">
        <x:v>106</x:v>
      </x:c>
      <x:c r="K117" s="2" t="n">
        <x:v>436</x:v>
      </x:c>
      <x:c r="L117" s="2" t="n">
        <x:v>975</x:v>
      </x:c>
    </x:row>
    <x:row r="118" ht="24" customHeight="1">
      <x:c r="A118" s="2" t="n">
        <x:v>117</x:v>
      </x:c>
      <x:c r="B118" s="2" t="n">
        <x:v>2</x:v>
      </x:c>
      <x:c r="C118" s="12" t="n">
        <x:v>117576</x:v>
      </x:c>
      <x:c r="D118" s="12" t="n">
        <x:v>86814.0000000149</x:v>
      </x:c>
      <x:c r="E118" s="12" t="n">
        <x:v>30548.666666671634</x:v>
      </x:c>
      <x:c r="F118" s="12" t="n">
        <x:v>43346</x:v>
      </x:c>
      <x:c r="G118" s="12" t="n">
        <x:v>39260</x:v>
      </x:c>
      <x:c r="H118" s="12" t="n">
        <x:v>30761.9999999851</x:v>
      </x:c>
      <x:c r="I118" s="12" t="n">
        <x:v>4102</x:v>
      </x:c>
      <x:c r="J118" s="12" t="n">
        <x:v>106.00000001490116</x:v>
      </x:c>
      <x:c r="K118" s="2" t="n">
        <x:v>436</x:v>
      </x:c>
      <x:c r="L118" s="2" t="n">
        <x:v>979</x:v>
      </x:c>
    </x:row>
    <x:row r="119" ht="24" customHeight="1">
      <x:c r="A119" s="2" t="n">
        <x:v>118</x:v>
      </x:c>
      <x:c r="B119" s="2" t="n">
        <x:v>2</x:v>
      </x:c>
      <x:c r="C119" s="12" t="n">
        <x:v>121368</x:v>
      </x:c>
      <x:c r="D119" s="12" t="n">
        <x:v>81531</x:v>
      </x:c>
      <x:c r="E119" s="12" t="n">
        <x:v>39623.666666671634</x:v>
      </x:c>
      <x:c r="F119" s="12" t="n">
        <x:v>49174</x:v>
      </x:c>
      <x:c r="G119" s="12" t="n">
        <x:v>26252.9999999851</x:v>
      </x:c>
      <x:c r="H119" s="12" t="n">
        <x:v>39837</x:v>
      </x:c>
      <x:c r="I119" s="12" t="n">
        <x:v>5998.000000014901</x:v>
      </x:c>
      <x:c r="J119" s="12" t="n">
        <x:v>106</x:v>
      </x:c>
      <x:c r="K119" s="2" t="n">
        <x:v>436</x:v>
      </x:c>
      <x:c r="L119" s="2" t="n">
        <x:v>983</x:v>
      </x:c>
    </x:row>
    <x:row r="120" ht="24" customHeight="1">
      <x:c r="A120" s="2" t="n">
        <x:v>119</x:v>
      </x:c>
      <x:c r="B120" s="2" t="n">
        <x:v>2</x:v>
      </x:c>
      <x:c r="C120" s="12" t="n">
        <x:v>117576</x:v>
      </x:c>
      <x:c r="D120" s="12" t="n">
        <x:v>91099</x:v>
      </x:c>
      <x:c r="E120" s="12" t="n">
        <x:v>26263.666666671634</x:v>
      </x:c>
      <x:c r="F120" s="12" t="n">
        <x:v>46783.9999999851</x:v>
      </x:c>
      <x:c r="G120" s="12" t="n">
        <x:v>40107</x:v>
      </x:c>
      <x:c r="H120" s="12" t="n">
        <x:v>26477</x:v>
      </x:c>
      <x:c r="I120" s="12" t="n">
        <x:v>4102</x:v>
      </x:c>
      <x:c r="J120" s="12" t="n">
        <x:v>106.00000001490116</x:v>
      </x:c>
      <x:c r="K120" s="2" t="n">
        <x:v>436</x:v>
      </x:c>
      <x:c r="L120" s="2" t="n">
        <x:v>987</x:v>
      </x:c>
    </x:row>
    <x:row r="121" ht="24" customHeight="1">
      <x:c r="A121" s="2" t="n">
        <x:v>120</x:v>
      </x:c>
      <x:c r="B121" s="2" t="n">
        <x:v>2</x:v>
      </x:c>
      <x:c r="C121" s="12" t="n">
        <x:v>119473.9999999851</x:v>
      </x:c>
      <x:c r="D121" s="12" t="n">
        <x:v>85261.9999999851</x:v>
      </x:c>
      <x:c r="E121" s="12" t="n">
        <x:v>33996.666666671634</x:v>
      </x:c>
      <x:c r="F121" s="12" t="n">
        <x:v>41528</x:v>
      </x:c>
      <x:c r="G121" s="12" t="n">
        <x:v>39526.0000000149</x:v>
      </x:c>
      <x:c r="H121" s="12" t="n">
        <x:v>34212</x:v>
      </x:c>
      <x:c r="I121" s="12" t="n">
        <x:v>4102</x:v>
      </x:c>
      <x:c r="J121" s="12" t="n">
        <x:v>105.99999997019768</x:v>
      </x:c>
      <x:c r="K121" s="2" t="n">
        <x:v>432</x:v>
      </x:c>
      <x:c r="L121" s="2" t="n">
        <x:v>988</x:v>
      </x:c>
    </x:row>
    <x:row r="122" ht="24" customHeight="1">
      <x:c r="A122" s="2" t="n">
        <x:v>121</x:v>
      </x:c>
      <x:c r="B122" s="2" t="n">
        <x:v>2</x:v>
      </x:c>
      <x:c r="C122" s="12" t="n">
        <x:v>117919.0000000149</x:v>
      </x:c>
      <x:c r="D122" s="12" t="n">
        <x:v>107617.0000000149</x:v>
      </x:c>
      <x:c r="E122" s="12" t="n">
        <x:v>10087.666666671634</x:v>
      </x:c>
      <x:c r="F122" s="12" t="n">
        <x:v>40515</x:v>
      </x:c>
      <x:c r="G122" s="12" t="n">
        <x:v>64446.0000000149</x:v>
      </x:c>
      <x:c r="H122" s="12" t="n">
        <x:v>10302</x:v>
      </x:c>
      <x:c r="I122" s="12" t="n">
        <x:v>2550</x:v>
      </x:c>
      <x:c r="J122" s="12" t="n">
        <x:v>106</x:v>
      </x:c>
      <x:c r="K122" s="2" t="n">
        <x:v>428</x:v>
      </x:c>
      <x:c r="L122" s="2" t="n">
        <x:v>988</x:v>
      </x:c>
    </x:row>
    <x:row r="123" ht="24" customHeight="1">
      <x:c r="A123" s="2" t="n">
        <x:v>122</x:v>
      </x:c>
      <x:c r="B123" s="2" t="n">
        <x:v>2</x:v>
      </x:c>
      <x:c r="C123" s="12" t="n">
        <x:v>121025.9999999851</x:v>
      </x:c>
      <x:c r="D123" s="12" t="n">
        <x:v>88588.9999999851</x:v>
      </x:c>
      <x:c r="E123" s="12" t="n">
        <x:v>32220.666666671634</x:v>
      </x:c>
      <x:c r="F123" s="12" t="n">
        <x:v>41288</x:v>
      </x:c>
      <x:c r="G123" s="12" t="n">
        <x:v>43093</x:v>
      </x:c>
      <x:c r="H123" s="12" t="n">
        <x:v>32437</x:v>
      </x:c>
      <x:c r="I123" s="12" t="n">
        <x:v>4102</x:v>
      </x:c>
      <x:c r="J123" s="12" t="n">
        <x:v>105.99999998509884</x:v>
      </x:c>
      <x:c r="K123" s="2" t="n">
        <x:v>424</x:v>
      </x:c>
      <x:c r="L123" s="2" t="n">
        <x:v>989</x:v>
      </x:c>
    </x:row>
    <x:row r="124" ht="24" customHeight="1">
      <x:c r="A124" s="2" t="n">
        <x:v>123</x:v>
      </x:c>
      <x:c r="B124" s="2" t="n">
        <x:v>2</x:v>
      </x:c>
      <x:c r="C124" s="12" t="n">
        <x:v>117918</x:v>
      </x:c>
      <x:c r="D124" s="12" t="n">
        <x:v>104336</x:v>
      </x:c>
      <x:c r="E124" s="12" t="n">
        <x:v>13367.666666671634</x:v>
      </x:c>
      <x:c r="F124" s="12" t="n">
        <x:v>36164</x:v>
      </x:c>
      <x:c r="G124" s="12" t="n">
        <x:v>65516</x:v>
      </x:c>
      <x:c r="H124" s="12" t="n">
        <x:v>13582</x:v>
      </x:c>
      <x:c r="I124" s="12" t="n">
        <x:v>2550</x:v>
      </x:c>
      <x:c r="J124" s="12" t="n">
        <x:v>106</x:v>
      </x:c>
      <x:c r="K124" s="2" t="n">
        <x:v>420</x:v>
      </x:c>
      <x:c r="L124" s="2" t="n">
        <x:v>989</x:v>
      </x:c>
    </x:row>
    <x:row r="125" ht="24" customHeight="1">
      <x:c r="A125" s="2" t="n">
        <x:v>124</x:v>
      </x:c>
      <x:c r="B125" s="2" t="n">
        <x:v>2</x:v>
      </x:c>
      <x:c r="C125" s="12" t="n">
        <x:v>121025.0000000149</x:v>
      </x:c>
      <x:c r="D125" s="12" t="n">
        <x:v>88633.0000000149</x:v>
      </x:c>
      <x:c r="E125" s="12" t="n">
        <x:v>32176.666666671634</x:v>
      </x:c>
      <x:c r="F125" s="12" t="n">
        <x:v>40642</x:v>
      </x:c>
      <x:c r="G125" s="12" t="n">
        <x:v>43783</x:v>
      </x:c>
      <x:c r="H125" s="12" t="n">
        <x:v>32392</x:v>
      </x:c>
      <x:c r="I125" s="12" t="n">
        <x:v>4102.000000014901</x:v>
      </x:c>
      <x:c r="J125" s="12" t="n">
        <x:v>106</x:v>
      </x:c>
      <x:c r="K125" s="2" t="n">
        <x:v>416</x:v>
      </x:c>
      <x:c r="L125" s="2" t="n">
        <x:v>990</x:v>
      </x:c>
    </x:row>
    <x:row r="126" ht="24" customHeight="1">
      <x:c r="A126" s="2" t="n">
        <x:v>125</x:v>
      </x:c>
      <x:c r="B126" s="2" t="n">
        <x:v>2</x:v>
      </x:c>
      <x:c r="C126" s="12" t="n">
        <x:v>122293</x:v>
      </x:c>
      <x:c r="D126" s="12" t="n">
        <x:v>121186.0000000149</x:v>
      </x:c>
      <x:c r="E126" s="12" t="n">
        <x:v>891.6666666716337</x:v>
      </x:c>
      <x:c r="F126" s="12" t="n">
        <x:v>45278</x:v>
      </x:c>
      <x:c r="G126" s="12" t="n">
        <x:v>68879</x:v>
      </x:c>
      <x:c r="H126" s="12" t="n">
        <x:v>1106.9999999850988</x:v>
      </x:c>
      <x:c r="I126" s="12" t="n">
        <x:v>6922.999999985099</x:v>
      </x:c>
      <x:c r="J126" s="12" t="n">
        <x:v>106.00000002980232</x:v>
      </x:c>
      <x:c r="K126" s="2" t="n">
        <x:v>412</x:v>
      </x:c>
      <x:c r="L126" s="2" t="n">
        <x:v>990</x:v>
      </x:c>
    </x:row>
    <x:row r="127" ht="24" customHeight="1">
      <x:c r="A127" s="2" t="n">
        <x:v>126</x:v>
      </x:c>
      <x:c r="B127" s="2" t="n">
        <x:v>2</x:v>
      </x:c>
      <x:c r="C127" s="12" t="n">
        <x:v>115099</x:v>
      </x:c>
      <x:c r="D127" s="12" t="n">
        <x:v>70801.9999999851</x:v>
      </x:c>
      <x:c r="E127" s="12" t="n">
        <x:v>44081.666666671634</x:v>
      </x:c>
      <x:c r="F127" s="12" t="n">
        <x:v>39153</x:v>
      </x:c>
      <x:c r="G127" s="12" t="n">
        <x:v>28993</x:v>
      </x:c>
      <x:c r="H127" s="12" t="n">
        <x:v>44297.0000000149</x:v>
      </x:c>
      <x:c r="I127" s="12" t="n">
        <x:v>2549.999999985099</x:v>
      </x:c>
      <x:c r="J127" s="12" t="n">
        <x:v>106</x:v>
      </x:c>
      <x:c r="K127" s="2" t="n">
        <x:v>408</x:v>
      </x:c>
      <x:c r="L127" s="2" t="n">
        <x:v>990</x:v>
      </x:c>
    </x:row>
    <x:row r="128" ht="24" customHeight="1">
      <x:c r="A128" s="2" t="n">
        <x:v>237</x:v>
      </x:c>
      <x:c r="B128" s="2" t="n">
        <x:v>3</x:v>
      </x:c>
      <x:c r="C128" s="12" t="n">
        <x:v>176386.0000000149</x:v>
      </x:c>
      <x:c r="D128" s="12" t="n">
        <x:v>161229.0000000149</x:v>
      </x:c>
      <x:c r="E128" s="12" t="n">
        <x:v>-44793.333333328366</x:v>
      </x:c>
      <x:c r="F128" s="12" t="n">
        <x:v>57738.9999999851</x:v>
      </x:c>
      <x:c r="G128" s="12" t="n">
        <x:v>99281.9999999851</x:v>
      </x:c>
      <x:c r="H128" s="12" t="n">
        <x:v>15157</x:v>
      </x:c>
      <x:c r="I128" s="12" t="n">
        <x:v>4101.999999985099</x:v>
      </x:c>
      <x:c r="J128" s="12" t="n">
        <x:v>106.00000005960464</x:v>
      </x:c>
      <x:c r="K128" s="2" t="n">
        <x:v>291</x:v>
      </x:c>
      <x:c r="L128" s="2" t="n">
        <x:v>1123</x:v>
      </x:c>
    </x:row>
    <x:row r="129" ht="24" customHeight="1">
      <x:c r="A129" s="2" t="n">
        <x:v>238</x:v>
      </x:c>
      <x:c r="B129" s="2" t="n">
        <x:v>2</x:v>
      </x:c>
      <x:c r="C129" s="12" t="n">
        <x:v>119471.9999999851</x:v>
      </x:c>
      <x:c r="D129" s="12" t="n">
        <x:v>115584.9999999851</x:v>
      </x:c>
      <x:c r="E129" s="12" t="n">
        <x:v>3672.6666666716337</x:v>
      </x:c>
      <x:c r="F129" s="12" t="n">
        <x:v>39978.0000000149</x:v>
      </x:c>
      <x:c r="G129" s="12" t="n">
        <x:v>71399</x:v>
      </x:c>
      <x:c r="H129" s="12" t="n">
        <x:v>3887</x:v>
      </x:c>
      <x:c r="I129" s="12" t="n">
        <x:v>4102</x:v>
      </x:c>
      <x:c r="J129" s="12" t="n">
        <x:v>105.99999997019768</x:v>
      </x:c>
      <x:c r="K129" s="2" t="n">
        <x:v>291</x:v>
      </x:c>
      <x:c r="L129" s="2" t="n">
        <x:v>1119</x:v>
      </x:c>
    </x:row>
    <x:row r="130" ht="24" customHeight="1">
      <x:c r="A130" s="2" t="n">
        <x:v>239</x:v>
      </x:c>
      <x:c r="B130" s="2" t="n">
        <x:v>2</x:v>
      </x:c>
      <x:c r="C130" s="12" t="n">
        <x:v>122295.0000000149</x:v>
      </x:c>
      <x:c r="D130" s="12" t="n">
        <x:v>105763.0000000149</x:v>
      </x:c>
      <x:c r="E130" s="12" t="n">
        <x:v>16315.666666671634</x:v>
      </x:c>
      <x:c r="F130" s="12" t="n">
        <x:v>39839</x:v>
      </x:c>
      <x:c r="G130" s="12" t="n">
        <x:v>58895</x:v>
      </x:c>
      <x:c r="H130" s="12" t="n">
        <x:v>16532</x:v>
      </x:c>
      <x:c r="I130" s="12" t="n">
        <x:v>6923.000000014901</x:v>
      </x:c>
      <x:c r="J130" s="12" t="n">
        <x:v>106</x:v>
      </x:c>
      <x:c r="K130" s="2" t="n">
        <x:v>290</x:v>
      </x:c>
      <x:c r="L130" s="2" t="n">
        <x:v>1115</x:v>
      </x:c>
    </x:row>
    <x:row r="131" ht="24" customHeight="1">
      <x:c r="A131" s="2" t="n">
        <x:v>240</x:v>
      </x:c>
      <x:c r="B131" s="2" t="n">
        <x:v>2</x:v>
      </x:c>
      <x:c r="C131" s="12" t="n">
        <x:v>116648</x:v>
      </x:c>
      <x:c r="D131" s="12" t="n">
        <x:v>110941</x:v>
      </x:c>
      <x:c r="E131" s="12" t="n">
        <x:v>5493.666666671634</x:v>
      </x:c>
      <x:c r="F131" s="12" t="n">
        <x:v>36516</x:v>
      </x:c>
      <x:c r="G131" s="12" t="n">
        <x:v>70217.0000000149</x:v>
      </x:c>
      <x:c r="H131" s="12" t="n">
        <x:v>5707</x:v>
      </x:c>
      <x:c r="I131" s="12" t="n">
        <x:v>4101.999999985099</x:v>
      </x:c>
      <x:c r="J131" s="12" t="n">
        <x:v>106</x:v>
      </x:c>
      <x:c r="K131" s="2" t="n">
        <x:v>290</x:v>
      </x:c>
      <x:c r="L131" s="2" t="n">
        <x:v>1111</x:v>
      </x:c>
    </x:row>
    <x:row r="132" ht="24" customHeight="1">
      <x:c r="A132" s="2" t="n">
        <x:v>241</x:v>
      </x:c>
      <x:c r="B132" s="2" t="n">
        <x:v>2</x:v>
      </x:c>
      <x:c r="C132" s="12" t="n">
        <x:v>119471.9999999851</x:v>
      </x:c>
      <x:c r="D132" s="12" t="n">
        <x:v>101804.9999999851</x:v>
      </x:c>
      <x:c r="E132" s="12" t="n">
        <x:v>17453.666666671634</x:v>
      </x:c>
      <x:c r="F132" s="12" t="n">
        <x:v>37967</x:v>
      </x:c>
      <x:c r="G132" s="12" t="n">
        <x:v>59630.0000000149</x:v>
      </x:c>
      <x:c r="H132" s="12" t="n">
        <x:v>17667</x:v>
      </x:c>
      <x:c r="I132" s="12" t="n">
        <x:v>4102</x:v>
      </x:c>
      <x:c r="J132" s="12" t="n">
        <x:v>105.99999997019768</x:v>
      </x:c>
      <x:c r="K132" s="2" t="n">
        <x:v>289</x:v>
      </x:c>
      <x:c r="L132" s="2" t="n">
        <x:v>1107</x:v>
      </x:c>
    </x:row>
    <x:row r="133" ht="24" customHeight="1">
      <x:c r="A133" s="2" t="n">
        <x:v>242</x:v>
      </x:c>
      <x:c r="B133" s="2" t="n">
        <x:v>2</x:v>
      </x:c>
      <x:c r="C133" s="12" t="n">
        <x:v>119471.0000000149</x:v>
      </x:c>
      <x:c r="D133" s="12" t="n">
        <x:v>112294.0000000149</x:v>
      </x:c>
      <x:c r="E133" s="12" t="n">
        <x:v>6964.666666671634</x:v>
      </x:c>
      <x:c r="F133" s="12" t="n">
        <x:v>36652</x:v>
      </x:c>
      <x:c r="G133" s="12" t="n">
        <x:v>71434</x:v>
      </x:c>
      <x:c r="H133" s="12" t="n">
        <x:v>7177</x:v>
      </x:c>
      <x:c r="I133" s="12" t="n">
        <x:v>4102</x:v>
      </x:c>
      <x:c r="J133" s="12" t="n">
        <x:v>106.00000001490116</x:v>
      </x:c>
      <x:c r="K133" s="2" t="n">
        <x:v>289</x:v>
      </x:c>
      <x:c r="L133" s="2" t="n">
        <x:v>1103</x:v>
      </x:c>
    </x:row>
    <x:row r="134" ht="24" customHeight="1">
      <x:c r="A134" s="2" t="n">
        <x:v>243</x:v>
      </x:c>
      <x:c r="B134" s="2" t="n">
        <x:v>2</x:v>
      </x:c>
      <x:c r="C134" s="12" t="n">
        <x:v>119475</x:v>
      </x:c>
      <x:c r="D134" s="12" t="n">
        <x:v>72228</x:v>
      </x:c>
      <x:c r="E134" s="12" t="n">
        <x:v>47031.666666671634</x:v>
      </x:c>
      <x:c r="F134" s="12" t="n">
        <x:v>38420</x:v>
      </x:c>
      <x:c r="G134" s="12" t="n">
        <x:v>29600</x:v>
      </x:c>
      <x:c r="H134" s="12" t="n">
        <x:v>47247</x:v>
      </x:c>
      <x:c r="I134" s="12" t="n">
        <x:v>4102</x:v>
      </x:c>
      <x:c r="J134" s="12" t="n">
        <x:v>106</x:v>
      </x:c>
      <x:c r="K134" s="2" t="n">
        <x:v>289</x:v>
      </x:c>
      <x:c r="L134" s="2" t="n">
        <x:v>1099</x:v>
      </x:c>
    </x:row>
    <x:row r="135" ht="24" customHeight="1">
      <x:c r="A135" s="2" t="n">
        <x:v>244</x:v>
      </x:c>
      <x:c r="B135" s="2" t="n">
        <x:v>2</x:v>
      </x:c>
      <x:c r="C135" s="12" t="n">
        <x:v>119472.9999999851</x:v>
      </x:c>
      <x:c r="D135" s="12" t="n">
        <x:v>78705.9999999702</x:v>
      </x:c>
      <x:c r="E135" s="12" t="n">
        <x:v>40550.666666671634</x:v>
      </x:c>
      <x:c r="F135" s="12" t="n">
        <x:v>33486</x:v>
      </x:c>
      <x:c r="G135" s="12" t="n">
        <x:v>41012</x:v>
      </x:c>
      <x:c r="H135" s="12" t="n">
        <x:v>40767.0000000149</x:v>
      </x:c>
      <x:c r="I135" s="12" t="n">
        <x:v>4102</x:v>
      </x:c>
      <x:c r="J135" s="12" t="n">
        <x:v>105.99999997019768</x:v>
      </x:c>
      <x:c r="K135" s="2" t="n">
        <x:v>289</x:v>
      </x:c>
      <x:c r="L135" s="2" t="n">
        <x:v>1095</x:v>
      </x:c>
    </x:row>
    <x:row r="136" ht="24" customHeight="1">
      <x:c r="A136" s="2" t="n">
        <x:v>245</x:v>
      </x:c>
      <x:c r="B136" s="2" t="n">
        <x:v>2</x:v>
      </x:c>
      <x:c r="C136" s="12" t="n">
        <x:v>119472.0000000149</x:v>
      </x:c>
      <x:c r="D136" s="12" t="n">
        <x:v>68640.0000000149</x:v>
      </x:c>
      <x:c r="E136" s="12" t="n">
        <x:v>50615.666666671634</x:v>
      </x:c>
      <x:c r="F136" s="12" t="n">
        <x:v>34832</x:v>
      </x:c>
      <x:c r="G136" s="12" t="n">
        <x:v>29600</x:v>
      </x:c>
      <x:c r="H136" s="12" t="n">
        <x:v>50832</x:v>
      </x:c>
      <x:c r="I136" s="12" t="n">
        <x:v>4102</x:v>
      </x:c>
      <x:c r="J136" s="12" t="n">
        <x:v>106.00000001490116</x:v>
      </x:c>
      <x:c r="K136" s="2" t="n">
        <x:v>289</x:v>
      </x:c>
      <x:c r="L136" s="2" t="n">
        <x:v>1091</x:v>
      </x:c>
    </x:row>
    <x:row r="137" ht="24" customHeight="1">
      <x:c r="A137" s="2" t="n">
        <x:v>246</x:v>
      </x:c>
      <x:c r="B137" s="2" t="n">
        <x:v>2</x:v>
      </x:c>
      <x:c r="C137" s="12" t="n">
        <x:v>119472</x:v>
      </x:c>
      <x:c r="D137" s="12" t="n">
        <x:v>81815</x:v>
      </x:c>
      <x:c r="E137" s="12" t="n">
        <x:v>37440.666666671634</x:v>
      </x:c>
      <x:c r="F137" s="12" t="n">
        <x:v>36569</x:v>
      </x:c>
      <x:c r="G137" s="12" t="n">
        <x:v>41038</x:v>
      </x:c>
      <x:c r="H137" s="12" t="n">
        <x:v>37657</x:v>
      </x:c>
      <x:c r="I137" s="12" t="n">
        <x:v>4102</x:v>
      </x:c>
      <x:c r="J137" s="12" t="n">
        <x:v>106</x:v>
      </x:c>
      <x:c r="K137" s="2" t="n">
        <x:v>289</x:v>
      </x:c>
      <x:c r="L137" s="2" t="n">
        <x:v>1087</x:v>
      </x:c>
    </x:row>
    <x:row r="138" ht="24" customHeight="1">
      <x:c r="A138" s="2" t="n">
        <x:v>247</x:v>
      </x:c>
      <x:c r="B138" s="2" t="n">
        <x:v>2</x:v>
      </x:c>
      <x:c r="C138" s="12" t="n">
        <x:v>119469</x:v>
      </x:c>
      <x:c r="D138" s="12" t="n">
        <x:v>73231.9999999851</x:v>
      </x:c>
      <x:c r="E138" s="12" t="n">
        <x:v>46023.666666671634</x:v>
      </x:c>
      <x:c r="F138" s="12" t="n">
        <x:v>39424</x:v>
      </x:c>
      <x:c r="G138" s="12" t="n">
        <x:v>29600.0000000149</x:v>
      </x:c>
      <x:c r="H138" s="12" t="n">
        <x:v>46237.0000000149</x:v>
      </x:c>
      <x:c r="I138" s="12" t="n">
        <x:v>4102.000000014901</x:v>
      </x:c>
      <x:c r="J138" s="12" t="n">
        <x:v>105.99999995529652</x:v>
      </x:c>
      <x:c r="K138" s="2" t="n">
        <x:v>289</x:v>
      </x:c>
      <x:c r="L138" s="2" t="n">
        <x:v>1083</x:v>
      </x:c>
    </x:row>
    <x:row r="139" ht="24" customHeight="1">
      <x:c r="A139" s="2" t="n">
        <x:v>248</x:v>
      </x:c>
      <x:c r="B139" s="2" t="n">
        <x:v>2</x:v>
      </x:c>
      <x:c r="C139" s="12" t="n">
        <x:v>119475</x:v>
      </x:c>
      <x:c r="D139" s="12" t="n">
        <x:v>109242.9999999851</x:v>
      </x:c>
      <x:c r="E139" s="12" t="n">
        <x:v>10015.666666671634</x:v>
      </x:c>
      <x:c r="F139" s="12" t="n">
        <x:v>63335</x:v>
      </x:c>
      <x:c r="G139" s="12" t="n">
        <x:v>41700</x:v>
      </x:c>
      <x:c r="H139" s="12" t="n">
        <x:v>10232.000000014901</x:v>
      </x:c>
      <x:c r="I139" s="12" t="n">
        <x:v>4102.000000014901</x:v>
      </x:c>
      <x:c r="J139" s="12" t="n">
        <x:v>105.99999997019768</x:v>
      </x:c>
      <x:c r="K139" s="2" t="n">
        <x:v>289</x:v>
      </x:c>
      <x:c r="L139" s="2" t="n">
        <x:v>1079</x:v>
      </x:c>
    </x:row>
    <x:row r="140" ht="24" customHeight="1">
      <x:c r="A140" s="2" t="n">
        <x:v>249</x:v>
      </x:c>
      <x:c r="B140" s="2" t="n">
        <x:v>2</x:v>
      </x:c>
      <x:c r="C140" s="12" t="n">
        <x:v>119470.9999999851</x:v>
      </x:c>
      <x:c r="D140" s="12" t="n">
        <x:v>99353.9999999702</x:v>
      </x:c>
      <x:c r="E140" s="12" t="n">
        <x:v>19901.666666671634</x:v>
      </x:c>
      <x:c r="F140" s="12" t="n">
        <x:v>63582</x:v>
      </x:c>
      <x:c r="G140" s="12" t="n">
        <x:v>31564</x:v>
      </x:c>
      <x:c r="H140" s="12" t="n">
        <x:v>20117.0000000149</x:v>
      </x:c>
      <x:c r="I140" s="12" t="n">
        <x:v>4102</x:v>
      </x:c>
      <x:c r="J140" s="12" t="n">
        <x:v>105.99999997019768</x:v>
      </x:c>
      <x:c r="K140" s="2" t="n">
        <x:v>289</x:v>
      </x:c>
      <x:c r="L140" s="2" t="n">
        <x:v>1075</x:v>
      </x:c>
    </x:row>
    <x:row r="141" ht="24" customHeight="1">
      <x:c r="A141" s="2" t="n">
        <x:v>250</x:v>
      </x:c>
      <x:c r="B141" s="2" t="n">
        <x:v>2</x:v>
      </x:c>
      <x:c r="C141" s="12" t="n">
        <x:v>119472.0000000149</x:v>
      </x:c>
      <x:c r="D141" s="12" t="n">
        <x:v>107280.0000000149</x:v>
      </x:c>
      <x:c r="E141" s="12" t="n">
        <x:v>11976.666666671634</x:v>
      </x:c>
      <x:c r="F141" s="12" t="n">
        <x:v>60846</x:v>
      </x:c>
      <x:c r="G141" s="12" t="n">
        <x:v>42226</x:v>
      </x:c>
      <x:c r="H141" s="12" t="n">
        <x:v>12192</x:v>
      </x:c>
      <x:c r="I141" s="12" t="n">
        <x:v>4101.999999985099</x:v>
      </x:c>
      <x:c r="J141" s="12" t="n">
        <x:v>106.00000002980232</x:v>
      </x:c>
      <x:c r="K141" s="2" t="n">
        <x:v>289</x:v>
      </x:c>
      <x:c r="L141" s="2" t="n">
        <x:v>1071</x:v>
      </x:c>
    </x:row>
    <x:row r="142" ht="24" customHeight="1">
      <x:c r="A142" s="2" t="n">
        <x:v>251</x:v>
      </x:c>
      <x:c r="B142" s="2" t="n">
        <x:v>2</x:v>
      </x:c>
      <x:c r="C142" s="12" t="n">
        <x:v>119473</x:v>
      </x:c>
      <x:c r="D142" s="12" t="n">
        <x:v>98760.9999999851</x:v>
      </x:c>
      <x:c r="E142" s="12" t="n">
        <x:v>20495.666666671634</x:v>
      </x:c>
      <x:c r="F142" s="12" t="n">
        <x:v>65142</x:v>
      </x:c>
      <x:c r="G142" s="12" t="n">
        <x:v>29411</x:v>
      </x:c>
      <x:c r="H142" s="12" t="n">
        <x:v>20712.0000000149</x:v>
      </x:c>
      <x:c r="I142" s="12" t="n">
        <x:v>4102</x:v>
      </x:c>
      <x:c r="J142" s="12" t="n">
        <x:v>105.99999998509884</x:v>
      </x:c>
      <x:c r="K142" s="2" t="n">
        <x:v>289</x:v>
      </x:c>
      <x:c r="L142" s="2" t="n">
        <x:v>1067</x:v>
      </x:c>
    </x:row>
    <x:row r="143" ht="24" customHeight="1">
      <x:c r="A143" s="2" t="n">
        <x:v>252</x:v>
      </x:c>
      <x:c r="B143" s="2" t="n">
        <x:v>2</x:v>
      </x:c>
      <x:c r="C143" s="12" t="n">
        <x:v>119471</x:v>
      </x:c>
      <x:c r="D143" s="12" t="n">
        <x:v>78989</x:v>
      </x:c>
      <x:c r="E143" s="12" t="n">
        <x:v>40266.666666671634</x:v>
      </x:c>
      <x:c r="F143" s="12" t="n">
        <x:v>32865</x:v>
      </x:c>
      <x:c r="G143" s="12" t="n">
        <x:v>41916</x:v>
      </x:c>
      <x:c r="H143" s="12" t="n">
        <x:v>40482</x:v>
      </x:c>
      <x:c r="I143" s="12" t="n">
        <x:v>4102</x:v>
      </x:c>
      <x:c r="J143" s="12" t="n">
        <x:v>106</x:v>
      </x:c>
      <x:c r="K143" s="2" t="n">
        <x:v>289</x:v>
      </x:c>
      <x:c r="L143" s="2" t="n">
        <x:v>1063</x:v>
      </x:c>
    </x:row>
    <x:row r="144" ht="24" customHeight="1">
      <x:c r="A144" s="2" t="n">
        <x:v>253</x:v>
      </x:c>
      <x:c r="B144" s="2" t="n">
        <x:v>3</x:v>
      </x:c>
      <x:c r="C144" s="12" t="n">
        <x:v>177657</x:v>
      </x:c>
      <x:c r="D144" s="12" t="n">
        <x:v>123139.9999999851</x:v>
      </x:c>
      <x:c r="E144" s="12" t="n">
        <x:v>-5435.333333328366</x:v>
      </x:c>
      <x:c r="F144" s="12" t="n">
        <x:v>35802</x:v>
      </x:c>
      <x:c r="G144" s="12" t="n">
        <x:v>84682</x:v>
      </x:c>
      <x:c r="H144" s="12" t="n">
        <x:v>54517.0000000149</x:v>
      </x:c>
      <x:c r="I144" s="12" t="n">
        <x:v>2550</x:v>
      </x:c>
      <x:c r="J144" s="12" t="n">
        <x:v>105.99999998509884</x:v>
      </x:c>
      <x:c r="K144" s="2" t="n">
        <x:v>285</x:v>
      </x:c>
      <x:c r="L144" s="2" t="n">
        <x:v>1063</x:v>
      </x:c>
    </x:row>
    <x:row r="145" ht="24" customHeight="1">
      <x:c r="A145" s="2" t="n">
        <x:v>254</x:v>
      </x:c>
      <x:c r="B145" s="2" t="n">
        <x:v>3</x:v>
      </x:c>
      <x:c r="C145" s="12" t="n">
        <x:v>180756</x:v>
      </x:c>
      <x:c r="D145" s="12" t="n">
        <x:v>140584</x:v>
      </x:c>
      <x:c r="E145" s="12" t="n">
        <x:v>-19776.333333328366</x:v>
      </x:c>
      <x:c r="F145" s="12" t="n">
        <x:v>48389.9999999851</x:v>
      </x:c>
      <x:c r="G145" s="12" t="n">
        <x:v>87986</x:v>
      </x:c>
      <x:c r="H145" s="12" t="n">
        <x:v>40172</x:v>
      </x:c>
      <x:c r="I145" s="12" t="n">
        <x:v>4102</x:v>
      </x:c>
      <x:c r="J145" s="12" t="n">
        <x:v>106.00000001490116</x:v>
      </x:c>
      <x:c r="K145" s="2" t="n">
        <x:v>277</x:v>
      </x:c>
      <x:c r="L145" s="2" t="n">
        <x:v>1062</x:v>
      </x:c>
    </x:row>
    <x:row r="146" ht="24" customHeight="1">
      <x:c r="A146" s="2" t="n">
        <x:v>255</x:v>
      </x:c>
      <x:c r="B146" s="2" t="n">
        <x:v>2</x:v>
      </x:c>
      <x:c r="C146" s="12" t="n">
        <x:v>119473</x:v>
      </x:c>
      <x:c r="D146" s="12" t="n">
        <x:v>108106</x:v>
      </x:c>
      <x:c r="E146" s="12" t="n">
        <x:v>11153.666666671634</x:v>
      </x:c>
      <x:c r="F146" s="12" t="n">
        <x:v>40296</x:v>
      </x:c>
      <x:c r="G146" s="12" t="n">
        <x:v>63602</x:v>
      </x:c>
      <x:c r="H146" s="12" t="n">
        <x:v>11367</x:v>
      </x:c>
      <x:c r="I146" s="12" t="n">
        <x:v>4102.000000014901</x:v>
      </x:c>
      <x:c r="J146" s="12" t="n">
        <x:v>105.99999998509884</x:v>
      </x:c>
      <x:c r="K146" s="2" t="n">
        <x:v>273</x:v>
      </x:c>
      <x:c r="L146" s="2" t="n">
        <x:v>1061</x:v>
      </x:c>
    </x:row>
    <x:row r="147" ht="24" customHeight="1">
      <x:c r="A147" s="2" t="n">
        <x:v>256</x:v>
      </x:c>
      <x:c r="B147" s="2" t="n">
        <x:v>2</x:v>
      </x:c>
      <x:c r="C147" s="12" t="n">
        <x:v>117923</x:v>
      </x:c>
      <x:c r="D147" s="12" t="n">
        <x:v>103231</x:v>
      </x:c>
      <x:c r="E147" s="12" t="n">
        <x:v>14475.666666671634</x:v>
      </x:c>
      <x:c r="F147" s="12" t="n">
        <x:v>33466</x:v>
      </x:c>
      <x:c r="G147" s="12" t="n">
        <x:v>67109</x:v>
      </x:c>
      <x:c r="H147" s="12" t="n">
        <x:v>14692</x:v>
      </x:c>
      <x:c r="I147" s="12" t="n">
        <x:v>2550.000000014901</x:v>
      </x:c>
      <x:c r="J147" s="12" t="n">
        <x:v>105.99999998509884</x:v>
      </x:c>
      <x:c r="K147" s="2" t="n">
        <x:v>269</x:v>
      </x:c>
      <x:c r="L147" s="2" t="n">
        <x:v>1061</x:v>
      </x:c>
    </x:row>
    <x:row r="148" ht="24" customHeight="1">
      <x:c r="A148" s="2" t="n">
        <x:v>257</x:v>
      </x:c>
      <x:c r="B148" s="2" t="n">
        <x:v>2</x:v>
      </x:c>
      <x:c r="C148" s="12" t="n">
        <x:v>121021</x:v>
      </x:c>
      <x:c r="D148" s="12" t="n">
        <x:v>86589</x:v>
      </x:c>
      <x:c r="E148" s="12" t="n">
        <x:v>34218.666666671634</x:v>
      </x:c>
      <x:c r="F148" s="12" t="n">
        <x:v>34431</x:v>
      </x:c>
      <x:c r="G148" s="12" t="n">
        <x:v>47949.9999999851</x:v>
      </x:c>
      <x:c r="H148" s="12" t="n">
        <x:v>34432</x:v>
      </x:c>
      <x:c r="I148" s="12" t="n">
        <x:v>4102</x:v>
      </x:c>
      <x:c r="J148" s="12" t="n">
        <x:v>106.00000001490116</x:v>
      </x:c>
      <x:c r="K148" s="2" t="n">
        <x:v>265</x:v>
      </x:c>
      <x:c r="L148" s="2" t="n">
        <x:v>1060</x:v>
      </x:c>
    </x:row>
    <x:row r="149" ht="24" customHeight="1">
      <x:c r="A149" s="2" t="n">
        <x:v>258</x:v>
      </x:c>
      <x:c r="B149" s="2" t="n">
        <x:v>2</x:v>
      </x:c>
      <x:c r="C149" s="12" t="n">
        <x:v>117923</x:v>
      </x:c>
      <x:c r="D149" s="12" t="n">
        <x:v>99611</x:v>
      </x:c>
      <x:c r="E149" s="12" t="n">
        <x:v>18095.666666671634</x:v>
      </x:c>
      <x:c r="F149" s="12" t="n">
        <x:v>34374.9999999851</x:v>
      </x:c>
      <x:c r="G149" s="12" t="n">
        <x:v>62580</x:v>
      </x:c>
      <x:c r="H149" s="12" t="n">
        <x:v>18312</x:v>
      </x:c>
      <x:c r="I149" s="12" t="n">
        <x:v>2550</x:v>
      </x:c>
      <x:c r="J149" s="12" t="n">
        <x:v>106.00000001490116</x:v>
      </x:c>
      <x:c r="K149" s="2" t="n">
        <x:v>261</x:v>
      </x:c>
      <x:c r="L149" s="2" t="n">
        <x:v>1060</x:v>
      </x:c>
    </x:row>
    <x:row r="150" ht="24" customHeight="1">
      <x:c r="A150" s="2" t="n">
        <x:v>259</x:v>
      </x:c>
      <x:c r="B150" s="2" t="n">
        <x:v>2</x:v>
      </x:c>
      <x:c r="C150" s="12" t="n">
        <x:v>121022</x:v>
      </x:c>
      <x:c r="D150" s="12" t="n">
        <x:v>85535</x:v>
      </x:c>
      <x:c r="E150" s="12" t="n">
        <x:v>35272.666666671634</x:v>
      </x:c>
      <x:c r="F150" s="12" t="n">
        <x:v>32819</x:v>
      </x:c>
      <x:c r="G150" s="12" t="n">
        <x:v>48508</x:v>
      </x:c>
      <x:c r="H150" s="12" t="n">
        <x:v>35487</x:v>
      </x:c>
      <x:c r="I150" s="12" t="n">
        <x:v>4102.000000014901</x:v>
      </x:c>
      <x:c r="J150" s="12" t="n">
        <x:v>105.99999998509884</x:v>
      </x:c>
      <x:c r="K150" s="2" t="n">
        <x:v>257</x:v>
      </x:c>
      <x:c r="L150" s="2" t="n">
        <x:v>1059</x:v>
      </x:c>
    </x:row>
    <x:row r="151" ht="24" customHeight="1">
      <x:c r="A151" s="2" t="n">
        <x:v>260</x:v>
      </x:c>
      <x:c r="B151" s="2" t="n">
        <x:v>2</x:v>
      </x:c>
      <x:c r="C151" s="12" t="n">
        <x:v>117921</x:v>
      </x:c>
      <x:c r="D151" s="12" t="n">
        <x:v>100149</x:v>
      </x:c>
      <x:c r="E151" s="12" t="n">
        <x:v>17556.666666671634</x:v>
      </x:c>
      <x:c r="F151" s="12" t="n">
        <x:v>33124</x:v>
      </x:c>
      <x:c r="G151" s="12" t="n">
        <x:v>64369</x:v>
      </x:c>
      <x:c r="H151" s="12" t="n">
        <x:v>17772</x:v>
      </x:c>
      <x:c r="I151" s="12" t="n">
        <x:v>2550</x:v>
      </x:c>
      <x:c r="J151" s="12" t="n">
        <x:v>106</x:v>
      </x:c>
      <x:c r="K151" s="2" t="n">
        <x:v>253</x:v>
      </x:c>
      <x:c r="L151" s="2" t="n">
        <x:v>1059</x:v>
      </x:c>
    </x:row>
    <x:row r="152" ht="24" customHeight="1">
      <x:c r="A152" s="2" t="n">
        <x:v>261</x:v>
      </x:c>
      <x:c r="B152" s="2" t="n">
        <x:v>2</x:v>
      </x:c>
      <x:c r="C152" s="12" t="n">
        <x:v>119472.9999999851</x:v>
      </x:c>
      <x:c r="D152" s="12" t="n">
        <x:v>63200.9999999851</x:v>
      </x:c>
      <x:c r="E152" s="12" t="n">
        <x:v>56055.666666671634</x:v>
      </x:c>
      <x:c r="F152" s="12" t="n">
        <x:v>30744</x:v>
      </x:c>
      <x:c r="G152" s="12" t="n">
        <x:v>29801.0000000149</x:v>
      </x:c>
      <x:c r="H152" s="12" t="n">
        <x:v>56272</x:v>
      </x:c>
      <x:c r="I152" s="12" t="n">
        <x:v>2550</x:v>
      </x:c>
      <x:c r="J152" s="12" t="n">
        <x:v>105.99999997019768</x:v>
      </x:c>
      <x:c r="K152" s="2" t="n">
        <x:v>249</x:v>
      </x:c>
      <x:c r="L152" s="2" t="n">
        <x:v>1059</x:v>
      </x:c>
    </x:row>
    <x:row r="153" ht="24" customHeight="1">
      <x:c r="A153" s="2" t="n">
        <x:v>262</x:v>
      </x:c>
      <x:c r="B153" s="2" t="n">
        <x:v>2</x:v>
      </x:c>
      <x:c r="C153" s="12" t="n">
        <x:v>121022</x:v>
      </x:c>
      <x:c r="D153" s="12" t="n">
        <x:v>104040</x:v>
      </x:c>
      <x:c r="E153" s="12" t="n">
        <x:v>16767.666666671634</x:v>
      </x:c>
      <x:c r="F153" s="12" t="n">
        <x:v>34744</x:v>
      </x:c>
      <x:c r="G153" s="12" t="n">
        <x:v>65088.0000000149</x:v>
      </x:c>
      <x:c r="H153" s="12" t="n">
        <x:v>16982</x:v>
      </x:c>
      <x:c r="I153" s="12" t="n">
        <x:v>4102</x:v>
      </x:c>
      <x:c r="J153" s="12" t="n">
        <x:v>105.99999998509884</x:v>
      </x:c>
      <x:c r="K153" s="2" t="n">
        <x:v>245</x:v>
      </x:c>
      <x:c r="L153" s="2" t="n">
        <x:v>1058</x:v>
      </x:c>
    </x:row>
    <x:row r="154" ht="24" customHeight="1">
      <x:c r="A154" s="2" t="n">
        <x:v>263</x:v>
      </x:c>
      <x:c r="B154" s="2" t="n">
        <x:v>2</x:v>
      </x:c>
      <x:c r="C154" s="12" t="n">
        <x:v>117918</x:v>
      </x:c>
      <x:c r="D154" s="12" t="n">
        <x:v>83231.0000000149</x:v>
      </x:c>
      <x:c r="E154" s="12" t="n">
        <x:v>34474.666666671634</x:v>
      </x:c>
      <x:c r="F154" s="12" t="n">
        <x:v>32659</x:v>
      </x:c>
      <x:c r="G154" s="12" t="n">
        <x:v>47916.0000000149</x:v>
      </x:c>
      <x:c r="H154" s="12" t="n">
        <x:v>34686.9999999851</x:v>
      </x:c>
      <x:c r="I154" s="12" t="n">
        <x:v>2550</x:v>
      </x:c>
      <x:c r="J154" s="12" t="n">
        <x:v>106</x:v>
      </x:c>
      <x:c r="K154" s="2" t="n">
        <x:v>241</x:v>
      </x:c>
      <x:c r="L154" s="2" t="n">
        <x:v>1058</x:v>
      </x:c>
    </x:row>
    <x:row r="155" ht="24" customHeight="1">
      <x:c r="A155" s="2" t="n">
        <x:v>264</x:v>
      </x:c>
      <x:c r="B155" s="2" t="n">
        <x:v>2</x:v>
      </x:c>
      <x:c r="C155" s="12" t="n">
        <x:v>121027.0000000149</x:v>
      </x:c>
      <x:c r="D155" s="12" t="n">
        <x:v>105120.0000000298</x:v>
      </x:c>
      <x:c r="E155" s="12" t="n">
        <x:v>15691.666666671634</x:v>
      </x:c>
      <x:c r="F155" s="12" t="n">
        <x:v>38570</x:v>
      </x:c>
      <x:c r="G155" s="12" t="n">
        <x:v>62342.0000000149</x:v>
      </x:c>
      <x:c r="H155" s="12" t="n">
        <x:v>15906.999999985099</x:v>
      </x:c>
      <x:c r="I155" s="12" t="n">
        <x:v>4102</x:v>
      </x:c>
      <x:c r="J155" s="12" t="n">
        <x:v>106.00000001490116</x:v>
      </x:c>
      <x:c r="K155" s="2" t="n">
        <x:v>237</x:v>
      </x:c>
      <x:c r="L155" s="2" t="n">
        <x:v>1057</x:v>
      </x:c>
    </x:row>
    <x:row r="156" ht="24" customHeight="1">
      <x:c r="A156" s="2" t="n">
        <x:v>265</x:v>
      </x:c>
      <x:c r="B156" s="2" t="n">
        <x:v>2</x:v>
      </x:c>
      <x:c r="C156" s="12" t="n">
        <x:v>117918</x:v>
      </x:c>
      <x:c r="D156" s="12" t="n">
        <x:v>80151.0000000149</x:v>
      </x:c>
      <x:c r="E156" s="12" t="n">
        <x:v>37553.666666671634</x:v>
      </x:c>
      <x:c r="F156" s="12" t="n">
        <x:v>31748</x:v>
      </x:c>
      <x:c r="G156" s="12" t="n">
        <x:v>45747.0000000149</x:v>
      </x:c>
      <x:c r="H156" s="12" t="n">
        <x:v>37766.9999999851</x:v>
      </x:c>
      <x:c r="I156" s="12" t="n">
        <x:v>2550</x:v>
      </x:c>
      <x:c r="J156" s="12" t="n">
        <x:v>106</x:v>
      </x:c>
      <x:c r="K156" s="2" t="n">
        <x:v>233</x:v>
      </x:c>
      <x:c r="L156" s="2" t="n">
        <x:v>1057</x:v>
      </x:c>
    </x:row>
    <x:row r="157" ht="24" customHeight="1">
      <x:c r="A157" s="2" t="n">
        <x:v>266</x:v>
      </x:c>
      <x:c r="B157" s="2" t="n">
        <x:v>2</x:v>
      </x:c>
      <x:c r="C157" s="12" t="n">
        <x:v>121025.9999999851</x:v>
      </x:c>
      <x:c r="D157" s="12" t="n">
        <x:v>106413.9999999851</x:v>
      </x:c>
      <x:c r="E157" s="12" t="n">
        <x:v>14396.666666671634</x:v>
      </x:c>
      <x:c r="F157" s="12" t="n">
        <x:v>39718</x:v>
      </x:c>
      <x:c r="G157" s="12" t="n">
        <x:v>62488</x:v>
      </x:c>
      <x:c r="H157" s="12" t="n">
        <x:v>14612</x:v>
      </x:c>
      <x:c r="I157" s="12" t="n">
        <x:v>4102</x:v>
      </x:c>
      <x:c r="J157" s="12" t="n">
        <x:v>105.99999998509884</x:v>
      </x:c>
      <x:c r="K157" s="2" t="n">
        <x:v>229</x:v>
      </x:c>
      <x:c r="L157" s="2" t="n">
        <x:v>1056</x:v>
      </x:c>
    </x:row>
    <x:row r="158" ht="24" customHeight="1">
      <x:c r="A158" s="2" t="n">
        <x:v>267</x:v>
      </x:c>
      <x:c r="B158" s="2" t="n">
        <x:v>2</x:v>
      </x:c>
      <x:c r="C158" s="12" t="n">
        <x:v>117919.0000000149</x:v>
      </x:c>
      <x:c r="D158" s="12" t="n">
        <x:v>79152.0000000149</x:v>
      </x:c>
      <x:c r="E158" s="12" t="n">
        <x:v>38552.666666671634</x:v>
      </x:c>
      <x:c r="F158" s="12" t="n">
        <x:v>30566.9999999851</x:v>
      </x:c>
      <x:c r="G158" s="12" t="n">
        <x:v>45929</x:v>
      </x:c>
      <x:c r="H158" s="12" t="n">
        <x:v>38767</x:v>
      </x:c>
      <x:c r="I158" s="12" t="n">
        <x:v>2550</x:v>
      </x:c>
      <x:c r="J158" s="12" t="n">
        <x:v>106.00000002980232</x:v>
      </x:c>
      <x:c r="K158" s="2" t="n">
        <x:v>225</x:v>
      </x:c>
      <x:c r="L158" s="2" t="n">
        <x:v>1056</x:v>
      </x:c>
    </x:row>
    <x:row r="159" ht="24" customHeight="1">
      <x:c r="A159" s="2" t="n">
        <x:v>268</x:v>
      </x:c>
      <x:c r="B159" s="2" t="n">
        <x:v>2</x:v>
      </x:c>
      <x:c r="C159" s="12" t="n">
        <x:v>119473.9999999851</x:v>
      </x:c>
      <x:c r="D159" s="12" t="n">
        <x:v>82252</x:v>
      </x:c>
      <x:c r="E159" s="12" t="n">
        <x:v>37005.666666671634</x:v>
      </x:c>
      <x:c r="F159" s="12" t="n">
        <x:v>33082</x:v>
      </x:c>
      <x:c r="G159" s="12" t="n">
        <x:v>46514</x:v>
      </x:c>
      <x:c r="H159" s="12" t="n">
        <x:v>37221.9999999851</x:v>
      </x:c>
      <x:c r="I159" s="12" t="n">
        <x:v>2550</x:v>
      </x:c>
      <x:c r="J159" s="12" t="n">
        <x:v>106</x:v>
      </x:c>
      <x:c r="K159" s="2" t="n">
        <x:v>221</x:v>
      </x:c>
      <x:c r="L159" s="2" t="n">
        <x:v>1056</x:v>
      </x:c>
    </x:row>
    <x:row r="160" ht="24" customHeight="1">
      <x:c r="A160" s="2" t="n">
        <x:v>269</x:v>
      </x:c>
      <x:c r="B160" s="2" t="n">
        <x:v>2</x:v>
      </x:c>
      <x:c r="C160" s="12" t="n">
        <x:v>119470</x:v>
      </x:c>
      <x:c r="D160" s="12" t="n">
        <x:v>64813.0000000149</x:v>
      </x:c>
      <x:c r="E160" s="12" t="n">
        <x:v>54442.666666671634</x:v>
      </x:c>
      <x:c r="F160" s="12" t="n">
        <x:v>32322</x:v>
      </x:c>
      <x:c r="G160" s="12" t="n">
        <x:v>29835</x:v>
      </x:c>
      <x:c r="H160" s="12" t="n">
        <x:v>54656.9999999851</x:v>
      </x:c>
      <x:c r="I160" s="12" t="n">
        <x:v>2550</x:v>
      </x:c>
      <x:c r="J160" s="12" t="n">
        <x:v>106.00000001490116</x:v>
      </x:c>
      <x:c r="K160" s="2" t="n">
        <x:v>217</x:v>
      </x:c>
      <x:c r="L160" s="2" t="n">
        <x:v>1056</x:v>
      </x:c>
    </x:row>
    <x:row r="161" ht="24" customHeight="1">
      <x:c r="A161" s="2" t="n">
        <x:v>270</x:v>
      </x:c>
      <x:c r="B161" s="2" t="n">
        <x:v>2</x:v>
      </x:c>
      <x:c r="C161" s="12" t="n">
        <x:v>119474</x:v>
      </x:c>
      <x:c r="D161" s="12" t="n">
        <x:v>81721.9999999851</x:v>
      </x:c>
      <x:c r="E161" s="12" t="n">
        <x:v>37535.666666671634</x:v>
      </x:c>
      <x:c r="F161" s="12" t="n">
        <x:v>32551.9999999851</x:v>
      </x:c>
      <x:c r="G161" s="12" t="n">
        <x:v>46514</x:v>
      </x:c>
      <x:c r="H161" s="12" t="n">
        <x:v>37752.0000000149</x:v>
      </x:c>
      <x:c r="I161" s="12" t="n">
        <x:v>2550</x:v>
      </x:c>
      <x:c r="J161" s="12" t="n">
        <x:v>106</x:v>
      </x:c>
      <x:c r="K161" s="2" t="n">
        <x:v>213</x:v>
      </x:c>
      <x:c r="L161" s="2" t="n">
        <x:v>1056</x:v>
      </x:c>
    </x:row>
    <x:row r="162" ht="24" customHeight="1">
      <x:c r="A162" s="2" t="n">
        <x:v>271</x:v>
      </x:c>
      <x:c r="B162" s="2" t="n">
        <x:v>2</x:v>
      </x:c>
      <x:c r="C162" s="12" t="n">
        <x:v>119471.0000000149</x:v>
      </x:c>
      <x:c r="D162" s="12" t="n">
        <x:v>64004.0000000298</x:v>
      </x:c>
      <x:c r="E162" s="12" t="n">
        <x:v>55251.666666671634</x:v>
      </x:c>
      <x:c r="F162" s="12" t="n">
        <x:v>31513</x:v>
      </x:c>
      <x:c r="G162" s="12" t="n">
        <x:v>29835</x:v>
      </x:c>
      <x:c r="H162" s="12" t="n">
        <x:v>55466.9999999851</x:v>
      </x:c>
      <x:c r="I162" s="12" t="n">
        <x:v>2550</x:v>
      </x:c>
      <x:c r="J162" s="12" t="n">
        <x:v>106.00000002980232</x:v>
      </x:c>
      <x:c r="K162" s="2" t="n">
        <x:v>209</x:v>
      </x:c>
      <x:c r="L162" s="2" t="n">
        <x:v>1056</x:v>
      </x:c>
    </x:row>
    <x:row r="163" ht="24" customHeight="1">
      <x:c r="A163" s="2" t="n">
        <x:v>272</x:v>
      </x:c>
      <x:c r="B163" s="2" t="n">
        <x:v>2</x:v>
      </x:c>
      <x:c r="C163" s="12" t="n">
        <x:v>119473</x:v>
      </x:c>
      <x:c r="D163" s="12" t="n">
        <x:v>82621</x:v>
      </x:c>
      <x:c r="E163" s="12" t="n">
        <x:v>36635.666666671634</x:v>
      </x:c>
      <x:c r="F163" s="12" t="n">
        <x:v>32896</x:v>
      </x:c>
      <x:c r="G163" s="12" t="n">
        <x:v>47069.0000000149</x:v>
      </x:c>
      <x:c r="H163" s="12" t="n">
        <x:v>36852</x:v>
      </x:c>
      <x:c r="I163" s="12" t="n">
        <x:v>2550</x:v>
      </x:c>
      <x:c r="J163" s="12" t="n">
        <x:v>105.99999998509884</x:v>
      </x:c>
      <x:c r="K163" s="2" t="n">
        <x:v>205</x:v>
      </x:c>
      <x:c r="L163" s="2" t="n">
        <x:v>1056</x:v>
      </x:c>
    </x:row>
    <x:row r="164" ht="24" customHeight="1">
      <x:c r="A164" s="2" t="n">
        <x:v>273</x:v>
      </x:c>
      <x:c r="B164" s="2" t="n">
        <x:v>2</x:v>
      </x:c>
      <x:c r="C164" s="12" t="n">
        <x:v>119468</x:v>
      </x:c>
      <x:c r="D164" s="12" t="n">
        <x:v>63586</x:v>
      </x:c>
      <x:c r="E164" s="12" t="n">
        <x:v>55669.666666671634</x:v>
      </x:c>
      <x:c r="F164" s="12" t="n">
        <x:v>30605</x:v>
      </x:c>
      <x:c r="G164" s="12" t="n">
        <x:v>30325</x:v>
      </x:c>
      <x:c r="H164" s="12" t="n">
        <x:v>55882</x:v>
      </x:c>
      <x:c r="I164" s="12" t="n">
        <x:v>2549.999999985099</x:v>
      </x:c>
      <x:c r="J164" s="12" t="n">
        <x:v>106.00000001490116</x:v>
      </x:c>
      <x:c r="K164" s="2" t="n">
        <x:v>201</x:v>
      </x:c>
      <x:c r="L164" s="2" t="n">
        <x:v>1056</x:v>
      </x:c>
    </x:row>
    <x:row r="165" ht="24" customHeight="1">
      <x:c r="A165" s="2" t="n">
        <x:v>274</x:v>
      </x:c>
      <x:c r="B165" s="2" t="n">
        <x:v>2</x:v>
      </x:c>
      <x:c r="C165" s="12" t="n">
        <x:v>121027</x:v>
      </x:c>
      <x:c r="D165" s="12" t="n">
        <x:v>106085</x:v>
      </x:c>
      <x:c r="E165" s="12" t="n">
        <x:v>14726.666666671634</x:v>
      </x:c>
      <x:c r="F165" s="12" t="n">
        <x:v>33584.0000000149</x:v>
      </x:c>
      <x:c r="G165" s="12" t="n">
        <x:v>68293</x:v>
      </x:c>
      <x:c r="H165" s="12" t="n">
        <x:v>14942</x:v>
      </x:c>
      <x:c r="I165" s="12" t="n">
        <x:v>4101.999999985099</x:v>
      </x:c>
      <x:c r="J165" s="12" t="n">
        <x:v>106</x:v>
      </x:c>
      <x:c r="K165" s="2" t="n">
        <x:v>201</x:v>
      </x:c>
      <x:c r="L165" s="2" t="n">
        <x:v>1052</x:v>
      </x:c>
    </x:row>
    <x:row r="166" ht="24" customHeight="1">
      <x:c r="A166" s="2" t="n">
        <x:v>275</x:v>
      </x:c>
      <x:c r="B166" s="2" t="n">
        <x:v>2</x:v>
      </x:c>
      <x:c r="C166" s="12" t="n">
        <x:v>119471</x:v>
      </x:c>
      <x:c r="D166" s="12" t="n">
        <x:v>64434</x:v>
      </x:c>
      <x:c r="E166" s="12" t="n">
        <x:v>54822.666666671634</x:v>
      </x:c>
      <x:c r="F166" s="12" t="n">
        <x:v>32333</x:v>
      </x:c>
      <x:c r="G166" s="12" t="n">
        <x:v>27892.9999999851</x:v>
      </x:c>
      <x:c r="H166" s="12" t="n">
        <x:v>55037</x:v>
      </x:c>
      <x:c r="I166" s="12" t="n">
        <x:v>4102</x:v>
      </x:c>
      <x:c r="J166" s="12" t="n">
        <x:v>106.00000001490116</x:v>
      </x:c>
      <x:c r="K166" s="2" t="n">
        <x:v>200</x:v>
      </x:c>
      <x:c r="L166" s="2" t="n">
        <x:v>1048</x:v>
      </x:c>
    </x:row>
    <x:row r="167" ht="24" customHeight="1">
      <x:c r="A167" s="2" t="n">
        <x:v>276</x:v>
      </x:c>
      <x:c r="B167" s="2" t="n">
        <x:v>2</x:v>
      </x:c>
      <x:c r="C167" s="12" t="n">
        <x:v>119473</x:v>
      </x:c>
      <x:c r="D167" s="12" t="n">
        <x:v>92640.9999999851</x:v>
      </x:c>
      <x:c r="E167" s="12" t="n">
        <x:v>26616.666666671634</x:v>
      </x:c>
      <x:c r="F167" s="12" t="n">
        <x:v>36123</x:v>
      </x:c>
      <x:c r="G167" s="12" t="n">
        <x:v>52310</x:v>
      </x:c>
      <x:c r="H167" s="12" t="n">
        <x:v>26832.0000000149</x:v>
      </x:c>
      <x:c r="I167" s="12" t="n">
        <x:v>4101.999999985099</x:v>
      </x:c>
      <x:c r="J167" s="12" t="n">
        <x:v>106</x:v>
      </x:c>
      <x:c r="K167" s="2" t="n">
        <x:v>200</x:v>
      </x:c>
      <x:c r="L167" s="2" t="n">
        <x:v>1044</x:v>
      </x:c>
    </x:row>
    <x:row r="168" ht="24" customHeight="1">
      <x:c r="A168" s="2" t="n">
        <x:v>277</x:v>
      </x:c>
      <x:c r="B168" s="2" t="n">
        <x:v>2</x:v>
      </x:c>
      <x:c r="C168" s="12" t="n">
        <x:v>119471.9999999851</x:v>
      </x:c>
      <x:c r="D168" s="12" t="n">
        <x:v>115729.9999999851</x:v>
      </x:c>
      <x:c r="E168" s="12" t="n">
        <x:v>3526.6666666716337</x:v>
      </x:c>
      <x:c r="F168" s="12" t="n">
        <x:v>34279.0000000149</x:v>
      </x:c>
      <x:c r="G168" s="12" t="n">
        <x:v>77243</x:v>
      </x:c>
      <x:c r="H168" s="12" t="n">
        <x:v>3742</x:v>
      </x:c>
      <x:c r="I168" s="12" t="n">
        <x:v>4102</x:v>
      </x:c>
      <x:c r="J168" s="12" t="n">
        <x:v>105.99999997019768</x:v>
      </x:c>
      <x:c r="K168" s="2" t="n">
        <x:v>199</x:v>
      </x:c>
      <x:c r="L168" s="2" t="n">
        <x:v>1040</x:v>
      </x:c>
    </x:row>
    <x:row r="169" ht="24" customHeight="1">
      <x:c r="A169" s="2" t="n">
        <x:v>278</x:v>
      </x:c>
      <x:c r="B169" s="2" t="n">
        <x:v>2</x:v>
      </x:c>
      <x:c r="C169" s="12" t="n">
        <x:v>122293.0000000149</x:v>
      </x:c>
      <x:c r="D169" s="12" t="n">
        <x:v>119631.0000000149</x:v>
      </x:c>
      <x:c r="E169" s="12" t="n">
        <x:v>2446.6666666716337</x:v>
      </x:c>
      <x:c r="F169" s="12" t="n">
        <x:v>40743</x:v>
      </x:c>
      <x:c r="G169" s="12" t="n">
        <x:v>71859</x:v>
      </x:c>
      <x:c r="H169" s="12" t="n">
        <x:v>2662</x:v>
      </x:c>
      <x:c r="I169" s="12" t="n">
        <x:v>6923</x:v>
      </x:c>
      <x:c r="J169" s="12" t="n">
        <x:v>106.00000001490116</x:v>
      </x:c>
      <x:c r="K169" s="2" t="n">
        <x:v>199</x:v>
      </x:c>
      <x:c r="L169" s="2" t="n">
        <x:v>1036</x:v>
      </x:c>
    </x:row>
    <x:row r="170" ht="24" customHeight="1">
      <x:c r="A170" s="2" t="n">
        <x:v>279</x:v>
      </x:c>
      <x:c r="B170" s="2" t="n">
        <x:v>2</x:v>
      </x:c>
      <x:c r="C170" s="12" t="n">
        <x:v>116650</x:v>
      </x:c>
      <x:c r="D170" s="12" t="n">
        <x:v>90483</x:v>
      </x:c>
      <x:c r="E170" s="12" t="n">
        <x:v>25952.666666671634</x:v>
      </x:c>
      <x:c r="F170" s="12" t="n">
        <x:v>32131</x:v>
      </x:c>
      <x:c r="G170" s="12" t="n">
        <x:v>54144</x:v>
      </x:c>
      <x:c r="H170" s="12" t="n">
        <x:v>26167</x:v>
      </x:c>
      <x:c r="I170" s="12" t="n">
        <x:v>4102</x:v>
      </x:c>
      <x:c r="J170" s="12" t="n">
        <x:v>106</x:v>
      </x:c>
      <x:c r="K170" s="2" t="n">
        <x:v>198</x:v>
      </x:c>
      <x:c r="L170" s="2" t="n">
        <x:v>1032</x:v>
      </x:c>
    </x:row>
    <x:row r="171" ht="24" customHeight="1">
      <x:c r="A171" s="2" t="n">
        <x:v>280</x:v>
      </x:c>
      <x:c r="B171" s="2" t="n">
        <x:v>2</x:v>
      </x:c>
      <x:c r="C171" s="12" t="n">
        <x:v>119474</x:v>
      </x:c>
      <x:c r="D171" s="12" t="n">
        <x:v>101937</x:v>
      </x:c>
      <x:c r="E171" s="12" t="n">
        <x:v>17320.666666671634</x:v>
      </x:c>
      <x:c r="F171" s="12" t="n">
        <x:v>31648</x:v>
      </x:c>
      <x:c r="G171" s="12" t="n">
        <x:v>66081</x:v>
      </x:c>
      <x:c r="H171" s="12" t="n">
        <x:v>17537</x:v>
      </x:c>
      <x:c r="I171" s="12" t="n">
        <x:v>4101.999999985099</x:v>
      </x:c>
      <x:c r="J171" s="12" t="n">
        <x:v>106.00000001490116</x:v>
      </x:c>
      <x:c r="K171" s="2" t="n">
        <x:v>198</x:v>
      </x:c>
      <x:c r="L171" s="2" t="n">
        <x:v>1028</x:v>
      </x:c>
    </x:row>
    <x:row r="172" ht="24" customHeight="1">
      <x:c r="A172" s="2" t="n">
        <x:v>281</x:v>
      </x:c>
      <x:c r="B172" s="2" t="n">
        <x:v>2</x:v>
      </x:c>
      <x:c r="C172" s="12" t="n">
        <x:v>119468</x:v>
      </x:c>
      <x:c r="D172" s="12" t="n">
        <x:v>91116.0000000149</x:v>
      </x:c>
      <x:c r="E172" s="12" t="n">
        <x:v>28139.666666671634</x:v>
      </x:c>
      <x:c r="F172" s="12" t="n">
        <x:v>32207.0000000149</x:v>
      </x:c>
      <x:c r="G172" s="12" t="n">
        <x:v>54701.0000000149</x:v>
      </x:c>
      <x:c r="H172" s="12" t="n">
        <x:v>28351.9999999851</x:v>
      </x:c>
      <x:c r="I172" s="12" t="n">
        <x:v>4102</x:v>
      </x:c>
      <x:c r="J172" s="12" t="n">
        <x:v>105.99999998509884</x:v>
      </x:c>
      <x:c r="K172" s="2" t="n">
        <x:v>197</x:v>
      </x:c>
      <x:c r="L172" s="2" t="n">
        <x:v>1024</x:v>
      </x:c>
    </x:row>
    <x:row r="173" ht="24" customHeight="1">
      <x:c r="A173" s="2" t="n">
        <x:v>282</x:v>
      </x:c>
      <x:c r="B173" s="2" t="n">
        <x:v>2</x:v>
      </x:c>
      <x:c r="C173" s="12" t="n">
        <x:v>119475</x:v>
      </x:c>
      <x:c r="D173" s="12" t="n">
        <x:v>107803</x:v>
      </x:c>
      <x:c r="E173" s="12" t="n">
        <x:v>11456.666666671634</x:v>
      </x:c>
      <x:c r="F173" s="12" t="n">
        <x:v>36812</x:v>
      </x:c>
      <x:c r="G173" s="12" t="n">
        <x:v>66783</x:v>
      </x:c>
      <x:c r="H173" s="12" t="n">
        <x:v>11672</x:v>
      </x:c>
      <x:c r="I173" s="12" t="n">
        <x:v>4102</x:v>
      </x:c>
      <x:c r="J173" s="12" t="n">
        <x:v>106</x:v>
      </x:c>
      <x:c r="K173" s="2" t="n">
        <x:v>197</x:v>
      </x:c>
      <x:c r="L173" s="2" t="n">
        <x:v>1020</x:v>
      </x:c>
    </x:row>
    <x:row r="174" ht="24" customHeight="1">
      <x:c r="A174" s="2" t="n">
        <x:v>283</x:v>
      </x:c>
      <x:c r="B174" s="2" t="n">
        <x:v>2</x:v>
      </x:c>
      <x:c r="C174" s="12" t="n">
        <x:v>119473</x:v>
      </x:c>
      <x:c r="D174" s="12" t="n">
        <x:v>92566</x:v>
      </x:c>
      <x:c r="E174" s="12" t="n">
        <x:v>26690.666666671634</x:v>
      </x:c>
      <x:c r="F174" s="12" t="n">
        <x:v>34084</x:v>
      </x:c>
      <x:c r="G174" s="12" t="n">
        <x:v>54274</x:v>
      </x:c>
      <x:c r="H174" s="12" t="n">
        <x:v>26907</x:v>
      </x:c>
      <x:c r="I174" s="12" t="n">
        <x:v>4102.000000014901</x:v>
      </x:c>
      <x:c r="J174" s="12" t="n">
        <x:v>105.99999998509884</x:v>
      </x:c>
      <x:c r="K174" s="2" t="n">
        <x:v>196</x:v>
      </x:c>
      <x:c r="L174" s="2" t="n">
        <x:v>1016</x:v>
      </x:c>
    </x:row>
    <x:row r="175" ht="24" customHeight="1">
      <x:c r="A175" s="2" t="n">
        <x:v>284</x:v>
      </x:c>
      <x:c r="B175" s="2" t="n">
        <x:v>2</x:v>
      </x:c>
      <x:c r="C175" s="12" t="n">
        <x:v>119470.9999999851</x:v>
      </x:c>
      <x:c r="D175" s="12" t="n">
        <x:v>103518.9999999851</x:v>
      </x:c>
      <x:c r="E175" s="12" t="n">
        <x:v>15736.666666671634</x:v>
      </x:c>
      <x:c r="F175" s="12" t="n">
        <x:v>33384</x:v>
      </x:c>
      <x:c r="G175" s="12" t="n">
        <x:v>65927.0000000149</x:v>
      </x:c>
      <x:c r="H175" s="12" t="n">
        <x:v>15952</x:v>
      </x:c>
      <x:c r="I175" s="12" t="n">
        <x:v>4102</x:v>
      </x:c>
      <x:c r="J175" s="12" t="n">
        <x:v>105.99999997019768</x:v>
      </x:c>
      <x:c r="K175" s="2" t="n">
        <x:v>196</x:v>
      </x:c>
      <x:c r="L175" s="2" t="n">
        <x:v>1012</x:v>
      </x:c>
    </x:row>
    <x:row r="176" ht="24" customHeight="1">
      <x:c r="A176" s="2" t="n">
        <x:v>285</x:v>
      </x:c>
      <x:c r="B176" s="2" t="n">
        <x:v>2</x:v>
      </x:c>
      <x:c r="C176" s="12" t="n">
        <x:v>119473.0000000149</x:v>
      </x:c>
      <x:c r="D176" s="12" t="n">
        <x:v>60616.0000000149</x:v>
      </x:c>
      <x:c r="E176" s="12" t="n">
        <x:v>58640.666666671634</x:v>
      </x:c>
      <x:c r="F176" s="12" t="n">
        <x:v>30226</x:v>
      </x:c>
      <x:c r="G176" s="12" t="n">
        <x:v>26182</x:v>
      </x:c>
      <x:c r="H176" s="12" t="n">
        <x:v>58857</x:v>
      </x:c>
      <x:c r="I176" s="12" t="n">
        <x:v>4102.000000014901</x:v>
      </x:c>
      <x:c r="J176" s="12" t="n">
        <x:v>106</x:v>
      </x:c>
      <x:c r="K176" s="2" t="n">
        <x:v>196</x:v>
      </x:c>
      <x:c r="L176" s="2" t="n">
        <x:v>1008</x:v>
      </x:c>
    </x:row>
    <x:row r="177" ht="24" customHeight="1">
      <x:c r="A177" s="2" t="n">
        <x:v>286</x:v>
      </x:c>
      <x:c r="B177" s="2" t="n">
        <x:v>2</x:v>
      </x:c>
      <x:c r="C177" s="12" t="n">
        <x:v>119468</x:v>
      </x:c>
      <x:c r="D177" s="12" t="n">
        <x:v>76930.9999999851</x:v>
      </x:c>
      <x:c r="E177" s="12" t="n">
        <x:v>42324.666666671634</x:v>
      </x:c>
      <x:c r="F177" s="12" t="n">
        <x:v>34283</x:v>
      </x:c>
      <x:c r="G177" s="12" t="n">
        <x:v>38440</x:v>
      </x:c>
      <x:c r="H177" s="12" t="n">
        <x:v>42537.0000000149</x:v>
      </x:c>
      <x:c r="I177" s="12" t="n">
        <x:v>4102</x:v>
      </x:c>
      <x:c r="J177" s="12" t="n">
        <x:v>105.99999998509884</x:v>
      </x:c>
      <x:c r="K177" s="2" t="n">
        <x:v>196</x:v>
      </x:c>
      <x:c r="L177" s="2" t="n">
        <x:v>1004</x:v>
      </x:c>
    </x:row>
    <x:row r="178" ht="24" customHeight="1">
      <x:c r="A178" s="2" t="n">
        <x:v>287</x:v>
      </x:c>
      <x:c r="B178" s="2" t="n">
        <x:v>2</x:v>
      </x:c>
      <x:c r="C178" s="12" t="n">
        <x:v>119472.9999999851</x:v>
      </x:c>
      <x:c r="D178" s="12" t="n">
        <x:v>62670.9999999851</x:v>
      </x:c>
      <x:c r="E178" s="12" t="n">
        <x:v>56588.666666671634</x:v>
      </x:c>
      <x:c r="F178" s="12" t="n">
        <x:v>32281</x:v>
      </x:c>
      <x:c r="G178" s="12" t="n">
        <x:v>26181.9999999851</x:v>
      </x:c>
      <x:c r="H178" s="12" t="n">
        <x:v>56802</x:v>
      </x:c>
      <x:c r="I178" s="12" t="n">
        <x:v>4102</x:v>
      </x:c>
      <x:c r="J178" s="12" t="n">
        <x:v>106</x:v>
      </x:c>
      <x:c r="K178" s="2" t="n">
        <x:v>196</x:v>
      </x:c>
      <x:c r="L178" s="2" t="n">
        <x:v>1000</x:v>
      </x:c>
    </x:row>
    <x:row r="179" ht="24" customHeight="1">
      <x:c r="A179" s="2" t="n">
        <x:v>288</x:v>
      </x:c>
      <x:c r="B179" s="2" t="n">
        <x:v>2</x:v>
      </x:c>
      <x:c r="C179" s="12" t="n">
        <x:v>119475</x:v>
      </x:c>
      <x:c r="D179" s="12" t="n">
        <x:v>76548</x:v>
      </x:c>
      <x:c r="E179" s="12" t="n">
        <x:v>42710.666666671634</x:v>
      </x:c>
      <x:c r="F179" s="12" t="n">
        <x:v>33397</x:v>
      </x:c>
      <x:c r="G179" s="12" t="n">
        <x:v>38943</x:v>
      </x:c>
      <x:c r="H179" s="12" t="n">
        <x:v>42927</x:v>
      </x:c>
      <x:c r="I179" s="12" t="n">
        <x:v>4102</x:v>
      </x:c>
      <x:c r="J179" s="12" t="n">
        <x:v>106</x:v>
      </x:c>
      <x:c r="K179" s="2" t="n">
        <x:v>196</x:v>
      </x:c>
      <x:c r="L179" s="2" t="n">
        <x:v>996</x:v>
      </x:c>
    </x:row>
    <x:row r="180" ht="24" customHeight="1">
      <x:c r="A180" s="2" t="n">
        <x:v>289</x:v>
      </x:c>
      <x:c r="B180" s="2" t="n">
        <x:v>2</x:v>
      </x:c>
      <x:c r="C180" s="12" t="n">
        <x:v>119470</x:v>
      </x:c>
      <x:c r="D180" s="12" t="n">
        <x:v>63047.9999999851</x:v>
      </x:c>
      <x:c r="E180" s="12" t="n">
        <x:v>56207.666666671634</x:v>
      </x:c>
      <x:c r="F180" s="12" t="n">
        <x:v>32168</x:v>
      </x:c>
      <x:c r="G180" s="12" t="n">
        <x:v>26672.0000000149</x:v>
      </x:c>
      <x:c r="H180" s="12" t="n">
        <x:v>56422.0000000149</x:v>
      </x:c>
      <x:c r="I180" s="12" t="n">
        <x:v>4102</x:v>
      </x:c>
      <x:c r="J180" s="12" t="n">
        <x:v>105.99999997019768</x:v>
      </x:c>
      <x:c r="K180" s="2" t="n">
        <x:v>196</x:v>
      </x:c>
      <x:c r="L180" s="2" t="n">
        <x:v>992</x:v>
      </x:c>
    </x:row>
    <x:row r="181" ht="24" customHeight="1">
      <x:c r="A181" s="2" t="n">
        <x:v>290</x:v>
      </x:c>
      <x:c r="B181" s="2" t="n">
        <x:v>2</x:v>
      </x:c>
      <x:c r="C181" s="12" t="n">
        <x:v>119474</x:v>
      </x:c>
      <x:c r="D181" s="12" t="n">
        <x:v>77607</x:v>
      </x:c>
      <x:c r="E181" s="12" t="n">
        <x:v>41650.666666671634</x:v>
      </x:c>
      <x:c r="F181" s="12" t="n">
        <x:v>35000</x:v>
      </x:c>
      <x:c r="G181" s="12" t="n">
        <x:v>38399</x:v>
      </x:c>
      <x:c r="H181" s="12" t="n">
        <x:v>41867</x:v>
      </x:c>
      <x:c r="I181" s="12" t="n">
        <x:v>4102</x:v>
      </x:c>
      <x:c r="J181" s="12" t="n">
        <x:v>106</x:v>
      </x:c>
      <x:c r="K181" s="2" t="n">
        <x:v>196</x:v>
      </x:c>
      <x:c r="L181" s="2" t="n">
        <x:v>988</x:v>
      </x:c>
    </x:row>
    <x:row r="182" ht="24" customHeight="1">
      <x:c r="A182" s="2" t="n">
        <x:v>291</x:v>
      </x:c>
      <x:c r="B182" s="2" t="n">
        <x:v>2</x:v>
      </x:c>
      <x:c r="C182" s="12" t="n">
        <x:v>119469.0000000149</x:v>
      </x:c>
      <x:c r="D182" s="12" t="n">
        <x:v>61857.0000000149</x:v>
      </x:c>
      <x:c r="E182" s="12" t="n">
        <x:v>57398.666666671634</x:v>
      </x:c>
      <x:c r="F182" s="12" t="n">
        <x:v>31479</x:v>
      </x:c>
      <x:c r="G182" s="12" t="n">
        <x:v>26169.9999999851</x:v>
      </x:c>
      <x:c r="H182" s="12" t="n">
        <x:v>57612</x:v>
      </x:c>
      <x:c r="I182" s="12" t="n">
        <x:v>4102.000000014901</x:v>
      </x:c>
      <x:c r="J182" s="12" t="n">
        <x:v>106.00000001490116</x:v>
      </x:c>
      <x:c r="K182" s="2" t="n">
        <x:v>196</x:v>
      </x:c>
      <x:c r="L182" s="2" t="n">
        <x:v>984</x:v>
      </x:c>
    </x:row>
    <x:row r="183" ht="24" customHeight="1">
      <x:c r="A183" s="2" t="n">
        <x:v>292</x:v>
      </x:c>
      <x:c r="B183" s="2" t="n">
        <x:v>2</x:v>
      </x:c>
      <x:c r="C183" s="12" t="n">
        <x:v>119473</x:v>
      </x:c>
      <x:c r="D183" s="12" t="n">
        <x:v>75371</x:v>
      </x:c>
      <x:c r="E183" s="12" t="n">
        <x:v>43887.666666671634</x:v>
      </x:c>
      <x:c r="F183" s="12" t="n">
        <x:v>32764</x:v>
      </x:c>
      <x:c r="G183" s="12" t="n">
        <x:v>38399</x:v>
      </x:c>
      <x:c r="H183" s="12" t="n">
        <x:v>44102</x:v>
      </x:c>
      <x:c r="I183" s="12" t="n">
        <x:v>4102</x:v>
      </x:c>
      <x:c r="J183" s="12" t="n">
        <x:v>106</x:v>
      </x:c>
      <x:c r="K183" s="2" t="n">
        <x:v>196</x:v>
      </x:c>
      <x:c r="L183" s="2" t="n">
        <x:v>980</x:v>
      </x:c>
    </x:row>
    <x:row r="184" ht="24" customHeight="1">
      <x:c r="A184" s="2" t="n">
        <x:v>293</x:v>
      </x:c>
      <x:c r="B184" s="2" t="n">
        <x:v>2</x:v>
      </x:c>
      <x:c r="C184" s="12" t="n">
        <x:v>119472</x:v>
      </x:c>
      <x:c r="D184" s="12" t="n">
        <x:v>62505</x:v>
      </x:c>
      <x:c r="E184" s="12" t="n">
        <x:v>56752.666666671634</x:v>
      </x:c>
      <x:c r="F184" s="12" t="n">
        <x:v>32127</x:v>
      </x:c>
      <x:c r="G184" s="12" t="n">
        <x:v>26170</x:v>
      </x:c>
      <x:c r="H184" s="12" t="n">
        <x:v>56967</x:v>
      </x:c>
      <x:c r="I184" s="12" t="n">
        <x:v>4102</x:v>
      </x:c>
      <x:c r="J184" s="12" t="n">
        <x:v>106</x:v>
      </x:c>
      <x:c r="K184" s="2" t="n">
        <x:v>196</x:v>
      </x:c>
      <x:c r="L184" s="2" t="n">
        <x:v>976</x:v>
      </x:c>
    </x:row>
    <x:row r="185" ht="24" customHeight="1">
      <x:c r="A185" s="2" t="n">
        <x:v>294</x:v>
      </x:c>
      <x:c r="B185" s="2" t="n">
        <x:v>2</x:v>
      </x:c>
      <x:c r="C185" s="12" t="n">
        <x:v>119474</x:v>
      </x:c>
      <x:c r="D185" s="12" t="n">
        <x:v>81882</x:v>
      </x:c>
      <x:c r="E185" s="12" t="n">
        <x:v>37375.666666671634</x:v>
      </x:c>
      <x:c r="F185" s="12" t="n">
        <x:v>39275</x:v>
      </x:c>
      <x:c r="G185" s="12" t="n">
        <x:v>38399</x:v>
      </x:c>
      <x:c r="H185" s="12" t="n">
        <x:v>37592</x:v>
      </x:c>
      <x:c r="I185" s="12" t="n">
        <x:v>4102.000000014901</x:v>
      </x:c>
      <x:c r="J185" s="12" t="n">
        <x:v>105.99999998509884</x:v>
      </x:c>
      <x:c r="K185" s="2" t="n">
        <x:v>196</x:v>
      </x:c>
      <x:c r="L185" s="2" t="n">
        <x:v>972</x:v>
      </x:c>
    </x:row>
    <x:row r="186" ht="24" customHeight="1">
      <x:c r="A186" s="2" t="n">
        <x:v>295</x:v>
      </x:c>
      <x:c r="B186" s="2" t="n">
        <x:v>2</x:v>
      </x:c>
      <x:c r="C186" s="12" t="n">
        <x:v>119469</x:v>
      </x:c>
      <x:c r="D186" s="12" t="n">
        <x:v>66862</x:v>
      </x:c>
      <x:c r="E186" s="12" t="n">
        <x:v>52393.666666671634</x:v>
      </x:c>
      <x:c r="F186" s="12" t="n">
        <x:v>36484</x:v>
      </x:c>
      <x:c r="G186" s="12" t="n">
        <x:v>26170</x:v>
      </x:c>
      <x:c r="H186" s="12" t="n">
        <x:v>52607</x:v>
      </x:c>
      <x:c r="I186" s="12" t="n">
        <x:v>4101.999999985099</x:v>
      </x:c>
      <x:c r="J186" s="12" t="n">
        <x:v>106.00000001490116</x:v>
      </x:c>
      <x:c r="K186" s="2" t="n">
        <x:v>196</x:v>
      </x:c>
      <x:c r="L186" s="2" t="n">
        <x:v>968</x:v>
      </x:c>
    </x:row>
    <x:row r="187" ht="24" customHeight="1">
      <x:c r="A187" s="2" t="n">
        <x:v>296</x:v>
      </x:c>
      <x:c r="B187" s="2" t="n">
        <x:v>2</x:v>
      </x:c>
      <x:c r="C187" s="12" t="n">
        <x:v>119475</x:v>
      </x:c>
      <x:c r="D187" s="12" t="n">
        <x:v>78482.9999999851</x:v>
      </x:c>
      <x:c r="E187" s="12" t="n">
        <x:v>40775.666666671634</x:v>
      </x:c>
      <x:c r="F187" s="12" t="n">
        <x:v>35334.0000000149</x:v>
      </x:c>
      <x:c r="G187" s="12" t="n">
        <x:v>38941</x:v>
      </x:c>
      <x:c r="H187" s="12" t="n">
        <x:v>40992.0000000149</x:v>
      </x:c>
      <x:c r="I187" s="12" t="n">
        <x:v>4101.999999985099</x:v>
      </x:c>
      <x:c r="J187" s="12" t="n">
        <x:v>105.99999998509884</x:v>
      </x:c>
      <x:c r="K187" s="2" t="n">
        <x:v>196</x:v>
      </x:c>
      <x:c r="L187" s="2" t="n">
        <x:v>964</x:v>
      </x:c>
    </x:row>
    <x:row r="188" ht="24" customHeight="1">
      <x:c r="A188" s="2" t="n">
        <x:v>297</x:v>
      </x:c>
      <x:c r="B188" s="2" t="n">
        <x:v>2</x:v>
      </x:c>
      <x:c r="C188" s="12" t="n">
        <x:v>119468</x:v>
      </x:c>
      <x:c r="D188" s="12" t="n">
        <x:v>63851.0000000149</x:v>
      </x:c>
      <x:c r="E188" s="12" t="n">
        <x:v>55404.666666671634</x:v>
      </x:c>
      <x:c r="F188" s="12" t="n">
        <x:v>32040.0000000149</x:v>
      </x:c>
      <x:c r="G188" s="12" t="n">
        <x:v>27603.0000000149</x:v>
      </x:c>
      <x:c r="H188" s="12" t="n">
        <x:v>55616.9999999851</x:v>
      </x:c>
      <x:c r="I188" s="12" t="n">
        <x:v>4102</x:v>
      </x:c>
      <x:c r="J188" s="12" t="n">
        <x:v>105.99999998509884</x:v>
      </x:c>
      <x:c r="K188" s="2" t="n">
        <x:v>196</x:v>
      </x:c>
      <x:c r="L188" s="2" t="n">
        <x:v>960</x:v>
      </x:c>
    </x:row>
    <x:row r="189" ht="24" customHeight="1">
      <x:c r="A189" s="2" t="n">
        <x:v>298</x:v>
      </x:c>
      <x:c r="B189" s="2" t="n">
        <x:v>2</x:v>
      </x:c>
      <x:c r="C189" s="12" t="n">
        <x:v>119475</x:v>
      </x:c>
      <x:c r="D189" s="12" t="n">
        <x:v>77558.0000000149</x:v>
      </x:c>
      <x:c r="E189" s="12" t="n">
        <x:v>41701.666666671634</x:v>
      </x:c>
      <x:c r="F189" s="12" t="n">
        <x:v>34909.9999999851</x:v>
      </x:c>
      <x:c r="G189" s="12" t="n">
        <x:v>38440</x:v>
      </x:c>
      <x:c r="H189" s="12" t="n">
        <x:v>41916.9999999851</x:v>
      </x:c>
      <x:c r="I189" s="12" t="n">
        <x:v>4102</x:v>
      </x:c>
      <x:c r="J189" s="12" t="n">
        <x:v>106.00000002980232</x:v>
      </x:c>
      <x:c r="K189" s="2" t="n">
        <x:v>196</x:v>
      </x:c>
      <x:c r="L189" s="2" t="n">
        <x:v>956</x:v>
      </x:c>
    </x:row>
    <x:row r="190" ht="24" customHeight="1">
      <x:c r="A190" s="2" t="n">
        <x:v>299</x:v>
      </x:c>
      <x:c r="B190" s="2" t="n">
        <x:v>2</x:v>
      </x:c>
      <x:c r="C190" s="12" t="n">
        <x:v>119471</x:v>
      </x:c>
      <x:c r="D190" s="12" t="n">
        <x:v>65144</x:v>
      </x:c>
      <x:c r="E190" s="12" t="n">
        <x:v>54112.666666671634</x:v>
      </x:c>
      <x:c r="F190" s="12" t="n">
        <x:v>33843.9999999851</x:v>
      </x:c>
      <x:c r="G190" s="12" t="n">
        <x:v>27091.9999999851</x:v>
      </x:c>
      <x:c r="H190" s="12" t="n">
        <x:v>54327</x:v>
      </x:c>
      <x:c r="I190" s="12" t="n">
        <x:v>4101.999999985099</x:v>
      </x:c>
      <x:c r="J190" s="12" t="n">
        <x:v>106.00000004470348</x:v>
      </x:c>
      <x:c r="K190" s="2" t="n">
        <x:v>196</x:v>
      </x:c>
      <x:c r="L190" s="2" t="n">
        <x:v>952</x:v>
      </x:c>
    </x:row>
    <x:row r="191" ht="24" customHeight="1">
      <x:c r="A191" s="2" t="n">
        <x:v>300</x:v>
      </x:c>
      <x:c r="B191" s="2" t="n">
        <x:v>2</x:v>
      </x:c>
      <x:c r="C191" s="12" t="n">
        <x:v>119471.9999999851</x:v>
      </x:c>
      <x:c r="D191" s="12" t="n">
        <x:v>77814.9999999851</x:v>
      </x:c>
      <x:c r="E191" s="12" t="n">
        <x:v>41442.666666671634</x:v>
      </x:c>
      <x:c r="F191" s="12" t="n">
        <x:v>35167</x:v>
      </x:c>
      <x:c r="G191" s="12" t="n">
        <x:v>38440</x:v>
      </x:c>
      <x:c r="H191" s="12" t="n">
        <x:v>41657</x:v>
      </x:c>
      <x:c r="I191" s="12" t="n">
        <x:v>4102</x:v>
      </x:c>
      <x:c r="J191" s="12" t="n">
        <x:v>105.99999998509884</x:v>
      </x:c>
      <x:c r="K191" s="2" t="n">
        <x:v>196</x:v>
      </x:c>
      <x:c r="L191" s="2" t="n">
        <x:v>948</x:v>
      </x:c>
    </x:row>
    <x:row r="192" ht="24" customHeight="1">
      <x:c r="A192" s="2" t="n">
        <x:v>301</x:v>
      </x:c>
      <x:c r="B192" s="2" t="n">
        <x:v>2</x:v>
      </x:c>
      <x:c r="C192" s="12" t="n">
        <x:v>119474.0000000149</x:v>
      </x:c>
      <x:c r="D192" s="12" t="n">
        <x:v>70102</x:v>
      </x:c>
      <x:c r="E192" s="12" t="n">
        <x:v>49155.666666671634</x:v>
      </x:c>
      <x:c r="F192" s="12" t="n">
        <x:v>38802</x:v>
      </x:c>
      <x:c r="G192" s="12" t="n">
        <x:v>27092</x:v>
      </x:c>
      <x:c r="H192" s="12" t="n">
        <x:v>49372.0000000149</x:v>
      </x:c>
      <x:c r="I192" s="12" t="n">
        <x:v>4102.000000014901</x:v>
      </x:c>
      <x:c r="J192" s="12" t="n">
        <x:v>105.99999998509884</x:v>
      </x:c>
      <x:c r="K192" s="2" t="n">
        <x:v>196</x:v>
      </x:c>
      <x:c r="L192" s="2" t="n">
        <x:v>944</x:v>
      </x:c>
    </x:row>
    <x:row r="193" ht="24" customHeight="1">
      <x:c r="A193" s="2" t="n">
        <x:v>302</x:v>
      </x:c>
      <x:c r="B193" s="2" t="n">
        <x:v>2</x:v>
      </x:c>
      <x:c r="C193" s="12" t="n">
        <x:v>119470.9999999851</x:v>
      </x:c>
      <x:c r="D193" s="12" t="n">
        <x:v>79443.9999999851</x:v>
      </x:c>
      <x:c r="E193" s="12" t="n">
        <x:v>39811.666666671634</x:v>
      </x:c>
      <x:c r="F193" s="12" t="n">
        <x:v>36796</x:v>
      </x:c>
      <x:c r="G193" s="12" t="n">
        <x:v>38440</x:v>
      </x:c>
      <x:c r="H193" s="12" t="n">
        <x:v>40027</x:v>
      </x:c>
      <x:c r="I193" s="12" t="n">
        <x:v>4102</x:v>
      </x:c>
      <x:c r="J193" s="12" t="n">
        <x:v>105.99999998509884</x:v>
      </x:c>
      <x:c r="K193" s="2" t="n">
        <x:v>196</x:v>
      </x:c>
      <x:c r="L193" s="2" t="n">
        <x:v>940</x:v>
      </x:c>
    </x:row>
    <x:row r="194" ht="24" customHeight="1">
      <x:c r="A194" s="2" t="n">
        <x:v>303</x:v>
      </x:c>
      <x:c r="B194" s="2" t="n">
        <x:v>2</x:v>
      </x:c>
      <x:c r="C194" s="12" t="n">
        <x:v>119470.0000000149</x:v>
      </x:c>
      <x:c r="D194" s="12" t="n">
        <x:v>63358.0000000149</x:v>
      </x:c>
      <x:c r="E194" s="12" t="n">
        <x:v>55898.666666671634</x:v>
      </x:c>
      <x:c r="F194" s="12" t="n">
        <x:v>32058</x:v>
      </x:c>
      <x:c r="G194" s="12" t="n">
        <x:v>27092</x:v>
      </x:c>
      <x:c r="H194" s="12" t="n">
        <x:v>56112</x:v>
      </x:c>
      <x:c r="I194" s="12" t="n">
        <x:v>4102</x:v>
      </x:c>
      <x:c r="J194" s="12" t="n">
        <x:v>106.00000001490116</x:v>
      </x:c>
      <x:c r="K194" s="2" t="n">
        <x:v>196</x:v>
      </x:c>
      <x:c r="L194" s="2" t="n">
        <x:v>936</x:v>
      </x:c>
    </x:row>
    <x:row r="195" ht="24" customHeight="1">
      <x:c r="A195" s="2" t="n">
        <x:v>304</x:v>
      </x:c>
      <x:c r="B195" s="2" t="n">
        <x:v>2</x:v>
      </x:c>
      <x:c r="C195" s="12" t="n">
        <x:v>119473</x:v>
      </x:c>
      <x:c r="D195" s="12" t="n">
        <x:v>77711</x:v>
      </x:c>
      <x:c r="E195" s="12" t="n">
        <x:v>41547.666666671634</x:v>
      </x:c>
      <x:c r="F195" s="12" t="n">
        <x:v>34560</x:v>
      </x:c>
      <x:c r="G195" s="12" t="n">
        <x:v>38943</x:v>
      </x:c>
      <x:c r="H195" s="12" t="n">
        <x:v>41762</x:v>
      </x:c>
      <x:c r="I195" s="12" t="n">
        <x:v>4102.000000014901</x:v>
      </x:c>
      <x:c r="J195" s="12" t="n">
        <x:v>105.99999998509884</x:v>
      </x:c>
      <x:c r="K195" s="2" t="n">
        <x:v>196</x:v>
      </x:c>
      <x:c r="L195" s="2" t="n">
        <x:v>932</x:v>
      </x:c>
    </x:row>
    <x:row r="196" ht="24" customHeight="1">
      <x:c r="A196" s="2" t="n">
        <x:v>305</x:v>
      </x:c>
      <x:c r="B196" s="2" t="n">
        <x:v>2</x:v>
      </x:c>
      <x:c r="C196" s="12" t="n">
        <x:v>119472</x:v>
      </x:c>
      <x:c r="D196" s="12" t="n">
        <x:v>65700.0000000149</x:v>
      </x:c>
      <x:c r="E196" s="12" t="n">
        <x:v>53557.666666671634</x:v>
      </x:c>
      <x:c r="F196" s="12" t="n">
        <x:v>33918.9999999851</x:v>
      </x:c>
      <x:c r="G196" s="12" t="n">
        <x:v>27572.9999999851</x:v>
      </x:c>
      <x:c r="H196" s="12" t="n">
        <x:v>53771.9999999851</x:v>
      </x:c>
      <x:c r="I196" s="12" t="n">
        <x:v>4102</x:v>
      </x:c>
      <x:c r="J196" s="12" t="n">
        <x:v>106.00000004470348</x:v>
      </x:c>
      <x:c r="K196" s="2" t="n">
        <x:v>196</x:v>
      </x:c>
      <x:c r="L196" s="2" t="n">
        <x:v>928</x:v>
      </x:c>
    </x:row>
    <x:row r="197" ht="24" customHeight="1">
      <x:c r="A197" s="2" t="n">
        <x:v>306</x:v>
      </x:c>
      <x:c r="B197" s="2" t="n">
        <x:v>2</x:v>
      </x:c>
      <x:c r="C197" s="12" t="n">
        <x:v>119473.9999999851</x:v>
      </x:c>
      <x:c r="D197" s="12" t="n">
        <x:v>79296.9999999702</x:v>
      </x:c>
      <x:c r="E197" s="12" t="n">
        <x:v>39960.666666671634</x:v>
      </x:c>
      <x:c r="F197" s="12" t="n">
        <x:v>36690</x:v>
      </x:c>
      <x:c r="G197" s="12" t="n">
        <x:v>38399</x:v>
      </x:c>
      <x:c r="H197" s="12" t="n">
        <x:v>40177.0000000149</x:v>
      </x:c>
      <x:c r="I197" s="12" t="n">
        <x:v>4102</x:v>
      </x:c>
      <x:c r="J197" s="12" t="n">
        <x:v>105.99999997019768</x:v>
      </x:c>
      <x:c r="K197" s="2" t="n">
        <x:v>196</x:v>
      </x:c>
      <x:c r="L197" s="2" t="n">
        <x:v>924</x:v>
      </x:c>
    </x:row>
    <x:row r="198" ht="24" customHeight="1">
      <x:c r="A198" s="2" t="n">
        <x:v>307</x:v>
      </x:c>
      <x:c r="B198" s="2" t="n">
        <x:v>2</x:v>
      </x:c>
      <x:c r="C198" s="12" t="n">
        <x:v>119468.0000000149</x:v>
      </x:c>
      <x:c r="D198" s="12" t="n">
        <x:v>70046.0000000149</x:v>
      </x:c>
      <x:c r="E198" s="12" t="n">
        <x:v>49209.666666671634</x:v>
      </x:c>
      <x:c r="F198" s="12" t="n">
        <x:v>38767</x:v>
      </x:c>
      <x:c r="G198" s="12" t="n">
        <x:v>27071</x:v>
      </x:c>
      <x:c r="H198" s="12" t="n">
        <x:v>49422</x:v>
      </x:c>
      <x:c r="I198" s="12" t="n">
        <x:v>4102.000000014901</x:v>
      </x:c>
      <x:c r="J198" s="12" t="n">
        <x:v>106</x:v>
      </x:c>
      <x:c r="K198" s="2" t="n">
        <x:v>196</x:v>
      </x:c>
      <x:c r="L198" s="2" t="n">
        <x:v>920</x:v>
      </x:c>
    </x:row>
    <x:row r="199" ht="24" customHeight="1">
      <x:c r="A199" s="2" t="n">
        <x:v>308</x:v>
      </x:c>
      <x:c r="B199" s="2" t="n">
        <x:v>2</x:v>
      </x:c>
      <x:c r="C199" s="12" t="n">
        <x:v>119474</x:v>
      </x:c>
      <x:c r="D199" s="12" t="n">
        <x:v>80172</x:v>
      </x:c>
      <x:c r="E199" s="12" t="n">
        <x:v>39087.666666671634</x:v>
      </x:c>
      <x:c r="F199" s="12" t="n">
        <x:v>37565</x:v>
      </x:c>
      <x:c r="G199" s="12" t="n">
        <x:v>38399</x:v>
      </x:c>
      <x:c r="H199" s="12" t="n">
        <x:v>39302</x:v>
      </x:c>
      <x:c r="I199" s="12" t="n">
        <x:v>4101.999999985099</x:v>
      </x:c>
      <x:c r="J199" s="12" t="n">
        <x:v>106.00000001490116</x:v>
      </x:c>
      <x:c r="K199" s="2" t="n">
        <x:v>196</x:v>
      </x:c>
      <x:c r="L199" s="2" t="n">
        <x:v>916</x:v>
      </x:c>
    </x:row>
    <x:row r="200" ht="24" customHeight="1">
      <x:c r="A200" s="2" t="n">
        <x:v>309</x:v>
      </x:c>
      <x:c r="B200" s="2" t="n">
        <x:v>2</x:v>
      </x:c>
      <x:c r="C200" s="12" t="n">
        <x:v>119473</x:v>
      </x:c>
      <x:c r="D200" s="12" t="n">
        <x:v>64556</x:v>
      </x:c>
      <x:c r="E200" s="12" t="n">
        <x:v>54701.666666671634</x:v>
      </x:c>
      <x:c r="F200" s="12" t="n">
        <x:v>33293.0000000149</x:v>
      </x:c>
      <x:c r="G200" s="12" t="n">
        <x:v>27055</x:v>
      </x:c>
      <x:c r="H200" s="12" t="n">
        <x:v>54917</x:v>
      </x:c>
      <x:c r="I200" s="12" t="n">
        <x:v>4102</x:v>
      </x:c>
      <x:c r="J200" s="12" t="n">
        <x:v>105.99999998509884</x:v>
      </x:c>
      <x:c r="K200" s="2" t="n">
        <x:v>196</x:v>
      </x:c>
      <x:c r="L200" s="2" t="n">
        <x:v>912</x:v>
      </x:c>
    </x:row>
    <x:row r="201" ht="24" customHeight="1">
      <x:c r="A201" s="2" t="n">
        <x:v>310</x:v>
      </x:c>
      <x:c r="B201" s="2" t="n">
        <x:v>2</x:v>
      </x:c>
      <x:c r="C201" s="12" t="n">
        <x:v>119468.9999999851</x:v>
      </x:c>
      <x:c r="D201" s="12" t="n">
        <x:v>79606.9999999702</x:v>
      </x:c>
      <x:c r="E201" s="12" t="n">
        <x:v>39649.666666671634</x:v>
      </x:c>
      <x:c r="F201" s="12" t="n">
        <x:v>36114.9999999851</x:v>
      </x:c>
      <x:c r="G201" s="12" t="n">
        <x:v>39284</x:v>
      </x:c>
      <x:c r="H201" s="12" t="n">
        <x:v>39862.0000000149</x:v>
      </x:c>
      <x:c r="I201" s="12" t="n">
        <x:v>4102</x:v>
      </x:c>
      <x:c r="J201" s="12" t="n">
        <x:v>105.99999998509884</x:v>
      </x:c>
      <x:c r="K201" s="2" t="n">
        <x:v>196</x:v>
      </x:c>
      <x:c r="L201" s="2" t="n">
        <x:v>908</x:v>
      </x:c>
    </x:row>
    <x:row r="202" ht="24" customHeight="1">
      <x:c r="A202" s="2" t="n">
        <x:v>311</x:v>
      </x:c>
      <x:c r="B202" s="2" t="n">
        <x:v>2</x:v>
      </x:c>
      <x:c r="C202" s="12" t="n">
        <x:v>119474</x:v>
      </x:c>
      <x:c r="D202" s="12" t="n">
        <x:v>65107</x:v>
      </x:c>
      <x:c r="E202" s="12" t="n">
        <x:v>54152.666666671634</x:v>
      </x:c>
      <x:c r="F202" s="12" t="n">
        <x:v>33844</x:v>
      </x:c>
      <x:c r="G202" s="12" t="n">
        <x:v>27055</x:v>
      </x:c>
      <x:c r="H202" s="12" t="n">
        <x:v>54367</x:v>
      </x:c>
      <x:c r="I202" s="12" t="n">
        <x:v>4102</x:v>
      </x:c>
      <x:c r="J202" s="12" t="n">
        <x:v>106</x:v>
      </x:c>
      <x:c r="K202" s="2" t="n">
        <x:v>196</x:v>
      </x:c>
      <x:c r="L202" s="2" t="n">
        <x:v>904</x:v>
      </x:c>
    </x:row>
    <x:row r="203" ht="24" customHeight="1">
      <x:c r="A203" s="2" t="n">
        <x:v>312</x:v>
      </x:c>
      <x:c r="B203" s="2" t="n">
        <x:v>2</x:v>
      </x:c>
      <x:c r="C203" s="12" t="n">
        <x:v>119473.0000000149</x:v>
      </x:c>
      <x:c r="D203" s="12" t="n">
        <x:v>79196.0000000149</x:v>
      </x:c>
      <x:c r="E203" s="12" t="n">
        <x:v>40061.666666671634</x:v>
      </x:c>
      <x:c r="F203" s="12" t="n">
        <x:v>35153</x:v>
      </x:c>
      <x:c r="G203" s="12" t="n">
        <x:v>39835</x:v>
      </x:c>
      <x:c r="H203" s="12" t="n">
        <x:v>40277</x:v>
      </x:c>
      <x:c r="I203" s="12" t="n">
        <x:v>4101.999999985099</x:v>
      </x:c>
      <x:c r="J203" s="12" t="n">
        <x:v>106.00000002980232</x:v>
      </x:c>
      <x:c r="K203" s="2" t="n">
        <x:v>196</x:v>
      </x:c>
      <x:c r="L203" s="2" t="n">
        <x:v>900</x:v>
      </x:c>
    </x:row>
    <x:row r="204" ht="24" customHeight="1">
      <x:c r="A204" s="2" t="n">
        <x:v>313</x:v>
      </x:c>
      <x:c r="B204" s="2" t="n">
        <x:v>2</x:v>
      </x:c>
      <x:c r="C204" s="12" t="n">
        <x:v>119471</x:v>
      </x:c>
      <x:c r="D204" s="12" t="n">
        <x:v>65759</x:v>
      </x:c>
      <x:c r="E204" s="12" t="n">
        <x:v>53497.666666671634</x:v>
      </x:c>
      <x:c r="F204" s="12" t="n">
        <x:v>33964.0000000149</x:v>
      </x:c>
      <x:c r="G204" s="12" t="n">
        <x:v>27587</x:v>
      </x:c>
      <x:c r="H204" s="12" t="n">
        <x:v>53712</x:v>
      </x:c>
      <x:c r="I204" s="12" t="n">
        <x:v>4102.000000014901</x:v>
      </x:c>
      <x:c r="J204" s="12" t="n">
        <x:v>105.99999997019768</x:v>
      </x:c>
      <x:c r="K204" s="2" t="n">
        <x:v>196</x:v>
      </x:c>
      <x:c r="L204" s="2" t="n">
        <x:v>896</x:v>
      </x:c>
    </x:row>
    <x:row r="205" ht="24" customHeight="1">
      <x:c r="A205" s="2" t="n">
        <x:v>314</x:v>
      </x:c>
      <x:c r="B205" s="2" t="n">
        <x:v>2</x:v>
      </x:c>
      <x:c r="C205" s="12" t="n">
        <x:v>119470.9999999851</x:v>
      </x:c>
      <x:c r="D205" s="12" t="n">
        <x:v>85153.9999999851</x:v>
      </x:c>
      <x:c r="E205" s="12" t="n">
        <x:v>34103.666666671634</x:v>
      </x:c>
      <x:c r="F205" s="12" t="n">
        <x:v>41612</x:v>
      </x:c>
      <x:c r="G205" s="12" t="n">
        <x:v>39334.0000000149</x:v>
      </x:c>
      <x:c r="H205" s="12" t="n">
        <x:v>34317</x:v>
      </x:c>
      <x:c r="I205" s="12" t="n">
        <x:v>4102</x:v>
      </x:c>
      <x:c r="J205" s="12" t="n">
        <x:v>105.99999997019768</x:v>
      </x:c>
      <x:c r="K205" s="2" t="n">
        <x:v>196</x:v>
      </x:c>
      <x:c r="L205" s="2" t="n">
        <x:v>892</x:v>
      </x:c>
    </x:row>
    <x:row r="206" ht="24" customHeight="1">
      <x:c r="A206" s="2" t="n">
        <x:v>315</x:v>
      </x:c>
      <x:c r="B206" s="2" t="n">
        <x:v>2</x:v>
      </x:c>
      <x:c r="C206" s="12" t="n">
        <x:v>122341.0000000149</x:v>
      </x:c>
      <x:c r="D206" s="12" t="n">
        <x:v>84514.0000000149</x:v>
      </x:c>
      <x:c r="E206" s="12" t="n">
        <x:v>37612.666666671634</x:v>
      </x:c>
      <x:c r="F206" s="12" t="n">
        <x:v>50346</x:v>
      </x:c>
      <x:c r="G206" s="12" t="n">
        <x:v>27092.0000000149</x:v>
      </x:c>
      <x:c r="H206" s="12" t="n">
        <x:v>37827</x:v>
      </x:c>
      <x:c r="I206" s="12" t="n">
        <x:v>6970.000000014901</x:v>
      </x:c>
      <x:c r="J206" s="12" t="n">
        <x:v>105.99999998509884</x:v>
      </x:c>
      <x:c r="K206" s="2" t="n">
        <x:v>196</x:v>
      </x:c>
      <x:c r="L206" s="2" t="n">
        <x:v>888</x:v>
      </x:c>
    </x:row>
    <x:row r="207" ht="24" customHeight="1">
      <x:c r="A207" s="2" t="n">
        <x:v>316</x:v>
      </x:c>
      <x:c r="B207" s="2" t="n">
        <x:v>2</x:v>
      </x:c>
      <x:c r="C207" s="12" t="n">
        <x:v>116602</x:v>
      </x:c>
      <x:c r="D207" s="12" t="n">
        <x:v>76839.9999999851</x:v>
      </x:c>
      <x:c r="E207" s="12" t="n">
        <x:v>39549.666666671634</x:v>
      </x:c>
      <x:c r="F207" s="12" t="n">
        <x:v>33282</x:v>
      </x:c>
      <x:c r="G207" s="12" t="n">
        <x:v>39350</x:v>
      </x:c>
      <x:c r="H207" s="12" t="n">
        <x:v>39762.0000000149</x:v>
      </x:c>
      <x:c r="I207" s="12" t="n">
        <x:v>4102.000000014901</x:v>
      </x:c>
      <x:c r="J207" s="12" t="n">
        <x:v>105.99999997019768</x:v>
      </x:c>
      <x:c r="K207" s="2" t="n">
        <x:v>196</x:v>
      </x:c>
      <x:c r="L207" s="2" t="n">
        <x:v>884</x:v>
      </x:c>
    </x:row>
    <x:row r="208" ht="24" customHeight="1">
      <x:c r="A208" s="2" t="n">
        <x:v>317</x:v>
      </x:c>
      <x:c r="B208" s="2" t="n">
        <x:v>2</x:v>
      </x:c>
      <x:c r="C208" s="12" t="n">
        <x:v>119474</x:v>
      </x:c>
      <x:c r="D208" s="12" t="n">
        <x:v>65162</x:v>
      </x:c>
      <x:c r="E208" s="12" t="n">
        <x:v>54097.666666671634</x:v>
      </x:c>
      <x:c r="F208" s="12" t="n">
        <x:v>33862</x:v>
      </x:c>
      <x:c r="G208" s="12" t="n">
        <x:v>27091.9999999851</x:v>
      </x:c>
      <x:c r="H208" s="12" t="n">
        <x:v>54312</x:v>
      </x:c>
      <x:c r="I208" s="12" t="n">
        <x:v>4101.999999985099</x:v>
      </x:c>
      <x:c r="J208" s="12" t="n">
        <x:v>106.00000002980232</x:v>
      </x:c>
      <x:c r="K208" s="2" t="n">
        <x:v>196</x:v>
      </x:c>
      <x:c r="L208" s="2" t="n">
        <x:v>880</x:v>
      </x:c>
    </x:row>
    <x:row r="209" ht="24" customHeight="1">
      <x:c r="A209" s="2" t="n">
        <x:v>318</x:v>
      </x:c>
      <x:c r="B209" s="2" t="n">
        <x:v>2</x:v>
      </x:c>
      <x:c r="C209" s="12" t="n">
        <x:v>122292</x:v>
      </x:c>
      <x:c r="D209" s="12" t="n">
        <x:v>85890</x:v>
      </x:c>
      <x:c r="E209" s="12" t="n">
        <x:v>36188.666666671634</x:v>
      </x:c>
      <x:c r="F209" s="12" t="n">
        <x:v>39511</x:v>
      </x:c>
      <x:c r="G209" s="12" t="n">
        <x:v>39350</x:v>
      </x:c>
      <x:c r="H209" s="12" t="n">
        <x:v>36402</x:v>
      </x:c>
      <x:c r="I209" s="12" t="n">
        <x:v>6923.000000014901</x:v>
      </x:c>
      <x:c r="J209" s="12" t="n">
        <x:v>105.99999998509884</x:v>
      </x:c>
      <x:c r="K209" s="2" t="n">
        <x:v>196</x:v>
      </x:c>
      <x:c r="L209" s="2" t="n">
        <x:v>876</x:v>
      </x:c>
    </x:row>
    <x:row r="210" ht="24" customHeight="1">
      <x:c r="A210" s="2" t="n">
        <x:v>319</x:v>
      </x:c>
      <x:c r="B210" s="2" t="n">
        <x:v>2</x:v>
      </x:c>
      <x:c r="C210" s="12" t="n">
        <x:v>116654</x:v>
      </x:c>
      <x:c r="D210" s="12" t="n">
        <x:v>65397</x:v>
      </x:c>
      <x:c r="E210" s="12" t="n">
        <x:v>51040.666666671634</x:v>
      </x:c>
      <x:c r="F210" s="12" t="n">
        <x:v>34097</x:v>
      </x:c>
      <x:c r="G210" s="12" t="n">
        <x:v>27091.9999999851</x:v>
      </x:c>
      <x:c r="H210" s="12" t="n">
        <x:v>51257</x:v>
      </x:c>
      <x:c r="I210" s="12" t="n">
        <x:v>4102.000000014901</x:v>
      </x:c>
      <x:c r="J210" s="12" t="n">
        <x:v>106</x:v>
      </x:c>
      <x:c r="K210" s="2" t="n">
        <x:v>196</x:v>
      </x:c>
      <x:c r="L210" s="2" t="n">
        <x:v>872</x:v>
      </x:c>
    </x:row>
    <x:row r="211" ht="24" customHeight="1">
      <x:c r="A211" s="2" t="n">
        <x:v>320</x:v>
      </x:c>
      <x:c r="B211" s="2" t="n">
        <x:v>2</x:v>
      </x:c>
      <x:c r="C211" s="12" t="n">
        <x:v>119470.9999999851</x:v>
      </x:c>
      <x:c r="D211" s="12" t="n">
        <x:v>84073.9999999851</x:v>
      </x:c>
      <x:c r="E211" s="12" t="n">
        <x:v>35181.666666671634</x:v>
      </x:c>
      <x:c r="F211" s="12" t="n">
        <x:v>40021.9999999851</x:v>
      </x:c>
      <x:c r="G211" s="12" t="n">
        <x:v>39843.9999999851</x:v>
      </x:c>
      <x:c r="H211" s="12" t="n">
        <x:v>35397</x:v>
      </x:c>
      <x:c r="I211" s="12" t="n">
        <x:v>4102</x:v>
      </x:c>
      <x:c r="J211" s="12" t="n">
        <x:v>106.00000001490116</x:v>
      </x:c>
      <x:c r="K211" s="2" t="n">
        <x:v>196</x:v>
      </x:c>
      <x:c r="L211" s="2" t="n">
        <x:v>868</x:v>
      </x:c>
    </x:row>
    <x:row r="212" ht="24" customHeight="1">
      <x:c r="A212" s="2" t="n">
        <x:v>321</x:v>
      </x:c>
      <x:c r="B212" s="2" t="n">
        <x:v>2</x:v>
      </x:c>
      <x:c r="C212" s="12" t="n">
        <x:v>119473.0000000149</x:v>
      </x:c>
      <x:c r="D212" s="12" t="n">
        <x:v>66206.0000000149</x:v>
      </x:c>
      <x:c r="E212" s="12" t="n">
        <x:v>53050.666666671634</x:v>
      </x:c>
      <x:c r="F212" s="12" t="n">
        <x:v>34424.9999999851</x:v>
      </x:c>
      <x:c r="G212" s="12" t="n">
        <x:v>27573</x:v>
      </x:c>
      <x:c r="H212" s="12" t="n">
        <x:v>53267</x:v>
      </x:c>
      <x:c r="I212" s="12" t="n">
        <x:v>4102.000000014901</x:v>
      </x:c>
      <x:c r="J212" s="12" t="n">
        <x:v>106.00000001490116</x:v>
      </x:c>
      <x:c r="K212" s="2" t="n">
        <x:v>196</x:v>
      </x:c>
      <x:c r="L212" s="2" t="n">
        <x:v>864</x:v>
      </x:c>
    </x:row>
    <x:row r="213" ht="24" customHeight="1">
      <x:c r="A213" s="2" t="n">
        <x:v>322</x:v>
      </x:c>
      <x:c r="B213" s="2" t="n">
        <x:v>2</x:v>
      </x:c>
      <x:c r="C213" s="12" t="n">
        <x:v>119472</x:v>
      </x:c>
      <x:c r="D213" s="12" t="n">
        <x:v>78370.0000000149</x:v>
      </x:c>
      <x:c r="E213" s="12" t="n">
        <x:v>40885.666666671634</x:v>
      </x:c>
      <x:c r="F213" s="12" t="n">
        <x:v>34862</x:v>
      </x:c>
      <x:c r="G213" s="12" t="n">
        <x:v>39300</x:v>
      </x:c>
      <x:c r="H213" s="12" t="n">
        <x:v>41101.9999999851</x:v>
      </x:c>
      <x:c r="I213" s="12" t="n">
        <x:v>4102</x:v>
      </x:c>
      <x:c r="J213" s="12" t="n">
        <x:v>106.00000001490116</x:v>
      </x:c>
      <x:c r="K213" s="2" t="n">
        <x:v>196</x:v>
      </x:c>
      <x:c r="L213" s="2" t="n">
        <x:v>860</x:v>
      </x:c>
    </x:row>
    <x:row r="214" ht="24" customHeight="1">
      <x:c r="A214" s="2" t="n">
        <x:v>323</x:v>
      </x:c>
      <x:c r="B214" s="2" t="n">
        <x:v>2</x:v>
      </x:c>
      <x:c r="C214" s="12" t="n">
        <x:v>119468</x:v>
      </x:c>
      <x:c r="D214" s="12" t="n">
        <x:v>65216</x:v>
      </x:c>
      <x:c r="E214" s="12" t="n">
        <x:v>54039.666666671634</x:v>
      </x:c>
      <x:c r="F214" s="12" t="n">
        <x:v>33937</x:v>
      </x:c>
      <x:c r="G214" s="12" t="n">
        <x:v>27071</x:v>
      </x:c>
      <x:c r="H214" s="12" t="n">
        <x:v>54252</x:v>
      </x:c>
      <x:c r="I214" s="12" t="n">
        <x:v>4102</x:v>
      </x:c>
      <x:c r="J214" s="12" t="n">
        <x:v>106</x:v>
      </x:c>
      <x:c r="K214" s="2" t="n">
        <x:v>196</x:v>
      </x:c>
      <x:c r="L214" s="2" t="n">
        <x:v>856</x:v>
      </x:c>
    </x:row>
    <x:row r="215" ht="24" customHeight="1">
      <x:c r="A215" s="2" t="n">
        <x:v>324</x:v>
      </x:c>
      <x:c r="B215" s="2" t="n">
        <x:v>2</x:v>
      </x:c>
      <x:c r="C215" s="12" t="n">
        <x:v>119472</x:v>
      </x:c>
      <x:c r="D215" s="12" t="n">
        <x:v>78065.0000000149</x:v>
      </x:c>
      <x:c r="E215" s="12" t="n">
        <x:v>41194.666666671634</x:v>
      </x:c>
      <x:c r="F215" s="12" t="n">
        <x:v>34557</x:v>
      </x:c>
      <x:c r="G215" s="12" t="n">
        <x:v>39299.9999999851</x:v>
      </x:c>
      <x:c r="H215" s="12" t="n">
        <x:v>41406.9999999851</x:v>
      </x:c>
      <x:c r="I215" s="12" t="n">
        <x:v>4102</x:v>
      </x:c>
      <x:c r="J215" s="12" t="n">
        <x:v>106.00000002980232</x:v>
      </x:c>
      <x:c r="K215" s="2" t="n">
        <x:v>196</x:v>
      </x:c>
      <x:c r="L215" s="2" t="n">
        <x:v>852</x:v>
      </x:c>
    </x:row>
    <x:row r="216" ht="24" customHeight="1">
      <x:c r="A216" s="2" t="n">
        <x:v>325</x:v>
      </x:c>
      <x:c r="B216" s="2" t="n">
        <x:v>2</x:v>
      </x:c>
      <x:c r="C216" s="12" t="n">
        <x:v>119475</x:v>
      </x:c>
      <x:c r="D216" s="12" t="n">
        <x:v>65163.0000000149</x:v>
      </x:c>
      <x:c r="E216" s="12" t="n">
        <x:v>54096.666666671634</x:v>
      </x:c>
      <x:c r="F216" s="12" t="n">
        <x:v>33884</x:v>
      </x:c>
      <x:c r="G216" s="12" t="n">
        <x:v>27071</x:v>
      </x:c>
      <x:c r="H216" s="12" t="n">
        <x:v>54311.9999999851</x:v>
      </x:c>
      <x:c r="I216" s="12" t="n">
        <x:v>4102</x:v>
      </x:c>
      <x:c r="J216" s="12" t="n">
        <x:v>106.00000001490116</x:v>
      </x:c>
      <x:c r="K216" s="2" t="n">
        <x:v>196</x:v>
      </x:c>
      <x:c r="L216" s="2" t="n">
        <x:v>848</x:v>
      </x:c>
    </x:row>
    <x:row r="217" ht="24" customHeight="1">
      <x:c r="A217" s="2" t="n">
        <x:v>326</x:v>
      </x:c>
      <x:c r="B217" s="2" t="n">
        <x:v>2</x:v>
      </x:c>
      <x:c r="C217" s="12" t="n">
        <x:v>119472.9999999851</x:v>
      </x:c>
      <x:c r="D217" s="12" t="n">
        <x:v>85295.9999999851</x:v>
      </x:c>
      <x:c r="E217" s="12" t="n">
        <x:v>33960.666666671634</x:v>
      </x:c>
      <x:c r="F217" s="12" t="n">
        <x:v>41787.9999999851</x:v>
      </x:c>
      <x:c r="G217" s="12" t="n">
        <x:v>39300</x:v>
      </x:c>
      <x:c r="H217" s="12" t="n">
        <x:v>34177</x:v>
      </x:c>
      <x:c r="I217" s="12" t="n">
        <x:v>4102</x:v>
      </x:c>
      <x:c r="J217" s="12" t="n">
        <x:v>106</x:v>
      </x:c>
      <x:c r="K217" s="2" t="n">
        <x:v>196</x:v>
      </x:c>
      <x:c r="L217" s="2" t="n">
        <x:v>844</x:v>
      </x:c>
    </x:row>
    <x:row r="218" ht="24" customHeight="1">
      <x:c r="A218" s="2" t="n">
        <x:v>327</x:v>
      </x:c>
      <x:c r="B218" s="2" t="n">
        <x:v>2</x:v>
      </x:c>
      <x:c r="C218" s="12" t="n">
        <x:v>119469.0000000149</x:v>
      </x:c>
      <x:c r="D218" s="12" t="n">
        <x:v>67127.0000000149</x:v>
      </x:c>
      <x:c r="E218" s="12" t="n">
        <x:v>52128.666666671634</x:v>
      </x:c>
      <x:c r="F218" s="12" t="n">
        <x:v>35864</x:v>
      </x:c>
      <x:c r="G218" s="12" t="n">
        <x:v>27055</x:v>
      </x:c>
      <x:c r="H218" s="12" t="n">
        <x:v>52342</x:v>
      </x:c>
      <x:c r="I218" s="12" t="n">
        <x:v>4102.000000014901</x:v>
      </x:c>
      <x:c r="J218" s="12" t="n">
        <x:v>106</x:v>
      </x:c>
      <x:c r="K218" s="2" t="n">
        <x:v>196</x:v>
      </x:c>
      <x:c r="L218" s="2" t="n">
        <x:v>840</x:v>
      </x:c>
    </x:row>
    <x:row r="219" ht="24" customHeight="1">
      <x:c r="A219" s="2" t="n">
        <x:v>328</x:v>
      </x:c>
      <x:c r="B219" s="2" t="n">
        <x:v>2</x:v>
      </x:c>
      <x:c r="C219" s="12" t="n">
        <x:v>119470.9999999851</x:v>
      </x:c>
      <x:c r="D219" s="12" t="n">
        <x:v>79973.9999999851</x:v>
      </x:c>
      <x:c r="E219" s="12" t="n">
        <x:v>39284.666666671634</x:v>
      </x:c>
      <x:c r="F219" s="12" t="n">
        <x:v>35930.9999999851</x:v>
      </x:c>
      <x:c r="G219" s="12" t="n">
        <x:v>39835</x:v>
      </x:c>
      <x:c r="H219" s="12" t="n">
        <x:v>39497</x:v>
      </x:c>
      <x:c r="I219" s="12" t="n">
        <x:v>4102</x:v>
      </x:c>
      <x:c r="J219" s="12" t="n">
        <x:v>106</x:v>
      </x:c>
      <x:c r="K219" s="2" t="n">
        <x:v>196</x:v>
      </x:c>
      <x:c r="L219" s="2" t="n">
        <x:v>836</x:v>
      </x:c>
    </x:row>
    <x:row r="220" ht="24" customHeight="1">
      <x:c r="A220" s="2" t="n">
        <x:v>329</x:v>
      </x:c>
      <x:c r="B220" s="2" t="n">
        <x:v>2</x:v>
      </x:c>
      <x:c r="C220" s="12" t="n">
        <x:v>119473.0000000149</x:v>
      </x:c>
      <x:c r="D220" s="12" t="n">
        <x:v>65666.0000000149</x:v>
      </x:c>
      <x:c r="E220" s="12" t="n">
        <x:v>53593.666666671634</x:v>
      </x:c>
      <x:c r="F220" s="12" t="n">
        <x:v>33870.9999999851</x:v>
      </x:c>
      <x:c r="G220" s="12" t="n">
        <x:v>27587</x:v>
      </x:c>
      <x:c r="H220" s="12" t="n">
        <x:v>53807</x:v>
      </x:c>
      <x:c r="I220" s="12" t="n">
        <x:v>4102.000000014901</x:v>
      </x:c>
      <x:c r="J220" s="12" t="n">
        <x:v>106.00000001490116</x:v>
      </x:c>
      <x:c r="K220" s="2" t="n">
        <x:v>196</x:v>
      </x:c>
      <x:c r="L220" s="2" t="n">
        <x:v>832</x:v>
      </x:c>
    </x:row>
    <x:row r="221" ht="24" customHeight="1">
      <x:c r="A221" s="2" t="n">
        <x:v>330</x:v>
      </x:c>
      <x:c r="B221" s="2" t="n">
        <x:v>2</x:v>
      </x:c>
      <x:c r="C221" s="12" t="n">
        <x:v>119474</x:v>
      </x:c>
      <x:c r="D221" s="12" t="n">
        <x:v>81552</x:v>
      </x:c>
      <x:c r="E221" s="12" t="n">
        <x:v>37706.666666671634</x:v>
      </x:c>
      <x:c r="F221" s="12" t="n">
        <x:v>38009.9999999851</x:v>
      </x:c>
      <x:c r="G221" s="12" t="n">
        <x:v>39334</x:v>
      </x:c>
      <x:c r="H221" s="12" t="n">
        <x:v>37922</x:v>
      </x:c>
      <x:c r="I221" s="12" t="n">
        <x:v>4101.999999985099</x:v>
      </x:c>
      <x:c r="J221" s="12" t="n">
        <x:v>106.00000002980232</x:v>
      </x:c>
      <x:c r="K221" s="2" t="n">
        <x:v>196</x:v>
      </x:c>
      <x:c r="L221" s="2" t="n">
        <x:v>828</x:v>
      </x:c>
    </x:row>
    <x:row r="222" ht="24" customHeight="1">
      <x:c r="A222" s="2" t="n">
        <x:v>331</x:v>
      </x:c>
      <x:c r="B222" s="2" t="n">
        <x:v>2</x:v>
      </x:c>
      <x:c r="C222" s="12" t="n">
        <x:v>119471.9999999851</x:v>
      </x:c>
      <x:c r="D222" s="12" t="n">
        <x:v>65314.9999999851</x:v>
      </x:c>
      <x:c r="E222" s="12" t="n">
        <x:v>53941.666666671634</x:v>
      </x:c>
      <x:c r="F222" s="12" t="n">
        <x:v>34031.0000000149</x:v>
      </x:c>
      <x:c r="G222" s="12" t="n">
        <x:v>27076</x:v>
      </x:c>
      <x:c r="H222" s="12" t="n">
        <x:v>54157</x:v>
      </x:c>
      <x:c r="I222" s="12" t="n">
        <x:v>4102</x:v>
      </x:c>
      <x:c r="J222" s="12" t="n">
        <x:v>105.99999997019768</x:v>
      </x:c>
      <x:c r="K222" s="2" t="n">
        <x:v>196</x:v>
      </x:c>
      <x:c r="L222" s="2" t="n">
        <x:v>824</x:v>
      </x:c>
    </x:row>
    <x:row r="223" ht="24" customHeight="1">
      <x:c r="A223" s="2" t="n">
        <x:v>332</x:v>
      </x:c>
      <x:c r="B223" s="2" t="n">
        <x:v>2</x:v>
      </x:c>
      <x:c r="C223" s="12" t="n">
        <x:v>119473.0000000149</x:v>
      </x:c>
      <x:c r="D223" s="12" t="n">
        <x:v>80106.0000000149</x:v>
      </x:c>
      <x:c r="E223" s="12" t="n">
        <x:v>39150.666666671634</x:v>
      </x:c>
      <x:c r="F223" s="12" t="n">
        <x:v>36564</x:v>
      </x:c>
      <x:c r="G223" s="12" t="n">
        <x:v>39334.0000000149</x:v>
      </x:c>
      <x:c r="H223" s="12" t="n">
        <x:v>39367</x:v>
      </x:c>
      <x:c r="I223" s="12" t="n">
        <x:v>4102</x:v>
      </x:c>
      <x:c r="J223" s="12" t="n">
        <x:v>106</x:v>
      </x:c>
      <x:c r="K223" s="2" t="n">
        <x:v>196</x:v>
      </x:c>
      <x:c r="L223" s="2" t="n">
        <x:v>820</x:v>
      </x:c>
    </x:row>
    <x:row r="224" ht="24" customHeight="1">
      <x:c r="A224" s="2" t="n">
        <x:v>333</x:v>
      </x:c>
      <x:c r="B224" s="2" t="n">
        <x:v>2</x:v>
      </x:c>
      <x:c r="C224" s="12" t="n">
        <x:v>119470.9999999851</x:v>
      </x:c>
      <x:c r="D224" s="12" t="n">
        <x:v>69228.9999999851</x:v>
      </x:c>
      <x:c r="E224" s="12" t="n">
        <x:v>50026.666666671634</x:v>
      </x:c>
      <x:c r="F224" s="12" t="n">
        <x:v>37929</x:v>
      </x:c>
      <x:c r="G224" s="12" t="n">
        <x:v>27092</x:v>
      </x:c>
      <x:c r="H224" s="12" t="n">
        <x:v>50242</x:v>
      </x:c>
      <x:c r="I224" s="12" t="n">
        <x:v>4102</x:v>
      </x:c>
      <x:c r="J224" s="12" t="n">
        <x:v>105.99999998509884</x:v>
      </x:c>
      <x:c r="K224" s="2" t="n">
        <x:v>196</x:v>
      </x:c>
      <x:c r="L224" s="2" t="n">
        <x:v>816</x:v>
      </x:c>
    </x:row>
    <x:row r="225" ht="24" customHeight="1">
      <x:c r="A225" s="2" t="n">
        <x:v>334</x:v>
      </x:c>
      <x:c r="B225" s="2" t="n">
        <x:v>2</x:v>
      </x:c>
      <x:c r="C225" s="12" t="n">
        <x:v>119469.0000000149</x:v>
      </x:c>
      <x:c r="D225" s="12" t="n">
        <x:v>78087.0000000149</x:v>
      </x:c>
      <x:c r="E225" s="12" t="n">
        <x:v>41169.666666671634</x:v>
      </x:c>
      <x:c r="F225" s="12" t="n">
        <x:v>34528.9999999851</x:v>
      </x:c>
      <x:c r="G225" s="12" t="n">
        <x:v>39350</x:v>
      </x:c>
      <x:c r="H225" s="12" t="n">
        <x:v>41382</x:v>
      </x:c>
      <x:c r="I225" s="12" t="n">
        <x:v>4102.000000014901</x:v>
      </x:c>
      <x:c r="J225" s="12" t="n">
        <x:v>106.00000001490116</x:v>
      </x:c>
      <x:c r="K225" s="2" t="n">
        <x:v>196</x:v>
      </x:c>
      <x:c r="L225" s="2" t="n">
        <x:v>812</x:v>
      </x:c>
    </x:row>
    <x:row r="226" ht="24" customHeight="1">
      <x:c r="A226" s="2" t="n">
        <x:v>335</x:v>
      </x:c>
      <x:c r="B226" s="2" t="n">
        <x:v>2</x:v>
      </x:c>
      <x:c r="C226" s="12" t="n">
        <x:v>119472</x:v>
      </x:c>
      <x:c r="D226" s="12" t="n">
        <x:v>64875</x:v>
      </x:c>
      <x:c r="E226" s="12" t="n">
        <x:v>54384.666666671634</x:v>
      </x:c>
      <x:c r="F226" s="12" t="n">
        <x:v>33575</x:v>
      </x:c>
      <x:c r="G226" s="12" t="n">
        <x:v>27092</x:v>
      </x:c>
      <x:c r="H226" s="12" t="n">
        <x:v>54597</x:v>
      </x:c>
      <x:c r="I226" s="12" t="n">
        <x:v>4102</x:v>
      </x:c>
      <x:c r="J226" s="12" t="n">
        <x:v>106</x:v>
      </x:c>
      <x:c r="K226" s="2" t="n">
        <x:v>196</x:v>
      </x:c>
      <x:c r="L226" s="2" t="n">
        <x:v>808</x:v>
      </x:c>
    </x:row>
    <x:row r="227" ht="24" customHeight="1">
      <x:c r="A227" s="2" t="n">
        <x:v>336</x:v>
      </x:c>
      <x:c r="B227" s="2" t="n">
        <x:v>2</x:v>
      </x:c>
      <x:c r="C227" s="12" t="n">
        <x:v>119476</x:v>
      </x:c>
      <x:c r="D227" s="12" t="n">
        <x:v>79068.9999999851</x:v>
      </x:c>
      <x:c r="E227" s="12" t="n">
        <x:v>40190.666666671634</x:v>
      </x:c>
      <x:c r="F227" s="12" t="n">
        <x:v>35017</x:v>
      </x:c>
      <x:c r="G227" s="12" t="n">
        <x:v>39844</x:v>
      </x:c>
      <x:c r="H227" s="12" t="n">
        <x:v>40407.0000000149</x:v>
      </x:c>
      <x:c r="I227" s="12" t="n">
        <x:v>4102</x:v>
      </x:c>
      <x:c r="J227" s="12" t="n">
        <x:v>105.99999998509884</x:v>
      </x:c>
      <x:c r="K227" s="2" t="n">
        <x:v>196</x:v>
      </x:c>
      <x:c r="L227" s="2" t="n">
        <x:v>804</x:v>
      </x:c>
    </x:row>
    <x:row r="228" ht="24" customHeight="1">
      <x:c r="A228" s="2" t="n">
        <x:v>337</x:v>
      </x:c>
      <x:c r="B228" s="2" t="n">
        <x:v>2</x:v>
      </x:c>
      <x:c r="C228" s="12" t="n">
        <x:v>119471</x:v>
      </x:c>
      <x:c r="D228" s="12" t="n">
        <x:v>65644</x:v>
      </x:c>
      <x:c r="E228" s="12" t="n">
        <x:v>53611.666666671634</x:v>
      </x:c>
      <x:c r="F228" s="12" t="n">
        <x:v>33863.0000000149</x:v>
      </x:c>
      <x:c r="G228" s="12" t="n">
        <x:v>27573</x:v>
      </x:c>
      <x:c r="H228" s="12" t="n">
        <x:v>53827</x:v>
      </x:c>
      <x:c r="I228" s="12" t="n">
        <x:v>4102</x:v>
      </x:c>
      <x:c r="J228" s="12" t="n">
        <x:v>105.99999998509884</x:v>
      </x:c>
      <x:c r="K228" s="2" t="n">
        <x:v>196</x:v>
      </x:c>
      <x:c r="L228" s="2" t="n">
        <x:v>800</x:v>
      </x:c>
    </x:row>
    <x:row r="229" ht="24" customHeight="1">
      <x:c r="A229" s="2" t="n">
        <x:v>338</x:v>
      </x:c>
      <x:c r="B229" s="2" t="n">
        <x:v>2</x:v>
      </x:c>
      <x:c r="C229" s="12" t="n">
        <x:v>119473</x:v>
      </x:c>
      <x:c r="D229" s="12" t="n">
        <x:v>80086</x:v>
      </x:c>
      <x:c r="E229" s="12" t="n">
        <x:v>39170.666666671634</x:v>
      </x:c>
      <x:c r="F229" s="12" t="n">
        <x:v>36577.9999999851</x:v>
      </x:c>
      <x:c r="G229" s="12" t="n">
        <x:v>39300</x:v>
      </x:c>
      <x:c r="H229" s="12" t="n">
        <x:v>39387</x:v>
      </x:c>
      <x:c r="I229" s="12" t="n">
        <x:v>4102</x:v>
      </x:c>
      <x:c r="J229" s="12" t="n">
        <x:v>106.00000001490116</x:v>
      </x:c>
      <x:c r="K229" s="2" t="n">
        <x:v>196</x:v>
      </x:c>
      <x:c r="L229" s="2" t="n">
        <x:v>796</x:v>
      </x:c>
    </x:row>
    <x:row r="230" ht="24" customHeight="1">
      <x:c r="A230" s="2" t="n">
        <x:v>339</x:v>
      </x:c>
      <x:c r="B230" s="2" t="n">
        <x:v>2</x:v>
      </x:c>
      <x:c r="C230" s="12" t="n">
        <x:v>119469</x:v>
      </x:c>
      <x:c r="D230" s="12" t="n">
        <x:v>70352.0000000149</x:v>
      </x:c>
      <x:c r="E230" s="12" t="n">
        <x:v>48903.666666671634</x:v>
      </x:c>
      <x:c r="F230" s="12" t="n">
        <x:v>38193.9999999851</x:v>
      </x:c>
      <x:c r="G230" s="12" t="n">
        <x:v>27949.9999999851</x:v>
      </x:c>
      <x:c r="H230" s="12" t="n">
        <x:v>49116.9999999851</x:v>
      </x:c>
      <x:c r="I230" s="12" t="n">
        <x:v>4102</x:v>
      </x:c>
      <x:c r="J230" s="12" t="n">
        <x:v>106.00000004470348</x:v>
      </x:c>
      <x:c r="K230" s="2" t="n">
        <x:v>196</x:v>
      </x:c>
      <x:c r="L230" s="2" t="n">
        <x:v>792</x:v>
      </x:c>
    </x:row>
    <x:row r="231" ht="24" customHeight="1">
      <x:c r="A231" s="2" t="n">
        <x:v>340</x:v>
      </x:c>
      <x:c r="B231" s="2" t="n">
        <x:v>2</x:v>
      </x:c>
      <x:c r="C231" s="12" t="n">
        <x:v>119475</x:v>
      </x:c>
      <x:c r="D231" s="12" t="n">
        <x:v>102043.0000000149</x:v>
      </x:c>
      <x:c r="E231" s="12" t="n">
        <x:v>17215.666666671634</x:v>
      </x:c>
      <x:c r="F231" s="12" t="n">
        <x:v>37425</x:v>
      </x:c>
      <x:c r="G231" s="12" t="n">
        <x:v>60410</x:v>
      </x:c>
      <x:c r="H231" s="12" t="n">
        <x:v>17431.9999999851</x:v>
      </x:c>
      <x:c r="I231" s="12" t="n">
        <x:v>4102</x:v>
      </x:c>
      <x:c r="J231" s="12" t="n">
        <x:v>106.00000001490116</x:v>
      </x:c>
      <x:c r="K231" s="2" t="n">
        <x:v>200</x:v>
      </x:c>
      <x:c r="L231" s="2" t="n">
        <x:v>793</x:v>
      </x:c>
    </x:row>
    <x:row r="232" ht="24" customHeight="1">
      <x:c r="A232" s="2" t="n">
        <x:v>341</x:v>
      </x:c>
      <x:c r="B232" s="2" t="n">
        <x:v>2</x:v>
      </x:c>
      <x:c r="C232" s="12" t="n">
        <x:v>117916.9999999851</x:v>
      </x:c>
      <x:c r="D232" s="12" t="n">
        <x:v>81954.9999999851</x:v>
      </x:c>
      <x:c r="E232" s="12" t="n">
        <x:v>35748.666666671634</x:v>
      </x:c>
      <x:c r="F232" s="12" t="n">
        <x:v>33361</x:v>
      </x:c>
      <x:c r="G232" s="12" t="n">
        <x:v>45938.0000000149</x:v>
      </x:c>
      <x:c r="H232" s="12" t="n">
        <x:v>35962</x:v>
      </x:c>
      <x:c r="I232" s="12" t="n">
        <x:v>2550</x:v>
      </x:c>
      <x:c r="J232" s="12" t="n">
        <x:v>105.99999997019768</x:v>
      </x:c>
      <x:c r="K232" s="2" t="n">
        <x:v>204</x:v>
      </x:c>
      <x:c r="L232" s="2" t="n">
        <x:v>793</x:v>
      </x:c>
    </x:row>
    <x:row r="233" ht="24" customHeight="1">
      <x:c r="A233" s="2" t="n">
        <x:v>342</x:v>
      </x:c>
      <x:c r="B233" s="2" t="n">
        <x:v>2</x:v>
      </x:c>
      <x:c r="C233" s="12" t="n">
        <x:v>121025.0000000149</x:v>
      </x:c>
      <x:c r="D233" s="12" t="n">
        <x:v>105478.0000000149</x:v>
      </x:c>
      <x:c r="E233" s="12" t="n">
        <x:v>15332.666666671634</x:v>
      </x:c>
      <x:c r="F233" s="12" t="n">
        <x:v>38496</x:v>
      </x:c>
      <x:c r="G233" s="12" t="n">
        <x:v>62774</x:v>
      </x:c>
      <x:c r="H233" s="12" t="n">
        <x:v>15547</x:v>
      </x:c>
      <x:c r="I233" s="12" t="n">
        <x:v>4102.000000014901</x:v>
      </x:c>
      <x:c r="J233" s="12" t="n">
        <x:v>106</x:v>
      </x:c>
      <x:c r="K233" s="2" t="n">
        <x:v>208</x:v>
      </x:c>
      <x:c r="L233" s="2" t="n">
        <x:v>794</x:v>
      </x:c>
    </x:row>
    <x:row r="234" ht="24" customHeight="1">
      <x:c r="A234" s="2" t="n">
        <x:v>343</x:v>
      </x:c>
      <x:c r="B234" s="2" t="n">
        <x:v>2</x:v>
      </x:c>
      <x:c r="C234" s="12" t="n">
        <x:v>117919</x:v>
      </x:c>
      <x:c r="D234" s="12" t="n">
        <x:v>86186.9999999851</x:v>
      </x:c>
      <x:c r="E234" s="12" t="n">
        <x:v>31518.666666671634</x:v>
      </x:c>
      <x:c r="F234" s="12" t="n">
        <x:v>33548</x:v>
      </x:c>
      <x:c r="G234" s="12" t="n">
        <x:v>49983</x:v>
      </x:c>
      <x:c r="H234" s="12" t="n">
        <x:v>31732.0000000149</x:v>
      </x:c>
      <x:c r="I234" s="12" t="n">
        <x:v>2550</x:v>
      </x:c>
      <x:c r="J234" s="12" t="n">
        <x:v>105.99999998509884</x:v>
      </x:c>
      <x:c r="K234" s="2" t="n">
        <x:v>212</x:v>
      </x:c>
      <x:c r="L234" s="2" t="n">
        <x:v>794</x:v>
      </x:c>
    </x:row>
    <x:row r="235" ht="24" customHeight="1">
      <x:c r="A235" s="2" t="n">
        <x:v>344</x:v>
      </x:c>
      <x:c r="B235" s="2" t="n">
        <x:v>2</x:v>
      </x:c>
      <x:c r="C235" s="12" t="n">
        <x:v>121026.9999999851</x:v>
      </x:c>
      <x:c r="D235" s="12" t="n">
        <x:v>103569.9999999851</x:v>
      </x:c>
      <x:c r="E235" s="12" t="n">
        <x:v>17240.666666671634</x:v>
      </x:c>
      <x:c r="F235" s="12" t="n">
        <x:v>37038</x:v>
      </x:c>
      <x:c r="G235" s="12" t="n">
        <x:v>62324</x:v>
      </x:c>
      <x:c r="H235" s="12" t="n">
        <x:v>17457</x:v>
      </x:c>
      <x:c r="I235" s="12" t="n">
        <x:v>4102</x:v>
      </x:c>
      <x:c r="J235" s="12" t="n">
        <x:v>105.99999998509884</x:v>
      </x:c>
      <x:c r="K235" s="2" t="n">
        <x:v>216</x:v>
      </x:c>
      <x:c r="L235" s="2" t="n">
        <x:v>795</x:v>
      </x:c>
    </x:row>
    <x:row r="236" ht="24" customHeight="1">
      <x:c r="A236" s="2" t="n">
        <x:v>345</x:v>
      </x:c>
      <x:c r="B236" s="2" t="n">
        <x:v>2</x:v>
      </x:c>
      <x:c r="C236" s="12" t="n">
        <x:v>117919.0000000149</x:v>
      </x:c>
      <x:c r="D236" s="12" t="n">
        <x:v>84622.0000000298</x:v>
      </x:c>
      <x:c r="E236" s="12" t="n">
        <x:v>33081.666666671634</x:v>
      </x:c>
      <x:c r="F236" s="12" t="n">
        <x:v>33457.9999999851</x:v>
      </x:c>
      <x:c r="G236" s="12" t="n">
        <x:v>48508</x:v>
      </x:c>
      <x:c r="H236" s="12" t="n">
        <x:v>33296.9999999851</x:v>
      </x:c>
      <x:c r="I236" s="12" t="n">
        <x:v>2550</x:v>
      </x:c>
      <x:c r="J236" s="12" t="n">
        <x:v>106.00000004470348</x:v>
      </x:c>
      <x:c r="K236" s="2" t="n">
        <x:v>220</x:v>
      </x:c>
      <x:c r="L236" s="2" t="n">
        <x:v>795</x:v>
      </x:c>
    </x:row>
    <x:row r="237" ht="24" customHeight="1">
      <x:c r="A237" s="2" t="n">
        <x:v>346</x:v>
      </x:c>
      <x:c r="B237" s="2" t="n">
        <x:v>2</x:v>
      </x:c>
      <x:c r="C237" s="12" t="n">
        <x:v>119471</x:v>
      </x:c>
      <x:c r="D237" s="12" t="n">
        <x:v>89299</x:v>
      </x:c>
      <x:c r="E237" s="12" t="n">
        <x:v>29957.666666671634</x:v>
      </x:c>
      <x:c r="F237" s="12" t="n">
        <x:v>39289</x:v>
      </x:c>
      <x:c r="G237" s="12" t="n">
        <x:v>47354</x:v>
      </x:c>
      <x:c r="H237" s="12" t="n">
        <x:v>30172</x:v>
      </x:c>
      <x:c r="I237" s="12" t="n">
        <x:v>2550</x:v>
      </x:c>
      <x:c r="J237" s="12" t="n">
        <x:v>106</x:v>
      </x:c>
      <x:c r="K237" s="2" t="n">
        <x:v>224</x:v>
      </x:c>
      <x:c r="L237" s="2" t="n">
        <x:v>795</x:v>
      </x:c>
    </x:row>
    <x:row r="238" ht="24" customHeight="1">
      <x:c r="A238" s="2" t="n">
        <x:v>347</x:v>
      </x:c>
      <x:c r="B238" s="2" t="n">
        <x:v>2</x:v>
      </x:c>
      <x:c r="C238" s="12" t="n">
        <x:v>119470</x:v>
      </x:c>
      <x:c r="D238" s="12" t="n">
        <x:v>65977.9999999851</x:v>
      </x:c>
      <x:c r="E238" s="12" t="n">
        <x:v>53279.666666671634</x:v>
      </x:c>
      <x:c r="F238" s="12" t="n">
        <x:v>33481.9999999851</x:v>
      </x:c>
      <x:c r="G238" s="12" t="n">
        <x:v>29840</x:v>
      </x:c>
      <x:c r="H238" s="12" t="n">
        <x:v>53492.0000000149</x:v>
      </x:c>
      <x:c r="I238" s="12" t="n">
        <x:v>2550</x:v>
      </x:c>
      <x:c r="J238" s="12" t="n">
        <x:v>106</x:v>
      </x:c>
      <x:c r="K238" s="2" t="n">
        <x:v>228</x:v>
      </x:c>
      <x:c r="L238" s="2" t="n">
        <x:v>795</x:v>
      </x:c>
    </x:row>
    <x:row r="239" ht="24" customHeight="1">
      <x:c r="A239" s="2" t="n">
        <x:v>348</x:v>
      </x:c>
      <x:c r="B239" s="2" t="n">
        <x:v>2</x:v>
      </x:c>
      <x:c r="C239" s="12" t="n">
        <x:v>119474</x:v>
      </x:c>
      <x:c r="D239" s="12" t="n">
        <x:v>84326.9999999851</x:v>
      </x:c>
      <x:c r="E239" s="12" t="n">
        <x:v>34932.666666671634</x:v>
      </x:c>
      <x:c r="F239" s="12" t="n">
        <x:v>34317.0000000149</x:v>
      </x:c>
      <x:c r="G239" s="12" t="n">
        <x:v>47354.0000000149</x:v>
      </x:c>
      <x:c r="H239" s="12" t="n">
        <x:v>35147.0000000149</x:v>
      </x:c>
      <x:c r="I239" s="12" t="n">
        <x:v>2550</x:v>
      </x:c>
      <x:c r="J239" s="12" t="n">
        <x:v>105.99999995529652</x:v>
      </x:c>
      <x:c r="K239" s="2" t="n">
        <x:v>232</x:v>
      </x:c>
      <x:c r="L239" s="2" t="n">
        <x:v>795</x:v>
      </x:c>
    </x:row>
    <x:row r="240" ht="24" customHeight="1">
      <x:c r="A240" s="2" t="n">
        <x:v>349</x:v>
      </x:c>
      <x:c r="B240" s="2" t="n">
        <x:v>2</x:v>
      </x:c>
      <x:c r="C240" s="12" t="n">
        <x:v>119471</x:v>
      </x:c>
      <x:c r="D240" s="12" t="n">
        <x:v>65978.9999999851</x:v>
      </x:c>
      <x:c r="E240" s="12" t="n">
        <x:v>53278.666666671634</x:v>
      </x:c>
      <x:c r="F240" s="12" t="n">
        <x:v>33483</x:v>
      </x:c>
      <x:c r="G240" s="12" t="n">
        <x:v>29840</x:v>
      </x:c>
      <x:c r="H240" s="12" t="n">
        <x:v>53492.0000000149</x:v>
      </x:c>
      <x:c r="I240" s="12" t="n">
        <x:v>2550</x:v>
      </x:c>
      <x:c r="J240" s="12" t="n">
        <x:v>105.99999998509884</x:v>
      </x:c>
      <x:c r="K240" s="2" t="n">
        <x:v>236</x:v>
      </x:c>
      <x:c r="L240" s="2" t="n">
        <x:v>795</x:v>
      </x:c>
    </x:row>
    <x:row r="241" ht="24" customHeight="1">
      <x:c r="A241" s="2" t="n">
        <x:v>350</x:v>
      </x:c>
      <x:c r="B241" s="2" t="n">
        <x:v>2</x:v>
      </x:c>
      <x:c r="C241" s="12" t="n">
        <x:v>119471.9999999851</x:v>
      </x:c>
      <x:c r="D241" s="12" t="n">
        <x:v>86054.9999999851</x:v>
      </x:c>
      <x:c r="E241" s="12" t="n">
        <x:v>33203.666666671634</x:v>
      </x:c>
      <x:c r="F241" s="12" t="n">
        <x:v>36045.0000000149</x:v>
      </x:c>
      <x:c r="G241" s="12" t="n">
        <x:v>47354</x:v>
      </x:c>
      <x:c r="H241" s="12" t="n">
        <x:v>33417</x:v>
      </x:c>
      <x:c r="I241" s="12" t="n">
        <x:v>2550</x:v>
      </x:c>
      <x:c r="J241" s="12" t="n">
        <x:v>105.99999997019768</x:v>
      </x:c>
      <x:c r="K241" s="2" t="n">
        <x:v>240</x:v>
      </x:c>
      <x:c r="L241" s="2" t="n">
        <x:v>795</x:v>
      </x:c>
    </x:row>
    <x:row r="242" ht="24" customHeight="1">
      <x:c r="A242" s="2" t="n">
        <x:v>351</x:v>
      </x:c>
      <x:c r="B242" s="2" t="n">
        <x:v>2</x:v>
      </x:c>
      <x:c r="C242" s="12" t="n">
        <x:v>119474.0000000149</x:v>
      </x:c>
      <x:c r="D242" s="12" t="n">
        <x:v>65382.0000000149</x:v>
      </x:c>
      <x:c r="E242" s="12" t="n">
        <x:v>53876.666666671634</x:v>
      </x:c>
      <x:c r="F242" s="12" t="n">
        <x:v>32886</x:v>
      </x:c>
      <x:c r="G242" s="12" t="n">
        <x:v>29840</x:v>
      </x:c>
      <x:c r="H242" s="12" t="n">
        <x:v>54092</x:v>
      </x:c>
      <x:c r="I242" s="12" t="n">
        <x:v>2550</x:v>
      </x:c>
      <x:c r="J242" s="12" t="n">
        <x:v>106.00000001490116</x:v>
      </x:c>
      <x:c r="K242" s="2" t="n">
        <x:v>244</x:v>
      </x:c>
      <x:c r="L242" s="2" t="n">
        <x:v>795</x:v>
      </x:c>
    </x:row>
    <x:row r="243" ht="24" customHeight="1">
      <x:c r="A243" s="2" t="n">
        <x:v>352</x:v>
      </x:c>
      <x:c r="B243" s="2" t="n">
        <x:v>2</x:v>
      </x:c>
      <x:c r="C243" s="12" t="n">
        <x:v>119469</x:v>
      </x:c>
      <x:c r="D243" s="12" t="n">
        <x:v>88746.9999999851</x:v>
      </x:c>
      <x:c r="E243" s="12" t="n">
        <x:v>30509.666666671634</x:v>
      </x:c>
      <x:c r="F243" s="12" t="n">
        <x:v>37319</x:v>
      </x:c>
      <x:c r="G243" s="12" t="n">
        <x:v>48772.0000000149</x:v>
      </x:c>
      <x:c r="H243" s="12" t="n">
        <x:v>30722.0000000149</x:v>
      </x:c>
      <x:c r="I243" s="12" t="n">
        <x:v>2550</x:v>
      </x:c>
      <x:c r="J243" s="12" t="n">
        <x:v>105.99999997019768</x:v>
      </x:c>
      <x:c r="K243" s="2" t="n">
        <x:v>248</x:v>
      </x:c>
      <x:c r="L243" s="2" t="n">
        <x:v>795</x:v>
      </x:c>
    </x:row>
    <x:row r="244" ht="24" customHeight="1">
      <x:c r="A244" s="2" t="n">
        <x:v>353</x:v>
      </x:c>
      <x:c r="B244" s="2" t="n">
        <x:v>2</x:v>
      </x:c>
      <x:c r="C244" s="12" t="n">
        <x:v>119473</x:v>
      </x:c>
      <x:c r="D244" s="12" t="n">
        <x:v>69661</x:v>
      </x:c>
      <x:c r="E244" s="12" t="n">
        <x:v>49598.666666671634</x:v>
      </x:c>
      <x:c r="F244" s="12" t="n">
        <x:v>35812</x:v>
      </x:c>
      <x:c r="G244" s="12" t="n">
        <x:v>31192.9999999851</x:v>
      </x:c>
      <x:c r="H244" s="12" t="n">
        <x:v>49812</x:v>
      </x:c>
      <x:c r="I244" s="12" t="n">
        <x:v>2550</x:v>
      </x:c>
      <x:c r="J244" s="12" t="n">
        <x:v>106.00000001490116</x:v>
      </x:c>
      <x:c r="K244" s="2" t="n">
        <x:v>252</x:v>
      </x:c>
      <x:c r="L244" s="2" t="n">
        <x:v>795</x:v>
      </x:c>
    </x:row>
    <x:row r="245" ht="24" customHeight="1">
      <x:c r="A245" s="2" t="n">
        <x:v>354</x:v>
      </x:c>
      <x:c r="B245" s="2" t="n">
        <x:v>2</x:v>
      </x:c>
      <x:c r="C245" s="12" t="n">
        <x:v>119472</x:v>
      </x:c>
      <x:c r="D245" s="12" t="n">
        <x:v>87225</x:v>
      </x:c>
      <x:c r="E245" s="12" t="n">
        <x:v>32033.666666671634</x:v>
      </x:c>
      <x:c r="F245" s="12" t="n">
        <x:v>36370</x:v>
      </x:c>
      <x:c r="G245" s="12" t="n">
        <x:v>48199.0000000149</x:v>
      </x:c>
      <x:c r="H245" s="12" t="n">
        <x:v>32247</x:v>
      </x:c>
      <x:c r="I245" s="12" t="n">
        <x:v>2550.000000014901</x:v>
      </x:c>
      <x:c r="J245" s="12" t="n">
        <x:v>105.99999997019768</x:v>
      </x:c>
      <x:c r="K245" s="2" t="n">
        <x:v>256</x:v>
      </x:c>
      <x:c r="L245" s="2" t="n">
        <x:v>795</x:v>
      </x:c>
    </x:row>
    <x:row r="246" ht="24" customHeight="1">
      <x:c r="A246" s="2" t="n">
        <x:v>355</x:v>
      </x:c>
      <x:c r="B246" s="2" t="n">
        <x:v>2</x:v>
      </x:c>
      <x:c r="C246" s="12" t="n">
        <x:v>119475</x:v>
      </x:c>
      <x:c r="D246" s="12" t="n">
        <x:v>67008</x:v>
      </x:c>
      <x:c r="E246" s="12" t="n">
        <x:v>52250.666666671634</x:v>
      </x:c>
      <x:c r="F246" s="12" t="n">
        <x:v>33664</x:v>
      </x:c>
      <x:c r="G246" s="12" t="n">
        <x:v>30688</x:v>
      </x:c>
      <x:c r="H246" s="12" t="n">
        <x:v>52467</x:v>
      </x:c>
      <x:c r="I246" s="12" t="n">
        <x:v>2550</x:v>
      </x:c>
      <x:c r="J246" s="12" t="n">
        <x:v>106</x:v>
      </x:c>
      <x:c r="K246" s="2" t="n">
        <x:v>260</x:v>
      </x:c>
      <x:c r="L246" s="2" t="n">
        <x:v>795</x:v>
      </x:c>
    </x:row>
    <x:row r="247" ht="24" customHeight="1">
      <x:c r="A247" s="2" t="n">
        <x:v>356</x:v>
      </x:c>
      <x:c r="B247" s="2" t="n">
        <x:v>2</x:v>
      </x:c>
      <x:c r="C247" s="12" t="n">
        <x:v>119470.9999999851</x:v>
      </x:c>
      <x:c r="D247" s="12" t="n">
        <x:v>88384</x:v>
      </x:c>
      <x:c r="E247" s="12" t="n">
        <x:v>30871.666666671634</x:v>
      </x:c>
      <x:c r="F247" s="12" t="n">
        <x:v>34952.9999999851</x:v>
      </x:c>
      <x:c r="G247" s="12" t="n">
        <x:v>50775</x:v>
      </x:c>
      <x:c r="H247" s="12" t="n">
        <x:v>31086.9999999851</x:v>
      </x:c>
      <x:c r="I247" s="12" t="n">
        <x:v>2550</x:v>
      </x:c>
      <x:c r="J247" s="12" t="n">
        <x:v>106.00000001490116</x:v>
      </x:c>
      <x:c r="K247" s="2" t="n">
        <x:v>264</x:v>
      </x:c>
      <x:c r="L247" s="2" t="n">
        <x:v>795</x:v>
      </x:c>
    </x:row>
    <x:row r="248" ht="24" customHeight="1">
      <x:c r="A248" s="2" t="n">
        <x:v>357</x:v>
      </x:c>
      <x:c r="B248" s="2" t="n">
        <x:v>2</x:v>
      </x:c>
      <x:c r="C248" s="12" t="n">
        <x:v>119472.0000000149</x:v>
      </x:c>
      <x:c r="D248" s="12" t="n">
        <x:v>67145.0000000149</x:v>
      </x:c>
      <x:c r="E248" s="12" t="n">
        <x:v>52111.666666671634</x:v>
      </x:c>
      <x:c r="F248" s="12" t="n">
        <x:v>31225</x:v>
      </x:c>
      <x:c r="G248" s="12" t="n">
        <x:v>33264</x:v>
      </x:c>
      <x:c r="H248" s="12" t="n">
        <x:v>52327</x:v>
      </x:c>
      <x:c r="I248" s="12" t="n">
        <x:v>2549.999999985099</x:v>
      </x:c>
      <x:c r="J248" s="12" t="n">
        <x:v>106.00000002980232</x:v>
      </x:c>
      <x:c r="K248" s="2" t="n">
        <x:v>268</x:v>
      </x:c>
      <x:c r="L248" s="2" t="n">
        <x:v>795</x:v>
      </x:c>
    </x:row>
    <x:row r="249" ht="24" customHeight="1">
      <x:c r="A249" s="2" t="n">
        <x:v>358</x:v>
      </x:c>
      <x:c r="B249" s="2" t="n">
        <x:v>2</x:v>
      </x:c>
      <x:c r="C249" s="12" t="n">
        <x:v>123846</x:v>
      </x:c>
      <x:c r="D249" s="12" t="n">
        <x:v>95359.0000000149</x:v>
      </x:c>
      <x:c r="E249" s="12" t="n">
        <x:v>28270.666666671634</x:v>
      </x:c>
      <x:c r="F249" s="12" t="n">
        <x:v>37555.0000000149</x:v>
      </x:c>
      <x:c r="G249" s="12" t="n">
        <x:v>50775</x:v>
      </x:c>
      <x:c r="H249" s="12" t="n">
        <x:v>28486.9999999851</x:v>
      </x:c>
      <x:c r="I249" s="12" t="n">
        <x:v>6923</x:v>
      </x:c>
      <x:c r="J249" s="12" t="n">
        <x:v>106</x:v>
      </x:c>
      <x:c r="K249" s="2" t="n">
        <x:v>272</x:v>
      </x:c>
      <x:c r="L249" s="2" t="n">
        <x:v>795</x:v>
      </x:c>
    </x:row>
    <x:row r="250" ht="24" customHeight="1">
      <x:c r="A250" s="2" t="n">
        <x:v>359</x:v>
      </x:c>
      <x:c r="B250" s="2" t="n">
        <x:v>2</x:v>
      </x:c>
      <x:c r="C250" s="12" t="n">
        <x:v>115095.9999999851</x:v>
      </x:c>
      <x:c r="D250" s="12" t="n">
        <x:v>73753.9999999851</x:v>
      </x:c>
      <x:c r="E250" s="12" t="n">
        <x:v>41128.666666671634</x:v>
      </x:c>
      <x:c r="F250" s="12" t="n">
        <x:v>37834</x:v>
      </x:c>
      <x:c r="G250" s="12" t="n">
        <x:v>33264</x:v>
      </x:c>
      <x:c r="H250" s="12" t="n">
        <x:v>41342</x:v>
      </x:c>
      <x:c r="I250" s="12" t="n">
        <x:v>2550</x:v>
      </x:c>
      <x:c r="J250" s="12" t="n">
        <x:v>105.99999998509884</x:v>
      </x:c>
      <x:c r="K250" s="2" t="n">
        <x:v>276</x:v>
      </x:c>
      <x:c r="L250" s="2" t="n">
        <x:v>795</x:v>
      </x:c>
    </x:row>
    <x:row r="251" ht="24" customHeight="1">
      <x:c r="A251" s="2" t="n">
        <x:v>360</x:v>
      </x:c>
      <x:c r="B251" s="2" t="n">
        <x:v>2</x:v>
      </x:c>
      <x:c r="C251" s="12" t="n">
        <x:v>119471.0000000149</x:v>
      </x:c>
      <x:c r="D251" s="12" t="n">
        <x:v>88129.0000000298</x:v>
      </x:c>
      <x:c r="E251" s="12" t="n">
        <x:v>31129.666666671634</x:v>
      </x:c>
      <x:c r="F251" s="12" t="n">
        <x:v>34103.9999999851</x:v>
      </x:c>
      <x:c r="G251" s="12" t="n">
        <x:v>51369</x:v>
      </x:c>
      <x:c r="H251" s="12" t="n">
        <x:v>31341.9999999851</x:v>
      </x:c>
      <x:c r="I251" s="12" t="n">
        <x:v>2550</x:v>
      </x:c>
      <x:c r="J251" s="12" t="n">
        <x:v>106.00000004470348</x:v>
      </x:c>
      <x:c r="K251" s="2" t="n">
        <x:v>280</x:v>
      </x:c>
      <x:c r="L251" s="2" t="n">
        <x:v>795</x:v>
      </x:c>
    </x:row>
    <x:row r="252" ht="24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</x:row>
    <x:row r="253" ht="24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</x:row>
    <x:row r="254" ht="24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16" hidden="0" customWidth="1"/>
    <x:col min="14" max="14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Cold transitions and event costs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 t="str">
        <x:v>Separate controlled samples. Entry to pre-RET; CALL/RET overhead belongs to the parent or untracked.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 t="str">
        <x:v>Self subtracts tracked children. Do not add inclusive parent and child rows or mix these samples with active FPS.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6" customHeight="1">
      <x:c r="A5" s="7" t="str">
        <x:v>Routine / hook</x:v>
      </x:c>
      <x:c r="B5" s="7" t="str">
        <x:v>Calls</x:v>
      </x:c>
      <x:c r="C5" s="7" t="str">
        <x:v>Mean incl cycles/call</x:v>
      </x:c>
      <x:c r="D5" s="7" t="str">
        <x:v>P95 incl cycles/call</x:v>
      </x:c>
      <x:c r="E5" s="7" t="str">
        <x:v>Max incl cycles/call</x:v>
      </x:c>
      <x:c r="F5" s="7" t="str">
        <x:v>Mean incl ms/call</x:v>
      </x:c>
      <x:c r="G5" s="7" t="str">
        <x:v>P95 incl ms/call</x:v>
      </x:c>
      <x:c r="H5" s="7" t="str">
        <x:v>Max incl ms/call</x:v>
      </x:c>
      <x:c r="I5" s="7" t="str">
        <x:v>Mean self cycles/call</x:v>
      </x:c>
      <x:c r="J5" s="7" t="str">
        <x:v>Mean self ms/call</x:v>
      </x:c>
      <x:c r="K5" s="7" t="str">
        <x:v>P95 self cycles/call</x:v>
      </x:c>
      <x:c r="L5" s="7" t="str">
        <x:v>Max self cycles/call</x:v>
      </x:c>
      <x:c r="M5" s="7" t="str">
        <x:v>P95 self ms/call</x:v>
      </x:c>
      <x:c r="N5" s="7" t="str">
        <x:v>Max self ms/call</x:v>
      </x:c>
    </x:row>
    <x:row r="6" ht="24" customHeight="1">
      <x:c r="A6" s="2" t="str">
        <x:v>GameSession_AudioStop</x:v>
      </x:c>
      <x:c r="B6" s="2" t="n">
        <x:v>30</x:v>
      </x:c>
      <x:c r="C6" s="12" t="n">
        <x:v>2645.0000000019745</x:v>
      </x:c>
      <x:c r="D6" s="12" t="n">
        <x:v>2645.000000019779</x:v>
      </x:c>
      <x:c r="E6" s="12" t="n">
        <x:v>2645.000000019779</x:v>
      </x:c>
      <x:c r="F6" s="8" t="n">
        <x:f>C6/'Summary'!$B$20*1000</x:f>
        <x:v>0.7389207287523901</x:v>
      </x:c>
      <x:c r="G6" s="8" t="n">
        <x:f>D6/'Summary'!$B$20*1000</x:f>
        <x:v>0.738920728757364</x:v>
      </x:c>
      <x:c r="H6" s="8" t="n">
        <x:f>E6/'Summary'!$B$20*1000</x:f>
        <x:v>0.738920728757364</x:v>
      </x:c>
      <x:c r="I6" s="12" t="n">
        <x:v>2645.0000000019745</x:v>
      </x:c>
      <x:c r="J6" s="8" t="n">
        <x:f>I6/'Summary'!$B$20*1000</x:f>
        <x:v>0.7389207287523901</x:v>
      </x:c>
      <x:c r="K6" s="12" t="n">
        <x:v>2645.000000019779</x:v>
      </x:c>
      <x:c r="L6" s="12" t="n">
        <x:v>2645.000000019779</x:v>
      </x:c>
      <x:c r="M6" s="8" t="n">
        <x:f>K6/'Summary'!$B$20*1000</x:f>
        <x:v>0.738920728757364</x:v>
      </x:c>
      <x:c r="N6" s="8" t="n">
        <x:f>L6/'Summary'!$B$20*1000</x:f>
        <x:v>0.738920728757364</x:v>
      </x:c>
    </x:row>
    <x:row r="7" ht="24" customHeight="1">
      <x:c r="A7" s="2" t="str">
        <x:v>GameSession_ChallengeFrame</x:v>
      </x:c>
      <x:c r="B7" s="2" t="n">
        <x:v>386</x:v>
      </x:c>
      <x:c r="C7" s="12" t="n">
        <x:v>1004.5544041447486</x:v>
      </x:c>
      <x:c r="D7" s="12" t="n">
        <x:v>4939.999999997298</x:v>
      </x:c>
      <x:c r="E7" s="12" t="n">
        <x:v>18635.999999993513</x:v>
      </x:c>
      <x:c r="F7" s="8" t="n">
        <x:f>C7/'Summary'!$B$20*1000</x:f>
        <x:v>0.2806374564769401</x:v>
      </x:c>
      <x:c r="G7" s="8" t="n">
        <x:f>D7/'Summary'!$B$20*1000</x:f>
        <x:v>1.380063667308917</x:v>
      </x:c>
      <x:c r="H7" s="8" t="n">
        <x:f>E7/'Summary'!$B$20*1000</x:f>
        <x:v>5.2062482801567</x:v>
      </x:c>
      <x:c r="I7" s="12" t="n">
        <x:v>1004.5544041447486</x:v>
      </x:c>
      <x:c r="J7" s="8" t="n">
        <x:f>I7/'Summary'!$B$20*1000</x:f>
        <x:v>0.2806374564769401</x:v>
      </x:c>
      <x:c r="K7" s="12" t="n">
        <x:v>4939.999999997298</x:v>
      </x:c>
      <x:c r="L7" s="12" t="n">
        <x:v>18635.999999993513</x:v>
      </x:c>
      <x:c r="M7" s="8" t="n">
        <x:f>K7/'Summary'!$B$20*1000</x:f>
        <x:v>1.380063667308917</x:v>
      </x:c>
      <x:c r="N7" s="8" t="n">
        <x:f>L7/'Summary'!$B$20*1000</x:f>
        <x:v>5.2062482801567</x:v>
      </x:c>
    </x:row>
    <x:row r="8" ht="24" customHeight="1">
      <x:c r="A8" s="2" t="str">
        <x:v>GameSession_ColdLoad</x:v>
      </x:c>
      <x:c r="B8" s="2" t="n">
        <x:v>13</x:v>
      </x:c>
      <x:c r="C8" s="12" t="n">
        <x:v>6350154.384615383</x:v>
      </x:c>
      <x:c r="D8" s="12" t="n">
        <x:v>6411049.000000005</x:v>
      </x:c>
      <x:c r="E8" s="12" t="n">
        <x:v>6411049.000000005</x:v>
      </x:c>
      <x:c r="F8" s="8" t="n">
        <x:f>C8/'Summary'!$B$20*1000</x:f>
        <x:v>1774.0116089098988</x:v>
      </x:c>
      <x:c r="G8" s="8" t="n">
        <x:f>D8/'Summary'!$B$20*1000</x:f>
        <x:v>1791.023440129962</x:v>
      </x:c>
      <x:c r="H8" s="8" t="n">
        <x:f>E8/'Summary'!$B$20*1000</x:f>
        <x:v>1791.023440129962</x:v>
      </x:c>
      <x:c r="I8" s="12" t="n">
        <x:v>4839448.307692307</x:v>
      </x:c>
      <x:c r="J8" s="8" t="n">
        <x:f>I8/'Summary'!$B$20*1000</x:f>
        <x:v>1351.9730322407756</x:v>
      </x:c>
      <x:c r="K8" s="12" t="n">
        <x:v>4901218.000000007</x:v>
      </x:c>
      <x:c r="L8" s="12" t="n">
        <x:v>4901218.000000007</x:v>
      </x:c>
      <x:c r="M8" s="8" t="n">
        <x:f>K8/'Summary'!$B$20*1000</x:f>
        <x:v>1369.2293294259487</x:v>
      </x:c>
      <x:c r="N8" s="8" t="n">
        <x:f>L8/'Summary'!$B$20*1000</x:f>
        <x:v>1369.2293294259487</x:v>
      </x:c>
    </x:row>
    <x:row r="9" ht="24" customHeight="1">
      <x:c r="A9" s="2" t="str">
        <x:v>GameSession_Prewarm</x:v>
      </x:c>
      <x:c r="B9" s="2" t="n">
        <x:v>14</x:v>
      </x:c>
      <x:c r="C9" s="12" t="n">
        <x:v>438975.57142857154</x:v>
      </x:c>
      <x:c r="D9" s="12" t="n">
        <x:v>442399.000000006</x:v>
      </x:c>
      <x:c r="E9" s="12" t="n">
        <x:v>442399.000000006</x:v>
      </x:c>
      <x:c r="F9" s="8" t="n">
        <x:f>C9/'Summary'!$B$20*1000</x:f>
        <x:v>122.6344609241039</x:v>
      </x:c>
      <x:c r="G9" s="8" t="n">
        <x:f>D9/'Summary'!$B$20*1000</x:f>
        <x:v>123.59084744010929</x:v>
      </x:c>
      <x:c r="H9" s="8" t="n">
        <x:f>E9/'Summary'!$B$20*1000</x:f>
        <x:v>123.59084744010929</x:v>
      </x:c>
      <x:c r="I9" s="12" t="n">
        <x:v>438975.57142857154</x:v>
      </x:c>
      <x:c r="J9" s="8" t="n">
        <x:f>I9/'Summary'!$B$20*1000</x:f>
        <x:v>122.6344609241039</x:v>
      </x:c>
      <x:c r="K9" s="12" t="n">
        <x:v>442399.000000006</x:v>
      </x:c>
      <x:c r="L9" s="12" t="n">
        <x:v>442399.000000006</x:v>
      </x:c>
      <x:c r="M9" s="8" t="n">
        <x:f>K9/'Summary'!$B$20*1000</x:f>
        <x:v>123.59084744010929</x:v>
      </x:c>
      <x:c r="N9" s="8" t="n">
        <x:f>L9/'Summary'!$B$20*1000</x:f>
        <x:v>123.59084744010929</x:v>
      </x:c>
    </x:row>
    <x:row r="10" ht="24" customHeight="1">
      <x:c r="A10" s="2" t="str">
        <x:v>GameSession_Video</x:v>
      </x:c>
      <x:c r="B10" s="2" t="n">
        <x:v>14</x:v>
      </x:c>
      <x:c r="C10" s="12" t="n">
        <x:v>1508666.928571426</x:v>
      </x:c>
      <x:c r="D10" s="12" t="n">
        <x:v>1544600.9999999816</x:v>
      </x:c>
      <x:c r="E10" s="12" t="n">
        <x:v>1544600.9999999816</x:v>
      </x:c>
      <x:c r="F10" s="8" t="n">
        <x:f>C10/'Summary'!$B$20*1000</x:f>
        <x:v>421.4689097556885</x:v>
      </x:c>
      <x:c r="G10" s="8" t="n">
        <x:f>D10/'Summary'!$B$20*1000</x:f>
        <x:v>431.50763574699624</x:v>
      </x:c>
      <x:c r="H10" s="8" t="n">
        <x:f>E10/'Summary'!$B$20*1000</x:f>
        <x:v>431.50763574699624</x:v>
      </x:c>
      <x:c r="I10" s="12" t="n">
        <x:v>1067046.3571428512</x:v>
      </x:c>
      <x:c r="J10" s="8" t="n">
        <x:f>I10/'Summary'!$B$20*1000</x:f>
        <x:v>298.09552810283185</x:v>
      </x:c>
      <x:c r="K10" s="12" t="n">
        <x:v>1102700.9999999693</x:v>
      </x:c>
      <x:c r="L10" s="12" t="n">
        <x:v>1102700.9999999693</x:v>
      </x:c>
      <x:c r="M10" s="8" t="n">
        <x:f>K10/'Summary'!$B$20*1000</x:f>
        <x:v>308.05619149919033</x:v>
      </x:c>
      <x:c r="N10" s="8" t="n">
        <x:f>L10/'Summary'!$B$20*1000</x:f>
        <x:v>308.05619149919033</x:v>
      </x:c>
    </x:row>
    <x:row r="11" ht="24" customHeight="1">
      <x:c r="A11" s="2" t="str">
        <x:v>GameSession_RemoveFlag</x:v>
      </x:c>
      <x:c r="B11" s="2" t="n">
        <x:v>10</x:v>
      </x:c>
      <x:c r="C11" s="12" t="n">
        <x:v>15910.000000001872</x:v>
      </x:c>
      <x:c r="D11" s="12" t="n">
        <x:v>15910.000000007594</x:v>
      </x:c>
      <x:c r="E11" s="12" t="n">
        <x:v>15910.000000007594</x:v>
      </x:c>
      <x:c r="F11" s="8" t="n">
        <x:f>C11/'Summary'!$B$20*1000</x:f>
        <x:v>4.444698977105155</x:v>
      </x:c>
      <x:c r="G11" s="8" t="n">
        <x:f>D11/'Summary'!$B$20*1000</x:f>
        <x:v>4.4446989771067535</x:v>
      </x:c>
      <x:c r="H11" s="8" t="n">
        <x:f>E11/'Summary'!$B$20*1000</x:f>
        <x:v>4.4446989771067535</x:v>
      </x:c>
      <x:c r="I11" s="12" t="n">
        <x:v>15910.000000001872</x:v>
      </x:c>
      <x:c r="J11" s="8" t="n">
        <x:f>I11/'Summary'!$B$20*1000</x:f>
        <x:v>4.444698977105155</x:v>
      </x:c>
      <x:c r="K11" s="12" t="n">
        <x:v>15910.000000007594</x:v>
      </x:c>
      <x:c r="L11" s="12" t="n">
        <x:v>15910.000000007594</x:v>
      </x:c>
      <x:c r="M11" s="8" t="n">
        <x:f>K11/'Summary'!$B$20*1000</x:f>
        <x:v>4.4446989771067535</x:v>
      </x:c>
      <x:c r="N11" s="8" t="n">
        <x:f>L11/'Summary'!$B$20*1000</x:f>
        <x:v>4.4446989771067535</x:v>
      </x:c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4" customHeight="1">
      <x:c r="A14" s="2" t="str">
        <x:v>Cold/UI source: /Users/sandersouza/Developer/msx-gamePorts/newrallyx/references/experiments/full-session/session-start-gc2evc7o/cold-hooks.tsv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4" customHeight="1">
      <x:c r="A15" s="2" t="str">
        <x:v>Separate controlled full-session integration, native rounds2..14, UI/cold restoration; not part of the active frame statistics.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4" customHeight="1">
      <x:c r="A16" s="2" t="str">
        <x:v>Flag cache invalidation: ten real contact-handler captures; normal and S-hidden caches cleared together.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4" customHeight="1">
      <x:c r="A17" s="2" t="str">
        <x:v>Challenge callback includes typed glyphs, complete item blits, delay ticks and final wait; this is cold UI only.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4" customHeight="1">
      <x:c r="A18" s="2" t="str">
        <x:v>AudioStop disables PSG tones/noise, zeroes all three volumes and clears queued effects before blocking work.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4" customHeight="1">
      <x:c r="A19" s="2" t="str">
        <x:v>Challenge reveal: 66 units over 276 physical refreshes; original font/items at 1:1 scale.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4" customHeight="1">
      <x:c r="A20" s="2" t="str">
        <x:v>Audio: original WSG challenge loop 1540 ticks; 770 cached PSG frames; 168/256 dictionary entries.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4" customHeight="1">
      <x:c r="A21" s="2" t="str">
        <x:v>Collision: cached attack/hold/release, 25 sound frames on B/C. AY timbre remains for user acceptance.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4" customHeight="1">
      <x:c r="A22" s="2" t="str">
        <x:v>ROM SHA256: 8e38359a68fb8e17621f5e40229c91a0f919596526dcc1c12e5a2c96634e7c5b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36" customHeight="1">
      <x:c r="A25" s="7" t="str">
        <x:v>Engine range</x:v>
      </x:c>
      <x:c r="B25" s="7" t="str">
        <x:v>Baseline RMS</x:v>
      </x:c>
      <x:c r="C25" s="7" t="str">
        <x:v>Current RMS</x:v>
      </x:c>
      <x:c r="D25" s="7" t="str">
        <x:v>Amplitude ratio</x:v>
      </x:c>
      <x:c r="E25" s="7" t="str">
        <x:v>Reduction</x:v>
      </x:c>
      <x:c r="F25" s="7" t="str">
        <x:v>PCM window</x:v>
      </x:c>
      <x:c r="G25" s="2"/>
      <x:c r="H25" s="2"/>
      <x:c r="I25" s="2"/>
      <x:c r="J25" s="2"/>
      <x:c r="K25" s="2"/>
      <x:c r="L25" s="2"/>
      <x:c r="M25" s="2"/>
      <x:c r="N25" s="2"/>
    </x:row>
    <x:row r="26" ht="24" customHeight="1">
      <x:c r="A26" s="2" t="str">
        <x:v>Idle</x:v>
      </x:c>
      <x:c r="B26" s="12" t="n">
        <x:v>1859.5379802147925</x:v>
      </x:c>
      <x:c r="C26" s="12" t="n">
        <x:v>1598.8593306489959</x:v>
      </x:c>
      <x:c r="D26" s="14" t="n">
        <x:f>C26/B26</x:f>
        <x:v>0.8598153668602746</x:v>
      </x:c>
      <x:c r="E26" s="14" t="n">
        <x:f>1-D26</x:f>
        <x:v>0.1401846331397254</x:v>
      </x:c>
      <x:c r="F26" s="2" t="str">
        <x:v>0.15..1.95s</x:v>
      </x:c>
      <x:c r="G26" s="2"/>
      <x:c r="H26" s="2"/>
      <x:c r="I26" s="2"/>
      <x:c r="J26" s="2"/>
      <x:c r="K26" s="2"/>
      <x:c r="L26" s="2"/>
      <x:c r="M26" s="2"/>
      <x:c r="N26" s="2"/>
    </x:row>
    <x:row r="27" ht="24" customHeight="1">
      <x:c r="A27" s="2" t="str">
        <x:v>Cruise</x:v>
      </x:c>
      <x:c r="B27" s="12" t="n">
        <x:v>1864.2795080726773</x:v>
      </x:c>
      <x:c r="C27" s="12" t="n">
        <x:v>1594.4644019840707</x:v>
      </x:c>
      <x:c r="D27" s="14" t="n">
        <x:f>C27/B27</x:f>
        <x:v>0.8552711088008762</x:v>
      </x:c>
      <x:c r="E27" s="14" t="n">
        <x:f>1-D27</x:f>
        <x:v>0.1447288911991238</x:v>
      </x:c>
      <x:c r="F27" s="2" t="str">
        <x:v>0.15..1.95s</x:v>
      </x:c>
      <x:c r="G27" s="2"/>
      <x:c r="H27" s="2"/>
      <x:c r="I27" s="2"/>
      <x:c r="J27" s="2"/>
      <x:c r="K27" s="2"/>
      <x:c r="L27" s="2"/>
      <x:c r="M27" s="2"/>
      <x:c r="N27" s="2"/>
    </x:row>
    <x:row r="28" ht="24" customHeight="1">
      <x:c r="A28" s="2" t="str">
        <x:v>Drive</x:v>
      </x:c>
      <x:c r="B28" s="12" t="n">
        <x:v>1848.802028607675</x:v>
      </x:c>
      <x:c r="C28" s="12" t="n">
        <x:v>1560.6949821774717</x:v>
      </x:c>
      <x:c r="D28" s="14" t="n">
        <x:f>C28/B28</x:f>
        <x:v>0.8441655504634125</x:v>
      </x:c>
      <x:c r="E28" s="14" t="n">
        <x:f>1-D28</x:f>
        <x:v>0.15583444953658754</x:v>
      </x:c>
      <x:c r="F28" s="2" t="str">
        <x:v>0.15..1.95s</x:v>
      </x:c>
      <x:c r="G28" s="2"/>
      <x:c r="H28" s="2"/>
      <x:c r="I28" s="2"/>
      <x:c r="J28" s="2"/>
      <x:c r="K28" s="2"/>
      <x:c r="L28" s="2"/>
      <x:c r="M28" s="2"/>
      <x:c r="N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36" customHeight="1">
      <x:c r="A30" s="7" t="str">
        <x:v>Smoke cue</x:v>
      </x:c>
      <x:c r="B30" s="7" t="str">
        <x:v>Before RMS</x:v>
      </x:c>
      <x:c r="C30" s="7" t="str">
        <x:v>Current RMS</x:v>
      </x:c>
      <x:c r="D30" s="7" t="str">
        <x:v>Amplitude gain</x:v>
      </x:c>
      <x:c r="E30" s="7" t="str">
        <x:v>Gain dB</x:v>
      </x:c>
      <x:c r="F30" s="7" t="str">
        <x:v>Sound frames</x:v>
      </x:c>
      <x:c r="G30" s="2"/>
      <x:c r="H30" s="2"/>
      <x:c r="I30" s="2"/>
      <x:c r="J30" s="2"/>
      <x:c r="K30" s="2"/>
      <x:c r="L30" s="2"/>
      <x:c r="M30" s="2"/>
      <x:c r="N30" s="2"/>
    </x:row>
    <x:row r="31" ht="24" customHeight="1">
      <x:c r="A31" s="2" t="str">
        <x:v>smoke1</x:v>
      </x:c>
      <x:c r="B31" s="12" t="n">
        <x:v>467.3932640588231</x:v>
      </x:c>
      <x:c r="C31" s="12" t="n">
        <x:v>2636.087525226938</x:v>
      </x:c>
      <x:c r="D31" s="15" t="n">
        <x:f>C31/B31</x:f>
        <x:v>5.639977569071635</x:v>
      </x:c>
      <x:c r="E31" s="16" t="n">
        <x:f>20*LOG10(D31)</x:f>
        <x:v>15.025547534816539</x:v>
      </x:c>
      <x:c r="F31" s="2" t="n">
        <x:v>4</x:v>
      </x:c>
      <x:c r="G31" s="2"/>
      <x:c r="H31" s="2"/>
      <x:c r="I31" s="2"/>
      <x:c r="J31" s="2"/>
      <x:c r="K31" s="2"/>
      <x:c r="L31" s="2"/>
      <x:c r="M31" s="2"/>
      <x:c r="N31" s="2"/>
    </x:row>
    <x:row r="32" ht="24" customHeight="1">
      <x:c r="A32" s="2" t="str">
        <x:v>smoke2</x:v>
      </x:c>
      <x:c r="B32" s="12" t="n">
        <x:v>457.35800657544866</x:v>
      </x:c>
      <x:c r="C32" s="12" t="n">
        <x:v>2619.5150440771986</x:v>
      </x:c>
      <x:c r="D32" s="15" t="n">
        <x:f>C32/B32</x:f>
        <x:v>5.727493574872111</x:v>
      </x:c>
      <x:c r="E32" s="16" t="n">
        <x:f>20*LOG10(D32)</x:f>
        <x:v>15.15929221336436</x:v>
      </x:c>
      <x:c r="F32" s="2" t="n">
        <x:v>4</x:v>
      </x:c>
      <x:c r="G32" s="2"/>
      <x:c r="H32" s="2"/>
      <x:c r="I32" s="2"/>
      <x:c r="J32" s="2"/>
      <x:c r="K32" s="2"/>
      <x:c r="L32" s="2"/>
      <x:c r="M32" s="2"/>
      <x:c r="N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4" customHeight="1">
      <x:c r="A34" s="2" t="str">
        <x:v>Only four smoke amplitude indices changed; duration, noise periods, engine, music and crash data are unchanged.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</x:sheetData>
  <x:pageMargins left="0.7" right="0.7" top="0.75" bottom="0.75" header="0.3" footer="0.3"/>
</x:worksheet>
</file>