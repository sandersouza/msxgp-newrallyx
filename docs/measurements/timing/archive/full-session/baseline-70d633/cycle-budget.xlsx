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3974d283e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7ff0b8ecd84a6b"/>
    <x:sheet xmlns:r="http://schemas.openxmlformats.org/officeDocument/2006/relationships" name="Routines" sheetId="2" r:id="Rbda9fa4c3d6d4b03"/>
    <x:sheet xmlns:r="http://schemas.openxmlformats.org/officeDocument/2006/relationships" name="Raster" sheetId="3" r:id="R371cc8211eeb4157"/>
    <x:sheet xmlns:r="http://schemas.openxmlformats.org/officeDocument/2006/relationships" name="Frames" sheetId="4" r:id="R58c05279c4a64db6"/>
    <x:sheet xmlns:r="http://schemas.openxmlformats.org/officeDocument/2006/relationships" name="Events" sheetId="5" r:id="R6a468adad46f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a8ecf7275495c" /><Relationship Type="http://schemas.openxmlformats.org/officeDocument/2006/relationships/theme" Target="/xl/theme/theme1.xml" Id="R04f75fdd821946d4" /><Relationship Type="http://schemas.openxmlformats.org/officeDocument/2006/relationships/sharedStrings" Target="/xl/sharedStrings.xml" Id="R10c273407ede4248" /><Relationship Type="http://schemas.openxmlformats.org/officeDocument/2006/relationships/worksheet" Target="/xl/worksheets/sheet1.xml" Id="R887ff0b8ecd84a6b" /><Relationship Type="http://schemas.openxmlformats.org/officeDocument/2006/relationships/worksheet" Target="/xl/worksheets/sheet2.xml" Id="Rbda9fa4c3d6d4b03" /><Relationship Type="http://schemas.openxmlformats.org/officeDocument/2006/relationships/worksheet" Target="/xl/worksheets/sheet3.xml" Id="R371cc8211eeb4157" /><Relationship Type="http://schemas.openxmlformats.org/officeDocument/2006/relationships/worksheet" Target="/xl/worksheets/sheet4.xml" Id="R58c05279c4a64db6" /><Relationship Type="http://schemas.openxmlformats.org/officeDocument/2006/relationships/worksheet" Target="/xl/worksheets/sheet5.xml" Id="R6a468adad46f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COUNT('Frames'!A6:A251)</x:f>
        <x:v>246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SUM('Frames'!C6:C251)/$B$20</x:f>
        <x:v>8.225604930235551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29.906615025450225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AVERAGE('Frames'!D6:D251)/$B$20*1000</x:f>
        <x:v>22.954262922569818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COUNTIF('Frames'!B6:B251,"&gt;2")</x:f>
        <x:v>1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($B$20/$B$22-AVERAGE('Frames'!D6:D251))/$B$20*1000</x:f>
        <x:v>10.41243711079688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MIN('Frames'!E6:E251)/$B$20*1000</x:f>
        <x:v>-11.278900903139467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70d6335163a702045b4a6da5cc3ac4eba1dd5e5b48e1aeda3cb628a81887a3c4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/Users/sandersouza/Developer/msx-gamePorts/newrallyx/references/experiments/full-session/profile-jwlx05as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464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Current steering route passed (1841 later poses). Earlier b3d4a5 corner stall has no confirmed root-cause fix.</x:v>
      </x:c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36" customHeight="1">
      <x:c r="A38" s="7" t="str">
        <x:v>Measure</x:v>
      </x:c>
      <x:c r="B38" s="7" t="str">
        <x:v>Previous5451bd89</x:v>
      </x:c>
      <x:c r="C38" s="7" t="str">
        <x:v>Current</x:v>
      </x:c>
      <x:c r="D38" s="7" t="str">
        <x:v>Comparison scope</x:v>
      </x:c>
    </x:row>
    <x:row r="39" ht="24" customHeight="1">
      <x:c r="A39" s="2" t="str">
        <x:v>Presentation rate</x:v>
      </x:c>
      <x:c r="B39" s="8" t="n">
        <x:v>28.879552418891517</x:v>
      </x:c>
      <x:c r="C39" s="8" t="n">
        <x:f>B8</x:f>
        <x:v>29.906615025450225</x:v>
      </x:c>
      <x:c r="D39" s="2" t="str">
        <x:v>FPS; same scripted input, trajectories differ</x:v>
      </x:c>
    </x:row>
    <x:row r="40" ht="24" customHeight="1">
      <x:c r="A40" s="2" t="str">
        <x:v>Late presentations</x:v>
      </x:c>
      <x:c r="B40" s="10" t="n">
        <x:v>19</x:v>
      </x:c>
      <x:c r="C40" s="10" t="n">
        <x:f>B10</x:f>
        <x:v>1</x:v>
      </x:c>
      <x:c r="D40" s="2" t="str">
        <x:v>Frames; active/death partitions differ</x:v>
      </x:c>
    </x:row>
    <x:row r="41" ht="24" customHeight="1">
      <x:c r="A41" s="2" t="str">
        <x:v>Mean CPU work</x:v>
      </x:c>
      <x:c r="B41" s="8" t="n">
        <x:v>24.114172575848595</x:v>
      </x:c>
      <x:c r="C41" s="8" t="n">
        <x:f>B9</x:f>
        <x:v>22.954262922569818</x:v>
      </x:c>
      <x:c r="D41" s="2" t="str">
        <x:v>ms/frame; synchronization excluded</x:v>
      </x:c>
    </x:row>
    <x:row r="42" ht="24" customHeight="1">
      <x:c r="A42" s="2" t="str">
        <x:v>Active presentations</x:v>
      </x:c>
      <x:c r="B42" s="10" t="n">
        <x:v>252</x:v>
      </x:c>
      <x:c r="C42" s="10" t="n">
        <x:f>B6</x:f>
        <x:v>246</x:v>
      </x:c>
      <x:c r="D42" s="2" t="str">
        <x:v>frames; short directional samples</x:v>
      </x:c>
    </x:row>
    <x:row r="43" ht="24" customHeight="1">
      <x:c r="A43" s="2" t="str">
        <x:v>Cold video restore</x:v>
      </x:c>
      <x:c r="B43" s="8" t="n">
        <x:v>201.07836929793368</x:v>
      </x:c>
      <x:c r="C43" s="8" t="n">
        <x:f>1504783.571428572/$B$20*1000</x:f>
        <x:v>420.3840352415103</x:v>
      </x:c>
      <x:c r="D43" s="2" t="str">
        <x:v>ms/call; additional prewarm remains in cold transition</x:v>
      </x:c>
    </x:row>
    <x:row r="44" ht="24" customHeight="1">
      <x:c r="A44" s="2" t="str">
        <x:v>ROM bytes</x:v>
      </x:c>
      <x:c r="B44" s="10" t="n">
        <x:v>3932160</x:v>
      </x:c>
      <x:c r="C44" s="10" t="n">
        <x:f>3997696</x:f>
        <x:v>3997696</x:v>
      </x:c>
      <x:c r="D44" s="2" t="str">
        <x:v>bytes; both cartridges remain below the ASCII16 limit</x:v>
      </x:c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237</x:v>
      </x:c>
      <x:c r="B49" s="8" t="n">
        <x:v>43.80696429295201</x:v>
      </x:c>
      <x:c r="C49" s="8" t="n">
        <x:v>-11.278900903139467</x:v>
      </x:c>
      <x:c r="D49" s="2" t="str">
        <x:v>Game_Prepare 16.171 ms; render 26.460 ms</x:v>
      </x:c>
    </x:row>
    <x:row r="50" ht="24" customHeight="1">
      <x:c r="A50" s="2"/>
      <x:c r="B50" s="8"/>
      <x:c r="C50" s="8"/>
      <x:c r="D50" s="2"/>
    </x:row>
    <x:row r="51" ht="24" customHeight="1">
      <x:c r="A51" s="2"/>
      <x:c r="B51" s="8"/>
      <x:c r="C51" s="8"/>
      <x:c r="D51" s="2"/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10.265887792184113</x:v>
      </x:c>
      <x:c r="D6" s="8" t="n">
        <x:f>L6/'Summary'!$B$20*1000</x:f>
        <x:v>13.092446106977283</x:v>
      </x:c>
      <x:c r="E6" s="8" t="n">
        <x:f>M6/'Summary'!$B$20*1000</x:f>
        <x:v>18.221030885214436</x:v>
      </x:c>
      <x:c r="F6" s="8" t="n">
        <x:f>J6/'Summary'!$B$20*1000</x:f>
        <x:v>0.05028572067167644</x:v>
      </x:c>
      <x:c r="G6" s="12" t="n">
        <x:v>36747.207317073684</x:v>
      </x:c>
      <x:c r="H6" s="12" t="n">
        <x:v>46865</x:v>
      </x:c>
      <x:c r="I6" s="12" t="n">
        <x:v>65223.0000000149</x:v>
      </x:c>
      <x:c r="J6" s="12" t="n">
        <x:v>180.00000000169607</x:v>
      </x:c>
      <x:c r="K6" s="2" t="n">
        <x:v>36747.207317073684</x:v>
      </x:c>
      <x:c r="L6" s="2" t="n">
        <x:v>46865</x:v>
      </x:c>
      <x:c r="M6" s="2" t="n">
        <x:v>65223.0000000149</x:v>
      </x:c>
      <x:c r="N6" s="12" t="n">
        <x:v>180.00000000169607</x:v>
      </x:c>
      <x:c r="O6" s="12" t="n">
        <x:v>180.00000002980232</x:v>
      </x:c>
      <x:c r="P6" s="12" t="n">
        <x:v>180.00000005960464</x:v>
      </x:c>
      <x:c r="Q6" s="8" t="n">
        <x:f>S6/'Summary'!$B$20*1000</x:f>
        <x:v>0.050285720679528356</x:v>
      </x:c>
      <x:c r="R6" s="8" t="n">
        <x:f>T6/'Summary'!$B$20*1000</x:f>
        <x:v>0.050285720687854085</x:v>
      </x:c>
      <x:c r="S6" s="12" t="n">
        <x:v>180.00000002980232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6.875233393370646</x:v>
      </x:c>
      <x:c r="D7" s="8" t="n">
        <x:f>L7/'Summary'!$B$20*1000</x:f>
        <x:v>8.179251832285948</x:v>
      </x:c>
      <x:c r="E7" s="8" t="n">
        <x:f>M7/'Summary'!$B$20*1000</x:f>
        <x:v>12.547684133039255</x:v>
      </x:c>
      <x:c r="F7" s="8" t="n">
        <x:f>J7/'Summary'!$B$20*1000</x:f>
        <x:v>0.45397171850768336</x:v>
      </x:c>
      <x:c r="G7" s="12" t="n">
        <x:v>24610.207317072927</x:v>
      </x:c>
      <x:c r="H7" s="12" t="n">
        <x:v>29278</x:v>
      </x:c>
      <x:c r="I7" s="12" t="n">
        <x:v>44915</x:v>
      </x:c>
      <x:c r="J7" s="12" t="n">
        <x:v>1625.0121951255855</x:v>
      </x:c>
      <x:c r="K7" s="2" t="n">
        <x:v>24610.207317072927</x:v>
      </x:c>
      <x:c r="L7" s="2" t="n">
        <x:v>29278</x:v>
      </x:c>
      <x:c r="M7" s="2" t="n">
        <x:v>44915</x:v>
      </x:c>
      <x:c r="N7" s="12" t="n">
        <x:v>1625.0121951255855</x:v>
      </x:c>
      <x:c r="O7" s="12" t="n">
        <x:v>1625.0000000447035</x:v>
      </x:c>
      <x:c r="P7" s="12" t="n">
        <x:v>3117.0000000447035</x:v>
      </x:c>
      <x:c r="Q7" s="8" t="n">
        <x:f>S7/'Summary'!$B$20*1000</x:f>
        <x:v>0.4539683116275123</x:v>
      </x:c>
      <x:c r="R7" s="8" t="n">
        <x:f>T7/'Summary'!$B$20*1000</x:f>
        <x:v>0.8707810629688141</x:v>
      </x:c>
      <x:c r="S7" s="12" t="n">
        <x:v>1625.0000000447035</x:v>
      </x:c>
      <x:c r="T7" s="12" t="n">
        <x:v>3117.0000000447035</x:v>
      </x:c>
    </x:row>
    <x:row r="8" ht="24" customHeight="1">
      <x:c r="A8" s="2" t="str">
        <x:v>Game_LogicTick</x:v>
      </x:c>
      <x:c r="B8" s="8" t="n">
        <x:v>2.0121951219512195</x:v>
      </x:c>
      <x:c r="C8" s="8" t="n">
        <x:f>K8/'Summary'!$B$20*1000</x:f>
        <x:v>4.679978914066133</x:v>
      </x:c>
      <x:c r="D8" s="8" t="n">
        <x:f>L8/'Summary'!$B$20*1000</x:f>
        <x:v>5.994616634237033</x:v>
      </x:c>
      <x:c r="E8" s="8" t="n">
        <x:f>M8/'Summary'!$B$20*1000</x:f>
        <x:v>8.843023345141658</x:v>
      </x:c>
      <x:c r="F8" s="8" t="n">
        <x:f>J8/'Summary'!$B$20*1000</x:f>
        <x:v>4.612542900857265</x:v>
      </x:c>
      <x:c r="G8" s="12" t="n">
        <x:v>8325.333333333152</x:v>
      </x:c>
      <x:c r="H8" s="12" t="n">
        <x:v>16605</x:v>
      </x:c>
      <x:c r="I8" s="12" t="n">
        <x:v>19548</x:v>
      </x:c>
      <x:c r="J8" s="12" t="n">
        <x:v>16510.804878049115</x:v>
      </x:c>
      <x:c r="K8" s="2" t="n">
        <x:v>16752.195121950856</x:v>
      </x:c>
      <x:c r="L8" s="2" t="n">
        <x:v>21458</x:v>
      </x:c>
      <x:c r="M8" s="2" t="n">
        <x:v>31653.9999999851</x:v>
      </x:c>
      <x:c r="N8" s="12" t="n">
        <x:v>8205.369696969863</x:v>
      </x:c>
      <x:c r="O8" s="12" t="n">
        <x:v>16478</x:v>
      </x:c>
      <x:c r="P8" s="12" t="n">
        <x:v>19421.0000000149</x:v>
      </x:c>
      <x:c r="Q8" s="8" t="n">
        <x:f>S8/'Summary'!$B$20*1000</x:f>
        <x:v>5.958299169307831</x:v>
      </x:c>
      <x:c r="R8" s="8" t="n">
        <x:f>T8/'Summary'!$B$20*1000</x:f>
        <x:v>8.772064605972295</x:v>
      </x:c>
      <x:c r="S8" s="12" t="n">
        <x:v>21328</x:v>
      </x:c>
      <x:c r="T8" s="12" t="n">
        <x:v>31399.9999999851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0.2514286033559539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0.2514286033559539</x:v>
      </x:c>
      <x:c r="G9" s="12" t="n">
        <x:v>899.999999999788</x:v>
      </x:c>
      <x:c r="H9" s="12" t="n">
        <x:v>900</x:v>
      </x:c>
      <x:c r="I9" s="12" t="n">
        <x:v>900.0000000149012</x:v>
      </x:c>
      <x:c r="J9" s="12" t="n">
        <x:v>899.999999999788</x:v>
      </x:c>
      <x:c r="K9" s="2" t="n">
        <x:v>899.999999999788</x:v>
      </x:c>
      <x:c r="L9" s="2" t="n">
        <x:v>900</x:v>
      </x:c>
      <x:c r="M9" s="2" t="n">
        <x:v>900.0000000149012</x:v>
      </x:c>
      <x:c r="N9" s="12" t="n">
        <x:v>899.999999999788</x:v>
      </x:c>
      <x:c r="O9" s="12" t="n">
        <x:v>900</x:v>
      </x:c>
      <x:c r="P9" s="12" t="n">
        <x:v>900.0000000149012</x:v>
      </x:c>
      <x:c r="Q9" s="8" t="n">
        <x:f>S9/'Summary'!$B$20*1000</x:f>
        <x:v>0.25142860335601314</x:v>
      </x:c>
      <x:c r="R9" s="8" t="n">
        <x:f>T9/'Summary'!$B$20*1000</x:f>
        <x:v>0.251428603360176</x:v>
      </x:c>
      <x:c r="S9" s="12" t="n">
        <x:v>900</x:v>
      </x:c>
      <x:c r="T9" s="12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1.113269982637238</x:v>
      </x:c>
      <x:c r="D10" s="8" t="n">
        <x:f>L10/'Summary'!$B$20*1000</x:f>
        <x:v>1.1132699826416208</x:v>
      </x:c>
      <x:c r="E10" s="8" t="n">
        <x:f>M10/'Summary'!$B$20*1000</x:f>
        <x:v>1.1132699826416208</x:v>
      </x:c>
      <x:c r="F10" s="8" t="n">
        <x:f>J10/'Summary'!$B$20*1000</x:f>
        <x:v>1.113269982637238</x:v>
      </x:c>
      <x:c r="G10" s="12" t="n">
        <x:v>3984.9999999992124</x:v>
      </x:c>
      <x:c r="H10" s="12" t="n">
        <x:v>3985.000000014901</x:v>
      </x:c>
      <x:c r="I10" s="12" t="n">
        <x:v>3985.000000014901</x:v>
      </x:c>
      <x:c r="J10" s="12" t="n">
        <x:v>3984.9999999992124</x:v>
      </x:c>
      <x:c r="K10" s="2" t="n">
        <x:v>3984.9999999992124</x:v>
      </x:c>
      <x:c r="L10" s="2" t="n">
        <x:v>3985.000000014901</x:v>
      </x:c>
      <x:c r="M10" s="2" t="n">
        <x:v>3985.000000014901</x:v>
      </x:c>
      <x:c r="N10" s="12" t="n">
        <x:v>3984.9999999992124</x:v>
      </x:c>
      <x:c r="O10" s="12" t="n">
        <x:v>3985.000000014901</x:v>
      </x:c>
      <x:c r="P10" s="12" t="n">
        <x:v>3985.000000014901</x:v>
      </x:c>
      <x:c r="Q10" s="8" t="n">
        <x:f>S10/'Summary'!$B$20*1000</x:f>
        <x:v>1.1132699826416208</x:v>
      </x:c>
      <x:c r="R10" s="8" t="n">
        <x:f>T10/'Summary'!$B$20*1000</x:f>
        <x:v>1.1132699826416208</x:v>
      </x:c>
      <x:c r="S10" s="12" t="n">
        <x:v>3985.000000014901</x:v>
      </x:c>
      <x:c r="T10" s="12" t="n">
        <x:v>3985.000000014901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1.6472525514126184</x:v>
      </x:c>
      <x:c r="D11" s="8" t="n">
        <x:f>L11/'Summary'!$B$20*1000</x:f>
        <x:v>4.034311623408814</x:v>
      </x:c>
      <x:c r="E11" s="8" t="n">
        <x:f>M11/'Summary'!$B$20*1000</x:f>
        <x:v>9.458185328025614</x:v>
      </x:c>
      <x:c r="F11" s="8" t="n">
        <x:f>J11/'Summary'!$B$20*1000</x:f>
        <x:v>1.4905094162680856</x:v>
      </x:c>
      <x:c r="G11" s="12" t="n">
        <x:v>5896.414634146281</x:v>
      </x:c>
      <x:c r="H11" s="12" t="n">
        <x:v>14441.000000014901</x:v>
      </x:c>
      <x:c r="I11" s="12" t="n">
        <x:v>33856.00000000745</x:v>
      </x:c>
      <x:c r="J11" s="12" t="n">
        <x:v>5335.345528455345</x:v>
      </x:c>
      <x:c r="K11" s="2" t="n">
        <x:v>5896.414634146281</x:v>
      </x:c>
      <x:c r="L11" s="2" t="n">
        <x:v>14441.000000014901</x:v>
      </x:c>
      <x:c r="M11" s="2" t="n">
        <x:v>33856.00000000745</x:v>
      </x:c>
      <x:c r="N11" s="12" t="n">
        <x:v>5335.345528455345</x:v>
      </x:c>
      <x:c r="O11" s="12" t="n">
        <x:v>13617</x:v>
      </x:c>
      <x:c r="P11" s="12" t="n">
        <x:v>33273</x:v>
      </x:c>
      <x:c r="Q11" s="8" t="n">
        <x:f>S11/'Summary'!$B$20*1000</x:f>
        <x:v>3.8041147687764787</x:v>
      </x:c>
      <x:c r="R11" s="8" t="n">
        <x:f>T11/'Summary'!$B$20*1000</x:f>
        <x:v>9.295315466071804</x:v>
      </x:c>
      <x:c r="S11" s="12" t="n">
        <x:v>13617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0.5526046385033052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0.5526046385033052</x:v>
      </x:c>
      <x:c r="G12" s="12" t="n">
        <x:v>1978.0731707313137</x:v>
      </x:c>
      <x:c r="H12" s="12" t="n">
        <x:v>1951.0000000149012</x:v>
      </x:c>
      <x:c r="I12" s="12" t="n">
        <x:v>4819</x:v>
      </x:c>
      <x:c r="J12" s="12" t="n">
        <x:v>1978.0731707313137</x:v>
      </x:c>
      <x:c r="K12" s="2" t="n">
        <x:v>1978.0731707313137</x:v>
      </x:c>
      <x:c r="L12" s="2" t="n">
        <x:v>1951.0000000149012</x:v>
      </x:c>
      <x:c r="M12" s="2" t="n">
        <x:v>4819</x:v>
      </x:c>
      <x:c r="N12" s="12" t="n">
        <x:v>1978.0731707313137</x:v>
      </x:c>
      <x:c r="O12" s="12" t="n">
        <x:v>1951.0000000149012</x:v>
      </x:c>
      <x:c r="P12" s="12" t="n">
        <x:v>4819</x:v>
      </x:c>
      <x:c r="Q12" s="8" t="n">
        <x:f>S12/'Summary'!$B$20*1000</x:f>
        <x:v>0.5450413390570312</x:v>
      </x:c>
      <x:c r="R12" s="8" t="n">
        <x:f>T12/'Summary'!$B$20*1000</x:f>
        <x:v>1.3462604884140303</x:v>
      </x:c>
      <x:c r="S12" s="12" t="n">
        <x:v>1951.0000000149012</x:v>
      </x:c>
      <x:c r="T12" s="12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0.5213361869913522</x:v>
      </x:c>
      <x:c r="D13" s="8" t="n">
        <x:f>L13/'Summary'!$B$20*1000</x:f>
        <x:v>0.5651556273255124</x:v>
      </x:c>
      <x:c r="E13" s="8" t="n">
        <x:f>M13/'Summary'!$B$20*1000</x:f>
        <x:v>1.72368275856289</x:v>
      </x:c>
      <x:c r="F13" s="8" t="n">
        <x:f>J13/'Summary'!$B$20*1000</x:f>
        <x:v>0.5213361869913522</x:v>
      </x:c>
      <x:c r="G13" s="12" t="n">
        <x:v>1866.1463414639597</x:v>
      </x:c>
      <x:c r="H13" s="12" t="n">
        <x:v>2023.0000000149012</x:v>
      </x:c>
      <x:c r="I13" s="12" t="n">
        <x:v>6170</x:v>
      </x:c>
      <x:c r="J13" s="12" t="n">
        <x:v>1866.1463414639597</x:v>
      </x:c>
      <x:c r="K13" s="2" t="n">
        <x:v>1866.1463414639597</x:v>
      </x:c>
      <x:c r="L13" s="2" t="n">
        <x:v>2023.0000000149012</x:v>
      </x:c>
      <x:c r="M13" s="2" t="n">
        <x:v>6170</x:v>
      </x:c>
      <x:c r="N13" s="12" t="n">
        <x:v>1866.1463414639597</x:v>
      </x:c>
      <x:c r="O13" s="12" t="n">
        <x:v>2023.0000000149012</x:v>
      </x:c>
      <x:c r="P13" s="12" t="n">
        <x:v>6170</x:v>
      </x:c>
      <x:c r="Q13" s="8" t="n">
        <x:f>S13/'Summary'!$B$20*1000</x:f>
        <x:v>0.5651556273255124</x:v>
      </x:c>
      <x:c r="R13" s="8" t="n">
        <x:f>T13/'Summary'!$B$20*1000</x:f>
        <x:v>1.72368275856289</x:v>
      </x:c>
      <x:c r="S13" s="12" t="n">
        <x:v>2023.0000000149012</x:v>
      </x:c>
      <x:c r="T13" s="12" t="n">
        <x:v>6170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0.3627135832891481</x:v>
      </x:c>
      <x:c r="D14" s="8" t="n">
        <x:f>L14/'Summary'!$B$20*1000</x:f>
        <x:v>0.45340958138950654</x:v>
      </x:c>
      <x:c r="E14" s="8" t="n">
        <x:f>M14/'Summary'!$B$20*1000</x:f>
        <x:v>1.2414985703490249</x:v>
      </x:c>
      <x:c r="F14" s="8" t="n">
        <x:f>J14/'Summary'!$B$20*1000</x:f>
        <x:v>0.3627135832891481</x:v>
      </x:c>
      <x:c r="G14" s="12" t="n">
        <x:v>1298.3495934947537</x:v>
      </x:c>
      <x:c r="H14" s="12" t="n">
        <x:v>1623.0000000149012</x:v>
      </x:c>
      <x:c r="I14" s="12" t="n">
        <x:v>4444</x:v>
      </x:c>
      <x:c r="J14" s="12" t="n">
        <x:v>1298.3495934947537</x:v>
      </x:c>
      <x:c r="K14" s="2" t="n">
        <x:v>1298.3495934947537</x:v>
      </x:c>
      <x:c r="L14" s="2" t="n">
        <x:v>1623.0000000149012</x:v>
      </x:c>
      <x:c r="M14" s="2" t="n">
        <x:v>4444</x:v>
      </x:c>
      <x:c r="N14" s="12" t="n">
        <x:v>1298.3495934947537</x:v>
      </x:c>
      <x:c r="O14" s="12" t="n">
        <x:v>1623.0000000149012</x:v>
      </x:c>
      <x:c r="P14" s="12" t="n">
        <x:v>4444</x:v>
      </x:c>
      <x:c r="Q14" s="8" t="n">
        <x:f>S14/'Summary'!$B$20*1000</x:f>
        <x:v>0.45340958138950654</x:v>
      </x:c>
      <x:c r="R14" s="8" t="n">
        <x:f>T14/'Summary'!$B$20*1000</x:f>
        <x:v>1.2414985703490249</x:v>
      </x:c>
      <x:c r="S14" s="12" t="n">
        <x:v>1623.0000000149012</x:v>
      </x:c>
      <x:c r="T14" s="12" t="n">
        <x:v>4444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11.595939425784564</x:v>
      </x:c>
      <x:c r="D15" s="8" t="n">
        <x:f>L15/'Summary'!$B$20*1000</x:f>
        <x:v>19.109132585286677</x:v>
      </x:c>
      <x:c r="E15" s="8" t="n">
        <x:f>M15/'Summary'!$B$20*1000</x:f>
        <x:v>26.46034621718682</x:v>
      </x:c>
      <x:c r="F15" s="8" t="n">
        <x:f>J15/'Summary'!$B$20*1000</x:f>
        <x:v>1.1323962723293368</x:v>
      </x:c>
      <x:c r="G15" s="12" t="n">
        <x:v>41508.18699187001</x:v>
      </x:c>
      <x:c r="H15" s="12" t="n">
        <x:v>68402</x:v>
      </x:c>
      <x:c r="I15" s="12" t="n">
        <x:v>94716</x:v>
      </x:c>
      <x:c r="J15" s="12" t="n">
        <x:v>4053.4634146351154</x:v>
      </x:c>
      <x:c r="K15" s="2" t="n">
        <x:v>41508.18699187001</x:v>
      </x:c>
      <x:c r="L15" s="2" t="n">
        <x:v>68402</x:v>
      </x:c>
      <x:c r="M15" s="2" t="n">
        <x:v>94716</x:v>
      </x:c>
      <x:c r="N15" s="12" t="n">
        <x:v>4053.4634146351154</x:v>
      </x:c>
      <x:c r="O15" s="12" t="n">
        <x:v>4196</x:v>
      </x:c>
      <x:c r="P15" s="12" t="n">
        <x:v>4226.000000029802</x:v>
      </x:c>
      <x:c r="Q15" s="8" t="n">
        <x:f>S15/'Summary'!$B$20*1000</x:f>
        <x:v>1.172216021868701</x:v>
      </x:c>
      <x:c r="R15" s="8" t="n">
        <x:f>T15/'Summary'!$B$20*1000</x:f>
        <x:v>1.1805969753222274</x:v>
      </x:c>
      <x:c r="S15" s="12" t="n">
        <x:v>4196</x:v>
      </x:c>
      <x:c r="T15" s="12" t="n">
        <x:v>4226.000000029802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10.483155493021851</x:v>
      </x:c>
      <x:c r="D16" s="8" t="n">
        <x:f>L16/'Summary'!$B$20*1000</x:f>
        <x:v>15.399163860215447</x:v>
      </x:c>
      <x:c r="E16" s="8" t="n">
        <x:f>M16/'Summary'!$B$20*1000</x:f>
        <x:v>16.40348144806114</x:v>
      </x:c>
      <x:c r="F16" s="8" t="n">
        <x:f>J16/'Summary'!$B$20*1000</x:f>
        <x:v>10.43538405838426</x:v>
      </x:c>
      <x:c r="G16" s="12" t="n">
        <x:v>37524.9268292689</x:v>
      </x:c>
      <x:c r="H16" s="12" t="n">
        <x:v>55122.0000000149</x:v>
      </x:c>
      <x:c r="I16" s="12" t="n">
        <x:v>58717</x:v>
      </x:c>
      <x:c r="J16" s="12" t="n">
        <x:v>37353.92682926908</x:v>
      </x:c>
      <x:c r="K16" s="2" t="n">
        <x:v>37524.9268292689</x:v>
      </x:c>
      <x:c r="L16" s="2" t="n">
        <x:v>55122.0000000149</x:v>
      </x:c>
      <x:c r="M16" s="2" t="n">
        <x:v>58717</x:v>
      </x:c>
      <x:c r="N16" s="12" t="n">
        <x:v>37353.92682926908</x:v>
      </x:c>
      <x:c r="O16" s="12" t="n">
        <x:v>54951.0000000149</x:v>
      </x:c>
      <x:c r="P16" s="12" t="n">
        <x:v>58546</x:v>
      </x:c>
      <x:c r="Q16" s="8" t="n">
        <x:f>S16/'Summary'!$B$20*1000</x:f>
        <x:v>15.351392425577805</x:v>
      </x:c>
      <x:c r="R16" s="8" t="n">
        <x:f>T16/'Summary'!$B$20*1000</x:f>
        <x:v>16.355710013423494</x:v>
      </x:c>
      <x:c r="S16" s="12" t="n">
        <x:v>54951.0000000149</x:v>
      </x:c>
      <x:c r="T16" s="12" t="n">
        <x:v>58546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1.062823002428294</x:v>
      </x:c>
      <x:c r="D17" s="8" t="n">
        <x:f>L17/'Summary'!$B$20*1000</x:f>
        <x:v>1.1459557010779027</x:v>
      </x:c>
      <x:c r="E17" s="8" t="n">
        <x:f>M17/'Summary'!$B$20*1000</x:f>
        <x:v>1.9471748504349016</x:v>
      </x:c>
      <x:c r="F17" s="8" t="n">
        <x:f>J17/'Summary'!$B$20*1000</x:f>
        <x:v>0.14750478063584077</x:v>
      </x:c>
      <x:c r="G17" s="12" t="n">
        <x:v>3804.422764227188</x:v>
      </x:c>
      <x:c r="H17" s="12" t="n">
        <x:v>4102.000000014901</x:v>
      </x:c>
      <x:c r="I17" s="12" t="n">
        <x:v>6970</x:v>
      </x:c>
      <x:c r="J17" s="12" t="n">
        <x:v>528.0000000011206</x:v>
      </x:c>
      <x:c r="K17" s="2" t="n">
        <x:v>3804.422764227188</x:v>
      </x:c>
      <x:c r="L17" s="2" t="n">
        <x:v>4102.000000014901</x:v>
      </x:c>
      <x:c r="M17" s="2" t="n">
        <x:v>6970</x:v>
      </x:c>
      <x:c r="N17" s="12" t="n">
        <x:v>528.0000000011206</x:v>
      </x:c>
      <x:c r="O17" s="12" t="n">
        <x:v>528.0000000298023</x:v>
      </x:c>
      <x:c r="P17" s="12" t="n">
        <x:v>528.0000000298023</x:v>
      </x:c>
      <x:c r="Q17" s="8" t="n">
        <x:f>S17/'Summary'!$B$20*1000</x:f>
        <x:v>0.14750478064385342</x:v>
      </x:c>
      <x:c r="R17" s="8" t="n">
        <x:f>T17/'Summary'!$B$20*1000</x:f>
        <x:v>0.14750478064385342</x:v>
      </x:c>
      <x:c r="S17" s="12" t="n">
        <x:v>528.0000000298023</x:v>
      </x:c>
      <x:c r="T17" s="12" t="n">
        <x:v>528.0000000298023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1.856437969639185</x:v>
      </x:c>
      <x:c r="D18" s="8" t="n">
        <x:f>L18/'Summary'!$B$20*1000</x:f>
        <x:v>4.7486482220505675</x:v>
      </x:c>
      <x:c r="E18" s="8" t="n">
        <x:f>M18/'Summary'!$B$20*1000</x:f>
        <x:v>5.193118119761031</x:v>
      </x:c>
      <x:c r="F18" s="8" t="n">
        <x:f>J18/'Summary'!$B$20*1000</x:f>
        <x:v>1.8548844270493428</x:v>
      </x:c>
      <x:c r="G18" s="12" t="n">
        <x:v>6645.203252032096</x:v>
      </x:c>
      <x:c r="H18" s="12" t="n">
        <x:v>16998</x:v>
      </x:c>
      <x:c r="I18" s="12" t="n">
        <x:v>18589</x:v>
      </x:c>
      <x:c r="J18" s="12" t="n">
        <x:v>6639.64227642234</x:v>
      </x:c>
      <x:c r="K18" s="2" t="n">
        <x:v>6645.203252032096</x:v>
      </x:c>
      <x:c r="L18" s="2" t="n">
        <x:v>16998</x:v>
      </x:c>
      <x:c r="M18" s="2" t="n">
        <x:v>18589</x:v>
      </x:c>
      <x:c r="N18" s="12" t="n">
        <x:v>6639.64227642234</x:v>
      </x:c>
      <x:c r="O18" s="12" t="n">
        <x:v>16998</x:v>
      </x:c>
      <x:c r="P18" s="12" t="n">
        <x:v>18589</x:v>
      </x:c>
      <x:c r="Q18" s="8" t="n">
        <x:f>S18/'Summary'!$B$20*1000</x:f>
        <x:v>4.7486482220505675</x:v>
      </x:c>
      <x:c r="R18" s="8" t="n">
        <x:f>T18/'Summary'!$B$20*1000</x:f>
        <x:v>5.193118119761031</x:v>
      </x:c>
      <x:c r="S18" s="12" t="n">
        <x:v>16998</x:v>
      </x:c>
      <x:c r="T18" s="12" t="n">
        <x:v>18589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0.27755832663791413</x:v>
      </x:c>
      <x:c r="D19" s="8" t="n">
        <x:f>L19/'Summary'!$B$20*1000</x:f>
        <x:v>0.498387364874586</x:v>
      </x:c>
      <x:c r="E19" s="8" t="n">
        <x:f>M19/'Summary'!$B$20*1000</x:f>
        <x:v>0.5500699111199887</x:v>
      </x:c>
      <x:c r="F19" s="8" t="n">
        <x:f>J19/'Summary'!$B$20*1000</x:f>
        <x:v>0.24497140805947204</x:v>
      </x:c>
      <x:c r="G19" s="12" t="n">
        <x:v>993.5325203251124</x:v>
      </x:c>
      <x:c r="H19" s="12" t="n">
        <x:v>1784</x:v>
      </x:c>
      <x:c r="I19" s="12" t="n">
        <x:v>1969</x:v>
      </x:c>
      <x:c r="J19" s="12" t="n">
        <x:v>876.8861788622429</x:v>
      </x:c>
      <x:c r="K19" s="2" t="n">
        <x:v>993.5325203251124</x:v>
      </x:c>
      <x:c r="L19" s="2" t="n">
        <x:v>1784</x:v>
      </x:c>
      <x:c r="M19" s="2" t="n">
        <x:v>1969</x:v>
      </x:c>
      <x:c r="N19" s="12" t="n">
        <x:v>876.8861788622429</x:v>
      </x:c>
      <x:c r="O19" s="12" t="n">
        <x:v>1568</x:v>
      </x:c>
      <x:c r="P19" s="12" t="n">
        <x:v>1582</x:v>
      </x:c>
      <x:c r="Q19" s="8" t="n">
        <x:f>S19/'Summary'!$B$20*1000</x:f>
        <x:v>0.43804450006914286</x:v>
      </x:c>
      <x:c r="R19" s="8" t="n">
        <x:f>T19/'Summary'!$B$20*1000</x:f>
        <x:v>0.4419556116769031</x:v>
      </x:c>
      <x:c r="S19" s="12" t="n">
        <x:v>1568</x:v>
      </x:c>
      <x:c r="T19" s="12" t="n">
        <x:v>1582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0.0357587346996234</x:v>
      </x:c>
      <x:c r="D20" s="8" t="n">
        <x:f>L20/'Summary'!$B$20*1000</x:f>
        <x:v>0.04050794165180212</x:v>
      </x:c>
      <x:c r="E20" s="8" t="n">
        <x:f>M20/'Summary'!$B$20*1000</x:f>
        <x:v>0.040507941655964975</x:v>
      </x:c>
      <x:c r="F20" s="8" t="n">
        <x:f>J20/'Summary'!$B$20*1000</x:f>
        <x:v>0.0357587346996234</x:v>
      </x:c>
      <x:c r="G20" s="12" t="n">
        <x:v>128.00000000036346</x:v>
      </x:c>
      <x:c r="H20" s="12" t="n">
        <x:v>145</x:v>
      </x:c>
      <x:c r="I20" s="12" t="n">
        <x:v>145.00000001490116</x:v>
      </x:c>
      <x:c r="J20" s="12" t="n">
        <x:v>128.00000000036346</x:v>
      </x:c>
      <x:c r="K20" s="2" t="n">
        <x:v>128.00000000036346</x:v>
      </x:c>
      <x:c r="L20" s="2" t="n">
        <x:v>145</x:v>
      </x:c>
      <x:c r="M20" s="2" t="n">
        <x:v>145.00000001490116</x:v>
      </x:c>
      <x:c r="N20" s="12" t="n">
        <x:v>128.00000000036346</x:v>
      </x:c>
      <x:c r="O20" s="12" t="n">
        <x:v>145</x:v>
      </x:c>
      <x:c r="P20" s="12" t="n">
        <x:v>145.00000001490116</x:v>
      </x:c>
      <x:c r="Q20" s="8" t="n">
        <x:f>S20/'Summary'!$B$20*1000</x:f>
        <x:v>0.04050794165180212</x:v>
      </x:c>
      <x:c r="R20" s="8" t="n">
        <x:f>T20/'Summary'!$B$20*1000</x:f>
        <x:v>0.040507941655964975</x:v>
      </x:c>
      <x:c r="S20" s="12" t="n">
        <x:v>145</x:v>
      </x:c>
      <x:c r="T20" s="12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1.3853716044915307</x:v>
      </x:c>
      <x:c r="D21" s="8" t="n">
        <x:f>L21/'Summary'!$B$20*1000</x:f>
        <x:v>1.5879113127506428</x:v>
      </x:c>
      <x:c r="E21" s="8" t="n">
        <x:f>M21/'Summary'!$B$20*1000</x:f>
        <x:v>1.8158732464642575</x:v>
      </x:c>
      <x:c r="F21" s="8" t="n">
        <x:f>J21/'Summary'!$B$20*1000</x:f>
        <x:v>1.0233939097970295</x:v>
      </x:c>
      <x:c r="G21" s="12" t="n">
        <x:v>4958.999999999636</x:v>
      </x:c>
      <x:c r="H21" s="12" t="n">
        <x:v>5684</x:v>
      </x:c>
      <x:c r="I21" s="12" t="n">
        <x:v>6500.000000014901</x:v>
      </x:c>
      <x:c r="J21" s="12" t="n">
        <x:v>3663.2845528444077</x:v>
      </x:c>
      <x:c r="K21" s="2" t="n">
        <x:v>4958.999999999636</x:v>
      </x:c>
      <x:c r="L21" s="2" t="n">
        <x:v>5684</x:v>
      </x:c>
      <x:c r="M21" s="2" t="n">
        <x:v>6500.000000014901</x:v>
      </x:c>
      <x:c r="N21" s="12" t="n">
        <x:v>3663.2845528444077</x:v>
      </x:c>
      <x:c r="O21" s="12" t="n">
        <x:v>4275</x:v>
      </x:c>
      <x:c r="P21" s="12" t="n">
        <x:v>5212.000000014901</x:v>
      </x:c>
      <x:c r="Q21" s="8" t="n">
        <x:f>S21/'Summary'!$B$20*1000</x:f>
        <x:v>1.1942858659410625</x:v>
      </x:c>
      <x:c r="R21" s="8" t="n">
        <x:f>T21/'Summary'!$B$20*1000</x:f>
        <x:v>1.4560509785503188</x:v>
      </x:c>
      <x:c r="S21" s="12" t="n">
        <x:v>4275</x:v>
      </x:c>
      <x:c r="T21" s="12" t="n">
        <x:v>5212.000000014901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0.46579703940435574</x:v>
      </x:c>
      <x:c r="D22" s="8" t="n">
        <x:f>L22/'Summary'!$B$20*1000</x:f>
        <x:v>0.5425270530234712</x:v>
      </x:c>
      <x:c r="E22" s="8" t="n">
        <x:f>M22/'Summary'!$B$20*1000</x:f>
        <x:v>0.7059556452007169</x:v>
      </x:c>
      <x:c r="F22" s="8" t="n">
        <x:f>J22/'Summary'!$B$20*1000</x:f>
        <x:v>0.4654086537569121</x:v>
      </x:c>
      <x:c r="G22" s="12" t="n">
        <x:v>1667.3414634146645</x:v>
      </x:c>
      <x:c r="H22" s="12" t="n">
        <x:v>1942.0000000149012</x:v>
      </x:c>
      <x:c r="I22" s="12" t="n">
        <x:v>2527</x:v>
      </x:c>
      <x:c r="J22" s="12" t="n">
        <x:v>1665.951219512286</x:v>
      </x:c>
      <x:c r="K22" s="2" t="n">
        <x:v>1667.3414634146645</x:v>
      </x:c>
      <x:c r="L22" s="2" t="n">
        <x:v>1942.0000000149012</x:v>
      </x:c>
      <x:c r="M22" s="2" t="n">
        <x:v>2527</x:v>
      </x:c>
      <x:c r="N22" s="12" t="n">
        <x:v>1665.951219512286</x:v>
      </x:c>
      <x:c r="O22" s="12" t="n">
        <x:v>1942.0000000149012</x:v>
      </x:c>
      <x:c r="P22" s="12" t="n">
        <x:v>2356</x:v>
      </x:c>
      <x:c r="Q22" s="8" t="n">
        <x:f>S22/'Summary'!$B$20*1000</x:f>
        <x:v>0.5425270530234712</x:v>
      </x:c>
      <x:c r="R22" s="8" t="n">
        <x:f>T22/'Summary'!$B$20*1000</x:f>
        <x:v>0.6581842105630744</x:v>
      </x:c>
      <x:c r="S22" s="12" t="n">
        <x:v>1942.0000000149012</x:v>
      </x:c>
      <x:c r="T22" s="12" t="n">
        <x:v>2356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3.8749213334522574</x:v>
      </x:c>
      <x:c r="D23" s="8" t="n">
        <x:f>L23/'Summary'!$B$20*1000</x:f>
        <x:v>4.824356168172211</x:v>
      </x:c>
      <x:c r="E23" s="8" t="n">
        <x:f>M23/'Summary'!$B$20*1000</x:f>
        <x:v>10.657499766031716</x:v>
      </x:c>
      <x:c r="F23" s="8" t="n">
        <x:f>J23/'Summary'!$B$20*1000</x:f>
        <x:v>3.8593859075538965</x:v>
      </x:c>
      <x:c r="G23" s="12" t="n">
        <x:v>13870.455284552361</x:v>
      </x:c>
      <x:c r="H23" s="12" t="n">
        <x:v>17269</x:v>
      </x:c>
      <x:c r="I23" s="12" t="n">
        <x:v>38149</x:v>
      </x:c>
      <x:c r="J23" s="12" t="n">
        <x:v>13814.845528455013</x:v>
      </x:c>
      <x:c r="K23" s="2" t="n">
        <x:v>13870.455284552361</x:v>
      </x:c>
      <x:c r="L23" s="2" t="n">
        <x:v>17269</x:v>
      </x:c>
      <x:c r="M23" s="2" t="n">
        <x:v>38149</x:v>
      </x:c>
      <x:c r="N23" s="12" t="n">
        <x:v>13814.845528455013</x:v>
      </x:c>
      <x:c r="O23" s="12" t="n">
        <x:v>17269</x:v>
      </x:c>
      <x:c r="P23" s="12" t="n">
        <x:v>38149</x:v>
      </x:c>
      <x:c r="Q23" s="8" t="n">
        <x:f>S23/'Summary'!$B$20*1000</x:f>
        <x:v>4.824356168172211</x:v>
      </x:c>
      <x:c r="R23" s="8" t="n">
        <x:f>T23/'Summary'!$B$20*1000</x:f>
        <x:v>10.657499766031716</x:v>
      </x:c>
      <x:c r="S23" s="12" t="n">
        <x:v>17269</x:v>
      </x:c>
      <x:c r="T23" s="12" t="n">
        <x:v>38149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0.8027420299263144</x:v>
      </x:c>
      <x:c r="D24" s="8" t="n">
        <x:f>L24/'Summary'!$B$20*1000</x:f>
        <x:v>3.218286122952805</x:v>
      </x:c>
      <x:c r="E24" s="8" t="n">
        <x:f>M24/'Summary'!$B$20*1000</x:f>
        <x:v>3.6082798232736284</x:v>
      </x:c>
      <x:c r="F24" s="8" t="n">
        <x:f>J24/'Summary'!$B$20*1000</x:f>
        <x:v>0.7974988236856482</x:v>
      </x:c>
      <x:c r="G24" s="12" t="n">
        <x:v>2873.451219512589</x:v>
      </x:c>
      <x:c r="H24" s="12" t="n">
        <x:v>11519.999999985099</x:v>
      </x:c>
      <x:c r="I24" s="12" t="n">
        <x:v>12916</x:v>
      </x:c>
      <x:c r="J24" s="12" t="n">
        <x:v>2854.682926829844</x:v>
      </x:c>
      <x:c r="K24" s="2" t="n">
        <x:v>2873.451219512589</x:v>
      </x:c>
      <x:c r="L24" s="2" t="n">
        <x:v>11519.999999985099</x:v>
      </x:c>
      <x:c r="M24" s="2" t="n">
        <x:v>12916</x:v>
      </x:c>
      <x:c r="N24" s="12" t="n">
        <x:v>2854.682926829844</x:v>
      </x:c>
      <x:c r="O24" s="12" t="n">
        <x:v>11495</x:v>
      </x:c>
      <x:c r="P24" s="12" t="n">
        <x:v>12810</x:v>
      </x:c>
      <x:c r="Q24" s="8" t="n">
        <x:f>S24/'Summary'!$B$20*1000</x:f>
        <x:v>3.2113019950859676</x:v>
      </x:c>
      <x:c r="R24" s="8" t="n">
        <x:f>T24/'Summary'!$B$20*1000</x:f>
        <x:v>3.5786671211005867</x:v>
      </x:c>
      <x:c r="S24" s="12" t="n">
        <x:v>11495</x:v>
      </x:c>
      <x:c r="T24" s="12" t="n">
        <x:v>12810</x:v>
      </x:c>
    </x:row>
    <x:row r="25" ht="24" customHeight="1">
      <x:c r="A25" s="2" t="str">
        <x:v>GameAudio_Tick</x:v>
      </x:c>
      <x:c r="B25" s="8" t="n">
        <x:v>2.0121951219512195</x:v>
      </x:c>
      <x:c r="C25" s="8" t="n">
        <x:f>K25/'Summary'!$B$20*1000</x:f>
        <x:v>0.9836309417847161</x:v>
      </x:c>
      <x:c r="D25" s="8" t="n">
        <x:f>L25/'Summary'!$B$20*1000</x:f>
        <x:v>1.2093715821382602</x:v>
      </x:c>
      <x:c r="E25" s="8" t="n">
        <x:f>M25/'Summary'!$B$20*1000</x:f>
        <x:v>2.035174861605343</x:v>
      </x:c>
      <x:c r="F25" s="8" t="n">
        <x:f>J25/'Summary'!$B$20*1000</x:f>
        <x:v>0.9836309417847161</x:v>
      </x:c>
      <x:c r="G25" s="12" t="n">
        <x:v>1749.8060606053532</x:v>
      </x:c>
      <x:c r="H25" s="12" t="n">
        <x:v>4206</x:v>
      </x:c>
      <x:c r="I25" s="12" t="n">
        <x:v>7126</x:v>
      </x:c>
      <x:c r="J25" s="12" t="n">
        <x:v>3520.951219510772</x:v>
      </x:c>
      <x:c r="K25" s="2" t="n">
        <x:v>3520.951219510772</x:v>
      </x:c>
      <x:c r="L25" s="2" t="n">
        <x:v>4328.999999985099</x:v>
      </x:c>
      <x:c r="M25" s="2" t="n">
        <x:v>7284.999999985099</x:v>
      </x:c>
      <x:c r="N25" s="12" t="n">
        <x:v>1749.8060606053532</x:v>
      </x:c>
      <x:c r="O25" s="12" t="n">
        <x:v>4206</x:v>
      </x:c>
      <x:c r="P25" s="12" t="n">
        <x:v>7126</x:v>
      </x:c>
      <x:c r="Q25" s="8" t="n">
        <x:f>S25/'Summary'!$B$20*1000</x:f>
        <x:v>1.2093715821382602</x:v>
      </x:c>
      <x:c r="R25" s="8" t="n">
        <x:f>T25/'Summary'!$B$20*1000</x:f>
        <x:v>2.035174861605343</x:v>
      </x:c>
      <x:c r="S25" s="12" t="n">
        <x:v>4328.999999985099</x:v>
      </x:c>
      <x:c r="T25" s="12" t="n">
        <x:v>7284.999999985099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0.259862931436908</x:v>
      </x:c>
      <x:c r="D26" s="8" t="n">
        <x:f>L26/'Summary'!$B$20*1000</x:f>
        <x:v>0.7841778773559209</x:v>
      </x:c>
      <x:c r="E26" s="8" t="n">
        <x:f>M26/'Summary'!$B$20*1000</x:f>
        <x:v>0.843682646816844</x:v>
      </x:c>
      <x:c r="F26" s="8" t="n">
        <x:f>J26/'Summary'!$B$20*1000</x:f>
        <x:v>0.25753261755217877</x:v>
      </x:c>
      <x:c r="G26" s="12" t="n">
        <x:v>930.1910569103268</x:v>
      </x:c>
      <x:c r="H26" s="12" t="n">
        <x:v>2807</x:v>
      </x:c>
      <x:c r="I26" s="12" t="n">
        <x:v>3020</x:v>
      </x:c>
      <x:c r="J26" s="12" t="n">
        <x:v>921.8495934958138</x:v>
      </x:c>
      <x:c r="K26" s="2" t="n">
        <x:v>930.1910569103268</x:v>
      </x:c>
      <x:c r="L26" s="2" t="n">
        <x:v>2807</x:v>
      </x:c>
      <x:c r="M26" s="2" t="n">
        <x:v>3020</x:v>
      </x:c>
      <x:c r="N26" s="12" t="n">
        <x:v>921.8495934958138</x:v>
      </x:c>
      <x:c r="O26" s="12" t="n">
        <x:v>2780.000000014901</x:v>
      </x:c>
      <x:c r="P26" s="12" t="n">
        <x:v>2849</x:v>
      </x:c>
      <x:c r="Q26" s="8" t="n">
        <x:f>S26/'Summary'!$B$20*1000</x:f>
        <x:v>0.7766350192594035</x:v>
      </x:c>
      <x:c r="R26" s="8" t="n">
        <x:f>T26/'Summary'!$B$20*1000</x:f>
        <x:v>0.7959112121792016</x:v>
      </x:c>
      <x:c r="S26" s="12" t="n">
        <x:v>2780.000000014901</x:v>
      </x:c>
      <x:c r="T26" s="12" t="n">
        <x:v>2849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0.4635007944360281</x:v>
      </x:c>
      <x:c r="D27" s="8" t="n">
        <x:f>L27/'Summary'!$B$20*1000</x:f>
        <x:v>0.46653974178282437</x:v>
      </x:c>
      <x:c r="E27" s="8" t="n">
        <x:f>M27/'Summary'!$B$20*1000</x:f>
        <x:v>0.4665397417869872</x:v>
      </x:c>
      <x:c r="F27" s="8" t="n">
        <x:f>J27/'Summary'!$B$20*1000</x:f>
        <x:v>0.4635007944360281</x:v>
      </x:c>
      <x:c r="G27" s="12" t="n">
        <x:v>1659.121951219512</x:v>
      </x:c>
      <x:c r="H27" s="12" t="n">
        <x:v>1670</x:v>
      </x:c>
      <x:c r="I27" s="12" t="n">
        <x:v>1670.0000000149012</x:v>
      </x:c>
      <x:c r="J27" s="12" t="n">
        <x:v>1659.121951219512</x:v>
      </x:c>
      <x:c r="K27" s="2" t="n">
        <x:v>1659.121951219512</x:v>
      </x:c>
      <x:c r="L27" s="2" t="n">
        <x:v>1670</x:v>
      </x:c>
      <x:c r="M27" s="2" t="n">
        <x:v>1670.0000000149012</x:v>
      </x:c>
      <x:c r="N27" s="12" t="n">
        <x:v>1659.121951219512</x:v>
      </x:c>
      <x:c r="O27" s="12" t="n">
        <x:v>1670</x:v>
      </x:c>
      <x:c r="P27" s="12" t="n">
        <x:v>1670.0000000149012</x:v>
      </x:c>
      <x:c r="Q27" s="8" t="n">
        <x:f>S27/'Summary'!$B$20*1000</x:f>
        <x:v>0.46653974178282437</x:v>
      </x:c>
      <x:c r="R27" s="8" t="n">
        <x:f>T27/'Summary'!$B$20*1000</x:f>
        <x:v>0.4665397417869872</x:v>
      </x:c>
      <x:c r="S27" s="12" t="n">
        <x:v>1670</x:v>
      </x:c>
      <x:c r="T27" s="12" t="n">
        <x:v>1670.0000000149012</x:v>
      </x:c>
    </x:row>
    <x:row r="28" ht="24" customHeight="1">
      <x:c r="A28" s="2" t="str">
        <x:v>GameSession_InputTick</x:v>
      </x:c>
      <x:c r="B28" s="8" t="n">
        <x:v>2.0121951219512195</x:v>
      </x:c>
      <x:c r="C28" s="8" t="n">
        <x:f>K28/'Summary'!$B$20*1000</x:f>
        <x:v>0.0427224212201313</x:v>
      </x:c>
      <x:c r="D28" s="8" t="n">
        <x:f>L28/'Summary'!$B$20*1000</x:f>
        <x:v>0.04246349745984508</x:v>
      </x:c>
      <x:c r="E28" s="8" t="n">
        <x:f>M28/'Summary'!$B$20*1000</x:f>
        <x:v>0.08492699490720157</x:v>
      </x:c>
      <x:c r="F28" s="8" t="n">
        <x:f>J28/'Summary'!$B$20*1000</x:f>
        <x:v>0.0427224212201313</x:v>
      </x:c>
      <x:c r="G28" s="12" t="n">
        <x:v>75.9999999990668</x:v>
      </x:c>
      <x:c r="H28" s="12" t="n">
        <x:v>76.00000001490116</x:v>
      </x:c>
      <x:c r="I28" s="12" t="n">
        <x:v>76.00000001490116</x:v>
      </x:c>
      <x:c r="J28" s="12" t="n">
        <x:v>152.9268292664149</x:v>
      </x:c>
      <x:c r="K28" s="2" t="n">
        <x:v>152.9268292664149</x:v>
      </x:c>
      <x:c r="L28" s="2" t="n">
        <x:v>152.00000001490116</x:v>
      </x:c>
      <x:c r="M28" s="2" t="n">
        <x:v>303.99999998509884</x:v>
      </x:c>
      <x:c r="N28" s="12" t="n">
        <x:v>75.9999999990668</x:v>
      </x:c>
      <x:c r="O28" s="12" t="n">
        <x:v>76.00000001490116</x:v>
      </x:c>
      <x:c r="P28" s="12" t="n">
        <x:v>76.00000001490116</x:v>
      </x:c>
      <x:c r="Q28" s="8" t="n">
        <x:f>S28/'Summary'!$B$20*1000</x:f>
        <x:v>0.04246349745984508</x:v>
      </x:c>
      <x:c r="R28" s="8" t="n">
        <x:f>T28/'Summary'!$B$20*1000</x:f>
        <x:v>0.08492699490720157</x:v>
      </x:c>
      <x:c r="S28" s="12" t="n">
        <x:v>152.00000001490116</x:v>
      </x:c>
      <x:c r="T28" s="12" t="n">
        <x:v>303.99999998509884</x:v>
      </x:c>
    </x:row>
    <x:row r="29" ht="24" customHeight="1">
      <x:c r="A29" s="2" t="str">
        <x:v>GameSession_SharedSprite</x:v>
      </x:c>
      <x:c r="B29" s="8" t="n">
        <x:v>1.386178861788618</x:v>
      </x:c>
      <x:c r="C29" s="8" t="n">
        <x:f>K29/'Summary'!$B$20*1000</x:f>
        <x:v>0.1549953997309518</x:v>
      </x:c>
      <x:c r="D29" s="8" t="n">
        <x:f>L29/'Summary'!$B$20*1000</x:f>
        <x:v>0.46039370925634404</x:v>
      </x:c>
      <x:c r="E29" s="8" t="n">
        <x:f>M29/'Summary'!$B$20*1000</x:f>
        <x:v>0.4603937092729955</x:v>
      </x:c>
      <x:c r="F29" s="8" t="n">
        <x:f>J29/'Summary'!$B$20*1000</x:f>
        <x:v>0.1549953997309518</x:v>
      </x:c>
      <x:c r="G29" s="12" t="n">
        <x:v>400.2463343107412</x:v>
      </x:c>
      <x:c r="H29" s="12" t="n">
        <x:v>412.00000001490116</x:v>
      </x:c>
      <x:c r="I29" s="12" t="n">
        <x:v>412.00000001490116</x:v>
      </x:c>
      <x:c r="J29" s="12" t="n">
        <x:v>554.8130081299298</x:v>
      </x:c>
      <x:c r="K29" s="2" t="n">
        <x:v>554.8130081299298</x:v>
      </x:c>
      <x:c r="L29" s="2" t="n">
        <x:v>1648</x:v>
      </x:c>
      <x:c r="M29" s="2" t="n">
        <x:v>1648.0000000596046</x:v>
      </x:c>
      <x:c r="N29" s="12" t="n">
        <x:v>400.2463343107412</x:v>
      </x:c>
      <x:c r="O29" s="12" t="n">
        <x:v>412.00000001490116</x:v>
      </x:c>
      <x:c r="P29" s="12" t="n">
        <x:v>412.00000001490116</x:v>
      </x:c>
      <x:c r="Q29" s="8" t="n">
        <x:f>S29/'Summary'!$B$20*1000</x:f>
        <x:v>0.46039370925634404</x:v>
      </x:c>
      <x:c r="R29" s="8" t="n">
        <x:f>T29/'Summary'!$B$20*1000</x:f>
        <x:v>0.4603937092729955</x:v>
      </x:c>
      <x:c r="S29" s="12" t="n">
        <x:v>1648</x:v>
      </x:c>
      <x:c r="T29" s="12" t="n">
        <x:v>1648.0000000596046</x:v>
      </x:c>
    </x:row>
    <x:row r="30" ht="24" customHeight="1">
      <x:c r="A30" s="2" t="str">
        <x:v>GameSession_FlagBlinkUpload</x:v>
      </x:c>
      <x:c r="B30" s="8" t="n">
        <x:v>0.18292682926829268</x:v>
      </x:c>
      <x:c r="C30" s="8" t="n">
        <x:f>K30/'Summary'!$B$20*1000</x:f>
        <x:v>0.022465043503127363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0.022465043503127363</x:v>
      </x:c>
      <x:c r="G30" s="12" t="n">
        <x:v>439.60000000033114</x:v>
      </x:c>
      <x:c r="H30" s="12" t="n">
        <x:v>444.00000001490116</x:v>
      </x:c>
      <x:c r="I30" s="12" t="n">
        <x:v>444.00000001490116</x:v>
      </x:c>
      <x:c r="J30" s="12" t="n">
        <x:v>80.41463414640204</x:v>
      </x:c>
      <x:c r="K30" s="2" t="n">
        <x:v>80.41463414640204</x:v>
      </x:c>
      <x:c r="L30" s="2" t="n">
        <x:v>444</x:v>
      </x:c>
      <x:c r="M30" s="2" t="n">
        <x:v>444.00000001490116</x:v>
      </x:c>
      <x:c r="N30" s="12" t="n">
        <x:v>439.60000000033114</x:v>
      </x:c>
      <x:c r="O30" s="12" t="n">
        <x:v>444.00000001490116</x:v>
      </x:c>
      <x:c r="P30" s="12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2" t="n">
        <x:v>444</x:v>
      </x:c>
      <x:c r="T30" s="12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0.7143297848624931</x:v>
      </x:c>
      <x:c r="D31" s="8" t="n">
        <x:f>L31/'Summary'!$B$20*1000</x:f>
        <x:v>0.7654604146616399</x:v>
      </x:c>
      <x:c r="E31" s="8" t="n">
        <x:f>M31/'Summary'!$B$20*1000</x:f>
        <x:v>0.7654604146658028</x:v>
      </x:c>
      <x:c r="F31" s="8" t="n">
        <x:f>J31/'Summary'!$B$20*1000</x:f>
        <x:v>0.7100575427404614</x:v>
      </x:c>
      <x:c r="G31" s="12" t="n">
        <x:v>2556.975609755613</x:v>
      </x:c>
      <x:c r="H31" s="12" t="n">
        <x:v>2740</x:v>
      </x:c>
      <x:c r="I31" s="12" t="n">
        <x:v>2740.000000014901</x:v>
      </x:c>
      <x:c r="J31" s="12" t="n">
        <x:v>2541.682926828905</x:v>
      </x:c>
      <x:c r="K31" s="2" t="n">
        <x:v>2556.975609755613</x:v>
      </x:c>
      <x:c r="L31" s="2" t="n">
        <x:v>2740</x:v>
      </x:c>
      <x:c r="M31" s="2" t="n">
        <x:v>2740.000000014901</x:v>
      </x:c>
      <x:c r="N31" s="12" t="n">
        <x:v>2541.682926828905</x:v>
      </x:c>
      <x:c r="O31" s="12" t="n">
        <x:v>2569</x:v>
      </x:c>
      <x:c r="P31" s="12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2" t="n">
        <x:v>2569</x:v>
      </x:c>
      <x:c r="T31" s="12" t="n">
        <x:v>2569.000000014901</x:v>
      </x:c>
    </x:row>
    <x:row r="32" ht="24" customHeight="1">
      <x:c r="A32" s="2" t="str">
        <x:v>GameBoundary_Upload</x:v>
      </x:c>
      <x:c r="B32" s="8" t="n">
        <x:v>0.0975609756097561</x:v>
      </x:c>
      <x:c r="C32" s="8" t="n">
        <x:f>K32/'Summary'!$B$20*1000</x:f>
        <x:v>0.3428741176136615</x:v>
      </x:c>
      <x:c r="D32" s="8" t="n">
        <x:f>L32/'Summary'!$B$20*1000</x:f>
        <x:v>3.5459814026643053</x:v>
      </x:c>
      <x:c r="E32" s="8" t="n">
        <x:f>M32/'Summary'!$B$20*1000</x:f>
        <x:v>4.080406867353253</x:v>
      </x:c>
      <x:c r="F32" s="8" t="n">
        <x:f>J32/'Summary'!$B$20*1000</x:f>
        <x:v>0.34267992478994813</x:v>
      </x:c>
      <x:c r="G32" s="12" t="n">
        <x:v>12580.166666667288</x:v>
      </x:c>
      <x:c r="H32" s="12" t="n">
        <x:v>14386</x:v>
      </x:c>
      <x:c r="I32" s="12" t="n">
        <x:v>14606</x:v>
      </x:c>
      <x:c r="J32" s="12" t="n">
        <x:v>1226.6382113822349</x:v>
      </x:c>
      <x:c r="K32" s="2" t="n">
        <x:v>1227.333333333394</x:v>
      </x:c>
      <x:c r="L32" s="2" t="n">
        <x:v>12693</x:v>
      </x:c>
      <x:c r="M32" s="2" t="n">
        <x:v>14606</x:v>
      </x:c>
      <x:c r="N32" s="12" t="n">
        <x:v>12573.041666667908</x:v>
      </x:c>
      <x:c r="O32" s="12" t="n">
        <x:v>14386</x:v>
      </x:c>
      <x:c r="P32" s="12" t="n">
        <x:v>14606</x:v>
      </x:c>
      <x:c r="Q32" s="8" t="n">
        <x:f>S32/'Summary'!$B$20*1000</x:f>
        <x:v>3.5459814026643053</x:v>
      </x:c>
      <x:c r="R32" s="8" t="n">
        <x:f>T32/'Summary'!$B$20*1000</x:f>
        <x:v>4.080406867353253</x:v>
      </x:c>
      <x:c r="S32" s="12" t="n">
        <x:v>12693</x:v>
      </x:c>
      <x:c r="T32" s="12" t="n">
        <x:v>14606</x:v>
      </x:c>
    </x:row>
    <x:row r="33" ht="24" customHeight="1">
      <x:c r="A33" s="2" t="str">
        <x:v>Session_SaveMotion</x:v>
      </x:c>
      <x:c r="B33" s="8" t="n">
        <x:v>1.0040650406504066</x:v>
      </x:c>
      <x:c r="C33" s="8" t="n">
        <x:f>K33/'Summary'!$B$20*1000</x:f>
        <x:v>0.04799628948601996</x:v>
      </x:c>
      <x:c r="D33" s="8" t="n">
        <x:f>L33/'Summary'!$B$20*1000</x:f>
        <x:v>0.3419429005641778</x:v>
      </x:c>
      <x:c r="E33" s="8" t="n">
        <x:f>M33/'Summary'!$B$20*1000</x:f>
        <x:v>0.3447365517167409</x:v>
      </x:c>
      <x:c r="F33" s="8" t="n">
        <x:f>J33/'Summary'!$B$20*1000</x:f>
        <x:v>0.04799628948601996</x:v>
      </x:c>
      <x:c r="G33" s="12" t="n">
        <x:v>171.10931174034772</x:v>
      </x:c>
      <x:c r="H33" s="12" t="n">
        <x:v>1224</x:v>
      </x:c>
      <x:c r="I33" s="12" t="n">
        <x:v>1234.0000000149012</x:v>
      </x:c>
      <x:c r="J33" s="12" t="n">
        <x:v>171.8048780482353</x:v>
      </x:c>
      <x:c r="K33" s="2" t="n">
        <x:v>171.8048780482353</x:v>
      </x:c>
      <x:c r="L33" s="2" t="n">
        <x:v>1224</x:v>
      </x:c>
      <x:c r="M33" s="2" t="n">
        <x:v>1234.0000000149012</x:v>
      </x:c>
      <x:c r="N33" s="12" t="n">
        <x:v>171.10931174034772</x:v>
      </x:c>
      <x:c r="O33" s="12" t="n">
        <x:v>1224</x:v>
      </x:c>
      <x:c r="P33" s="12" t="n">
        <x:v>1234.0000000149012</x:v>
      </x:c>
      <x:c r="Q33" s="8" t="n">
        <x:f>S33/'Summary'!$B$20*1000</x:f>
        <x:v>0.3419429005641778</x:v>
      </x:c>
      <x:c r="R33" s="8" t="n">
        <x:f>T33/'Summary'!$B$20*1000</x:f>
        <x:v>0.3447365517167409</x:v>
      </x:c>
      <x:c r="S33" s="12" t="n">
        <x:v>1224</x:v>
      </x:c>
      <x:c r="T33" s="12" t="n">
        <x:v>1234.0000000149012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1.0040650406504066</x:v>
      </x:c>
      <x:c r="C35" s="8" t="n">
        <x:f>K35/'Summary'!$B$20*1000</x:f>
        <x:v>0.01943972372284944</x:v>
      </x:c>
      <x:c r="D35" s="8" t="n">
        <x:f>L35/'Summary'!$B$20*1000</x:f>
        <x:v>0.18773335717248982</x:v>
      </x:c>
      <x:c r="E35" s="8" t="n">
        <x:f>M35/'Summary'!$B$20*1000</x:f>
        <x:v>0.210641296589371</x:v>
      </x:c>
      <x:c r="F35" s="8" t="n">
        <x:f>J35/'Summary'!$B$20*1000</x:f>
        <x:v>0.01943972372284944</x:v>
      </x:c>
      <x:c r="G35" s="12" t="n">
        <x:v>69.30364372454554</x:v>
      </x:c>
      <x:c r="H35" s="12" t="n">
        <x:v>672</x:v>
      </x:c>
      <x:c r="I35" s="12" t="n">
        <x:v>754</x:v>
      </x:c>
      <x:c r="J35" s="12" t="n">
        <x:v>69.5853658535071</x:v>
      </x:c>
      <x:c r="K35" s="2" t="n">
        <x:v>69.5853658535071</x:v>
      </x:c>
      <x:c r="L35" s="2" t="n">
        <x:v>672</x:v>
      </x:c>
      <x:c r="M35" s="2" t="n">
        <x:v>754</x:v>
      </x:c>
      <x:c r="N35" s="12" t="n">
        <x:v>69.30364372454554</x:v>
      </x:c>
      <x:c r="O35" s="12" t="n">
        <x:v>672</x:v>
      </x:c>
      <x:c r="P35" s="12" t="n">
        <x:v>754</x:v>
      </x:c>
      <x:c r="Q35" s="8" t="n">
        <x:f>S35/'Summary'!$B$20*1000</x:f>
        <x:v>0.18773335717248982</x:v>
      </x:c>
      <x:c r="R35" s="8" t="n">
        <x:f>T35/'Summary'!$B$20*1000</x:f>
        <x:v>0.210641296589371</x:v>
      </x:c>
      <x:c r="S35" s="12" t="n">
        <x:v>672</x:v>
      </x:c>
      <x:c r="T35" s="12" t="n">
        <x:v>754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0.016884554989641237</x:v>
      </x:c>
      <x:c r="D36" s="8" t="n">
        <x:f>L36/'Summary'!$B$20*1000</x:f>
        <x:v>0.03184762309176166</x:v>
      </x:c>
      <x:c r="E36" s="8" t="n">
        <x:f>M36/'Summary'!$B$20*1000</x:f>
        <x:v>0.03184762309592453</x:v>
      </x:c>
      <x:c r="F36" s="8" t="n">
        <x:f>J36/'Summary'!$B$20*1000</x:f>
        <x:v>0.016884554989641237</x:v>
      </x:c>
      <x:c r="G36" s="12" t="n">
        <x:v>60.43902439039534</x:v>
      </x:c>
      <x:c r="H36" s="12" t="n">
        <x:v>114</x:v>
      </x:c>
      <x:c r="I36" s="12" t="n">
        <x:v>114.00000001490116</x:v>
      </x:c>
      <x:c r="J36" s="12" t="n">
        <x:v>60.43902439039534</x:v>
      </x:c>
      <x:c r="K36" s="2" t="n">
        <x:v>60.43902439039534</x:v>
      </x:c>
      <x:c r="L36" s="2" t="n">
        <x:v>114</x:v>
      </x:c>
      <x:c r="M36" s="2" t="n">
        <x:v>114.00000001490116</x:v>
      </x:c>
      <x:c r="N36" s="12" t="n">
        <x:v>60.43902439039534</x:v>
      </x:c>
      <x:c r="O36" s="12" t="n">
        <x:v>114</x:v>
      </x:c>
      <x:c r="P36" s="12" t="n">
        <x:v>114.00000001490116</x:v>
      </x:c>
      <x:c r="Q36" s="8" t="n">
        <x:f>S36/'Summary'!$B$20*1000</x:f>
        <x:v>0.03184762309176166</x:v>
      </x:c>
      <x:c r="R36" s="8" t="n">
        <x:f>T36/'Summary'!$B$20*1000</x:f>
        <x:v>0.03184762309592453</x:v>
      </x:c>
      <x:c r="S36" s="12" t="n">
        <x:v>114</x:v>
      </x:c>
      <x:c r="T36" s="12" t="n">
        <x:v>114.00000001490116</x:v>
      </x:c>
    </x:row>
    <x:row r="37" ht="24" customHeight="1">
      <x:c r="A37" s="2" t="str">
        <x:v>GameSession_SpecialOverlay</x:v>
      </x:c>
      <x:c r="B37" s="8" t="n">
        <x:v>0.524390243902439</x:v>
      </x:c>
      <x:c r="C37" s="8" t="n">
        <x:f>K37/'Summary'!$B$20*1000</x:f>
        <x:v>0.02688037507410505</x:v>
      </x:c>
      <x:c r="D37" s="8" t="n">
        <x:f>L37/'Summary'!$B$20*1000</x:f>
        <x:v>0.051682546245402694</x:v>
      </x:c>
      <x:c r="E37" s="8" t="n">
        <x:f>M37/'Summary'!$B$20*1000</x:f>
        <x:v>0.051682546249565565</x:v>
      </x:c>
      <x:c r="F37" s="8" t="n">
        <x:f>J37/'Summary'!$B$20*1000</x:f>
        <x:v>0.02688037507410505</x:v>
      </x:c>
      <x:c r="G37" s="12" t="n">
        <x:v>183.48837209209915</x:v>
      </x:c>
      <x:c r="H37" s="12" t="n">
        <x:v>185.00000001490116</x:v>
      </x:c>
      <x:c r="I37" s="12" t="n">
        <x:v>185.00000001490116</x:v>
      </x:c>
      <x:c r="J37" s="12" t="n">
        <x:v>96.21951219463736</x:v>
      </x:c>
      <x:c r="K37" s="2" t="n">
        <x:v>96.21951219463736</x:v>
      </x:c>
      <x:c r="L37" s="2" t="n">
        <x:v>185</x:v>
      </x:c>
      <x:c r="M37" s="2" t="n">
        <x:v>185.00000001490116</x:v>
      </x:c>
      <x:c r="N37" s="12" t="n">
        <x:v>183.48837209209915</x:v>
      </x:c>
      <x:c r="O37" s="12" t="n">
        <x:v>185.00000001490116</x:v>
      </x:c>
      <x:c r="P37" s="12" t="n">
        <x:v>185.00000001490116</x:v>
      </x:c>
      <x:c r="Q37" s="8" t="n">
        <x:f>S37/'Summary'!$B$20*1000</x:f>
        <x:v>0.051682546245402694</x:v>
      </x:c>
      <x:c r="R37" s="8" t="n">
        <x:f>T37/'Summary'!$B$20*1000</x:f>
        <x:v>0.051682546249565565</x:v>
      </x:c>
      <x:c r="S37" s="12" t="n">
        <x:v>185</x:v>
      </x:c>
      <x:c r="T37" s="12" t="n">
        <x:v>185.00000001490116</x:v>
      </x:c>
    </x:row>
    <x:row r="38" ht="24" customHeight="1">
      <x:c r="A38" s="2" t="str">
        <x:v>GameSession_RadarColor</x:v>
      </x:c>
      <x:c r="B38" s="8" t="n">
        <x:v>4</x:v>
      </x:c>
      <x:c r="C38" s="8" t="n">
        <x:f>K38/'Summary'!$B$20*1000</x:f>
        <x:v>0.22391908895818474</x:v>
      </x:c>
      <x:c r="D38" s="8" t="n">
        <x:f>L38/'Summary'!$B$20*1000</x:f>
        <x:v>0.2296381243860034</x:v>
      </x:c>
      <x:c r="E38" s="8" t="n">
        <x:f>M38/'Summary'!$B$20*1000</x:f>
        <x:v>0.2821587659884148</x:v>
      </x:c>
      <x:c r="F38" s="8" t="n">
        <x:f>J38/'Summary'!$B$20*1000</x:f>
        <x:v>0.2227539320157863</x:v>
      </x:c>
      <x:c r="G38" s="12" t="n">
        <x:v>200.38211382120636</x:v>
      </x:c>
      <x:c r="H38" s="12" t="n">
        <x:v>208.00000001490116</x:v>
      </x:c>
      <x:c r="I38" s="12" t="n">
        <x:v>409</x:v>
      </x:c>
      <x:c r="J38" s="12" t="n">
        <x:v>797.3577235774478</x:v>
      </x:c>
      <x:c r="K38" s="2" t="n">
        <x:v>801.5284552848254</x:v>
      </x:c>
      <x:c r="L38" s="2" t="n">
        <x:v>821.9999999552965</x:v>
      </x:c>
      <x:c r="M38" s="2" t="n">
        <x:v>1010</x:v>
      </x:c>
      <x:c r="N38" s="12" t="n">
        <x:v>199.33943089436195</x:v>
      </x:c>
      <x:c r="O38" s="12" t="n">
        <x:v>208.00000001490116</x:v>
      </x:c>
      <x:c r="P38" s="12" t="n">
        <x:v>238</x:v>
      </x:c>
      <x:c r="Q38" s="8" t="n">
        <x:f>S38/'Summary'!$B$20*1000</x:f>
        <x:v>0.22907939416881196</x:v>
      </x:c>
      <x:c r="R38" s="8" t="n">
        <x:f>T38/'Summary'!$B$20*1000</x:f>
        <x:v>0.23438733135077222</x:v>
      </x:c>
      <x:c r="S38" s="12" t="n">
        <x:v>820</x:v>
      </x:c>
      <x:c r="T38" s="12" t="n">
        <x:v>839</x:v>
      </x:c>
    </x:row>
    <x:row r="39" ht="24" customHeight="1">
      <x:c r="A39" s="2" t="str">
        <x:v>GameSession_FlagNames</x:v>
      </x:c>
      <x:c r="B39" s="8" t="n">
        <x:v>1</x:v>
      </x:c>
      <x:c r="C39" s="8" t="n">
        <x:f>K39/'Summary'!$B$20*1000</x:f>
        <x:v>0.12221315269813826</x:v>
      </x:c>
      <x:c r="D39" s="8" t="n">
        <x:f>L39/'Summary'!$B$20*1000</x:f>
        <x:v>0.1251555714524894</x:v>
      </x:c>
      <x:c r="E39" s="8" t="n">
        <x:f>M39/'Summary'!$B$20*1000</x:f>
        <x:v>0.18130795953533232</x:v>
      </x:c>
      <x:c r="F39" s="8" t="n">
        <x:f>J39/'Summary'!$B$20*1000</x:f>
        <x:v>0.12085380293200956</x:v>
      </x:c>
      <x:c r="G39" s="12" t="n">
        <x:v>437.4674796748573</x:v>
      </x:c>
      <x:c r="H39" s="12" t="n">
        <x:v>448.00000001490116</x:v>
      </x:c>
      <x:c r="I39" s="12" t="n">
        <x:v>649.0000000149012</x:v>
      </x:c>
      <x:c r="J39" s="12" t="n">
        <x:v>432.6016260162602</x:v>
      </x:c>
      <x:c r="K39" s="2" t="n">
        <x:v>437.4674796748573</x:v>
      </x:c>
      <x:c r="L39" s="2" t="n">
        <x:v>448.00000001490116</x:v>
      </x:c>
      <x:c r="M39" s="2" t="n">
        <x:v>649.0000000149012</x:v>
      </x:c>
      <x:c r="N39" s="12" t="n">
        <x:v>432.6016260162602</x:v>
      </x:c>
      <x:c r="O39" s="12" t="n">
        <x:v>448.00000001490116</x:v>
      </x:c>
      <x:c r="P39" s="12" t="n">
        <x:v>478</x:v>
      </x:c>
      <x:c r="Q39" s="8" t="n">
        <x:f>S39/'Summary'!$B$20*1000</x:f>
        <x:v>0.1251555714524894</x:v>
      </x:c>
      <x:c r="R39" s="8" t="n">
        <x:f>T39/'Summary'!$B$20*1000</x:f>
        <x:v>0.13353652489352696</x:v>
      </x:c>
      <x:c r="S39" s="12" t="n">
        <x:v>448.00000001490116</x:v>
      </x:c>
      <x:c r="T39" s="12" t="n">
        <x:v>478</x:v>
      </x:c>
    </x:row>
    <x:row r="40" ht="24" customHeight="1">
      <x:c r="A40" s="2" t="str">
        <x:v>GameSession_FlagUpload</x:v>
      </x:c>
      <x:c r="B40" s="8" t="n">
        <x:v>1</x:v>
      </x:c>
      <x:c r="C40" s="8" t="n">
        <x:f>K40/'Summary'!$B$20*1000</x:f>
        <x:v>0.424937052282794</x:v>
      </x:c>
      <x:c r="D40" s="8" t="n">
        <x:f>L40/'Summary'!$B$20*1000</x:f>
        <x:v>1.4119112903972708</x:v>
      </x:c>
      <x:c r="E40" s="8" t="n">
        <x:f>M40/'Summary'!$B$20*1000</x:f>
        <x:v>1.4655493924465535</x:v>
      </x:c>
      <x:c r="F40" s="8" t="n">
        <x:f>J40/'Summary'!$B$20*1000</x:f>
        <x:v>0.4022778159559364</x:v>
      </x:c>
      <x:c r="G40" s="12" t="n">
        <x:v>1521.0813008136138</x:v>
      </x:c>
      <x:c r="H40" s="12" t="n">
        <x:v>5053.999999985099</x:v>
      </x:c>
      <x:c r="I40" s="12" t="n">
        <x:v>5245.999999985099</x:v>
      </x:c>
      <x:c r="J40" s="12" t="n">
        <x:v>1439.9715447159924</x:v>
      </x:c>
      <x:c r="K40" s="2" t="n">
        <x:v>1521.0813008136138</x:v>
      </x:c>
      <x:c r="L40" s="2" t="n">
        <x:v>5053.999999985099</x:v>
      </x:c>
      <x:c r="M40" s="2" t="n">
        <x:v>5245.999999985099</x:v>
      </x:c>
      <x:c r="N40" s="12" t="n">
        <x:v>1439.9715447159924</x:v>
      </x:c>
      <x:c r="O40" s="12" t="n">
        <x:v>5053.999999985099</x:v>
      </x:c>
      <x:c r="P40" s="12" t="n">
        <x:v>5074.999999985099</x:v>
      </x:c>
      <x:c r="Q40" s="8" t="n">
        <x:f>S40/'Summary'!$B$20*1000</x:f>
        <x:v>1.4119112903972708</x:v>
      </x:c>
      <x:c r="R40" s="8" t="n">
        <x:f>T40/'Summary'!$B$20*1000</x:f>
        <x:v>1.4177779578089111</x:v>
      </x:c>
      <x:c r="S40" s="12" t="n">
        <x:v>5053.999999985099</x:v>
      </x:c>
      <x:c r="T40" s="12" t="n">
        <x:v>5074.999999985099</x:v>
      </x:c>
    </x:row>
    <x:row r="41" ht="24" customHeight="1">
      <x:c r="A41" s="2" t="str">
        <x:v>GameSession_LabelNames</x:v>
      </x:c>
      <x:c r="B41" s="8" t="n">
        <x:v>1</x:v>
      </x:c>
      <x:c r="C41" s="8" t="n">
        <x:f>K41/'Summary'!$B$20*1000</x:f>
        <x:v>0.008660318560074296</x:v>
      </x:c>
      <x:c r="D41" s="8" t="n">
        <x:f>L41/'Summary'!$B$20*1000</x:f>
        <x:v>0.008660318560040452</x:v>
      </x:c>
      <x:c r="E41" s="8" t="n">
        <x:f>M41/'Summary'!$B$20*1000</x:f>
        <x:v>0.008660318564203316</x:v>
      </x:c>
      <x:c r="F41" s="8" t="n">
        <x:f>J41/'Summary'!$B$20*1000</x:f>
        <x:v>0.008660318560074296</x:v>
      </x:c>
      <x:c r="G41" s="12" t="n">
        <x:v>31.000000000121148</x:v>
      </x:c>
      <x:c r="H41" s="12" t="n">
        <x:v>31</x:v>
      </x:c>
      <x:c r="I41" s="12" t="n">
        <x:v>31.00000001490116</x:v>
      </x:c>
      <x:c r="J41" s="12" t="n">
        <x:v>31.000000000121148</x:v>
      </x:c>
      <x:c r="K41" s="2" t="n">
        <x:v>31.000000000121148</x:v>
      </x:c>
      <x:c r="L41" s="2" t="n">
        <x:v>31</x:v>
      </x:c>
      <x:c r="M41" s="2" t="n">
        <x:v>31.00000001490116</x:v>
      </x:c>
      <x:c r="N41" s="12" t="n">
        <x:v>31.000000000121148</x:v>
      </x:c>
      <x:c r="O41" s="12" t="n">
        <x:v>31</x:v>
      </x:c>
      <x:c r="P41" s="12" t="n">
        <x:v>31.00000001490116</x:v>
      </x:c>
      <x:c r="Q41" s="8" t="n">
        <x:f>S41/'Summary'!$B$20*1000</x:f>
        <x:v>0.008660318560040452</x:v>
      </x:c>
      <x:c r="R41" s="8" t="n">
        <x:f>T41/'Summary'!$B$20*1000</x:f>
        <x:v>0.008660318564203316</x:v>
      </x:c>
      <x:c r="S41" s="12" t="n">
        <x:v>31</x:v>
      </x:c>
      <x:c r="T41" s="12" t="n">
        <x:v>31.00000001490116</x:v>
      </x:c>
    </x:row>
    <x:row r="42" ht="24" customHeight="1">
      <x:c r="A42" s="2" t="str">
        <x:v>GameSession_LabelUpload</x:v>
      </x:c>
      <x:c r="B42" s="8" t="n">
        <x:v>1</x:v>
      </x:c>
      <x:c r="C42" s="8" t="n">
        <x:f>K42/'Summary'!$B$20*1000</x:f>
        <x:v>0.00866031856002353</x:v>
      </x:c>
      <x:c r="D42" s="8" t="n">
        <x:f>L42/'Summary'!$B$20*1000</x:f>
        <x:v>0.008660318560040452</x:v>
      </x:c>
      <x:c r="E42" s="8" t="n">
        <x:f>M42/'Summary'!$B$20*1000</x:f>
        <x:v>0.008660318560040452</x:v>
      </x:c>
      <x:c r="F42" s="8" t="n">
        <x:f>J42/'Summary'!$B$20*1000</x:f>
        <x:v>0.00866031856002353</x:v>
      </x:c>
      <x:c r="G42" s="12" t="n">
        <x:v>30.999999999939426</x:v>
      </x:c>
      <x:c r="H42" s="12" t="n">
        <x:v>31</x:v>
      </x:c>
      <x:c r="I42" s="12" t="n">
        <x:v>31</x:v>
      </x:c>
      <x:c r="J42" s="12" t="n">
        <x:v>30.999999999939426</x:v>
      </x:c>
      <x:c r="K42" s="2" t="n">
        <x:v>30.999999999939426</x:v>
      </x:c>
      <x:c r="L42" s="2" t="n">
        <x:v>31</x:v>
      </x:c>
      <x:c r="M42" s="2" t="n">
        <x:v>31</x:v>
      </x:c>
      <x:c r="N42" s="12" t="n">
        <x:v>30.999999999939426</x:v>
      </x:c>
      <x:c r="O42" s="12" t="n">
        <x:v>31</x:v>
      </x:c>
      <x:c r="P42" s="12" t="n">
        <x:v>31</x:v>
      </x:c>
      <x:c r="Q42" s="8" t="n">
        <x:f>S42/'Summary'!$B$20*1000</x:f>
        <x:v>0.008660318560040452</x:v>
      </x:c>
      <x:c r="R42" s="8" t="n">
        <x:f>T42/'Summary'!$B$20*1000</x:f>
        <x:v>0.008660318560040452</x:v>
      </x:c>
      <x:c r="S42" s="12" t="n">
        <x:v>31</x:v>
      </x:c>
      <x:c r="T42" s="12" t="n">
        <x:v>31</x:v>
      </x:c>
    </x:row>
    <x:row r="43" ht="24" customHeight="1">
      <x:c r="A43" s="2" t="str">
        <x:v>GameSession_PopupFrame</x:v>
      </x:c>
      <x:c r="B43" s="8" t="n">
        <x:v>1</x:v>
      </x:c>
      <x:c r="C43" s="8" t="n">
        <x:f>K43/'Summary'!$B$20*1000</x:f>
        <x:v>0.024584130105802827</x:v>
      </x:c>
      <x:c r="D43" s="8" t="n">
        <x:f>L43/'Summary'!$B$20*1000</x:f>
        <x:v>0.02458413010592128</x:v>
      </x:c>
      <x:c r="E43" s="8" t="n">
        <x:f>M43/'Summary'!$B$20*1000</x:f>
        <x:v>0.02458413011008415</x:v>
      </x:c>
      <x:c r="F43" s="8" t="n">
        <x:f>J43/'Summary'!$B$20*1000</x:f>
        <x:v>0.024584130105802827</x:v>
      </x:c>
      <x:c r="G43" s="12" t="n">
        <x:v>87.99999999957598</x:v>
      </x:c>
      <x:c r="H43" s="12" t="n">
        <x:v>88</x:v>
      </x:c>
      <x:c r="I43" s="12" t="n">
        <x:v>88.00000001490116</x:v>
      </x:c>
      <x:c r="J43" s="12" t="n">
        <x:v>87.99999999957598</x:v>
      </x:c>
      <x:c r="K43" s="2" t="n">
        <x:v>87.99999999957598</x:v>
      </x:c>
      <x:c r="L43" s="2" t="n">
        <x:v>88</x:v>
      </x:c>
      <x:c r="M43" s="2" t="n">
        <x:v>88.00000001490116</x:v>
      </x:c>
      <x:c r="N43" s="12" t="n">
        <x:v>87.99999999957598</x:v>
      </x:c>
      <x:c r="O43" s="12" t="n">
        <x:v>88</x:v>
      </x:c>
      <x:c r="P43" s="12" t="n">
        <x:v>88.00000001490116</x:v>
      </x:c>
      <x:c r="Q43" s="8" t="n">
        <x:f>S43/'Summary'!$B$20*1000</x:f>
        <x:v>0.02458413010592128</x:v>
      </x:c>
      <x:c r="R43" s="8" t="n">
        <x:f>T43/'Summary'!$B$20*1000</x:f>
        <x:v>0.02458413011008415</x:v>
      </x:c>
      <x:c r="S43" s="12" t="n">
        <x:v>88</x:v>
      </x:c>
      <x:c r="T43" s="12" t="n">
        <x:v>88.00000001490116</x:v>
      </x:c>
    </x:row>
    <x:row r="44" ht="24" customHeight="1">
      <x:c r="A44" s="2" t="str">
        <x:v>GameSession_PopupOverlay</x:v>
      </x:c>
      <x:c r="B44" s="8" t="n">
        <x:v>0.524390243902439</x:v>
      </x:c>
      <x:c r="C44" s="8" t="n">
        <x:f>K44/'Summary'!$B$20*1000</x:f>
        <x:v>0.00454138656195551</x:v>
      </x:c>
      <x:c r="D44" s="8" t="n">
        <x:f>L44/'Summary'!$B$20*1000</x:f>
        <x:v>0.008660318560040452</x:v>
      </x:c>
      <x:c r="E44" s="8" t="n">
        <x:f>M44/'Summary'!$B$20*1000</x:f>
        <x:v>0.008660318564203316</x:v>
      </x:c>
      <x:c r="F44" s="8" t="n">
        <x:f>J44/'Summary'!$B$20*1000</x:f>
        <x:v>0.00454138656195551</x:v>
      </x:c>
      <x:c r="G44" s="12" t="n">
        <x:v>30.999999999884487</x:v>
      </x:c>
      <x:c r="H44" s="12" t="n">
        <x:v>31</x:v>
      </x:c>
      <x:c r="I44" s="12" t="n">
        <x:v>31.00000001490116</x:v>
      </x:c>
      <x:c r="J44" s="12" t="n">
        <x:v>16.256097560915038</x:v>
      </x:c>
      <x:c r="K44" s="2" t="n">
        <x:v>16.256097560915038</x:v>
      </x:c>
      <x:c r="L44" s="2" t="n">
        <x:v>31</x:v>
      </x:c>
      <x:c r="M44" s="2" t="n">
        <x:v>31.00000001490116</x:v>
      </x:c>
      <x:c r="N44" s="12" t="n">
        <x:v>30.999999999884487</x:v>
      </x:c>
      <x:c r="O44" s="12" t="n">
        <x:v>31</x:v>
      </x:c>
      <x:c r="P44" s="12" t="n">
        <x:v>31.00000001490116</x:v>
      </x:c>
      <x:c r="Q44" s="8" t="n">
        <x:f>S44/'Summary'!$B$20*1000</x:f>
        <x:v>0.008660318560040452</x:v>
      </x:c>
      <x:c r="R44" s="8" t="n">
        <x:f>T44/'Summary'!$B$20*1000</x:f>
        <x:v>0.008660318564203316</x:v>
      </x:c>
      <x:c r="S44" s="12" t="n">
        <x:v>31</x:v>
      </x:c>
      <x:c r="T44" s="12" t="n">
        <x:v>31.00000001490116</x:v>
      </x:c>
    </x:row>
    <x:row r="45" ht="24" customHeight="1">
      <x:c r="A45" s="2" t="str">
        <x:v>GameSession_PopupUpload</x:v>
      </x:c>
      <x:c r="B45" s="8" t="n">
        <x:v>1</x:v>
      </x:c>
      <x:c r="C45" s="8" t="n">
        <x:f>K45/'Summary'!$B$20*1000</x:f>
        <x:v>0.008660318560006607</x:v>
      </x:c>
      <x:c r="D45" s="8" t="n">
        <x:f>L45/'Summary'!$B$20*1000</x:f>
        <x:v>0.008660318560040452</x:v>
      </x:c>
      <x:c r="E45" s="8" t="n">
        <x:f>M45/'Summary'!$B$20*1000</x:f>
        <x:v>0.008660318564203316</x:v>
      </x:c>
      <x:c r="F45" s="8" t="n">
        <x:f>J45/'Summary'!$B$20*1000</x:f>
        <x:v>0.008660318560006607</x:v>
      </x:c>
      <x:c r="G45" s="12" t="n">
        <x:v>30.999999999878852</x:v>
      </x:c>
      <x:c r="H45" s="12" t="n">
        <x:v>31</x:v>
      </x:c>
      <x:c r="I45" s="12" t="n">
        <x:v>31.00000001490116</x:v>
      </x:c>
      <x:c r="J45" s="12" t="n">
        <x:v>30.999999999878852</x:v>
      </x:c>
      <x:c r="K45" s="2" t="n">
        <x:v>30.999999999878852</x:v>
      </x:c>
      <x:c r="L45" s="2" t="n">
        <x:v>31</x:v>
      </x:c>
      <x:c r="M45" s="2" t="n">
        <x:v>31.00000001490116</x:v>
      </x:c>
      <x:c r="N45" s="12" t="n">
        <x:v>30.999999999878852</x:v>
      </x:c>
      <x:c r="O45" s="12" t="n">
        <x:v>31</x:v>
      </x:c>
      <x:c r="P45" s="12" t="n">
        <x:v>31.00000001490116</x:v>
      </x:c>
      <x:c r="Q45" s="8" t="n">
        <x:f>S45/'Summary'!$B$20*1000</x:f>
        <x:v>0.008660318560040452</x:v>
      </x:c>
      <x:c r="R45" s="8" t="n">
        <x:f>T45/'Summary'!$B$20*1000</x:f>
        <x:v>0.008660318564203316</x:v>
      </x:c>
      <x:c r="S45" s="12" t="n">
        <x:v>31</x:v>
      </x:c>
      <x:c r="T45" s="12" t="n">
        <x:v>31.00000001490116</x:v>
      </x:c>
    </x:row>
    <x:row r="46" ht="24" customHeight="1">
      <x:c r="A46" s="2" t="str">
        <x:v>GameSession_AfterFrame</x:v>
      </x:c>
      <x:c r="B46" s="8" t="n">
        <x:v>1</x:v>
      </x:c>
      <x:c r="C46" s="8" t="n">
        <x:f>K46/'Summary'!$B$20*1000</x:f>
        <x:v>0.05850995710058342</x:v>
      </x:c>
      <x:c r="D46" s="8" t="n">
        <x:f>L46/'Summary'!$B$20*1000</x:f>
        <x:v>0.07347302520292383</x:v>
      </x:c>
      <x:c r="E46" s="8" t="n">
        <x:f>M46/'Summary'!$B$20*1000</x:f>
        <x:v>0.07347302520708669</x:v>
      </x:c>
      <x:c r="F46" s="8" t="n">
        <x:f>J46/'Summary'!$B$20*1000</x:f>
        <x:v>0.017041272005139357</x:v>
      </x:c>
      <x:c r="G46" s="12" t="n">
        <x:v>209.43902438960788</x:v>
      </x:c>
      <x:c r="H46" s="12" t="n">
        <x:v>263</x:v>
      </x:c>
      <x:c r="I46" s="12" t="n">
        <x:v>263.00000001490116</x:v>
      </x:c>
      <x:c r="J46" s="12" t="n">
        <x:v>60.99999999963656</x:v>
      </x:c>
      <x:c r="K46" s="2" t="n">
        <x:v>209.43902438960788</x:v>
      </x:c>
      <x:c r="L46" s="2" t="n">
        <x:v>263</x:v>
      </x:c>
      <x:c r="M46" s="2" t="n">
        <x:v>263.00000001490116</x:v>
      </x:c>
      <x:c r="N46" s="12" t="n">
        <x:v>60.99999999963656</x:v>
      </x:c>
      <x:c r="O46" s="12" t="n">
        <x:v>61.00000001490116</x:v>
      </x:c>
      <x:c r="P46" s="12" t="n">
        <x:v>61.00000001490116</x:v>
      </x:c>
      <x:c r="Q46" s="8" t="n">
        <x:f>S46/'Summary'!$B$20*1000</x:f>
        <x:v>0.017041272009403755</x:v>
      </x:c>
      <x:c r="R46" s="8" t="n">
        <x:f>T46/'Summary'!$B$20*1000</x:f>
        <x:v>0.017041272009403755</x:v>
      </x:c>
      <x:c r="S46" s="12" t="n">
        <x:v>61.00000001490116</x:v>
      </x:c>
      <x:c r="T46" s="12" t="n">
        <x:v>61.00000001490116</x:v>
      </x:c>
    </x:row>
    <x:row r="47" ht="24" customHeight="1">
      <x:c r="A47" s="2" t="str">
        <x:v>clock_irq</x:v>
      </x:c>
      <x:c r="B47" s="8" t="n">
        <x:v>2.0040650406504064</x:v>
      </x:c>
      <x:c r="C47" s="8" t="n">
        <x:f>K47/'Summary'!$B$20*1000</x:f>
        <x:v>0.09573706209886294</x:v>
      </x:c>
      <x:c r="D47" s="8" t="n">
        <x:f>L47/'Summary'!$B$20*1000</x:f>
        <x:v>0.09554286927944786</x:v>
      </x:c>
      <x:c r="E47" s="8" t="n">
        <x:f>M47/'Summary'!$B$20*1000</x:f>
        <x:v>0.1433143039129275</x:v>
      </x:c>
      <x:c r="F47" s="8" t="n">
        <x:f>J47/'Summary'!$B$20*1000</x:f>
        <x:v>0.09573706209886294</x:v>
      </x:c>
      <x:c r="G47" s="12" t="n">
        <x:v>170.99999999972798</x:v>
      </x:c>
      <x:c r="H47" s="12" t="n">
        <x:v>171.00000001490116</x:v>
      </x:c>
      <x:c r="I47" s="12" t="n">
        <x:v>171.00000001490116</x:v>
      </x:c>
      <x:c r="J47" s="12" t="n">
        <x:v>342.6951219506743</x:v>
      </x:c>
      <x:c r="K47" s="2" t="n">
        <x:v>342.6951219506743</x:v>
      </x:c>
      <x:c r="L47" s="2" t="n">
        <x:v>342.00000001490116</x:v>
      </x:c>
      <x:c r="M47" s="2" t="n">
        <x:v>513</x:v>
      </x:c>
      <x:c r="N47" s="12" t="n">
        <x:v>170.99999999972798</x:v>
      </x:c>
      <x:c r="O47" s="12" t="n">
        <x:v>171.00000001490116</x:v>
      </x:c>
      <x:c r="P47" s="12" t="n">
        <x:v>171.00000001490116</x:v>
      </x:c>
      <x:c r="Q47" s="8" t="n">
        <x:f>S47/'Summary'!$B$20*1000</x:f>
        <x:v>0.09554286927944786</x:v>
      </x:c>
      <x:c r="R47" s="8" t="n">
        <x:f>T47/'Summary'!$B$20*1000</x:f>
        <x:v>0.1433143039129275</x:v>
      </x:c>
      <x:c r="S47" s="12" t="n">
        <x:v>342.00000001490116</x:v>
      </x:c>
      <x:c r="T47" s="12" t="n">
        <x:v>513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86.000..218.000</x:v>
      </x:c>
      <x:c r="D6" s="12" t="n">
        <x:v>7335.934959349594</x:v>
      </x:c>
      <x:c r="E6" s="12" t="n">
        <x:v>29411.272357724094</x:v>
      </x:c>
      <x:c r="F6" s="12" t="n">
        <x:v>16659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2" t="n">
        <x:v>6944.20325203252</x:v>
      </x:c>
      <x:c r="E7" s="12" t="n">
        <x:v>17666.004065040408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13..150</x:v>
      </x:c>
      <x:c r="C8" s="2" t="str">
        <x:v>0.000..227.000</x:v>
      </x:c>
      <x:c r="D8" s="12" t="n">
        <x:v>645.9777777777778</x:v>
      </x:c>
      <x:c r="E8" s="12" t="n">
        <x:v>7679.355555555375</x:v>
      </x:c>
      <x:c r="F8" s="12" t="n">
        <x:v>4090.6666666666665</x:v>
      </x:c>
      <x:c r="G8" s="2" t="n">
        <x:v>0</x:v>
      </x:c>
      <x:c r="H8" s="2" t="n">
        <x:v>264</x:v>
      </x:c>
    </x:row>
    <x:row r="9" ht="24" customHeight="1">
      <x:c r="A9" s="2" t="str">
        <x:v>Game_Position</x:v>
      </x:c>
      <x:c r="B9" s="2" t="str">
        <x:v>79..207</x:v>
      </x:c>
      <x:c r="C9" s="2" t="str">
        <x:v>1.000..227.000</x:v>
      </x:c>
      <x:c r="D9" s="12" t="n">
        <x:v>0</x:v>
      </x:c>
      <x:c r="E9" s="12" t="n">
        <x:v>899.999999999788</x:v>
      </x:c>
      <x:c r="F9" s="12" t="n">
        <x:v>0</x:v>
      </x:c>
      <x:c r="G9" s="2" t="n">
        <x:v>0</x:v>
      </x:c>
      <x:c r="H9" s="2" t="n">
        <x:v>246</x:v>
      </x:c>
    </x:row>
    <x:row r="10" ht="24" customHeight="1">
      <x:c r="A10" s="2" t="str">
        <x:v>Game_Actors</x:v>
      </x:c>
      <x:c r="B10" s="2" t="str">
        <x:v>84..212</x:v>
      </x:c>
      <x:c r="C10" s="2" t="str">
        <x:v>1.000..227.000</x:v>
      </x:c>
      <x:c r="D10" s="12" t="n">
        <x:v>0</x:v>
      </x:c>
      <x:c r="E10" s="12" t="n">
        <x:v>3984.9999999992124</x:v>
      </x:c>
      <x:c r="F10" s="12" t="n">
        <x:v>0</x:v>
      </x:c>
      <x:c r="G10" s="2" t="n">
        <x:v>0</x:v>
      </x:c>
      <x:c r="H10" s="2" t="n">
        <x:v>246</x:v>
      </x:c>
    </x:row>
    <x:row r="11" ht="24" customHeight="1">
      <x:c r="A11" s="2" t="str">
        <x:v>GameSprites_Prepare</x:v>
      </x:c>
      <x:c r="B11" s="2" t="str">
        <x:v>101..229</x:v>
      </x:c>
      <x:c r="C11" s="2" t="str">
        <x:v>0.000..226.000</x:v>
      </x:c>
      <x:c r="D11" s="12" t="n">
        <x:v>202.3170731707317</x:v>
      </x:c>
      <x:c r="E11" s="12" t="n">
        <x:v>5694.09756097555</x:v>
      </x:c>
      <x:c r="F11" s="12" t="n">
        <x:v>7840.333333333333</x:v>
      </x:c>
      <x:c r="G11" s="2" t="n">
        <x:v>0</x:v>
      </x:c>
      <x:c r="H11" s="2" t="n">
        <x:v>237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119.000..207.000</x:v>
      </x:c>
      <x:c r="D12" s="12" t="n">
        <x:v>1978.0731707317073</x:v>
      </x:c>
      <x:c r="E12" s="12" t="n">
        <x:v>2.574387604628152e-9</x:v>
      </x:c>
      <x:c r="F12" s="12" t="n">
        <x:v>4819</x:v>
      </x:c>
      <x:c r="G12" s="2" t="n">
        <x:v>246</x:v>
      </x:c>
      <x:c r="H12" s="2" t="n">
        <x:v>0</x:v>
      </x:c>
    </x:row>
    <x:row r="13" ht="24" customHeight="1">
      <x:c r="A13" s="2" t="str">
        <x:v>GameHUD_Prepare</x:v>
      </x:c>
      <x:c r="B13" s="2" t="str">
        <x:v>2..259</x:v>
      </x:c>
      <x:c r="C13" s="2" t="str">
        <x:v>0.000..225.000</x:v>
      </x:c>
      <x:c r="D13" s="12" t="n">
        <x:v>74.01219512195122</x:v>
      </x:c>
      <x:c r="E13" s="12" t="n">
        <x:v>1792.1341463421297</x:v>
      </x:c>
      <x:c r="F13" s="12" t="n">
        <x:v>2023</x:v>
      </x:c>
      <x:c r="G13" s="2" t="n">
        <x:v>9</x:v>
      </x:c>
      <x:c r="H13" s="2" t="n">
        <x:v>237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1298.3495934959349</x:v>
      </x:c>
      <x:c r="E14" s="12" t="n">
        <x:v>1.908075518724395e-9</x:v>
      </x:c>
      <x:c r="F14" s="12" t="n">
        <x:v>4444</x:v>
      </x:c>
      <x:c r="G14" s="2" t="n">
        <x:v>246</x:v>
      </x:c>
      <x:c r="H14" s="2" t="n">
        <x:v>0</x:v>
      </x:c>
    </x:row>
    <x:row r="15" ht="24" customHeight="1">
      <x:c r="A15" s="2" t="str">
        <x:v>render</x:v>
      </x:c>
      <x:c r="B15" s="2" t="str">
        <x:v>5..222</x:v>
      </x:c>
      <x:c r="C15" s="2" t="str">
        <x:v>0.000..227.000</x:v>
      </x:c>
      <x:c r="D15" s="12" t="n">
        <x:v>9615.367208672087</x:v>
      </x:c>
      <x:c r="E15" s="12" t="n">
        <x:v>31892.819783197923</x:v>
      </x:c>
      <x:c r="F15" s="12" t="n">
        <x:v>16968.666666666668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0..261</x:v>
      </x:c>
      <x:c r="C16" s="2" t="str">
        <x:v>1.000..227.000</x:v>
      </x:c>
      <x:c r="D16" s="12" t="n">
        <x:v>1533.3848238482385</x:v>
      </x:c>
      <x:c r="E16" s="12" t="n">
        <x:v>35991.54200542066</x:v>
      </x:c>
      <x:c r="F16" s="12" t="n">
        <x:v>10153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3804.4227642276423</x:v>
      </x:c>
      <x:c r="E17" s="12" t="n">
        <x:v>1.6052063887681419e-9</x:v>
      </x:c>
      <x:c r="F17" s="12" t="n">
        <x:v>6970</x:v>
      </x:c>
      <x:c r="G17" s="2" t="n">
        <x:v>246</x:v>
      </x:c>
      <x:c r="H17" s="2" t="n">
        <x:v>0</x:v>
      </x:c>
    </x:row>
    <x:row r="18" ht="24" customHeight="1">
      <x:c r="A18" s="2" t="str">
        <x:v>Ring_Prepare</x:v>
      </x:c>
      <x:c r="B18" s="2" t="str">
        <x:v>6..223</x:v>
      </x:c>
      <x:c r="C18" s="2" t="str">
        <x:v>0.000..227.000</x:v>
      </x:c>
      <x:c r="D18" s="12" t="n">
        <x:v>188.3130081300813</x:v>
      </x:c>
      <x:c r="E18" s="12" t="n">
        <x:v>6456.890243902015</x:v>
      </x:c>
      <x:c r="F18" s="12" t="n">
        <x:v>6622.333333333333</x:v>
      </x:c>
      <x:c r="G18" s="2" t="n">
        <x:v>4</x:v>
      </x:c>
      <x:c r="H18" s="2" t="n">
        <x:v>229</x:v>
      </x:c>
    </x:row>
    <x:row r="19" ht="24" customHeight="1">
      <x:c r="A19" s="2" t="str">
        <x:v>Game_RingPatch</x:v>
      </x:c>
      <x:c r="B19" s="2" t="str">
        <x:v>1..259</x:v>
      </x:c>
      <x:c r="C19" s="2" t="str">
        <x:v>1.000..227.000</x:v>
      </x:c>
      <x:c r="D19" s="12" t="n">
        <x:v>101.23983739837398</x:v>
      </x:c>
      <x:c r="E19" s="12" t="n">
        <x:v>892.2926829268292</x:v>
      </x:c>
      <x:c r="F19" s="12" t="n">
        <x:v>1784</x:v>
      </x:c>
      <x:c r="G19" s="2" t="n">
        <x:v>12</x:v>
      </x:c>
      <x:c r="H19" s="2" t="n">
        <x:v>228</x:v>
      </x:c>
    </x:row>
    <x:row r="20" ht="24" customHeight="1">
      <x:c r="A20" s="2" t="str">
        <x:v>Game_DirtyTileUpload</x:v>
      </x:c>
      <x:c r="B20" s="2" t="str">
        <x:v>1..261</x:v>
      </x:c>
      <x:c r="C20" s="2" t="str">
        <x:v>0.000..227.000</x:v>
      </x:c>
      <x:c r="D20" s="12" t="n">
        <x:v>44.16124661246612</x:v>
      </x:c>
      <x:c r="E20" s="12" t="n">
        <x:v>83.83875338798818</x:v>
      </x:c>
      <x:c r="F20" s="12" t="n">
        <x:v>145</x:v>
      </x:c>
      <x:c r="G20" s="2" t="n">
        <x:v>76</x:v>
      </x:c>
      <x:c r="H20" s="2" t="n">
        <x:v>169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0.000..227.000</x:v>
      </x:c>
      <x:c r="D21" s="12" t="n">
        <x:v>1887.929539295393</x:v>
      </x:c>
      <x:c r="E21" s="12" t="n">
        <x:v>3071.0704607046678</x:v>
      </x:c>
      <x:c r="F21" s="12" t="n">
        <x:v>5648.333333333333</x:v>
      </x:c>
      <x:c r="G21" s="2" t="n">
        <x:v>53</x:v>
      </x:c>
      <x:c r="H21" s="2" t="n">
        <x:v>125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0.000..226.000</x:v>
      </x:c>
      <x:c r="D22" s="12" t="n">
        <x:v>604.7086720867209</x:v>
      </x:c>
      <x:c r="E22" s="12" t="n">
        <x:v>1062.6327913289128</x:v>
      </x:c>
      <x:c r="F22" s="12" t="n">
        <x:v>1942</x:v>
      </x:c>
      <x:c r="G22" s="2" t="n">
        <x:v>81</x:v>
      </x:c>
      <x:c r="H22" s="2" t="n">
        <x:v>147</x:v>
      </x:c>
    </x:row>
    <x:row r="23" ht="24" customHeight="1">
      <x:c r="A23" s="2" t="str">
        <x:v>Ring_UploadNames</x:v>
      </x:c>
      <x:c r="B23" s="2" t="str">
        <x:v>2..261</x:v>
      </x:c>
      <x:c r="C23" s="2" t="str">
        <x:v>2.000..227.000</x:v>
      </x:c>
      <x:c r="D23" s="12" t="n">
        <x:v>3730.918699186992</x:v>
      </x:c>
      <x:c r="E23" s="12" t="n">
        <x:v>10139.53658536537</x:v>
      </x:c>
      <x:c r="F23" s="12" t="n">
        <x:v>11172</x:v>
      </x:c>
      <x:c r="G23" s="2" t="n">
        <x:v>0</x:v>
      </x:c>
      <x:c r="H23" s="2" t="n">
        <x:v>83</x:v>
      </x:c>
    </x:row>
    <x:row r="24" ht="24" customHeight="1">
      <x:c r="A24" s="2" t="str">
        <x:v>hud_upload</x:v>
      </x:c>
      <x:c r="B24" s="2" t="str">
        <x:v>1..261</x:v>
      </x:c>
      <x:c r="C24" s="2" t="str">
        <x:v>0.000..227.000</x:v>
      </x:c>
      <x:c r="D24" s="12" t="n">
        <x:v>861.8346883468835</x:v>
      </x:c>
      <x:c r="E24" s="12" t="n">
        <x:v>2011.6165311663717</x:v>
      </x:c>
      <x:c r="F24" s="12" t="n">
        <x:v>10863.333333333334</x:v>
      </x:c>
      <x:c r="G24" s="2" t="n">
        <x:v>80</x:v>
      </x:c>
      <x:c r="H24" s="2" t="n">
        <x:v>116</x:v>
      </x:c>
    </x:row>
    <x:row r="25" ht="24" customHeight="1">
      <x:c r="A25" s="2" t="str">
        <x:v>GameAudio_Tick</x:v>
      </x:c>
      <x:c r="B25" s="2" t="str">
        <x:v>2..147</x:v>
      </x:c>
      <x:c r="C25" s="2" t="str">
        <x:v>0.000..225.000</x:v>
      </x:c>
      <x:c r="D25" s="12" t="n">
        <x:v>1682.8478114478114</x:v>
      </x:c>
      <x:c r="E25" s="12" t="n">
        <x:v>66.95824915912215</x:v>
      </x:c>
      <x:c r="F25" s="12" t="n">
        <x:v>4413</x:v>
      </x:c>
      <x:c r="G25" s="2" t="n">
        <x:v>236</x:v>
      </x:c>
      <x:c r="H25" s="2" t="n">
        <x:v>249</x:v>
      </x:c>
    </x:row>
    <x:row r="26" ht="24" customHeight="1">
      <x:c r="A26" s="2" t="str">
        <x:v>GameSession_PhaseSelect</x:v>
      </x:c>
      <x:c r="B26" s="2" t="str">
        <x:v>0..260</x:v>
      </x:c>
      <x:c r="C26" s="2" t="str">
        <x:v>0.000..227.000</x:v>
      </x:c>
      <x:c r="D26" s="12" t="n">
        <x:v>151.4579945799458</x:v>
      </x:c>
      <x:c r="E26" s="12" t="n">
        <x:v>778.7330623305324</x:v>
      </x:c>
      <x:c r="F26" s="12" t="n">
        <x:v>2861.3333333333335</x:v>
      </x:c>
      <x:c r="G26" s="2" t="n">
        <x:v>18</x:v>
      </x:c>
      <x:c r="H26" s="2" t="n">
        <x:v>215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40.000..172.000</x:v>
      </x:c>
      <x:c r="D27" s="12" t="n">
        <x:v>1659.121951219512</x:v>
      </x:c>
      <x:c r="E27" s="12" t="n">
        <x:v>5.451644339212557e-10</x:v>
      </x:c>
      <x:c r="F27" s="12" t="n">
        <x:v>1670</x:v>
      </x:c>
      <x:c r="G27" s="2" t="n">
        <x:v>246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11..148</x:v>
      </x:c>
      <x:c r="C28" s="2" t="str">
        <x:v>2.000..227.000</x:v>
      </x:c>
      <x:c r="D28" s="12" t="n">
        <x:v>36.22154882154882</x:v>
      </x:c>
      <x:c r="E28" s="12" t="n">
        <x:v>39.77845117890273</x:v>
      </x:c>
      <x:c r="F28" s="12" t="n">
        <x:v>76</x:v>
      </x:c>
      <x:c r="G28" s="2" t="n">
        <x:v>235</x:v>
      </x:c>
      <x:c r="H28" s="2" t="n">
        <x:v>259</x:v>
      </x:c>
    </x:row>
    <x:row r="29" ht="24" customHeight="1">
      <x:c r="A29" s="2" t="str">
        <x:v>GameSession_SharedSprite</x:v>
      </x:c>
      <x:c r="B29" s="2" t="str">
        <x:v>106..252</x:v>
      </x:c>
      <x:c r="C29" s="2" t="str">
        <x:v>2.000..227.000</x:v>
      </x:c>
      <x:c r="D29" s="12" t="n">
        <x:v>2.4164222873900294</x:v>
      </x:c>
      <x:c r="E29" s="12" t="n">
        <x:v>397.82991202335114</x:v>
      </x:c>
      <x:c r="F29" s="12" t="n">
        <x:v>412</x:v>
      </x:c>
      <x:c r="G29" s="2" t="n">
        <x:v>2</x:v>
      </x:c>
      <x:c r="H29" s="2" t="n">
        <x:v>339</x:v>
      </x:c>
    </x:row>
    <x:row r="30" ht="24" customHeight="1">
      <x:c r="A30" s="2" t="str">
        <x:v>GameSession_FlagBlinkUpload</x:v>
      </x:c>
      <x:c r="B30" s="2" t="str">
        <x:v>0..261</x:v>
      </x:c>
      <x:c r="C30" s="2" t="str">
        <x:v>8.000..223.000</x:v>
      </x:c>
      <x:c r="D30" s="12" t="n">
        <x:v>195.33333333333334</x:v>
      </x:c>
      <x:c r="E30" s="12" t="n">
        <x:v>244.26666666766008</x:v>
      </x:c>
      <x:c r="F30" s="12" t="n">
        <x:v>444</x:v>
      </x:c>
      <x:c r="G30" s="2" t="n">
        <x:v>20</x:v>
      </x:c>
      <x:c r="H30" s="2" t="n">
        <x:v>25</x:v>
      </x:c>
    </x:row>
    <x:row r="31" ht="24" customHeight="1">
      <x:c r="A31" s="2" t="str">
        <x:v>GameSession_Boundaries</x:v>
      </x:c>
      <x:c r="B31" s="2" t="str">
        <x:v>2..261</x:v>
      </x:c>
      <x:c r="C31" s="2" t="str">
        <x:v>1.000..227.000</x:v>
      </x:c>
      <x:c r="D31" s="12" t="n">
        <x:v>620.1124661246613</x:v>
      </x:c>
      <x:c r="E31" s="12" t="n">
        <x:v>1936.8631436312546</x:v>
      </x:c>
      <x:c r="F31" s="12" t="n">
        <x:v>2539</x:v>
      </x:c>
      <x:c r="G31" s="2" t="n">
        <x:v>49</x:v>
      </x:c>
      <x:c r="H31" s="2" t="n">
        <x:v>173</x:v>
      </x:c>
    </x:row>
    <x:row r="32" ht="24" customHeight="1">
      <x:c r="A32" s="2" t="str">
        <x:v>GameBoundary_Upload</x:v>
      </x:c>
      <x:c r="B32" s="2" t="str">
        <x:v>14..187</x:v>
      </x:c>
      <x:c r="C32" s="2" t="str">
        <x:v>21.000..218.000</x:v>
      </x:c>
      <x:c r="D32" s="12" t="n">
        <x:v>404.56944444444446</x:v>
      </x:c>
      <x:c r="E32" s="12" t="n">
        <x:v>12175.597222222843</x:v>
      </x:c>
      <x:c r="F32" s="12" t="n">
        <x:v>3852.6666666666665</x:v>
      </x:c>
      <x:c r="G32" s="2" t="n">
        <x:v>0</x:v>
      </x:c>
      <x:c r="H32" s="2" t="n">
        <x:v>18</x:v>
      </x:c>
    </x:row>
    <x:row r="33" ht="24" customHeight="1">
      <x:c r="A33" s="2" t="str">
        <x:v>Session_SaveMotion</x:v>
      </x:c>
      <x:c r="B33" s="2" t="str">
        <x:v>17..154</x:v>
      </x:c>
      <x:c r="C33" s="2" t="str">
        <x:v>2.000..227.000</x:v>
      </x:c>
      <x:c r="D33" s="12" t="n">
        <x:v>71.02968960863697</x:v>
      </x:c>
      <x:c r="E33" s="12" t="n">
        <x:v>100.0796221323442</x:v>
      </x:c>
      <x:c r="F33" s="12" t="n">
        <x:v>1234</x:v>
      </x:c>
      <x:c r="G33" s="2" t="n">
        <x:v>102</x:v>
      </x:c>
      <x:c r="H33" s="2" t="n">
        <x:v>143</x:v>
      </x:c>
    </x:row>
    <x:row r="34" ht="24" customHeight="1">
      <x:c r="A34" s="2" t="str">
        <x:v>GameSession_ValidateMotion</x:v>
      </x:c>
      <x:c r="B34" s="2" t="str">
        <x:v>41..182</x:v>
      </x:c>
      <x:c r="C34" s="2" t="str">
        <x:v>0.000..227.000</x:v>
      </x:c>
      <x:c r="D34" s="12" t="n">
        <x:v>0</x:v>
      </x:c>
      <x:c r="E34" s="12" t="n">
        <x:v>69.30364372454554</x:v>
      </x:c>
      <x:c r="F34" s="12" t="n">
        <x:v>0</x:v>
      </x:c>
      <x:c r="G34" s="2" t="n">
        <x:v>0</x:v>
      </x:c>
      <x:c r="H34" s="2" t="n">
        <x:v>247</x:v>
      </x:c>
    </x:row>
    <x:row r="35" ht="24" customHeight="1">
      <x:c r="A35" s="2" t="str">
        <x:v>GameSession_SpecialFrame</x:v>
      </x:c>
      <x:c r="B35" s="2" t="str">
        <x:v>83..211</x:v>
      </x:c>
      <x:c r="C35" s="2" t="str">
        <x:v>0.000..223.000</x:v>
      </x:c>
      <x:c r="D35" s="12" t="n">
        <x:v>0</x:v>
      </x:c>
      <x:c r="E35" s="12" t="n">
        <x:v>60.43902439039534</x:v>
      </x:c>
      <x:c r="F35" s="12" t="n">
        <x:v>0</x:v>
      </x:c>
      <x:c r="G35" s="2" t="n">
        <x:v>0</x:v>
      </x:c>
      <x:c r="H35" s="2" t="n">
        <x:v>246</x:v>
      </x:c>
    </x:row>
    <x:row r="36" ht="24" customHeight="1">
      <x:c r="A36" s="2" t="str">
        <x:v>GameSession_SpecialOverlay</x:v>
      </x:c>
      <x:c r="B36" s="2" t="str">
        <x:v>2..260</x:v>
      </x:c>
      <x:c r="C36" s="2" t="str">
        <x:v>1.000..227.000</x:v>
      </x:c>
      <x:c r="D36" s="12" t="n">
        <x:v>21.3953488372093</x:v>
      </x:c>
      <x:c r="E36" s="12" t="n">
        <x:v>162.09302325512087</x:v>
      </x:c>
      <x:c r="F36" s="12" t="n">
        <x:v>185</x:v>
      </x:c>
      <x:c r="G36" s="2" t="n">
        <x:v>15</x:v>
      </x:c>
      <x:c r="H36" s="2" t="n">
        <x:v>114</x:v>
      </x:c>
    </x:row>
    <x:row r="37" ht="24" customHeight="1">
      <x:c r="A37" s="2" t="str">
        <x:v>GameSession_RadarColor</x:v>
      </x:c>
      <x:c r="B37" s="2" t="str">
        <x:v>0..261</x:v>
      </x:c>
      <x:c r="C37" s="2" t="str">
        <x:v>0.000..227.000</x:v>
      </x:c>
      <x:c r="D37" s="12" t="n">
        <x:v>81.86585365853658</x:v>
      </x:c>
      <x:c r="E37" s="12" t="n">
        <x:v>118.51626016345723</x:v>
      </x:c>
      <x:c r="F37" s="12" t="n">
        <x:v>364.3333333333333</x:v>
      </x:c>
      <x:c r="G37" s="2" t="n">
        <x:v>393</x:v>
      </x:c>
      <x:c r="H37" s="2" t="n">
        <x:v>579</x:v>
      </x:c>
    </x:row>
    <x:row r="38" ht="24" customHeight="1">
      <x:c r="A38" s="2" t="str">
        <x:v>GameSession_FlagNames</x:v>
      </x:c>
      <x:c r="B38" s="2" t="str">
        <x:v>0..260</x:v>
      </x:c>
      <x:c r="C38" s="2" t="str">
        <x:v>0.000..226.000</x:v>
      </x:c>
      <x:c r="D38" s="12" t="n">
        <x:v>139.9159891598916</x:v>
      </x:c>
      <x:c r="E38" s="12" t="n">
        <x:v>297.551490515844</x:v>
      </x:c>
      <x:c r="F38" s="12" t="n">
        <x:v>618.3333333333334</x:v>
      </x:c>
      <x:c r="G38" s="2" t="n">
        <x:v>72</x:v>
      </x:c>
      <x:c r="H38" s="2" t="n">
        <x:v>167</x:v>
      </x:c>
    </x:row>
    <x:row r="39" ht="24" customHeight="1">
      <x:c r="A39" s="2" t="str">
        <x:v>GameSession_FlagUpload</x:v>
      </x:c>
      <x:c r="B39" s="2" t="str">
        <x:v>0..261</x:v>
      </x:c>
      <x:c r="C39" s="2" t="str">
        <x:v>1.000..227.000</x:v>
      </x:c>
      <x:c r="D39" s="12" t="n">
        <x:v>623.5189701897019</x:v>
      </x:c>
      <x:c r="E39" s="12" t="n">
        <x:v>897.5623306247297</x:v>
      </x:c>
      <x:c r="F39" s="12" t="n">
        <x:v>5054</x:v>
      </x:c>
      <x:c r="G39" s="2" t="n">
        <x:v>99</x:v>
      </x:c>
      <x:c r="H39" s="2" t="n">
        <x:v>138</x:v>
      </x:c>
    </x:row>
    <x:row r="40" ht="24" customHeight="1">
      <x:c r="A40" s="2" t="str">
        <x:v>GameSession_LabelNames</x:v>
      </x:c>
      <x:c r="B40" s="2" t="str">
        <x:v>0..261</x:v>
      </x:c>
      <x:c r="C40" s="2" t="str">
        <x:v>0.000..227.000</x:v>
      </x:c>
      <x:c r="D40" s="12" t="n">
        <x:v>9.955284552845528</x:v>
      </x:c>
      <x:c r="E40" s="12" t="n">
        <x:v>21.044715447275617</x:v>
      </x:c>
      <x:c r="F40" s="12" t="n">
        <x:v>31</x:v>
      </x:c>
      <x:c r="G40" s="2" t="n">
        <x:v>79</x:v>
      </x:c>
      <x:c r="H40" s="2" t="n">
        <x:v>167</x:v>
      </x:c>
    </x:row>
    <x:row r="41" ht="24" customHeight="1">
      <x:c r="A41" s="2" t="str">
        <x:v>GameSession_LabelUpload</x:v>
      </x:c>
      <x:c r="B41" s="2" t="str">
        <x:v>0..261</x:v>
      </x:c>
      <x:c r="C41" s="2" t="str">
        <x:v>0.000..227.000</x:v>
      </x:c>
      <x:c r="D41" s="12" t="n">
        <x:v>12.097560975609756</x:v>
      </x:c>
      <x:c r="E41" s="12" t="n">
        <x:v>18.902439024390244</x:v>
      </x:c>
      <x:c r="F41" s="12" t="n">
        <x:v>31</x:v>
      </x:c>
      <x:c r="G41" s="2" t="n">
        <x:v>96</x:v>
      </x:c>
      <x:c r="H41" s="2" t="n">
        <x:v>150</x:v>
      </x:c>
    </x:row>
    <x:row r="42" ht="24" customHeight="1">
      <x:c r="A42" s="2" t="str">
        <x:v>GameSession_PopupFrame</x:v>
      </x:c>
      <x:c r="B42" s="2" t="str">
        <x:v>83..211</x:v>
      </x:c>
      <x:c r="C42" s="2" t="str">
        <x:v>0.000..227.000</x:v>
      </x:c>
      <x:c r="D42" s="12" t="n">
        <x:v>0</x:v>
      </x:c>
      <x:c r="E42" s="12" t="n">
        <x:v>87.99999999957598</x:v>
      </x:c>
      <x:c r="F42" s="12" t="n">
        <x:v>0</x:v>
      </x:c>
      <x:c r="G42" s="2" t="n">
        <x:v>0</x:v>
      </x:c>
      <x:c r="H42" s="2" t="n">
        <x:v>246</x:v>
      </x:c>
    </x:row>
    <x:row r="43" ht="24" customHeight="1">
      <x:c r="A43" s="2" t="str">
        <x:v>GameSession_PopupOverlay</x:v>
      </x:c>
      <x:c r="B43" s="2" t="str">
        <x:v>3..261</x:v>
      </x:c>
      <x:c r="C43" s="2" t="str">
        <x:v>1.000..225.000</x:v>
      </x:c>
      <x:c r="D43" s="12" t="n">
        <x:v>3.604651162790698</x:v>
      </x:c>
      <x:c r="E43" s="12" t="n">
        <x:v>27.39534883709379</x:v>
      </x:c>
      <x:c r="F43" s="12" t="n">
        <x:v>31</x:v>
      </x:c>
      <x:c r="G43" s="2" t="n">
        <x:v>15</x:v>
      </x:c>
      <x:c r="H43" s="2" t="n">
        <x:v>114</x:v>
      </x:c>
    </x:row>
    <x:row r="44" ht="24" customHeight="1">
      <x:c r="A44" s="2" t="str">
        <x:v>GameSession_PopupUpload</x:v>
      </x:c>
      <x:c r="B44" s="2" t="str">
        <x:v>0..261</x:v>
      </x:c>
      <x:c r="C44" s="2" t="str">
        <x:v>1.000..226.000</x:v>
      </x:c>
      <x:c r="D44" s="12" t="n">
        <x:v>12.097560975609756</x:v>
      </x:c>
      <x:c r="E44" s="12" t="n">
        <x:v>18.902439024390244</x:v>
      </x:c>
      <x:c r="F44" s="12" t="n">
        <x:v>31</x:v>
      </x:c>
      <x:c r="G44" s="2" t="n">
        <x:v>96</x:v>
      </x:c>
      <x:c r="H44" s="2" t="n">
        <x:v>150</x:v>
      </x:c>
    </x:row>
    <x:row r="45" ht="24" customHeight="1">
      <x:c r="A45" s="2" t="str">
        <x:v>GameSession_AfterFrame</x:v>
      </x:c>
      <x:c r="B45" s="2" t="str">
        <x:v>83..211</x:v>
      </x:c>
      <x:c r="C45" s="2" t="str">
        <x:v>0.000..226.000</x:v>
      </x:c>
      <x:c r="D45" s="12" t="n">
        <x:v>0</x:v>
      </x:c>
      <x:c r="E45" s="12" t="n">
        <x:v>209.43902438960788</x:v>
      </x:c>
      <x:c r="F45" s="12" t="n">
        <x:v>0</x:v>
      </x:c>
      <x:c r="G45" s="2" t="n">
        <x:v>0</x:v>
      </x:c>
      <x:c r="H45" s="2" t="n">
        <x:v>246</x:v>
      </x:c>
    </x:row>
    <x:row r="46" ht="24" customHeight="1">
      <x:c r="A46" s="2" t="str">
        <x:v>clock_irq</x:v>
      </x:c>
      <x:c r="B46" s="2" t="str">
        <x:v>244..244</x:v>
      </x:c>
      <x:c r="C46" s="2" t="str">
        <x:v>64.000..139.000</x:v>
      </x:c>
      <x:c r="D46" s="12" t="n">
        <x:v>171</x:v>
      </x:c>
      <x:c r="E46" s="12" t="n">
        <x:v>9.369898519457958e-10</x:v>
      </x:c>
      <x:c r="F46" s="12" t="n">
        <x:v>171</x:v>
      </x:c>
      <x:c r="G46" s="2" t="n">
        <x:v>493</x:v>
      </x:c>
      <x:c r="H46" s="2" t="n">
        <x:v>0</x:v>
      </x:c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 t="str">
        <x:v>VR rises at line244 cycle33.667 and falls next line31 cycle33.667.</x:v>
      </x:c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Gameplay logic, PSG and inactive-table drawing run in foreground, including visible scanlines.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Active VBlank IRQ acknowledges VDP status and advances the clock. UI additionally latches keys in its IRQ.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Commit publishes display registers and sprite attribute tables after HALT. See observed endpoints above.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Inclusive spans may cross VBlank. In/outside partitions do not establish a safe VRAM transfer allowance.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UI/cold restoration and flag-capture costs are separate event samples in Events; excluded from active FPS.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122290.99999999255</x:v>
      </x:c>
      <x:c r="D6" s="12" t="n">
        <x:v>87443.99999999255</x:v>
      </x:c>
      <x:c r="E6" s="12" t="n">
        <x:v>34632.66666666418</x:v>
      </x:c>
      <x:c r="F6" s="12" t="n">
        <x:v>40333</x:v>
      </x:c>
      <x:c r="G6" s="12" t="n">
        <x:v>40081.99999999255</x:v>
      </x:c>
      <x:c r="H6" s="12" t="n">
        <x:v>34847</x:v>
      </x:c>
      <x:c r="I6" s="12" t="n">
        <x:v>6923.000000007451</x:v>
      </x:c>
      <x:c r="J6" s="12" t="n">
        <x:v>105.99999999254942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116650</x:v>
      </x:c>
      <x:c r="D7" s="12" t="n">
        <x:v>69793</x:v>
      </x:c>
      <x:c r="E7" s="12" t="n">
        <x:v>46643.66666666418</x:v>
      </x:c>
      <x:c r="F7" s="12" t="n">
        <x:v>36786.99999999255</x:v>
      </x:c>
      <x:c r="G7" s="12" t="n">
        <x:v>28797.99999999255</x:v>
      </x:c>
      <x:c r="H7" s="12" t="n">
        <x:v>46857</x:v>
      </x:c>
      <x:c r="I7" s="12" t="n">
        <x:v>4102.000000007451</x:v>
      </x:c>
      <x:c r="J7" s="12" t="n">
        <x:v>106.00000000745058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119471</x:v>
      </x:c>
      <x:c r="D8" s="12" t="n">
        <x:v>79384.00000000745</x:v>
      </x:c>
      <x:c r="E8" s="12" t="n">
        <x:v>39874.66666666418</x:v>
      </x:c>
      <x:c r="F8" s="12" t="n">
        <x:v>35094</x:v>
      </x:c>
      <x:c r="G8" s="12" t="n">
        <x:v>40081.99999999255</x:v>
      </x:c>
      <x:c r="H8" s="12" t="n">
        <x:v>40086.99999999255</x:v>
      </x:c>
      <x:c r="I8" s="12" t="n">
        <x:v>4102</x:v>
      </x:c>
      <x:c r="J8" s="12" t="n">
        <x:v>106.00000001490116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119475</x:v>
      </x:c>
      <x:c r="D9" s="12" t="n">
        <x:v>69383</x:v>
      </x:c>
      <x:c r="E9" s="12" t="n">
        <x:v>49876.66666666418</x:v>
      </x:c>
      <x:c r="F9" s="12" t="n">
        <x:v>36377</x:v>
      </x:c>
      <x:c r="G9" s="12" t="n">
        <x:v>28798.00000000745</x:v>
      </x:c>
      <x:c r="H9" s="12" t="n">
        <x:v>50092</x:v>
      </x:c>
      <x:c r="I9" s="12" t="n">
        <x:v>4102</x:v>
      </x:c>
      <x:c r="J9" s="12" t="n">
        <x:v>105.99999999254942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119469</x:v>
      </x:c>
      <x:c r="D10" s="12" t="n">
        <x:v>81082.00000000745</x:v>
      </x:c>
      <x:c r="E10" s="12" t="n">
        <x:v>38174.66666666418</x:v>
      </x:c>
      <x:c r="F10" s="12" t="n">
        <x:v>36249.99999999255</x:v>
      </x:c>
      <x:c r="G10" s="12" t="n">
        <x:v>40624</x:v>
      </x:c>
      <x:c r="H10" s="12" t="n">
        <x:v>38386.99999999255</x:v>
      </x:c>
      <x:c r="I10" s="12" t="n">
        <x:v>4102</x:v>
      </x:c>
      <x:c r="J10" s="12" t="n">
        <x:v>106.00000001490116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119476.00000000745</x:v>
      </x:c>
      <x:c r="D11" s="12" t="n">
        <x:v>69549.00000000745</x:v>
      </x:c>
      <x:c r="E11" s="12" t="n">
        <x:v>49710.66666666418</x:v>
      </x:c>
      <x:c r="F11" s="12" t="n">
        <x:v>36020</x:v>
      </x:c>
      <x:c r="G11" s="12" t="n">
        <x:v>29321.00000000745</x:v>
      </x:c>
      <x:c r="H11" s="12" t="n">
        <x:v>49927</x:v>
      </x:c>
      <x:c r="I11" s="12" t="n">
        <x:v>4102</x:v>
      </x:c>
      <x:c r="J11" s="12" t="n">
        <x:v>106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79403.00000000745</x:v>
      </x:c>
      <x:c r="E12" s="12" t="n">
        <x:v>39852.66666666418</x:v>
      </x:c>
      <x:c r="F12" s="12" t="n">
        <x:v>35072</x:v>
      </x:c>
      <x:c r="G12" s="12" t="n">
        <x:v>40123</x:v>
      </x:c>
      <x:c r="H12" s="12" t="n">
        <x:v>40066.99999999255</x:v>
      </x:c>
      <x:c r="I12" s="12" t="n">
        <x:v>4102</x:v>
      </x:c>
      <x:c r="J12" s="12" t="n">
        <x:v>106.00000000745058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119471.99999999255</x:v>
      </x:c>
      <x:c r="D13" s="12" t="n">
        <x:v>69409.99999999255</x:v>
      </x:c>
      <x:c r="E13" s="12" t="n">
        <x:v>49847.66666666418</x:v>
      </x:c>
      <x:c r="F13" s="12" t="n">
        <x:v>36392.00000000745</x:v>
      </x:c>
      <x:c r="G13" s="12" t="n">
        <x:v>28810</x:v>
      </x:c>
      <x:c r="H13" s="12" t="n">
        <x:v>50062</x:v>
      </x:c>
      <x:c r="I13" s="12" t="n">
        <x:v>4102.000000007451</x:v>
      </x:c>
      <x:c r="J13" s="12" t="n">
        <x:v>105.99999997764826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119472.00000000745</x:v>
      </x:c>
      <x:c r="D14" s="12" t="n">
        <x:v>108845.00000000745</x:v>
      </x:c>
      <x:c r="E14" s="12" t="n">
        <x:v>10412.666666664183</x:v>
      </x:c>
      <x:c r="F14" s="12" t="n">
        <x:v>63851.99999999255</x:v>
      </x:c>
      <x:c r="G14" s="12" t="n">
        <x:v>40785</x:v>
      </x:c>
      <x:c r="H14" s="12" t="n">
        <x:v>10627</x:v>
      </x:c>
      <x:c r="I14" s="12" t="n">
        <x:v>4102</x:v>
      </x:c>
      <x:c r="J14" s="12" t="n">
        <x:v>106.00000001490116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119473.99999999255</x:v>
      </x:c>
      <x:c r="D15" s="12" t="n">
        <x:v>96267</x:v>
      </x:c>
      <x:c r="E15" s="12" t="n">
        <x:v>22990.666666664183</x:v>
      </x:c>
      <x:c r="F15" s="12" t="n">
        <x:v>63450</x:v>
      </x:c>
      <x:c r="G15" s="12" t="n">
        <x:v>28609</x:v>
      </x:c>
      <x:c r="H15" s="12" t="n">
        <x:v>23206.99999999255</x:v>
      </x:c>
      <x:c r="I15" s="12" t="n">
        <x:v>4102</x:v>
      </x:c>
      <x:c r="J15" s="12" t="n">
        <x:v>106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119471.00000000745</x:v>
      </x:c>
      <x:c r="D16" s="12" t="n">
        <x:v>106894.00000000745</x:v>
      </x:c>
      <x:c r="E16" s="12" t="n">
        <x:v>12361.666666664183</x:v>
      </x:c>
      <x:c r="F16" s="12" t="n">
        <x:v>61900.99999999255</x:v>
      </x:c>
      <x:c r="G16" s="12" t="n">
        <x:v>40785</x:v>
      </x:c>
      <x:c r="H16" s="12" t="n">
        <x:v>12577</x:v>
      </x:c>
      <x:c r="I16" s="12" t="n">
        <x:v>4102</x:v>
      </x:c>
      <x:c r="J16" s="12" t="n">
        <x:v>106.00000001490116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119468.9999999851</x:v>
      </x:c>
      <x:c r="D17" s="12" t="n">
        <x:v>95916.9999999851</x:v>
      </x:c>
      <x:c r="E17" s="12" t="n">
        <x:v>23339.666666656733</x:v>
      </x:c>
      <x:c r="F17" s="12" t="n">
        <x:v>63100</x:v>
      </x:c>
      <x:c r="G17" s="12" t="n">
        <x:v>28609</x:v>
      </x:c>
      <x:c r="H17" s="12" t="n">
        <x:v>23552</x:v>
      </x:c>
      <x:c r="I17" s="12" t="n">
        <x:v>4102</x:v>
      </x:c>
      <x:c r="J17" s="12" t="n">
        <x:v>105.99999998509884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119472.0000000149</x:v>
      </x:c>
      <x:c r="D18" s="12" t="n">
        <x:v>80505.0000000149</x:v>
      </x:c>
      <x:c r="E18" s="12" t="n">
        <x:v>38754.666666671634</x:v>
      </x:c>
      <x:c r="F18" s="12" t="n">
        <x:v>34808</x:v>
      </x:c>
      <x:c r="G18" s="12" t="n">
        <x:v>41488.9999999851</x:v>
      </x:c>
      <x:c r="H18" s="12" t="n">
        <x:v>38967</x:v>
      </x:c>
      <x:c r="I18" s="12" t="n">
        <x:v>4102</x:v>
      </x:c>
      <x:c r="J18" s="12" t="n">
        <x:v>106.00000002980232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119472</x:v>
      </x:c>
      <x:c r="D19" s="12" t="n">
        <x:v>67989.9999999851</x:v>
      </x:c>
      <x:c r="E19" s="12" t="n">
        <x:v>51269.666666671634</x:v>
      </x:c>
      <x:c r="F19" s="12" t="n">
        <x:v>34482.0000000149</x:v>
      </x:c>
      <x:c r="G19" s="12" t="n">
        <x:v>29300.0000000149</x:v>
      </x:c>
      <x:c r="H19" s="12" t="n">
        <x:v>51482.0000000149</x:v>
      </x:c>
      <x:c r="I19" s="12" t="n">
        <x:v>4102</x:v>
      </x:c>
      <x:c r="J19" s="12" t="n">
        <x:v>105.99999995529652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119472</x:v>
      </x:c>
      <x:c r="D20" s="12" t="n">
        <x:v>77999.9999999851</x:v>
      </x:c>
      <x:c r="E20" s="12" t="n">
        <x:v>41259.666666671634</x:v>
      </x:c>
      <x:c r="F20" s="12" t="n">
        <x:v>32847</x:v>
      </x:c>
      <x:c r="G20" s="12" t="n">
        <x:v>40945</x:v>
      </x:c>
      <x:c r="H20" s="12" t="n">
        <x:v>41472.0000000149</x:v>
      </x:c>
      <x:c r="I20" s="12" t="n">
        <x:v>4102</x:v>
      </x:c>
      <x:c r="J20" s="12" t="n">
        <x:v>105.99999998509884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119472</x:v>
      </x:c>
      <x:c r="D21" s="12" t="n">
        <x:v>67250</x:v>
      </x:c>
      <x:c r="E21" s="12" t="n">
        <x:v>52009.666666671634</x:v>
      </x:c>
      <x:c r="F21" s="12" t="n">
        <x:v>34244</x:v>
      </x:c>
      <x:c r="G21" s="12" t="n">
        <x:v>28798</x:v>
      </x:c>
      <x:c r="H21" s="12" t="n">
        <x:v>52222</x:v>
      </x:c>
      <x:c r="I21" s="12" t="n">
        <x:v>4102</x:v>
      </x:c>
      <x:c r="J21" s="12" t="n">
        <x:v>106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119475.9999999851</x:v>
      </x:c>
      <x:c r="D22" s="12" t="n">
        <x:v>79233.9999999851</x:v>
      </x:c>
      <x:c r="E22" s="12" t="n">
        <x:v>40025.666666671634</x:v>
      </x:c>
      <x:c r="F22" s="12" t="n">
        <x:v>34081</x:v>
      </x:c>
      <x:c r="G22" s="12" t="n">
        <x:v>40944.9999999851</x:v>
      </x:c>
      <x:c r="H22" s="12" t="n">
        <x:v>40242</x:v>
      </x:c>
      <x:c r="I22" s="12" t="n">
        <x:v>4102</x:v>
      </x:c>
      <x:c r="J22" s="12" t="n">
        <x:v>106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119470.0000000149</x:v>
      </x:c>
      <x:c r="D23" s="12" t="n">
        <x:v>66923.0000000149</x:v>
      </x:c>
      <x:c r="E23" s="12" t="n">
        <x:v>52332.666666671634</x:v>
      </x:c>
      <x:c r="F23" s="12" t="n">
        <x:v>33917</x:v>
      </x:c>
      <x:c r="G23" s="12" t="n">
        <x:v>28798</x:v>
      </x:c>
      <x:c r="H23" s="12" t="n">
        <x:v>52547</x:v>
      </x:c>
      <x:c r="I23" s="12" t="n">
        <x:v>4102</x:v>
      </x:c>
      <x:c r="J23" s="12" t="n">
        <x:v>106.00000001490116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119474</x:v>
      </x:c>
      <x:c r="D24" s="12" t="n">
        <x:v>77941.9999999851</x:v>
      </x:c>
      <x:c r="E24" s="12" t="n">
        <x:v>41315.666666671634</x:v>
      </x:c>
      <x:c r="F24" s="12" t="n">
        <x:v>32789</x:v>
      </x:c>
      <x:c r="G24" s="12" t="n">
        <x:v>40945</x:v>
      </x:c>
      <x:c r="H24" s="12" t="n">
        <x:v>41532.0000000149</x:v>
      </x:c>
      <x:c r="I24" s="12" t="n">
        <x:v>4102</x:v>
      </x:c>
      <x:c r="J24" s="12" t="n">
        <x:v>105.99999998509884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119469.9999999851</x:v>
      </x:c>
      <x:c r="D25" s="12" t="n">
        <x:v>67207.9999999851</x:v>
      </x:c>
      <x:c r="E25" s="12" t="n">
        <x:v>52047.666666671634</x:v>
      </x:c>
      <x:c r="F25" s="12" t="n">
        <x:v>34202</x:v>
      </x:c>
      <x:c r="G25" s="12" t="n">
        <x:v>28798</x:v>
      </x:c>
      <x:c r="H25" s="12" t="n">
        <x:v>52262</x:v>
      </x:c>
      <x:c r="I25" s="12" t="n">
        <x:v>4102</x:v>
      </x:c>
      <x:c r="J25" s="12" t="n">
        <x:v>105.99999998509884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119474.0000000149</x:v>
      </x:c>
      <x:c r="D26" s="12" t="n">
        <x:v>80652.0000000149</x:v>
      </x:c>
      <x:c r="E26" s="12" t="n">
        <x:v>38605.666666671634</x:v>
      </x:c>
      <x:c r="F26" s="12" t="n">
        <x:v>34957</x:v>
      </x:c>
      <x:c r="G26" s="12" t="n">
        <x:v>41487</x:v>
      </x:c>
      <x:c r="H26" s="12" t="n">
        <x:v>38822</x:v>
      </x:c>
      <x:c r="I26" s="12" t="n">
        <x:v>4102</x:v>
      </x:c>
      <x:c r="J26" s="12" t="n">
        <x:v>106.00000001490116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119470</x:v>
      </x:c>
      <x:c r="D27" s="12" t="n">
        <x:v>68053</x:v>
      </x:c>
      <x:c r="E27" s="12" t="n">
        <x:v>51202.666666671634</x:v>
      </x:c>
      <x:c r="F27" s="12" t="n">
        <x:v>34523.9999999851</x:v>
      </x:c>
      <x:c r="G27" s="12" t="n">
        <x:v>29320.9999999851</x:v>
      </x:c>
      <x:c r="H27" s="12" t="n">
        <x:v>51417</x:v>
      </x:c>
      <x:c r="I27" s="12" t="n">
        <x:v>4102</x:v>
      </x:c>
      <x:c r="J27" s="12" t="n">
        <x:v>106.00000002980232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119472</x:v>
      </x:c>
      <x:c r="D28" s="12" t="n">
        <x:v>76075</x:v>
      </x:c>
      <x:c r="E28" s="12" t="n">
        <x:v>43182.666666671634</x:v>
      </x:c>
      <x:c r="F28" s="12" t="n">
        <x:v>30882.9999999851</x:v>
      </x:c>
      <x:c r="G28" s="12" t="n">
        <x:v>40984</x:v>
      </x:c>
      <x:c r="H28" s="12" t="n">
        <x:v>43397</x:v>
      </x:c>
      <x:c r="I28" s="12" t="n">
        <x:v>4102</x:v>
      </x:c>
      <x:c r="J28" s="12" t="n">
        <x:v>106.00000001490116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119470</x:v>
      </x:c>
      <x:c r="D29" s="12" t="n">
        <x:v>65278</x:v>
      </x:c>
      <x:c r="E29" s="12" t="n">
        <x:v>53979.666666671634</x:v>
      </x:c>
      <x:c r="F29" s="12" t="n">
        <x:v>32260</x:v>
      </x:c>
      <x:c r="G29" s="12" t="n">
        <x:v>28809.9999999851</x:v>
      </x:c>
      <x:c r="H29" s="12" t="n">
        <x:v>54192</x:v>
      </x:c>
      <x:c r="I29" s="12" t="n">
        <x:v>4102</x:v>
      </x:c>
      <x:c r="J29" s="12" t="n">
        <x:v>106.00000001490116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119474</x:v>
      </x:c>
      <x:c r="D30" s="12" t="n">
        <x:v>79882.0000000149</x:v>
      </x:c>
      <x:c r="E30" s="12" t="n">
        <x:v>39377.666666671634</x:v>
      </x:c>
      <x:c r="F30" s="12" t="n">
        <x:v>34690</x:v>
      </x:c>
      <x:c r="G30" s="12" t="n">
        <x:v>40984</x:v>
      </x:c>
      <x:c r="H30" s="12" t="n">
        <x:v>39591.9999999851</x:v>
      </x:c>
      <x:c r="I30" s="12" t="n">
        <x:v>4102</x:v>
      </x:c>
      <x:c r="J30" s="12" t="n">
        <x:v>106.00000001490116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119473</x:v>
      </x:c>
      <x:c r="D31" s="12" t="n">
        <x:v>67461</x:v>
      </x:c>
      <x:c r="E31" s="12" t="n">
        <x:v>51796.666666671634</x:v>
      </x:c>
      <x:c r="F31" s="12" t="n">
        <x:v>34443</x:v>
      </x:c>
      <x:c r="G31" s="12" t="n">
        <x:v>28809.9999999851</x:v>
      </x:c>
      <x:c r="H31" s="12" t="n">
        <x:v>52012</x:v>
      </x:c>
      <x:c r="I31" s="12" t="n">
        <x:v>4102</x:v>
      </x:c>
      <x:c r="J31" s="12" t="n">
        <x:v>106.00000001490116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119469</x:v>
      </x:c>
      <x:c r="D32" s="12" t="n">
        <x:v>77982</x:v>
      </x:c>
      <x:c r="E32" s="12" t="n">
        <x:v>41274.666666671634</x:v>
      </x:c>
      <x:c r="F32" s="12" t="n">
        <x:v>32790</x:v>
      </x:c>
      <x:c r="G32" s="12" t="n">
        <x:v>40983.9999999851</x:v>
      </x:c>
      <x:c r="H32" s="12" t="n">
        <x:v>41487</x:v>
      </x:c>
      <x:c r="I32" s="12" t="n">
        <x:v>4102.000000014901</x:v>
      </x:c>
      <x:c r="J32" s="12" t="n">
        <x:v>106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119473</x:v>
      </x:c>
      <x:c r="D33" s="12" t="n">
        <x:v>67155.9999999851</x:v>
      </x:c>
      <x:c r="E33" s="12" t="n">
        <x:v>52103.666666671634</x:v>
      </x:c>
      <x:c r="F33" s="12" t="n">
        <x:v>34138</x:v>
      </x:c>
      <x:c r="G33" s="12" t="n">
        <x:v>28810</x:v>
      </x:c>
      <x:c r="H33" s="12" t="n">
        <x:v>52317.0000000149</x:v>
      </x:c>
      <x:c r="I33" s="12" t="n">
        <x:v>4102</x:v>
      </x:c>
      <x:c r="J33" s="12" t="n">
        <x:v>105.99999998509884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119472.9999999851</x:v>
      </x:c>
      <x:c r="D34" s="12" t="n">
        <x:v>79790.9999999851</x:v>
      </x:c>
      <x:c r="E34" s="12" t="n">
        <x:v>39467.666666671634</x:v>
      </x:c>
      <x:c r="F34" s="12" t="n">
        <x:v>34096</x:v>
      </x:c>
      <x:c r="G34" s="12" t="n">
        <x:v>41487</x:v>
      </x:c>
      <x:c r="H34" s="12" t="n">
        <x:v>39682</x:v>
      </x:c>
      <x:c r="I34" s="12" t="n">
        <x:v>4102</x:v>
      </x:c>
      <x:c r="J34" s="12" t="n">
        <x:v>105.99999998509884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119473.0000000149</x:v>
      </x:c>
      <x:c r="D35" s="12" t="n">
        <x:v>67386.0000000149</x:v>
      </x:c>
      <x:c r="E35" s="12" t="n">
        <x:v>51871.666666671634</x:v>
      </x:c>
      <x:c r="F35" s="12" t="n">
        <x:v>33878</x:v>
      </x:c>
      <x:c r="G35" s="12" t="n">
        <x:v>29300</x:v>
      </x:c>
      <x:c r="H35" s="12" t="n">
        <x:v>52087</x:v>
      </x:c>
      <x:c r="I35" s="12" t="n">
        <x:v>4102</x:v>
      </x:c>
      <x:c r="J35" s="12" t="n">
        <x:v>106.00000001490116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119471</x:v>
      </x:c>
      <x:c r="D36" s="12" t="n">
        <x:v>77918.9999999851</x:v>
      </x:c>
      <x:c r="E36" s="12" t="n">
        <x:v>41337.666666671634</x:v>
      </x:c>
      <x:c r="F36" s="12" t="n">
        <x:v>32768</x:v>
      </x:c>
      <x:c r="G36" s="12" t="n">
        <x:v>40943</x:v>
      </x:c>
      <x:c r="H36" s="12" t="n">
        <x:v>41552.0000000149</x:v>
      </x:c>
      <x:c r="I36" s="12" t="n">
        <x:v>4102</x:v>
      </x:c>
      <x:c r="J36" s="12" t="n">
        <x:v>105.99999998509884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119472</x:v>
      </x:c>
      <x:c r="D37" s="12" t="n">
        <x:v>65290</x:v>
      </x:c>
      <x:c r="E37" s="12" t="n">
        <x:v>53967.666666671634</x:v>
      </x:c>
      <x:c r="F37" s="12" t="n">
        <x:v>32284</x:v>
      </x:c>
      <x:c r="G37" s="12" t="n">
        <x:v>28798</x:v>
      </x:c>
      <x:c r="H37" s="12" t="n">
        <x:v>54182</x:v>
      </x:c>
      <x:c r="I37" s="12" t="n">
        <x:v>4102</x:v>
      </x:c>
      <x:c r="J37" s="12" t="n">
        <x:v>106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119472.9999999851</x:v>
      </x:c>
      <x:c r="D38" s="12" t="n">
        <x:v>79880.9999999851</x:v>
      </x:c>
      <x:c r="E38" s="12" t="n">
        <x:v>39376.666666671634</x:v>
      </x:c>
      <x:c r="F38" s="12" t="n">
        <x:v>34730</x:v>
      </x:c>
      <x:c r="G38" s="12" t="n">
        <x:v>40943</x:v>
      </x:c>
      <x:c r="H38" s="12" t="n">
        <x:v>39592</x:v>
      </x:c>
      <x:c r="I38" s="12" t="n">
        <x:v>4102</x:v>
      </x:c>
      <x:c r="J38" s="12" t="n">
        <x:v>105.99999998509884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119473.0000000149</x:v>
      </x:c>
      <x:c r="D39" s="12" t="n">
        <x:v>67566.0000000149</x:v>
      </x:c>
      <x:c r="E39" s="12" t="n">
        <x:v>51690.666666671634</x:v>
      </x:c>
      <x:c r="F39" s="12" t="n">
        <x:v>34560</x:v>
      </x:c>
      <x:c r="G39" s="12" t="n">
        <x:v>28797.9999999851</x:v>
      </x:c>
      <x:c r="H39" s="12" t="n">
        <x:v>51907</x:v>
      </x:c>
      <x:c r="I39" s="12" t="n">
        <x:v>4101.999999985099</x:v>
      </x:c>
      <x:c r="J39" s="12" t="n">
        <x:v>106.00000004470348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119470</x:v>
      </x:c>
      <x:c r="D40" s="12" t="n">
        <x:v>77228</x:v>
      </x:c>
      <x:c r="E40" s="12" t="n">
        <x:v>42027.666666671634</x:v>
      </x:c>
      <x:c r="F40" s="12" t="n">
        <x:v>32077</x:v>
      </x:c>
      <x:c r="G40" s="12" t="n">
        <x:v>40943</x:v>
      </x:c>
      <x:c r="H40" s="12" t="n">
        <x:v>42242</x:v>
      </x:c>
      <x:c r="I40" s="12" t="n">
        <x:v>4102</x:v>
      </x:c>
      <x:c r="J40" s="12" t="n">
        <x:v>106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119473</x:v>
      </x:c>
      <x:c r="D41" s="12" t="n">
        <x:v>65266</x:v>
      </x:c>
      <x:c r="E41" s="12" t="n">
        <x:v>53991.666666671634</x:v>
      </x:c>
      <x:c r="F41" s="12" t="n">
        <x:v>32259.9999999851</x:v>
      </x:c>
      <x:c r="G41" s="12" t="n">
        <x:v>28797.9999999851</x:v>
      </x:c>
      <x:c r="H41" s="12" t="n">
        <x:v>54207</x:v>
      </x:c>
      <x:c r="I41" s="12" t="n">
        <x:v>4102</x:v>
      </x:c>
      <x:c r="J41" s="12" t="n">
        <x:v>106.00000002980232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119469</x:v>
      </x:c>
      <x:c r="D42" s="12" t="n">
        <x:v>80462.0000000149</x:v>
      </x:c>
      <x:c r="E42" s="12" t="n">
        <x:v>38794.666666671634</x:v>
      </x:c>
      <x:c r="F42" s="12" t="n">
        <x:v>34769</x:v>
      </x:c>
      <x:c r="G42" s="12" t="n">
        <x:v>41484.9999999851</x:v>
      </x:c>
      <x:c r="H42" s="12" t="n">
        <x:v>39006.9999999851</x:v>
      </x:c>
      <x:c r="I42" s="12" t="n">
        <x:v>4102</x:v>
      </x:c>
      <x:c r="J42" s="12" t="n">
        <x:v>106.00000002980232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119476</x:v>
      </x:c>
      <x:c r="D43" s="12" t="n">
        <x:v>67344</x:v>
      </x:c>
      <x:c r="E43" s="12" t="n">
        <x:v>51915.666666671634</x:v>
      </x:c>
      <x:c r="F43" s="12" t="n">
        <x:v>33815</x:v>
      </x:c>
      <x:c r="G43" s="12" t="n">
        <x:v>29321</x:v>
      </x:c>
      <x:c r="H43" s="12" t="n">
        <x:v>52132</x:v>
      </x:c>
      <x:c r="I43" s="12" t="n">
        <x:v>4102</x:v>
      </x:c>
      <x:c r="J43" s="12" t="n">
        <x:v>106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</x:v>
      </x:c>
      <x:c r="D44" s="12" t="n">
        <x:v>77995</x:v>
      </x:c>
      <x:c r="E44" s="12" t="n">
        <x:v>41260.666666671634</x:v>
      </x:c>
      <x:c r="F44" s="12" t="n">
        <x:v>32803</x:v>
      </x:c>
      <x:c r="G44" s="12" t="n">
        <x:v>40983.9999999851</x:v>
      </x:c>
      <x:c r="H44" s="12" t="n">
        <x:v>41477</x:v>
      </x:c>
      <x:c r="I44" s="12" t="n">
        <x:v>4102</x:v>
      </x:c>
      <x:c r="J44" s="12" t="n">
        <x:v>106.00000001490116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119468</x:v>
      </x:c>
      <x:c r="D45" s="12" t="n">
        <x:v>67201</x:v>
      </x:c>
      <x:c r="E45" s="12" t="n">
        <x:v>52054.666666671634</x:v>
      </x:c>
      <x:c r="F45" s="12" t="n">
        <x:v>34182.9999999851</x:v>
      </x:c>
      <x:c r="G45" s="12" t="n">
        <x:v>28810</x:v>
      </x:c>
      <x:c r="H45" s="12" t="n">
        <x:v>52267</x:v>
      </x:c>
      <x:c r="I45" s="12" t="n">
        <x:v>4101.999999985099</x:v>
      </x:c>
      <x:c r="J45" s="12" t="n">
        <x:v>106.00000002980232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122294</x:v>
      </x:c>
      <x:c r="D46" s="12" t="n">
        <x:v>85347</x:v>
      </x:c>
      <x:c r="E46" s="12" t="n">
        <x:v>36733.666666671634</x:v>
      </x:c>
      <x:c r="F46" s="12" t="n">
        <x:v>37334</x:v>
      </x:c>
      <x:c r="G46" s="12" t="n">
        <x:v>40984</x:v>
      </x:c>
      <x:c r="H46" s="12" t="n">
        <x:v>36947</x:v>
      </x:c>
      <x:c r="I46" s="12" t="n">
        <x:v>6922.999999985099</x:v>
      </x:c>
      <x:c r="J46" s="12" t="n">
        <x:v>106.00000001490116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116654</x:v>
      </x:c>
      <x:c r="D47" s="12" t="n">
        <x:v>66827.0000000149</x:v>
      </x:c>
      <x:c r="E47" s="12" t="n">
        <x:v>49610.666666671634</x:v>
      </x:c>
      <x:c r="F47" s="12" t="n">
        <x:v>33809</x:v>
      </x:c>
      <x:c r="G47" s="12" t="n">
        <x:v>28810.0000000149</x:v>
      </x:c>
      <x:c r="H47" s="12" t="n">
        <x:v>49826.9999999851</x:v>
      </x:c>
      <x:c r="I47" s="12" t="n">
        <x:v>4102</x:v>
      </x:c>
      <x:c r="J47" s="12" t="n">
        <x:v>106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119468.9999999851</x:v>
      </x:c>
      <x:c r="D48" s="12" t="n">
        <x:v>78016.9999999851</x:v>
      </x:c>
      <x:c r="E48" s="12" t="n">
        <x:v>41238.666666671634</x:v>
      </x:c>
      <x:c r="F48" s="12" t="n">
        <x:v>32825</x:v>
      </x:c>
      <x:c r="G48" s="12" t="n">
        <x:v>40983.9999999851</x:v>
      </x:c>
      <x:c r="H48" s="12" t="n">
        <x:v>41452</x:v>
      </x:c>
      <x:c r="I48" s="12" t="n">
        <x:v>4102</x:v>
      </x:c>
      <x:c r="J48" s="12" t="n">
        <x:v>106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119475.0000000149</x:v>
      </x:c>
      <x:c r="D49" s="12" t="n">
        <x:v>67248.0000000149</x:v>
      </x:c>
      <x:c r="E49" s="12" t="n">
        <x:v>52010.666666671634</x:v>
      </x:c>
      <x:c r="F49" s="12" t="n">
        <x:v>34230</x:v>
      </x:c>
      <x:c r="G49" s="12" t="n">
        <x:v>28810</x:v>
      </x:c>
      <x:c r="H49" s="12" t="n">
        <x:v>52227</x:v>
      </x:c>
      <x:c r="I49" s="12" t="n">
        <x:v>4102</x:v>
      </x:c>
      <x:c r="J49" s="12" t="n">
        <x:v>106.00000001490116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117920</x:v>
      </x:c>
      <x:c r="D50" s="12" t="n">
        <x:v>116148</x:v>
      </x:c>
      <x:c r="E50" s="12" t="n">
        <x:v>1555.6666666716337</x:v>
      </x:c>
      <x:c r="F50" s="12" t="n">
        <x:v>33462</x:v>
      </x:c>
      <x:c r="G50" s="12" t="n">
        <x:v>80030</x:v>
      </x:c>
      <x:c r="H50" s="12" t="n">
        <x:v>1772</x:v>
      </x:c>
      <x:c r="I50" s="12" t="n">
        <x:v>2550</x:v>
      </x:c>
      <x:c r="J50" s="12" t="n">
        <x:v>106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119471</x:v>
      </x:c>
      <x:c r="D51" s="12" t="n">
        <x:v>68329</x:v>
      </x:c>
      <x:c r="E51" s="12" t="n">
        <x:v>50926.666666671634</x:v>
      </x:c>
      <x:c r="F51" s="12" t="n">
        <x:v>33593</x:v>
      </x:c>
      <x:c r="G51" s="12" t="n">
        <x:v>32080.0000000149</x:v>
      </x:c>
      <x:c r="H51" s="12" t="n">
        <x:v>51142</x:v>
      </x:c>
      <x:c r="I51" s="12" t="n">
        <x:v>2550.000000014901</x:v>
      </x:c>
      <x:c r="J51" s="12" t="n">
        <x:v>105.99999997019768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119472</x:v>
      </x:c>
      <x:c r="D52" s="12" t="n">
        <x:v>82970.0000000149</x:v>
      </x:c>
      <x:c r="E52" s="12" t="n">
        <x:v>36286.666666671634</x:v>
      </x:c>
      <x:c r="F52" s="12" t="n">
        <x:v>29559</x:v>
      </x:c>
      <x:c r="G52" s="12" t="n">
        <x:v>50755</x:v>
      </x:c>
      <x:c r="H52" s="12" t="n">
        <x:v>36501.9999999851</x:v>
      </x:c>
      <x:c r="I52" s="12" t="n">
        <x:v>2550</x:v>
      </x:c>
      <x:c r="J52" s="12" t="n">
        <x:v>106.00000001490116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119468.9999999851</x:v>
      </x:c>
      <x:c r="D53" s="12" t="n">
        <x:v>67006.9999999851</x:v>
      </x:c>
      <x:c r="E53" s="12" t="n">
        <x:v>52249.666666671634</x:v>
      </x:c>
      <x:c r="F53" s="12" t="n">
        <x:v>32773</x:v>
      </x:c>
      <x:c r="G53" s="12" t="n">
        <x:v>31578</x:v>
      </x:c>
      <x:c r="H53" s="12" t="n">
        <x:v>52462</x:v>
      </x:c>
      <x:c r="I53" s="12" t="n">
        <x:v>2550</x:v>
      </x:c>
      <x:c r="J53" s="12" t="n">
        <x:v>105.99999998509884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119474.0000000149</x:v>
      </x:c>
      <x:c r="D54" s="12" t="n">
        <x:v>88522.0000000149</x:v>
      </x:c>
      <x:c r="E54" s="12" t="n">
        <x:v>30737.666666671634</x:v>
      </x:c>
      <x:c r="F54" s="12" t="n">
        <x:v>33519.9999999851</x:v>
      </x:c>
      <x:c r="G54" s="12" t="n">
        <x:v>52346</x:v>
      </x:c>
      <x:c r="H54" s="12" t="n">
        <x:v>30952</x:v>
      </x:c>
      <x:c r="I54" s="12" t="n">
        <x:v>2550</x:v>
      </x:c>
      <x:c r="J54" s="12" t="n">
        <x:v>106.00000002980232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119473</x:v>
      </x:c>
      <x:c r="D55" s="12" t="n">
        <x:v>67536</x:v>
      </x:c>
      <x:c r="E55" s="12" t="n">
        <x:v>51721.666666671634</x:v>
      </x:c>
      <x:c r="F55" s="12" t="n">
        <x:v>33302</x:v>
      </x:c>
      <x:c r="G55" s="12" t="n">
        <x:v>31578</x:v>
      </x:c>
      <x:c r="H55" s="12" t="n">
        <x:v>51937</x:v>
      </x:c>
      <x:c r="I55" s="12" t="n">
        <x:v>2550</x:v>
      </x:c>
      <x:c r="J55" s="12" t="n">
        <x:v>106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119473</x:v>
      </x:c>
      <x:c r="D56" s="12" t="n">
        <x:v>83841</x:v>
      </x:c>
      <x:c r="E56" s="12" t="n">
        <x:v>35415.666666671634</x:v>
      </x:c>
      <x:c r="F56" s="12" t="n">
        <x:v>31412.0000000149</x:v>
      </x:c>
      <x:c r="G56" s="12" t="n">
        <x:v>49773</x:v>
      </x:c>
      <x:c r="H56" s="12" t="n">
        <x:v>35632</x:v>
      </x:c>
      <x:c r="I56" s="12" t="n">
        <x:v>2550</x:v>
      </x:c>
      <x:c r="J56" s="12" t="n">
        <x:v>105.99999998509884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119471</x:v>
      </x:c>
      <x:c r="D57" s="12" t="n">
        <x:v>64409</x:v>
      </x:c>
      <x:c r="E57" s="12" t="n">
        <x:v>54846.666666671634</x:v>
      </x:c>
      <x:c r="F57" s="12" t="n">
        <x:v>32748</x:v>
      </x:c>
      <x:c r="G57" s="12" t="n">
        <x:v>29005</x:v>
      </x:c>
      <x:c r="H57" s="12" t="n">
        <x:v>55062</x:v>
      </x:c>
      <x:c r="I57" s="12" t="n">
        <x:v>2550</x:v>
      </x:c>
      <x:c r="J57" s="12" t="n">
        <x:v>106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119470</x:v>
      </x:c>
      <x:c r="D58" s="12" t="n">
        <x:v>84187.9999999851</x:v>
      </x:c>
      <x:c r="E58" s="12" t="n">
        <x:v>35068.666666671634</x:v>
      </x:c>
      <x:c r="F58" s="12" t="n">
        <x:v>32756</x:v>
      </x:c>
      <x:c r="G58" s="12" t="n">
        <x:v>48776</x:v>
      </x:c>
      <x:c r="H58" s="12" t="n">
        <x:v>35282.0000000149</x:v>
      </x:c>
      <x:c r="I58" s="12" t="n">
        <x:v>2550</x:v>
      </x:c>
      <x:c r="J58" s="12" t="n">
        <x:v>105.99999998509884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119471</x:v>
      </x:c>
      <x:c r="D59" s="12" t="n">
        <x:v>64638.9999999851</x:v>
      </x:c>
      <x:c r="E59" s="12" t="n">
        <x:v>54619.666666671634</x:v>
      </x:c>
      <x:c r="F59" s="12" t="n">
        <x:v>32455</x:v>
      </x:c>
      <x:c r="G59" s="12" t="n">
        <x:v>29528.0000000149</x:v>
      </x:c>
      <x:c r="H59" s="12" t="n">
        <x:v>54832.0000000149</x:v>
      </x:c>
      <x:c r="I59" s="12" t="n">
        <x:v>2550.000000014901</x:v>
      </x:c>
      <x:c r="J59" s="12" t="n">
        <x:v>105.99999995529652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119474</x:v>
      </x:c>
      <x:c r="D60" s="12" t="n">
        <x:v>82261.9999999851</x:v>
      </x:c>
      <x:c r="E60" s="12" t="n">
        <x:v>36997.666666671634</x:v>
      </x:c>
      <x:c r="F60" s="12" t="n">
        <x:v>31409</x:v>
      </x:c>
      <x:c r="G60" s="12" t="n">
        <x:v>48197.0000000149</x:v>
      </x:c>
      <x:c r="H60" s="12" t="n">
        <x:v>37212.0000000149</x:v>
      </x:c>
      <x:c r="I60" s="12" t="n">
        <x:v>2550</x:v>
      </x:c>
      <x:c r="J60" s="12" t="n">
        <x:v>105.99999997019768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119471</x:v>
      </x:c>
      <x:c r="D61" s="12" t="n">
        <x:v>64348.9999999851</x:v>
      </x:c>
      <x:c r="E61" s="12" t="n">
        <x:v>54908.666666671634</x:v>
      </x:c>
      <x:c r="F61" s="12" t="n">
        <x:v>32676.0000000149</x:v>
      </x:c>
      <x:c r="G61" s="12" t="n">
        <x:v>29017</x:v>
      </x:c>
      <x:c r="H61" s="12" t="n">
        <x:v>55122.0000000149</x:v>
      </x:c>
      <x:c r="I61" s="12" t="n">
        <x:v>2550</x:v>
      </x:c>
      <x:c r="J61" s="12" t="n">
        <x:v>105.99999997019768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119473</x:v>
      </x:c>
      <x:c r="D62" s="12" t="n">
        <x:v>90251</x:v>
      </x:c>
      <x:c r="E62" s="12" t="n">
        <x:v>29007.666666671634</x:v>
      </x:c>
      <x:c r="F62" s="12" t="n">
        <x:v>39398</x:v>
      </x:c>
      <x:c r="G62" s="12" t="n">
        <x:v>48197</x:v>
      </x:c>
      <x:c r="H62" s="12" t="n">
        <x:v>29222</x:v>
      </x:c>
      <x:c r="I62" s="12" t="n">
        <x:v>2550</x:v>
      </x:c>
      <x:c r="J62" s="12" t="n">
        <x:v>106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119471</x:v>
      </x:c>
      <x:c r="D63" s="12" t="n">
        <x:v>66184</x:v>
      </x:c>
      <x:c r="E63" s="12" t="n">
        <x:v>53073.666666671634</x:v>
      </x:c>
      <x:c r="F63" s="12" t="n">
        <x:v>34510.9999999851</x:v>
      </x:c>
      <x:c r="G63" s="12" t="n">
        <x:v>29017</x:v>
      </x:c>
      <x:c r="H63" s="12" t="n">
        <x:v>53287</x:v>
      </x:c>
      <x:c r="I63" s="12" t="n">
        <x:v>2550</x:v>
      </x:c>
      <x:c r="J63" s="12" t="n">
        <x:v>106.00000001490116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119471</x:v>
      </x:c>
      <x:c r="D64" s="12" t="n">
        <x:v>81784</x:v>
      </x:c>
      <x:c r="E64" s="12" t="n">
        <x:v>37474.666666671634</x:v>
      </x:c>
      <x:c r="F64" s="12" t="n">
        <x:v>30930.9999999851</x:v>
      </x:c>
      <x:c r="G64" s="12" t="n">
        <x:v>48196.9999999851</x:v>
      </x:c>
      <x:c r="H64" s="12" t="n">
        <x:v>37687</x:v>
      </x:c>
      <x:c r="I64" s="12" t="n">
        <x:v>2550</x:v>
      </x:c>
      <x:c r="J64" s="12" t="n">
        <x:v>106.00000002980232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119473</x:v>
      </x:c>
      <x:c r="D65" s="12" t="n">
        <x:v>64046</x:v>
      </x:c>
      <x:c r="E65" s="12" t="n">
        <x:v>55213.666666671634</x:v>
      </x:c>
      <x:c r="F65" s="12" t="n">
        <x:v>32373</x:v>
      </x:c>
      <x:c r="G65" s="12" t="n">
        <x:v>29017</x:v>
      </x:c>
      <x:c r="H65" s="12" t="n">
        <x:v>55427</x:v>
      </x:c>
      <x:c r="I65" s="12" t="n">
        <x:v>2549.999999985099</x:v>
      </x:c>
      <x:c r="J65" s="12" t="n">
        <x:v>106.00000001490116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119474</x:v>
      </x:c>
      <x:c r="D66" s="12" t="n">
        <x:v>86312</x:v>
      </x:c>
      <x:c r="E66" s="12" t="n">
        <x:v>32946.666666671634</x:v>
      </x:c>
      <x:c r="F66" s="12" t="n">
        <x:v>34904.0000000149</x:v>
      </x:c>
      <x:c r="G66" s="12" t="n">
        <x:v>48752</x:v>
      </x:c>
      <x:c r="H66" s="12" t="n">
        <x:v>33162</x:v>
      </x:c>
      <x:c r="I66" s="12" t="n">
        <x:v>2550</x:v>
      </x:c>
      <x:c r="J66" s="12" t="n">
        <x:v>105.99999998509884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119471</x:v>
      </x:c>
      <x:c r="D67" s="12" t="n">
        <x:v>70818.9999999851</x:v>
      </x:c>
      <x:c r="E67" s="12" t="n">
        <x:v>48437.666666671634</x:v>
      </x:c>
      <x:c r="F67" s="12" t="n">
        <x:v>38656</x:v>
      </x:c>
      <x:c r="G67" s="12" t="n">
        <x:v>29507.0000000149</x:v>
      </x:c>
      <x:c r="H67" s="12" t="n">
        <x:v>48652.0000000149</x:v>
      </x:c>
      <x:c r="I67" s="12" t="n">
        <x:v>2550</x:v>
      </x:c>
      <x:c r="J67" s="12" t="n">
        <x:v>105.99999997019768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121022.9999999851</x:v>
      </x:c>
      <x:c r="D68" s="12" t="n">
        <x:v>100495.9999999851</x:v>
      </x:c>
      <x:c r="E68" s="12" t="n">
        <x:v>20313.666666671634</x:v>
      </x:c>
      <x:c r="F68" s="12" t="n">
        <x:v>39703</x:v>
      </x:c>
      <x:c r="G68" s="12" t="n">
        <x:v>56585</x:v>
      </x:c>
      <x:c r="H68" s="12" t="n">
        <x:v>20527</x:v>
      </x:c>
      <x:c r="I68" s="12" t="n">
        <x:v>4102</x:v>
      </x:c>
      <x:c r="J68" s="12" t="n">
        <x:v>105.99999998509884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119475</x:v>
      </x:c>
      <x:c r="D69" s="12" t="n">
        <x:v>96118</x:v>
      </x:c>
      <x:c r="E69" s="12" t="n">
        <x:v>23140.666666671634</x:v>
      </x:c>
      <x:c r="F69" s="12" t="n">
        <x:v>35783</x:v>
      </x:c>
      <x:c r="G69" s="12" t="n">
        <x:v>56127.0000000149</x:v>
      </x:c>
      <x:c r="H69" s="12" t="n">
        <x:v>23357</x:v>
      </x:c>
      <x:c r="I69" s="12" t="n">
        <x:v>4102</x:v>
      </x:c>
      <x:c r="J69" s="12" t="n">
        <x:v>105.99999998509884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119471.0000000149</x:v>
      </x:c>
      <x:c r="D70" s="12" t="n">
        <x:v>108609.0000000298</x:v>
      </x:c>
      <x:c r="E70" s="12" t="n">
        <x:v>10646.666666671634</x:v>
      </x:c>
      <x:c r="F70" s="12" t="n">
        <x:v>35436</x:v>
      </x:c>
      <x:c r="G70" s="12" t="n">
        <x:v>68965.0000000149</x:v>
      </x:c>
      <x:c r="H70" s="12" t="n">
        <x:v>10861.999999985099</x:v>
      </x:c>
      <x:c r="I70" s="12" t="n">
        <x:v>4102</x:v>
      </x:c>
      <x:c r="J70" s="12" t="n">
        <x:v>106.00000001490116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119473</x:v>
      </x:c>
      <x:c r="D71" s="12" t="n">
        <x:v>96386</x:v>
      </x:c>
      <x:c r="E71" s="12" t="n">
        <x:v>22870.666666671634</x:v>
      </x:c>
      <x:c r="F71" s="12" t="n">
        <x:v>35468</x:v>
      </x:c>
      <x:c r="G71" s="12" t="n">
        <x:v>56709.9999999851</x:v>
      </x:c>
      <x:c r="H71" s="12" t="n">
        <x:v>23087</x:v>
      </x:c>
      <x:c r="I71" s="12" t="n">
        <x:v>4102</x:v>
      </x:c>
      <x:c r="J71" s="12" t="n">
        <x:v>106.00000001490116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119469.9999999851</x:v>
      </x:c>
      <x:c r="D72" s="12" t="n">
        <x:v>107762.9999999702</x:v>
      </x:c>
      <x:c r="E72" s="12" t="n">
        <x:v>11492.666666671634</x:v>
      </x:c>
      <x:c r="F72" s="12" t="n">
        <x:v>34978</x:v>
      </x:c>
      <x:c r="G72" s="12" t="n">
        <x:v>68577</x:v>
      </x:c>
      <x:c r="H72" s="12" t="n">
        <x:v>11707.000000014901</x:v>
      </x:c>
      <x:c r="I72" s="12" t="n">
        <x:v>4102</x:v>
      </x:c>
      <x:c r="J72" s="12" t="n">
        <x:v>105.99999997019768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119472.0000000149</x:v>
      </x:c>
      <x:c r="D73" s="12" t="n">
        <x:v>96200.0000000149</x:v>
      </x:c>
      <x:c r="E73" s="12" t="n">
        <x:v>23057.666666671634</x:v>
      </x:c>
      <x:c r="F73" s="12" t="n">
        <x:v>35949</x:v>
      </x:c>
      <x:c r="G73" s="12" t="n">
        <x:v>56043</x:v>
      </x:c>
      <x:c r="H73" s="12" t="n">
        <x:v>23272</x:v>
      </x:c>
      <x:c r="I73" s="12" t="n">
        <x:v>4102</x:v>
      </x:c>
      <x:c r="J73" s="12" t="n">
        <x:v>106.00000001490116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119472.9999999851</x:v>
      </x:c>
      <x:c r="D74" s="12" t="n">
        <x:v>113530.9999999851</x:v>
      </x:c>
      <x:c r="E74" s="12" t="n">
        <x:v>5726.666666671634</x:v>
      </x:c>
      <x:c r="F74" s="12" t="n">
        <x:v>41409</x:v>
      </x:c>
      <x:c r="G74" s="12" t="n">
        <x:v>67914</x:v>
      </x:c>
      <x:c r="H74" s="12" t="n">
        <x:v>5942</x:v>
      </x:c>
      <x:c r="I74" s="12" t="n">
        <x:v>4102</x:v>
      </x:c>
      <x:c r="J74" s="12" t="n">
        <x:v>105.99999998509884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119472.0000000149</x:v>
      </x:c>
      <x:c r="D75" s="12" t="n">
        <x:v>69835.0000000149</x:v>
      </x:c>
      <x:c r="E75" s="12" t="n">
        <x:v>49421.666666671634</x:v>
      </x:c>
      <x:c r="F75" s="12" t="n">
        <x:v>37977.9999999851</x:v>
      </x:c>
      <x:c r="G75" s="12" t="n">
        <x:v>27649</x:v>
      </x:c>
      <x:c r="H75" s="12" t="n">
        <x:v>49637</x:v>
      </x:c>
      <x:c r="I75" s="12" t="n">
        <x:v>4102</x:v>
      </x:c>
      <x:c r="J75" s="12" t="n">
        <x:v>106.00000002980232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119472</x:v>
      </x:c>
      <x:c r="D76" s="12" t="n">
        <x:v>76690</x:v>
      </x:c>
      <x:c r="E76" s="12" t="n">
        <x:v>42566.666666671634</x:v>
      </x:c>
      <x:c r="F76" s="12" t="n">
        <x:v>33218</x:v>
      </x:c>
      <x:c r="G76" s="12" t="n">
        <x:v>39264</x:v>
      </x:c>
      <x:c r="H76" s="12" t="n">
        <x:v>42782</x:v>
      </x:c>
      <x:c r="I76" s="12" t="n">
        <x:v>4102</x:v>
      </x:c>
      <x:c r="J76" s="12" t="n">
        <x:v>106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119473</x:v>
      </x:c>
      <x:c r="D77" s="12" t="n">
        <x:v>66016</x:v>
      </x:c>
      <x:c r="E77" s="12" t="n">
        <x:v>53240.666666671634</x:v>
      </x:c>
      <x:c r="F77" s="12" t="n">
        <x:v>34670</x:v>
      </x:c>
      <x:c r="G77" s="12" t="n">
        <x:v>27138</x:v>
      </x:c>
      <x:c r="H77" s="12" t="n">
        <x:v>53457</x:v>
      </x:c>
      <x:c r="I77" s="12" t="n">
        <x:v>4101.999999985099</x:v>
      </x:c>
      <x:c r="J77" s="12" t="n">
        <x:v>106.00000001490116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119470</x:v>
      </x:c>
      <x:c r="D78" s="12" t="n">
        <x:v>79603</x:v>
      </x:c>
      <x:c r="E78" s="12" t="n">
        <x:v>39652.666666671634</x:v>
      </x:c>
      <x:c r="F78" s="12" t="n">
        <x:v>36105.0000000149</x:v>
      </x:c>
      <x:c r="G78" s="12" t="n">
        <x:v>39290</x:v>
      </x:c>
      <x:c r="H78" s="12" t="n">
        <x:v>39867</x:v>
      </x:c>
      <x:c r="I78" s="12" t="n">
        <x:v>4101.999999985099</x:v>
      </x:c>
      <x:c r="J78" s="12" t="n">
        <x:v>106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117918</x:v>
      </x:c>
      <x:c r="D79" s="12" t="n">
        <x:v>115936</x:v>
      </x:c>
      <x:c r="E79" s="12" t="n">
        <x:v>1769.6666666716337</x:v>
      </x:c>
      <x:c r="F79" s="12" t="n">
        <x:v>34984</x:v>
      </x:c>
      <x:c r="G79" s="12" t="n">
        <x:v>78296</x:v>
      </x:c>
      <x:c r="H79" s="12" t="n">
        <x:v>1982</x:v>
      </x:c>
      <x:c r="I79" s="12" t="n">
        <x:v>2549.999999985099</x:v>
      </x:c>
      <x:c r="J79" s="12" t="n">
        <x:v>106.00000001490116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121025</x:v>
      </x:c>
      <x:c r="D80" s="12" t="n">
        <x:v>84428.0000000149</x:v>
      </x:c>
      <x:c r="E80" s="12" t="n">
        <x:v>36383.666666671634</x:v>
      </x:c>
      <x:c r="F80" s="12" t="n">
        <x:v>34337.0000000149</x:v>
      </x:c>
      <x:c r="G80" s="12" t="n">
        <x:v>45883.0000000149</x:v>
      </x:c>
      <x:c r="H80" s="12" t="n">
        <x:v>36596.9999999851</x:v>
      </x:c>
      <x:c r="I80" s="12" t="n">
        <x:v>4102</x:v>
      </x:c>
      <x:c r="J80" s="12" t="n">
        <x:v>105.99999998509884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117920</x:v>
      </x:c>
      <x:c r="D81" s="12" t="n">
        <x:v>110893</x:v>
      </x:c>
      <x:c r="E81" s="12" t="n">
        <x:v>6813.666666671634</x:v>
      </x:c>
      <x:c r="F81" s="12" t="n">
        <x:v>41289</x:v>
      </x:c>
      <x:c r="G81" s="12" t="n">
        <x:v>66948.0000000149</x:v>
      </x:c>
      <x:c r="H81" s="12" t="n">
        <x:v>7027</x:v>
      </x:c>
      <x:c r="I81" s="12" t="n">
        <x:v>2550</x:v>
      </x:c>
      <x:c r="J81" s="12" t="n">
        <x:v>105.99999998509884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121027</x:v>
      </x:c>
      <x:c r="D82" s="12" t="n">
        <x:v>88315</x:v>
      </x:c>
      <x:c r="E82" s="12" t="n">
        <x:v>32495.666666671634</x:v>
      </x:c>
      <x:c r="F82" s="12" t="n">
        <x:v>37498.9999999851</x:v>
      </x:c>
      <x:c r="G82" s="12" t="n">
        <x:v>46608</x:v>
      </x:c>
      <x:c r="H82" s="12" t="n">
        <x:v>32712</x:v>
      </x:c>
      <x:c r="I82" s="12" t="n">
        <x:v>4102.000000014901</x:v>
      </x:c>
      <x:c r="J82" s="12" t="n">
        <x:v>106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117916</x:v>
      </x:c>
      <x:c r="D83" s="12" t="n">
        <x:v>104269</x:v>
      </x:c>
      <x:c r="E83" s="12" t="n">
        <x:v>13434.666666671634</x:v>
      </x:c>
      <x:c r="F83" s="12" t="n">
        <x:v>36275</x:v>
      </x:c>
      <x:c r="G83" s="12" t="n">
        <x:v>65338.0000000149</x:v>
      </x:c>
      <x:c r="H83" s="12" t="n">
        <x:v>13647</x:v>
      </x:c>
      <x:c r="I83" s="12" t="n">
        <x:v>2550</x:v>
      </x:c>
      <x:c r="J83" s="12" t="n">
        <x:v>105.99999998509884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121027</x:v>
      </x:c>
      <x:c r="D84" s="12" t="n">
        <x:v>83880</x:v>
      </x:c>
      <x:c r="E84" s="12" t="n">
        <x:v>36931.666666671634</x:v>
      </x:c>
      <x:c r="F84" s="12" t="n">
        <x:v>36165.9999999851</x:v>
      </x:c>
      <x:c r="G84" s="12" t="n">
        <x:v>43506</x:v>
      </x:c>
      <x:c r="H84" s="12" t="n">
        <x:v>37147</x:v>
      </x:c>
      <x:c r="I84" s="12" t="n">
        <x:v>4102</x:v>
      </x:c>
      <x:c r="J84" s="12" t="n">
        <x:v>106.00000001490116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117917</x:v>
      </x:c>
      <x:c r="D85" s="12" t="n">
        <x:v>99880</x:v>
      </x:c>
      <x:c r="E85" s="12" t="n">
        <x:v>17824.666666671634</x:v>
      </x:c>
      <x:c r="F85" s="12" t="n">
        <x:v>33746.0000000149</x:v>
      </x:c>
      <x:c r="G85" s="12" t="n">
        <x:v>63477.9999999851</x:v>
      </x:c>
      <x:c r="H85" s="12" t="n">
        <x:v>18037</x:v>
      </x:c>
      <x:c r="I85" s="12" t="n">
        <x:v>2550</x:v>
      </x:c>
      <x:c r="J85" s="12" t="n">
        <x:v>106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123845</x:v>
      </x:c>
      <x:c r="D86" s="12" t="n">
        <x:v>93348</x:v>
      </x:c>
      <x:c r="E86" s="12" t="n">
        <x:v>30284.666666671634</x:v>
      </x:c>
      <x:c r="F86" s="12" t="n">
        <x:v>39804</x:v>
      </x:c>
      <x:c r="G86" s="12" t="n">
        <x:v>46515</x:v>
      </x:c>
      <x:c r="H86" s="12" t="n">
        <x:v>30497</x:v>
      </x:c>
      <x:c r="I86" s="12" t="n">
        <x:v>6923.000000014901</x:v>
      </x:c>
      <x:c r="J86" s="12" t="n">
        <x:v>105.99999998509884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115102</x:v>
      </x:c>
      <x:c r="D87" s="12" t="n">
        <x:v>108855</x:v>
      </x:c>
      <x:c r="E87" s="12" t="n">
        <x:v>6031.666666671634</x:v>
      </x:c>
      <x:c r="F87" s="12" t="n">
        <x:v>39462</x:v>
      </x:c>
      <x:c r="G87" s="12" t="n">
        <x:v>66737</x:v>
      </x:c>
      <x:c r="H87" s="12" t="n">
        <x:v>6247</x:v>
      </x:c>
      <x:c r="I87" s="12" t="n">
        <x:v>2550.000000014901</x:v>
      </x:c>
      <x:c r="J87" s="12" t="n">
        <x:v>105.99999998509884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119469</x:v>
      </x:c>
      <x:c r="D88" s="12" t="n">
        <x:v>66272</x:v>
      </x:c>
      <x:c r="E88" s="12" t="n">
        <x:v>52984.666666671634</x:v>
      </x:c>
      <x:c r="F88" s="12" t="n">
        <x:v>33769</x:v>
      </x:c>
      <x:c r="G88" s="12" t="n">
        <x:v>29847</x:v>
      </x:c>
      <x:c r="H88" s="12" t="n">
        <x:v>53197</x:v>
      </x:c>
      <x:c r="I88" s="12" t="n">
        <x:v>2549.999999985099</x:v>
      </x:c>
      <x:c r="J88" s="12" t="n">
        <x:v>106.00000001490116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119475</x:v>
      </x:c>
      <x:c r="D89" s="12" t="n">
        <x:v>83728</x:v>
      </x:c>
      <x:c r="E89" s="12" t="n">
        <x:v>35531.666666671634</x:v>
      </x:c>
      <x:c r="F89" s="12" t="n">
        <x:v>33710.0000000149</x:v>
      </x:c>
      <x:c r="G89" s="12" t="n">
        <x:v>47362</x:v>
      </x:c>
      <x:c r="H89" s="12" t="n">
        <x:v>35747</x:v>
      </x:c>
      <x:c r="I89" s="12" t="n">
        <x:v>2550</x:v>
      </x:c>
      <x:c r="J89" s="12" t="n">
        <x:v>105.99999998509884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119471.9999999851</x:v>
      </x:c>
      <x:c r="D90" s="12" t="n">
        <x:v>69539.9999999851</x:v>
      </x:c>
      <x:c r="E90" s="12" t="n">
        <x:v>49716.666666671634</x:v>
      </x:c>
      <x:c r="F90" s="12" t="n">
        <x:v>34871.9999999851</x:v>
      </x:c>
      <x:c r="G90" s="12" t="n">
        <x:v>32012</x:v>
      </x:c>
      <x:c r="H90" s="12" t="n">
        <x:v>49932</x:v>
      </x:c>
      <x:c r="I90" s="12" t="n">
        <x:v>2550</x:v>
      </x:c>
      <x:c r="J90" s="12" t="n">
        <x:v>106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119471.0000000149</x:v>
      </x:c>
      <x:c r="D91" s="12" t="n">
        <x:v>83974.0000000149</x:v>
      </x:c>
      <x:c r="E91" s="12" t="n">
        <x:v>35282.666666671634</x:v>
      </x:c>
      <x:c r="F91" s="12" t="n">
        <x:v>33430</x:v>
      </x:c>
      <x:c r="G91" s="12" t="n">
        <x:v>47888</x:v>
      </x:c>
      <x:c r="H91" s="12" t="n">
        <x:v>35497</x:v>
      </x:c>
      <x:c r="I91" s="12" t="n">
        <x:v>2550</x:v>
      </x:c>
      <x:c r="J91" s="12" t="n">
        <x:v>106.00000001490116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119474</x:v>
      </x:c>
      <x:c r="D92" s="12" t="n">
        <x:v>65157.0000000149</x:v>
      </x:c>
      <x:c r="E92" s="12" t="n">
        <x:v>54100.666666671634</x:v>
      </x:c>
      <x:c r="F92" s="12" t="n">
        <x:v>32642</x:v>
      </x:c>
      <x:c r="G92" s="12" t="n">
        <x:v>29859.0000000149</x:v>
      </x:c>
      <x:c r="H92" s="12" t="n">
        <x:v>54316.9999999851</x:v>
      </x:c>
      <x:c r="I92" s="12" t="n">
        <x:v>2550</x:v>
      </x:c>
      <x:c r="J92" s="12" t="n">
        <x:v>106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119472</x:v>
      </x:c>
      <x:c r="D93" s="12" t="n">
        <x:v>89910</x:v>
      </x:c>
      <x:c r="E93" s="12" t="n">
        <x:v>29345.666666671634</x:v>
      </x:c>
      <x:c r="F93" s="12" t="n">
        <x:v>39877</x:v>
      </x:c>
      <x:c r="G93" s="12" t="n">
        <x:v>47377</x:v>
      </x:c>
      <x:c r="H93" s="12" t="n">
        <x:v>29562</x:v>
      </x:c>
      <x:c r="I93" s="12" t="n">
        <x:v>2549.999999985099</x:v>
      </x:c>
      <x:c r="J93" s="12" t="n">
        <x:v>106.00000001490116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119470</x:v>
      </x:c>
      <x:c r="D94" s="12" t="n">
        <x:v>68808</x:v>
      </x:c>
      <x:c r="E94" s="12" t="n">
        <x:v>50447.666666671634</x:v>
      </x:c>
      <x:c r="F94" s="12" t="n">
        <x:v>36293.0000000149</x:v>
      </x:c>
      <x:c r="G94" s="12" t="n">
        <x:v>29859</x:v>
      </x:c>
      <x:c r="H94" s="12" t="n">
        <x:v>50662</x:v>
      </x:c>
      <x:c r="I94" s="12" t="n">
        <x:v>2550</x:v>
      </x:c>
      <x:c r="J94" s="12" t="n">
        <x:v>105.99999998509884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119471.9999999851</x:v>
      </x:c>
      <x:c r="D95" s="12" t="n">
        <x:v>84820</x:v>
      </x:c>
      <x:c r="E95" s="12" t="n">
        <x:v>34437.666666671634</x:v>
      </x:c>
      <x:c r="F95" s="12" t="n">
        <x:v>34787</x:v>
      </x:c>
      <x:c r="G95" s="12" t="n">
        <x:v>47376.9999999851</x:v>
      </x:c>
      <x:c r="H95" s="12" t="n">
        <x:v>34651.9999999851</x:v>
      </x:c>
      <x:c r="I95" s="12" t="n">
        <x:v>2550</x:v>
      </x:c>
      <x:c r="J95" s="12" t="n">
        <x:v>106.00000001490116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119470.0000000149</x:v>
      </x:c>
      <x:c r="D96" s="12" t="n">
        <x:v>67678.0000000298</x:v>
      </x:c>
      <x:c r="E96" s="12" t="n">
        <x:v>51579.666666671634</x:v>
      </x:c>
      <x:c r="F96" s="12" t="n">
        <x:v>35163</x:v>
      </x:c>
      <x:c r="G96" s="12" t="n">
        <x:v>29859</x:v>
      </x:c>
      <x:c r="H96" s="12" t="n">
        <x:v>51791.9999999851</x:v>
      </x:c>
      <x:c r="I96" s="12" t="n">
        <x:v>2550</x:v>
      </x:c>
      <x:c r="J96" s="12" t="n">
        <x:v>106.00000002980232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121027</x:v>
      </x:c>
      <x:c r="D97" s="12" t="n">
        <x:v>86505.0000000149</x:v>
      </x:c>
      <x:c r="E97" s="12" t="n">
        <x:v>34306.666666671634</x:v>
      </x:c>
      <x:c r="F97" s="12" t="n">
        <x:v>39452</x:v>
      </x:c>
      <x:c r="G97" s="12" t="n">
        <x:v>42845</x:v>
      </x:c>
      <x:c r="H97" s="12" t="n">
        <x:v>34521.9999999851</x:v>
      </x:c>
      <x:c r="I97" s="12" t="n">
        <x:v>4102</x:v>
      </x:c>
      <x:c r="J97" s="12" t="n">
        <x:v>106.00000001490116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119472</x:v>
      </x:c>
      <x:c r="D98" s="12" t="n">
        <x:v>111799.9999999851</x:v>
      </x:c>
      <x:c r="E98" s="12" t="n">
        <x:v>7456.666666671634</x:v>
      </x:c>
      <x:c r="F98" s="12" t="n">
        <x:v>38351</x:v>
      </x:c>
      <x:c r="G98" s="12" t="n">
        <x:v>69241</x:v>
      </x:c>
      <x:c r="H98" s="12" t="n">
        <x:v>7672.000000014901</x:v>
      </x:c>
      <x:c r="I98" s="12" t="n">
        <x:v>4102.000000014901</x:v>
      </x:c>
      <x:c r="J98" s="12" t="n">
        <x:v>105.99999997019768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119470</x:v>
      </x:c>
      <x:c r="D99" s="12" t="n">
        <x:v>99888</x:v>
      </x:c>
      <x:c r="E99" s="12" t="n">
        <x:v>19368.666666671634</x:v>
      </x:c>
      <x:c r="F99" s="12" t="n">
        <x:v>38421</x:v>
      </x:c>
      <x:c r="G99" s="12" t="n">
        <x:v>57259</x:v>
      </x:c>
      <x:c r="H99" s="12" t="n">
        <x:v>19582</x:v>
      </x:c>
      <x:c r="I99" s="12" t="n">
        <x:v>4102.000000014901</x:v>
      </x:c>
      <x:c r="J99" s="12" t="n">
        <x:v>105.99999998509884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119473</x:v>
      </x:c>
      <x:c r="D100" s="12" t="n">
        <x:v>111661</x:v>
      </x:c>
      <x:c r="E100" s="12" t="n">
        <x:v>7597.666666671634</x:v>
      </x:c>
      <x:c r="F100" s="12" t="n">
        <x:v>39051</x:v>
      </x:c>
      <x:c r="G100" s="12" t="n">
        <x:v>68402</x:v>
      </x:c>
      <x:c r="H100" s="12" t="n">
        <x:v>7812</x:v>
      </x:c>
      <x:c r="I100" s="12" t="n">
        <x:v>4102</x:v>
      </x:c>
      <x:c r="J100" s="12" t="n">
        <x:v>106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119474</x:v>
      </x:c>
      <x:c r="D101" s="12" t="n">
        <x:v>95102.0000000149</x:v>
      </x:c>
      <x:c r="E101" s="12" t="n">
        <x:v>24155.666666671634</x:v>
      </x:c>
      <x:c r="F101" s="12" t="n">
        <x:v>33910</x:v>
      </x:c>
      <x:c r="G101" s="12" t="n">
        <x:v>56984</x:v>
      </x:c>
      <x:c r="H101" s="12" t="n">
        <x:v>24371.9999999851</x:v>
      </x:c>
      <x:c r="I101" s="12" t="n">
        <x:v>4102</x:v>
      </x:c>
      <x:c r="J101" s="12" t="n">
        <x:v>106.00000001490116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119471</x:v>
      </x:c>
      <x:c r="D102" s="12" t="n">
        <x:v>79204</x:v>
      </x:c>
      <x:c r="E102" s="12" t="n">
        <x:v>40051.666666671634</x:v>
      </x:c>
      <x:c r="F102" s="12" t="n">
        <x:v>35777</x:v>
      </x:c>
      <x:c r="G102" s="12" t="n">
        <x:v>39219</x:v>
      </x:c>
      <x:c r="H102" s="12" t="n">
        <x:v>40267</x:v>
      </x:c>
      <x:c r="I102" s="12" t="n">
        <x:v>4102</x:v>
      </x:c>
      <x:c r="J102" s="12" t="n">
        <x:v>106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119471.9999999851</x:v>
      </x:c>
      <x:c r="D103" s="12" t="n">
        <x:v>84199.9999999851</x:v>
      </x:c>
      <x:c r="E103" s="12" t="n">
        <x:v>35056.666666671634</x:v>
      </x:c>
      <x:c r="F103" s="12" t="n">
        <x:v>35530.0000000149</x:v>
      </x:c>
      <x:c r="G103" s="12" t="n">
        <x:v>44461.9999999851</x:v>
      </x:c>
      <x:c r="H103" s="12" t="n">
        <x:v>35272</x:v>
      </x:c>
      <x:c r="I103" s="12" t="n">
        <x:v>4102</x:v>
      </x:c>
      <x:c r="J103" s="12" t="n">
        <x:v>105.99999998509884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119472.0000000149</x:v>
      </x:c>
      <x:c r="D104" s="12" t="n">
        <x:v>76500</x:v>
      </x:c>
      <x:c r="E104" s="12" t="n">
        <x:v>42756.666666671634</x:v>
      </x:c>
      <x:c r="F104" s="12" t="n">
        <x:v>33936</x:v>
      </x:c>
      <x:c r="G104" s="12" t="n">
        <x:v>38356</x:v>
      </x:c>
      <x:c r="H104" s="12" t="n">
        <x:v>42972.0000000149</x:v>
      </x:c>
      <x:c r="I104" s="12" t="n">
        <x:v>4102</x:v>
      </x:c>
      <x:c r="J104" s="12" t="n">
        <x:v>106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119472.9999999851</x:v>
      </x:c>
      <x:c r="D105" s="12" t="n">
        <x:v>65535.9999999851</x:v>
      </x:c>
      <x:c r="E105" s="12" t="n">
        <x:v>53720.666666671634</x:v>
      </x:c>
      <x:c r="F105" s="12" t="n">
        <x:v>35078</x:v>
      </x:c>
      <x:c r="G105" s="12" t="n">
        <x:v>26250</x:v>
      </x:c>
      <x:c r="H105" s="12" t="n">
        <x:v>53937</x:v>
      </x:c>
      <x:c r="I105" s="12" t="n">
        <x:v>4102</x:v>
      </x:c>
      <x:c r="J105" s="12" t="n">
        <x:v>105.99999998509884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119470</x:v>
      </x:c>
      <x:c r="D106" s="12" t="n">
        <x:v>83217.9999999851</x:v>
      </x:c>
      <x:c r="E106" s="12" t="n">
        <x:v>36037.666666671634</x:v>
      </x:c>
      <x:c r="F106" s="12" t="n">
        <x:v>40086</x:v>
      </x:c>
      <x:c r="G106" s="12" t="n">
        <x:v>38924</x:v>
      </x:c>
      <x:c r="H106" s="12" t="n">
        <x:v>36252.0000000149</x:v>
      </x:c>
      <x:c r="I106" s="12" t="n">
        <x:v>4102</x:v>
      </x:c>
      <x:c r="J106" s="12" t="n">
        <x:v>105.99999998509884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119471.0000000149</x:v>
      </x:c>
      <x:c r="D107" s="12" t="n">
        <x:v>68749.0000000149</x:v>
      </x:c>
      <x:c r="E107" s="12" t="n">
        <x:v>50508.666666671634</x:v>
      </x:c>
      <x:c r="F107" s="12" t="n">
        <x:v>37768</x:v>
      </x:c>
      <x:c r="G107" s="12" t="n">
        <x:v>26773.0000000149</x:v>
      </x:c>
      <x:c r="H107" s="12" t="n">
        <x:v>50722</x:v>
      </x:c>
      <x:c r="I107" s="12" t="n">
        <x:v>4102</x:v>
      </x:c>
      <x:c r="J107" s="12" t="n">
        <x:v>106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119474</x:v>
      </x:c>
      <x:c r="D108" s="12" t="n">
        <x:v>87287.0000000149</x:v>
      </x:c>
      <x:c r="E108" s="12" t="n">
        <x:v>31971.666666671634</x:v>
      </x:c>
      <x:c r="F108" s="12" t="n">
        <x:v>43772</x:v>
      </x:c>
      <x:c r="G108" s="12" t="n">
        <x:v>39307</x:v>
      </x:c>
      <x:c r="H108" s="12" t="n">
        <x:v>32186.9999999851</x:v>
      </x:c>
      <x:c r="I108" s="12" t="n">
        <x:v>4102</x:v>
      </x:c>
      <x:c r="J108" s="12" t="n">
        <x:v>106.00000001490116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119472</x:v>
      </x:c>
      <x:c r="D109" s="12" t="n">
        <x:v>75670</x:v>
      </x:c>
      <x:c r="E109" s="12" t="n">
        <x:v>43586.666666671634</x:v>
      </x:c>
      <x:c r="F109" s="12" t="n">
        <x:v>45200</x:v>
      </x:c>
      <x:c r="G109" s="12" t="n">
        <x:v>26262</x:v>
      </x:c>
      <x:c r="H109" s="12" t="n">
        <x:v>43802</x:v>
      </x:c>
      <x:c r="I109" s="12" t="n">
        <x:v>4101.999999985099</x:v>
      </x:c>
      <x:c r="J109" s="12" t="n">
        <x:v>106.00000001490116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119470</x:v>
      </x:c>
      <x:c r="D110" s="12" t="n">
        <x:v>89963</x:v>
      </x:c>
      <x:c r="E110" s="12" t="n">
        <x:v>29293.666666671634</x:v>
      </x:c>
      <x:c r="F110" s="12" t="n">
        <x:v>46448</x:v>
      </x:c>
      <x:c r="G110" s="12" t="n">
        <x:v>39307</x:v>
      </x:c>
      <x:c r="H110" s="12" t="n">
        <x:v>29507</x:v>
      </x:c>
      <x:c r="I110" s="12" t="n">
        <x:v>4102</x:v>
      </x:c>
      <x:c r="J110" s="12" t="n">
        <x:v>106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119471</x:v>
      </x:c>
      <x:c r="D111" s="12" t="n">
        <x:v>76624</x:v>
      </x:c>
      <x:c r="E111" s="12" t="n">
        <x:v>42634.666666671634</x:v>
      </x:c>
      <x:c r="F111" s="12" t="n">
        <x:v>46154</x:v>
      </x:c>
      <x:c r="G111" s="12" t="n">
        <x:v>26262</x:v>
      </x:c>
      <x:c r="H111" s="12" t="n">
        <x:v>42847</x:v>
      </x:c>
      <x:c r="I111" s="12" t="n">
        <x:v>4102</x:v>
      </x:c>
      <x:c r="J111" s="12" t="n">
        <x:v>106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119473</x:v>
      </x:c>
      <x:c r="D112" s="12" t="n">
        <x:v>87491</x:v>
      </x:c>
      <x:c r="E112" s="12" t="n">
        <x:v>31768.666666671634</x:v>
      </x:c>
      <x:c r="F112" s="12" t="n">
        <x:v>43976</x:v>
      </x:c>
      <x:c r="G112" s="12" t="n">
        <x:v>39307</x:v>
      </x:c>
      <x:c r="H112" s="12" t="n">
        <x:v>31982</x:v>
      </x:c>
      <x:c r="I112" s="12" t="n">
        <x:v>4101.999999985099</x:v>
      </x:c>
      <x:c r="J112" s="12" t="n">
        <x:v>106.00000001490116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119473</x:v>
      </x:c>
      <x:c r="D113" s="12" t="n">
        <x:v>80471.0000000149</x:v>
      </x:c>
      <x:c r="E113" s="12" t="n">
        <x:v>38787.666666671634</x:v>
      </x:c>
      <x:c r="F113" s="12" t="n">
        <x:v>49985.0000000149</x:v>
      </x:c>
      <x:c r="G113" s="12" t="n">
        <x:v>26277.9999999851</x:v>
      </x:c>
      <x:c r="H113" s="12" t="n">
        <x:v>39001.9999999851</x:v>
      </x:c>
      <x:c r="I113" s="12" t="n">
        <x:v>4102</x:v>
      </x:c>
      <x:c r="J113" s="12" t="n">
        <x:v>106.00000001490116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119473.9999999851</x:v>
      </x:c>
      <x:c r="D114" s="12" t="n">
        <x:v>81211.9999999851</x:v>
      </x:c>
      <x:c r="E114" s="12" t="n">
        <x:v>38045.666666671634</x:v>
      </x:c>
      <x:c r="F114" s="12" t="n">
        <x:v>37213</x:v>
      </x:c>
      <x:c r="G114" s="12" t="n">
        <x:v>39791</x:v>
      </x:c>
      <x:c r="H114" s="12" t="n">
        <x:v>38262</x:v>
      </x:c>
      <x:c r="I114" s="12" t="n">
        <x:v>4102</x:v>
      </x:c>
      <x:c r="J114" s="12" t="n">
        <x:v>105.99999998509884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119470.0000000149</x:v>
      </x:c>
      <x:c r="D115" s="12" t="n">
        <x:v>67808.0000000149</x:v>
      </x:c>
      <x:c r="E115" s="12" t="n">
        <x:v>51447.666666671634</x:v>
      </x:c>
      <x:c r="F115" s="12" t="n">
        <x:v>36832</x:v>
      </x:c>
      <x:c r="G115" s="12" t="n">
        <x:v>26768.0000000149</x:v>
      </x:c>
      <x:c r="H115" s="12" t="n">
        <x:v>51662</x:v>
      </x:c>
      <x:c r="I115" s="12" t="n">
        <x:v>4102</x:v>
      </x:c>
      <x:c r="J115" s="12" t="n">
        <x:v>106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119471</x:v>
      </x:c>
      <x:c r="D116" s="12" t="n">
        <x:v>78684</x:v>
      </x:c>
      <x:c r="E116" s="12" t="n">
        <x:v>40573.666666671634</x:v>
      </x:c>
      <x:c r="F116" s="12" t="n">
        <x:v>35203</x:v>
      </x:c>
      <x:c r="G116" s="12" t="n">
        <x:v>39273</x:v>
      </x:c>
      <x:c r="H116" s="12" t="n">
        <x:v>40787</x:v>
      </x:c>
      <x:c r="I116" s="12" t="n">
        <x:v>4102</x:v>
      </x:c>
      <x:c r="J116" s="12" t="n">
        <x:v>106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121368</x:v>
      </x:c>
      <x:c r="D117" s="12" t="n">
        <x:v>77136</x:v>
      </x:c>
      <x:c r="E117" s="12" t="n">
        <x:v>44018.666666671634</x:v>
      </x:c>
      <x:c r="F117" s="12" t="n">
        <x:v>44766</x:v>
      </x:c>
      <x:c r="G117" s="12" t="n">
        <x:v>26266</x:v>
      </x:c>
      <x:c r="H117" s="12" t="n">
        <x:v>44232</x:v>
      </x:c>
      <x:c r="I117" s="12" t="n">
        <x:v>5998.000000014901</x:v>
      </x:c>
      <x:c r="J117" s="12" t="n">
        <x:v>105.99999998509884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117577</x:v>
      </x:c>
      <x:c r="D118" s="12" t="n">
        <x:v>86855</x:v>
      </x:c>
      <x:c r="E118" s="12" t="n">
        <x:v>30507.666666671634</x:v>
      </x:c>
      <x:c r="F118" s="12" t="n">
        <x:v>43374</x:v>
      </x:c>
      <x:c r="G118" s="12" t="n">
        <x:v>39273</x:v>
      </x:c>
      <x:c r="H118" s="12" t="n">
        <x:v>30722</x:v>
      </x:c>
      <x:c r="I118" s="12" t="n">
        <x:v>4102</x:v>
      </x:c>
      <x:c r="J118" s="12" t="n">
        <x:v>106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121369</x:v>
      </x:c>
      <x:c r="D119" s="12" t="n">
        <x:v>81572</x:v>
      </x:c>
      <x:c r="E119" s="12" t="n">
        <x:v>39581.666666671634</x:v>
      </x:c>
      <x:c r="F119" s="12" t="n">
        <x:v>49202</x:v>
      </x:c>
      <x:c r="G119" s="12" t="n">
        <x:v>26266</x:v>
      </x:c>
      <x:c r="H119" s="12" t="n">
        <x:v>39797</x:v>
      </x:c>
      <x:c r="I119" s="12" t="n">
        <x:v>5998</x:v>
      </x:c>
      <x:c r="J119" s="12" t="n">
        <x:v>106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117575</x:v>
      </x:c>
      <x:c r="D120" s="12" t="n">
        <x:v>91193</x:v>
      </x:c>
      <x:c r="E120" s="12" t="n">
        <x:v>26167.666666671634</x:v>
      </x:c>
      <x:c r="F120" s="12" t="n">
        <x:v>46865</x:v>
      </x:c>
      <x:c r="G120" s="12" t="n">
        <x:v>40120</x:v>
      </x:c>
      <x:c r="H120" s="12" t="n">
        <x:v>26382</x:v>
      </x:c>
      <x:c r="I120" s="12" t="n">
        <x:v>4102</x:v>
      </x:c>
      <x:c r="J120" s="12" t="n">
        <x:v>106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119470</x:v>
      </x:c>
      <x:c r="D121" s="12" t="n">
        <x:v>85343</x:v>
      </x:c>
      <x:c r="E121" s="12" t="n">
        <x:v>33914.666666671634</x:v>
      </x:c>
      <x:c r="F121" s="12" t="n">
        <x:v>41609</x:v>
      </x:c>
      <x:c r="G121" s="12" t="n">
        <x:v>39526</x:v>
      </x:c>
      <x:c r="H121" s="12" t="n">
        <x:v>34127</x:v>
      </x:c>
      <x:c r="I121" s="12" t="n">
        <x:v>4102</x:v>
      </x:c>
      <x:c r="J121" s="12" t="n">
        <x:v>106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117922</x:v>
      </x:c>
      <x:c r="D122" s="12" t="n">
        <x:v>107645.0000000149</x:v>
      </x:c>
      <x:c r="E122" s="12" t="n">
        <x:v>10062.666666671634</x:v>
      </x:c>
      <x:c r="F122" s="12" t="n">
        <x:v>40543</x:v>
      </x:c>
      <x:c r="G122" s="12" t="n">
        <x:v>64446</x:v>
      </x:c>
      <x:c r="H122" s="12" t="n">
        <x:v>10276.999999985099</x:v>
      </x:c>
      <x:c r="I122" s="12" t="n">
        <x:v>2550</x:v>
      </x:c>
      <x:c r="J122" s="12" t="n">
        <x:v>106.00000001490116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121022</x:v>
      </x:c>
      <x:c r="D123" s="12" t="n">
        <x:v>88570</x:v>
      </x:c>
      <x:c r="E123" s="12" t="n">
        <x:v>32239.666666671634</x:v>
      </x:c>
      <x:c r="F123" s="12" t="n">
        <x:v>41269</x:v>
      </x:c>
      <x:c r="G123" s="12" t="n">
        <x:v>43093.0000000149</x:v>
      </x:c>
      <x:c r="H123" s="12" t="n">
        <x:v>32452</x:v>
      </x:c>
      <x:c r="I123" s="12" t="n">
        <x:v>4102</x:v>
      </x:c>
      <x:c r="J123" s="12" t="n">
        <x:v>105.99999998509884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117923</x:v>
      </x:c>
      <x:c r="D124" s="12" t="n">
        <x:v>104401.0000000149</x:v>
      </x:c>
      <x:c r="E124" s="12" t="n">
        <x:v>13306.666666671634</x:v>
      </x:c>
      <x:c r="F124" s="12" t="n">
        <x:v>36229</x:v>
      </x:c>
      <x:c r="G124" s="12" t="n">
        <x:v>65515.9999999851</x:v>
      </x:c>
      <x:c r="H124" s="12" t="n">
        <x:v>13521.999999985099</x:v>
      </x:c>
      <x:c r="I124" s="12" t="n">
        <x:v>2550</x:v>
      </x:c>
      <x:c r="J124" s="12" t="n">
        <x:v>106.00000002980232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121024.9999999851</x:v>
      </x:c>
      <x:c r="D125" s="12" t="n">
        <x:v>88697.9999999851</x:v>
      </x:c>
      <x:c r="E125" s="12" t="n">
        <x:v>32110.666666671634</x:v>
      </x:c>
      <x:c r="F125" s="12" t="n">
        <x:v>40707</x:v>
      </x:c>
      <x:c r="G125" s="12" t="n">
        <x:v>43783</x:v>
      </x:c>
      <x:c r="H125" s="12" t="n">
        <x:v>32327</x:v>
      </x:c>
      <x:c r="I125" s="12" t="n">
        <x:v>4102</x:v>
      </x:c>
      <x:c r="J125" s="12" t="n">
        <x:v>105.99999998509884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122289</x:v>
      </x:c>
      <x:c r="D126" s="12" t="n">
        <x:v>121167</x:v>
      </x:c>
      <x:c r="E126" s="12" t="n">
        <x:v>909.6666666716337</x:v>
      </x:c>
      <x:c r="F126" s="12" t="n">
        <x:v>45259</x:v>
      </x:c>
      <x:c r="G126" s="12" t="n">
        <x:v>68878.9999999851</x:v>
      </x:c>
      <x:c r="H126" s="12" t="n">
        <x:v>1122</x:v>
      </x:c>
      <x:c r="I126" s="12" t="n">
        <x:v>6923</x:v>
      </x:c>
      <x:c r="J126" s="12" t="n">
        <x:v>106.00000001490116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115103.0000000149</x:v>
      </x:c>
      <x:c r="D127" s="12" t="n">
        <x:v>70796.0000000149</x:v>
      </x:c>
      <x:c r="E127" s="12" t="n">
        <x:v>44090.666666671634</x:v>
      </x:c>
      <x:c r="F127" s="12" t="n">
        <x:v>39134</x:v>
      </x:c>
      <x:c r="G127" s="12" t="n">
        <x:v>29006</x:v>
      </x:c>
      <x:c r="H127" s="12" t="n">
        <x:v>44307</x:v>
      </x:c>
      <x:c r="I127" s="12" t="n">
        <x:v>2550.000000014901</x:v>
      </x:c>
      <x:c r="J127" s="12" t="n">
        <x:v>106</x:v>
      </x:c>
      <x:c r="K127" s="2" t="n">
        <x:v>408</x:v>
      </x:c>
      <x:c r="L127" s="2" t="n">
        <x:v>990</x:v>
      </x:c>
    </x:row>
    <x:row r="128" ht="24" customHeight="1">
      <x:c r="A128" s="2" t="n">
        <x:v>237</x:v>
      </x:c>
      <x:c r="B128" s="2" t="n">
        <x:v>3</x:v>
      </x:c>
      <x:c r="C128" s="12" t="n">
        <x:v>176386.0000000149</x:v>
      </x:c>
      <x:c r="D128" s="12" t="n">
        <x:v>156809.0000000149</x:v>
      </x:c>
      <x:c r="E128" s="12" t="n">
        <x:v>-40373.333333328366</x:v>
      </x:c>
      <x:c r="F128" s="12" t="n">
        <x:v>57885</x:v>
      </x:c>
      <x:c r="G128" s="12" t="n">
        <x:v>94716</x:v>
      </x:c>
      <x:c r="H128" s="12" t="n">
        <x:v>19577</x:v>
      </x:c>
      <x:c r="I128" s="12" t="n">
        <x:v>4101.999999985099</x:v>
      </x:c>
      <x:c r="J128" s="12" t="n">
        <x:v>106.00000002980232</x:v>
      </x:c>
      <x:c r="K128" s="2" t="n">
        <x:v>291</x:v>
      </x:c>
      <x:c r="L128" s="2" t="n">
        <x:v>1123</x:v>
      </x:c>
    </x:row>
    <x:row r="129" ht="24" customHeight="1">
      <x:c r="A129" s="2" t="n">
        <x:v>238</x:v>
      </x:c>
      <x:c r="B129" s="2" t="n">
        <x:v>2</x:v>
      </x:c>
      <x:c r="C129" s="12" t="n">
        <x:v>119474</x:v>
      </x:c>
      <x:c r="D129" s="12" t="n">
        <x:v>115637</x:v>
      </x:c>
      <x:c r="E129" s="12" t="n">
        <x:v>3620.6666666716337</x:v>
      </x:c>
      <x:c r="F129" s="12" t="n">
        <x:v>39959.0000000149</x:v>
      </x:c>
      <x:c r="G129" s="12" t="n">
        <x:v>71470.0000000149</x:v>
      </x:c>
      <x:c r="H129" s="12" t="n">
        <x:v>3837</x:v>
      </x:c>
      <x:c r="I129" s="12" t="n">
        <x:v>4102</x:v>
      </x:c>
      <x:c r="J129" s="12" t="n">
        <x:v>105.99999997019768</x:v>
      </x:c>
      <x:c r="K129" s="2" t="n">
        <x:v>291</x:v>
      </x:c>
      <x:c r="L129" s="2" t="n">
        <x:v>1119</x:v>
      </x:c>
    </x:row>
    <x:row r="130" ht="24" customHeight="1">
      <x:c r="A130" s="2" t="n">
        <x:v>239</x:v>
      </x:c>
      <x:c r="B130" s="2" t="n">
        <x:v>2</x:v>
      </x:c>
      <x:c r="C130" s="12" t="n">
        <x:v>122291</x:v>
      </x:c>
      <x:c r="D130" s="12" t="n">
        <x:v>105874</x:v>
      </x:c>
      <x:c r="E130" s="12" t="n">
        <x:v>16202.666666671634</x:v>
      </x:c>
      <x:c r="F130" s="12" t="n">
        <x:v>39904</x:v>
      </x:c>
      <x:c r="G130" s="12" t="n">
        <x:v>58941</x:v>
      </x:c>
      <x:c r="H130" s="12" t="n">
        <x:v>16417</x:v>
      </x:c>
      <x:c r="I130" s="12" t="n">
        <x:v>6923</x:v>
      </x:c>
      <x:c r="J130" s="12" t="n">
        <x:v>106</x:v>
      </x:c>
      <x:c r="K130" s="2" t="n">
        <x:v>290</x:v>
      </x:c>
      <x:c r="L130" s="2" t="n">
        <x:v>1115</x:v>
      </x:c>
    </x:row>
    <x:row r="131" ht="24" customHeight="1">
      <x:c r="A131" s="2" t="n">
        <x:v>240</x:v>
      </x:c>
      <x:c r="B131" s="2" t="n">
        <x:v>2</x:v>
      </x:c>
      <x:c r="C131" s="12" t="n">
        <x:v>116650</x:v>
      </x:c>
      <x:c r="D131" s="12" t="n">
        <x:v>111067.9999999851</x:v>
      </x:c>
      <x:c r="E131" s="12" t="n">
        <x:v>5368.666666671634</x:v>
      </x:c>
      <x:c r="F131" s="12" t="n">
        <x:v>36597</x:v>
      </x:c>
      <x:c r="G131" s="12" t="n">
        <x:v>70263</x:v>
      </x:c>
      <x:c r="H131" s="12" t="n">
        <x:v>5582.000000014901</x:v>
      </x:c>
      <x:c r="I131" s="12" t="n">
        <x:v>4101.999999985099</x:v>
      </x:c>
      <x:c r="J131" s="12" t="n">
        <x:v>106</x:v>
      </x:c>
      <x:c r="K131" s="2" t="n">
        <x:v>290</x:v>
      </x:c>
      <x:c r="L131" s="2" t="n">
        <x:v>1111</x:v>
      </x:c>
    </x:row>
    <x:row r="132" ht="24" customHeight="1">
      <x:c r="A132" s="2" t="n">
        <x:v>241</x:v>
      </x:c>
      <x:c r="B132" s="2" t="n">
        <x:v>2</x:v>
      </x:c>
      <x:c r="C132" s="12" t="n">
        <x:v>119471</x:v>
      </x:c>
      <x:c r="D132" s="12" t="n">
        <x:v>101909</x:v>
      </x:c>
      <x:c r="E132" s="12" t="n">
        <x:v>17349.666666671634</x:v>
      </x:c>
      <x:c r="F132" s="12" t="n">
        <x:v>38048</x:v>
      </x:c>
      <x:c r="G132" s="12" t="n">
        <x:v>59653</x:v>
      </x:c>
      <x:c r="H132" s="12" t="n">
        <x:v>17562</x:v>
      </x:c>
      <x:c r="I132" s="12" t="n">
        <x:v>4102</x:v>
      </x:c>
      <x:c r="J132" s="12" t="n">
        <x:v>106</x:v>
      </x:c>
      <x:c r="K132" s="2" t="n">
        <x:v>289</x:v>
      </x:c>
      <x:c r="L132" s="2" t="n">
        <x:v>1107</x:v>
      </x:c>
    </x:row>
    <x:row r="133" ht="24" customHeight="1">
      <x:c r="A133" s="2" t="n">
        <x:v>242</x:v>
      </x:c>
      <x:c r="B133" s="2" t="n">
        <x:v>2</x:v>
      </x:c>
      <x:c r="C133" s="12" t="n">
        <x:v>119473</x:v>
      </x:c>
      <x:c r="D133" s="12" t="n">
        <x:v>112421</x:v>
      </x:c>
      <x:c r="E133" s="12" t="n">
        <x:v>6838.666666671634</x:v>
      </x:c>
      <x:c r="F133" s="12" t="n">
        <x:v>36733</x:v>
      </x:c>
      <x:c r="G133" s="12" t="n">
        <x:v>71480</x:v>
      </x:c>
      <x:c r="H133" s="12" t="n">
        <x:v>7052</x:v>
      </x:c>
      <x:c r="I133" s="12" t="n">
        <x:v>4101.999999985099</x:v>
      </x:c>
      <x:c r="J133" s="12" t="n">
        <x:v>106.00000001490116</x:v>
      </x:c>
      <x:c r="K133" s="2" t="n">
        <x:v>289</x:v>
      </x:c>
      <x:c r="L133" s="2" t="n">
        <x:v>1103</x:v>
      </x:c>
    </x:row>
    <x:row r="134" ht="24" customHeight="1">
      <x:c r="A134" s="2" t="n">
        <x:v>243</x:v>
      </x:c>
      <x:c r="B134" s="2" t="n">
        <x:v>2</x:v>
      </x:c>
      <x:c r="C134" s="12" t="n">
        <x:v>119474</x:v>
      </x:c>
      <x:c r="D134" s="12" t="n">
        <x:v>72322</x:v>
      </x:c>
      <x:c r="E134" s="12" t="n">
        <x:v>46936.666666671634</x:v>
      </x:c>
      <x:c r="F134" s="12" t="n">
        <x:v>38501.0000000149</x:v>
      </x:c>
      <x:c r="G134" s="12" t="n">
        <x:v>29613</x:v>
      </x:c>
      <x:c r="H134" s="12" t="n">
        <x:v>47152</x:v>
      </x:c>
      <x:c r="I134" s="12" t="n">
        <x:v>4102</x:v>
      </x:c>
      <x:c r="J134" s="12" t="n">
        <x:v>105.99999998509884</x:v>
      </x:c>
      <x:c r="K134" s="2" t="n">
        <x:v>289</x:v>
      </x:c>
      <x:c r="L134" s="2" t="n">
        <x:v>1099</x:v>
      </x:c>
    </x:row>
    <x:row r="135" ht="24" customHeight="1">
      <x:c r="A135" s="2" t="n">
        <x:v>244</x:v>
      </x:c>
      <x:c r="B135" s="2" t="n">
        <x:v>2</x:v>
      </x:c>
      <x:c r="C135" s="12" t="n">
        <x:v>119471</x:v>
      </x:c>
      <x:c r="D135" s="12" t="n">
        <x:v>78783.9999999851</x:v>
      </x:c>
      <x:c r="E135" s="12" t="n">
        <x:v>40472.666666671634</x:v>
      </x:c>
      <x:c r="F135" s="12" t="n">
        <x:v>33551</x:v>
      </x:c>
      <x:c r="G135" s="12" t="n">
        <x:v>41025</x:v>
      </x:c>
      <x:c r="H135" s="12" t="n">
        <x:v>40687.0000000149</x:v>
      </x:c>
      <x:c r="I135" s="12" t="n">
        <x:v>4101.999999985099</x:v>
      </x:c>
      <x:c r="J135" s="12" t="n">
        <x:v>106</x:v>
      </x:c>
      <x:c r="K135" s="2" t="n">
        <x:v>289</x:v>
      </x:c>
      <x:c r="L135" s="2" t="n">
        <x:v>1095</x:v>
      </x:c>
    </x:row>
    <x:row r="136" ht="24" customHeight="1">
      <x:c r="A136" s="2" t="n">
        <x:v>245</x:v>
      </x:c>
      <x:c r="B136" s="2" t="n">
        <x:v>2</x:v>
      </x:c>
      <x:c r="C136" s="12" t="n">
        <x:v>119470</x:v>
      </x:c>
      <x:c r="D136" s="12" t="n">
        <x:v>68718</x:v>
      </x:c>
      <x:c r="E136" s="12" t="n">
        <x:v>50539.666666671634</x:v>
      </x:c>
      <x:c r="F136" s="12" t="n">
        <x:v>34897.0000000149</x:v>
      </x:c>
      <x:c r="G136" s="12" t="n">
        <x:v>29613</x:v>
      </x:c>
      <x:c r="H136" s="12" t="n">
        <x:v>50752</x:v>
      </x:c>
      <x:c r="I136" s="12" t="n">
        <x:v>4102</x:v>
      </x:c>
      <x:c r="J136" s="12" t="n">
        <x:v>105.99999998509884</x:v>
      </x:c>
      <x:c r="K136" s="2" t="n">
        <x:v>289</x:v>
      </x:c>
      <x:c r="L136" s="2" t="n">
        <x:v>1091</x:v>
      </x:c>
    </x:row>
    <x:row r="137" ht="24" customHeight="1">
      <x:c r="A137" s="2" t="n">
        <x:v>246</x:v>
      </x:c>
      <x:c r="B137" s="2" t="n">
        <x:v>2</x:v>
      </x:c>
      <x:c r="C137" s="12" t="n">
        <x:v>119476</x:v>
      </x:c>
      <x:c r="D137" s="12" t="n">
        <x:v>81909</x:v>
      </x:c>
      <x:c r="E137" s="12" t="n">
        <x:v>37350.666666671634</x:v>
      </x:c>
      <x:c r="F137" s="12" t="n">
        <x:v>36650</x:v>
      </x:c>
      <x:c r="G137" s="12" t="n">
        <x:v>41051</x:v>
      </x:c>
      <x:c r="H137" s="12" t="n">
        <x:v>37567</x:v>
      </x:c>
      <x:c r="I137" s="12" t="n">
        <x:v>4102</x:v>
      </x:c>
      <x:c r="J137" s="12" t="n">
        <x:v>106</x:v>
      </x:c>
      <x:c r="K137" s="2" t="n">
        <x:v>289</x:v>
      </x:c>
      <x:c r="L137" s="2" t="n">
        <x:v>1087</x:v>
      </x:c>
    </x:row>
    <x:row r="138" ht="24" customHeight="1">
      <x:c r="A138" s="2" t="n">
        <x:v>247</x:v>
      </x:c>
      <x:c r="B138" s="2" t="n">
        <x:v>2</x:v>
      </x:c>
      <x:c r="C138" s="12" t="n">
        <x:v>119468</x:v>
      </x:c>
      <x:c r="D138" s="12" t="n">
        <x:v>73326</x:v>
      </x:c>
      <x:c r="E138" s="12" t="n">
        <x:v>45929.666666671634</x:v>
      </x:c>
      <x:c r="F138" s="12" t="n">
        <x:v>39505</x:v>
      </x:c>
      <x:c r="G138" s="12" t="n">
        <x:v>29613</x:v>
      </x:c>
      <x:c r="H138" s="12" t="n">
        <x:v>46142</x:v>
      </x:c>
      <x:c r="I138" s="12" t="n">
        <x:v>4101.999999985099</x:v>
      </x:c>
      <x:c r="J138" s="12" t="n">
        <x:v>106.00000001490116</x:v>
      </x:c>
      <x:c r="K138" s="2" t="n">
        <x:v>289</x:v>
      </x:c>
      <x:c r="L138" s="2" t="n">
        <x:v>1083</x:v>
      </x:c>
    </x:row>
    <x:row r="139" ht="24" customHeight="1">
      <x:c r="A139" s="2" t="n">
        <x:v>248</x:v>
      </x:c>
      <x:c r="B139" s="2" t="n">
        <x:v>2</x:v>
      </x:c>
      <x:c r="C139" s="12" t="n">
        <x:v>119474</x:v>
      </x:c>
      <x:c r="D139" s="12" t="n">
        <x:v>109336.9999999851</x:v>
      </x:c>
      <x:c r="E139" s="12" t="n">
        <x:v>9922.666666671634</x:v>
      </x:c>
      <x:c r="F139" s="12" t="n">
        <x:v>63416.0000000149</x:v>
      </x:c>
      <x:c r="G139" s="12" t="n">
        <x:v>41713</x:v>
      </x:c>
      <x:c r="H139" s="12" t="n">
        <x:v>10137.000000014901</x:v>
      </x:c>
      <x:c r="I139" s="12" t="n">
        <x:v>4102</x:v>
      </x:c>
      <x:c r="J139" s="12" t="n">
        <x:v>105.99999997019768</x:v>
      </x:c>
      <x:c r="K139" s="2" t="n">
        <x:v>289</x:v>
      </x:c>
      <x:c r="L139" s="2" t="n">
        <x:v>1079</x:v>
      </x:c>
    </x:row>
    <x:row r="140" ht="24" customHeight="1">
      <x:c r="A140" s="2" t="n">
        <x:v>249</x:v>
      </x:c>
      <x:c r="B140" s="2" t="n">
        <x:v>2</x:v>
      </x:c>
      <x:c r="C140" s="12" t="n">
        <x:v>119470</x:v>
      </x:c>
      <x:c r="D140" s="12" t="n">
        <x:v>99448</x:v>
      </x:c>
      <x:c r="E140" s="12" t="n">
        <x:v>19809.666666671634</x:v>
      </x:c>
      <x:c r="F140" s="12" t="n">
        <x:v>63662.9999999851</x:v>
      </x:c>
      <x:c r="G140" s="12" t="n">
        <x:v>31577</x:v>
      </x:c>
      <x:c r="H140" s="12" t="n">
        <x:v>20022</x:v>
      </x:c>
      <x:c r="I140" s="12" t="n">
        <x:v>4102</x:v>
      </x:c>
      <x:c r="J140" s="12" t="n">
        <x:v>106.00000001490116</x:v>
      </x:c>
      <x:c r="K140" s="2" t="n">
        <x:v>289</x:v>
      </x:c>
      <x:c r="L140" s="2" t="n">
        <x:v>1075</x:v>
      </x:c>
    </x:row>
    <x:row r="141" ht="24" customHeight="1">
      <x:c r="A141" s="2" t="n">
        <x:v>250</x:v>
      </x:c>
      <x:c r="B141" s="2" t="n">
        <x:v>2</x:v>
      </x:c>
      <x:c r="C141" s="12" t="n">
        <x:v>119475</x:v>
      </x:c>
      <x:c r="D141" s="12" t="n">
        <x:v>107358</x:v>
      </x:c>
      <x:c r="E141" s="12" t="n">
        <x:v>11901.666666671634</x:v>
      </x:c>
      <x:c r="F141" s="12" t="n">
        <x:v>60911.0000000149</x:v>
      </x:c>
      <x:c r="G141" s="12" t="n">
        <x:v>42239</x:v>
      </x:c>
      <x:c r="H141" s="12" t="n">
        <x:v>12117</x:v>
      </x:c>
      <x:c r="I141" s="12" t="n">
        <x:v>4101.999999985099</x:v>
      </x:c>
      <x:c r="J141" s="12" t="n">
        <x:v>106</x:v>
      </x:c>
      <x:c r="K141" s="2" t="n">
        <x:v>289</x:v>
      </x:c>
      <x:c r="L141" s="2" t="n">
        <x:v>1071</x:v>
      </x:c>
    </x:row>
    <x:row r="142" ht="24" customHeight="1">
      <x:c r="A142" s="2" t="n">
        <x:v>251</x:v>
      </x:c>
      <x:c r="B142" s="2" t="n">
        <x:v>2</x:v>
      </x:c>
      <x:c r="C142" s="12" t="n">
        <x:v>119471.9999999851</x:v>
      </x:c>
      <x:c r="D142" s="12" t="n">
        <x:v>98854.9999999851</x:v>
      </x:c>
      <x:c r="E142" s="12" t="n">
        <x:v>20401.666666671634</x:v>
      </x:c>
      <x:c r="F142" s="12" t="n">
        <x:v>65223.0000000149</x:v>
      </x:c>
      <x:c r="G142" s="12" t="n">
        <x:v>29424</x:v>
      </x:c>
      <x:c r="H142" s="12" t="n">
        <x:v>20617</x:v>
      </x:c>
      <x:c r="I142" s="12" t="n">
        <x:v>4102</x:v>
      </x:c>
      <x:c r="J142" s="12" t="n">
        <x:v>105.99999997019768</x:v>
      </x:c>
      <x:c r="K142" s="2" t="n">
        <x:v>289</x:v>
      </x:c>
      <x:c r="L142" s="2" t="n">
        <x:v>1067</x:v>
      </x:c>
    </x:row>
    <x:row r="143" ht="24" customHeight="1">
      <x:c r="A143" s="2" t="n">
        <x:v>252</x:v>
      </x:c>
      <x:c r="B143" s="2" t="n">
        <x:v>2</x:v>
      </x:c>
      <x:c r="C143" s="12" t="n">
        <x:v>119470</x:v>
      </x:c>
      <x:c r="D143" s="12" t="n">
        <x:v>79083</x:v>
      </x:c>
      <x:c r="E143" s="12" t="n">
        <x:v>40173.666666671634</x:v>
      </x:c>
      <x:c r="F143" s="12" t="n">
        <x:v>32945.9999999851</x:v>
      </x:c>
      <x:c r="G143" s="12" t="n">
        <x:v>41928.9999999851</x:v>
      </x:c>
      <x:c r="H143" s="12" t="n">
        <x:v>40387</x:v>
      </x:c>
      <x:c r="I143" s="12" t="n">
        <x:v>4102</x:v>
      </x:c>
      <x:c r="J143" s="12" t="n">
        <x:v>106.00000002980232</x:v>
      </x:c>
      <x:c r="K143" s="2" t="n">
        <x:v>289</x:v>
      </x:c>
      <x:c r="L143" s="2" t="n">
        <x:v>1063</x:v>
      </x:c>
    </x:row>
    <x:row r="144" ht="24" customHeight="1">
      <x:c r="A144" s="2" t="n">
        <x:v>253</x:v>
      </x:c>
      <x:c r="B144" s="2" t="n">
        <x:v>2</x:v>
      </x:c>
      <x:c r="C144" s="12" t="n">
        <x:v>117921.0000000149</x:v>
      </x:c>
      <x:c r="D144" s="12" t="n">
        <x:v>89379.0000000149</x:v>
      </x:c>
      <x:c r="E144" s="12" t="n">
        <x:v>28327.666666671634</x:v>
      </x:c>
      <x:c r="F144" s="12" t="n">
        <x:v>35882.9999999851</x:v>
      </x:c>
      <x:c r="G144" s="12" t="n">
        <x:v>50839.9999999851</x:v>
      </x:c>
      <x:c r="H144" s="12" t="n">
        <x:v>28542</x:v>
      </x:c>
      <x:c r="I144" s="12" t="n">
        <x:v>2549.999999985099</x:v>
      </x:c>
      <x:c r="J144" s="12" t="n">
        <x:v>106.00000005960464</x:v>
      </x:c>
      <x:c r="K144" s="2" t="n">
        <x:v>285</x:v>
      </x:c>
      <x:c r="L144" s="2" t="n">
        <x:v>1063</x:v>
      </x:c>
    </x:row>
    <x:row r="145" ht="24" customHeight="1">
      <x:c r="A145" s="2" t="n">
        <x:v>254</x:v>
      </x:c>
      <x:c r="B145" s="2" t="n">
        <x:v>2</x:v>
      </x:c>
      <x:c r="C145" s="12" t="n">
        <x:v>121022</x:v>
      </x:c>
      <x:c r="D145" s="12" t="n">
        <x:v>89900</x:v>
      </x:c>
      <x:c r="E145" s="12" t="n">
        <x:v>30909.666666671634</x:v>
      </x:c>
      <x:c r="F145" s="12" t="n">
        <x:v>35257.0000000149</x:v>
      </x:c>
      <x:c r="G145" s="12" t="n">
        <x:v>50435</x:v>
      </x:c>
      <x:c r="H145" s="12" t="n">
        <x:v>31122</x:v>
      </x:c>
      <x:c r="I145" s="12" t="n">
        <x:v>4102.000000014901</x:v>
      </x:c>
      <x:c r="J145" s="12" t="n">
        <x:v>105.99999997019768</x:v>
      </x:c>
      <x:c r="K145" s="2" t="n">
        <x:v>281</x:v>
      </x:c>
      <x:c r="L145" s="2" t="n">
        <x:v>1062</x:v>
      </x:c>
    </x:row>
    <x:row r="146" ht="24" customHeight="1">
      <x:c r="A146" s="2" t="n">
        <x:v>255</x:v>
      </x:c>
      <x:c r="B146" s="2" t="n">
        <x:v>2</x:v>
      </x:c>
      <x:c r="C146" s="12" t="n">
        <x:v>117919.9999999851</x:v>
      </x:c>
      <x:c r="D146" s="12" t="n">
        <x:v>107957.9999999851</x:v>
      </x:c>
      <x:c r="E146" s="12" t="n">
        <x:v>9749.666666671634</x:v>
      </x:c>
      <x:c r="F146" s="12" t="n">
        <x:v>37045</x:v>
      </x:c>
      <x:c r="G146" s="12" t="n">
        <x:v>68257</x:v>
      </x:c>
      <x:c r="H146" s="12" t="n">
        <x:v>9962</x:v>
      </x:c>
      <x:c r="I146" s="12" t="n">
        <x:v>2550</x:v>
      </x:c>
      <x:c r="J146" s="12" t="n">
        <x:v>105.99999998509884</x:v>
      </x:c>
      <x:c r="K146" s="2" t="n">
        <x:v>277</x:v>
      </x:c>
      <x:c r="L146" s="2" t="n">
        <x:v>1062</x:v>
      </x:c>
    </x:row>
    <x:row r="147" ht="24" customHeight="1">
      <x:c r="A147" s="2" t="n">
        <x:v>256</x:v>
      </x:c>
      <x:c r="B147" s="2" t="n">
        <x:v>2</x:v>
      </x:c>
      <x:c r="C147" s="12" t="n">
        <x:v>121028.0000000149</x:v>
      </x:c>
      <x:c r="D147" s="12" t="n">
        <x:v>88226.0000000149</x:v>
      </x:c>
      <x:c r="E147" s="12" t="n">
        <x:v>32585.666666671634</x:v>
      </x:c>
      <x:c r="F147" s="12" t="n">
        <x:v>34232</x:v>
      </x:c>
      <x:c r="G147" s="12" t="n">
        <x:v>49785.9999999851</x:v>
      </x:c>
      <x:c r="H147" s="12" t="n">
        <x:v>32802</x:v>
      </x:c>
      <x:c r="I147" s="12" t="n">
        <x:v>4102</x:v>
      </x:c>
      <x:c r="J147" s="12" t="n">
        <x:v>106.00000002980232</x:v>
      </x:c>
      <x:c r="K147" s="2" t="n">
        <x:v>273</x:v>
      </x:c>
      <x:c r="L147" s="2" t="n">
        <x:v>1061</x:v>
      </x:c>
    </x:row>
    <x:row r="148" ht="24" customHeight="1">
      <x:c r="A148" s="2" t="n">
        <x:v>257</x:v>
      </x:c>
      <x:c r="B148" s="2" t="n">
        <x:v>2</x:v>
      </x:c>
      <x:c r="C148" s="12" t="n">
        <x:v>117917</x:v>
      </x:c>
      <x:c r="D148" s="12" t="n">
        <x:v>103260.0000000149</x:v>
      </x:c>
      <x:c r="E148" s="12" t="n">
        <x:v>14443.666666671634</x:v>
      </x:c>
      <x:c r="F148" s="12" t="n">
        <x:v>33531</x:v>
      </x:c>
      <x:c r="G148" s="12" t="n">
        <x:v>67073.0000000149</x:v>
      </x:c>
      <x:c r="H148" s="12" t="n">
        <x:v>14656.999999985099</x:v>
      </x:c>
      <x:c r="I148" s="12" t="n">
        <x:v>2550</x:v>
      </x:c>
      <x:c r="J148" s="12" t="n">
        <x:v>106</x:v>
      </x:c>
      <x:c r="K148" s="2" t="n">
        <x:v>269</x:v>
      </x:c>
      <x:c r="L148" s="2" t="n">
        <x:v>1061</x:v>
      </x:c>
    </x:row>
    <x:row r="149" ht="24" customHeight="1">
      <x:c r="A149" s="2" t="n">
        <x:v>258</x:v>
      </x:c>
      <x:c r="B149" s="2" t="n">
        <x:v>2</x:v>
      </x:c>
      <x:c r="C149" s="12" t="n">
        <x:v>121024</x:v>
      </x:c>
      <x:c r="D149" s="12" t="n">
        <x:v>86447</x:v>
      </x:c>
      <x:c r="E149" s="12" t="n">
        <x:v>34363.666666671634</x:v>
      </x:c>
      <x:c r="F149" s="12" t="n">
        <x:v>34511.9999999851</x:v>
      </x:c>
      <x:c r="G149" s="12" t="n">
        <x:v>47726.9999999851</x:v>
      </x:c>
      <x:c r="H149" s="12" t="n">
        <x:v>34577</x:v>
      </x:c>
      <x:c r="I149" s="12" t="n">
        <x:v>4102</x:v>
      </x:c>
      <x:c r="J149" s="12" t="n">
        <x:v>106.00000002980232</x:v>
      </x:c>
      <x:c r="K149" s="2" t="n">
        <x:v>265</x:v>
      </x:c>
      <x:c r="L149" s="2" t="n">
        <x:v>1060</x:v>
      </x:c>
    </x:row>
    <x:row r="150" ht="24" customHeight="1">
      <x:c r="A150" s="2" t="n">
        <x:v>259</x:v>
      </x:c>
      <x:c r="B150" s="2" t="n">
        <x:v>2</x:v>
      </x:c>
      <x:c r="C150" s="12" t="n">
        <x:v>117923</x:v>
      </x:c>
      <x:c r="D150" s="12" t="n">
        <x:v>99656</x:v>
      </x:c>
      <x:c r="E150" s="12" t="n">
        <x:v>18050.666666671634</x:v>
      </x:c>
      <x:c r="F150" s="12" t="n">
        <x:v>34456</x:v>
      </x:c>
      <x:c r="G150" s="12" t="n">
        <x:v>62544</x:v>
      </x:c>
      <x:c r="H150" s="12" t="n">
        <x:v>18267</x:v>
      </x:c>
      <x:c r="I150" s="12" t="n">
        <x:v>2550</x:v>
      </x:c>
      <x:c r="J150" s="12" t="n">
        <x:v>106</x:v>
      </x:c>
      <x:c r="K150" s="2" t="n">
        <x:v>261</x:v>
      </x:c>
      <x:c r="L150" s="2" t="n">
        <x:v>1060</x:v>
      </x:c>
    </x:row>
    <x:row r="151" ht="24" customHeight="1">
      <x:c r="A151" s="2" t="n">
        <x:v>260</x:v>
      </x:c>
      <x:c r="B151" s="2" t="n">
        <x:v>2</x:v>
      </x:c>
      <x:c r="C151" s="12" t="n">
        <x:v>121021</x:v>
      </x:c>
      <x:c r="D151" s="12" t="n">
        <x:v>85729</x:v>
      </x:c>
      <x:c r="E151" s="12" t="n">
        <x:v>35078.666666671634</x:v>
      </x:c>
      <x:c r="F151" s="12" t="n">
        <x:v>33201</x:v>
      </x:c>
      <x:c r="G151" s="12" t="n">
        <x:v>48320</x:v>
      </x:c>
      <x:c r="H151" s="12" t="n">
        <x:v>35292</x:v>
      </x:c>
      <x:c r="I151" s="12" t="n">
        <x:v>4101.999999985099</x:v>
      </x:c>
      <x:c r="J151" s="12" t="n">
        <x:v>106.00000001490116</x:v>
      </x:c>
      <x:c r="K151" s="2" t="n">
        <x:v>257</x:v>
      </x:c>
      <x:c r="L151" s="2" t="n">
        <x:v>1059</x:v>
      </x:c>
    </x:row>
    <x:row r="152" ht="24" customHeight="1">
      <x:c r="A152" s="2" t="n">
        <x:v>261</x:v>
      </x:c>
      <x:c r="B152" s="2" t="n">
        <x:v>2</x:v>
      </x:c>
      <x:c r="C152" s="12" t="n">
        <x:v>117919</x:v>
      </x:c>
      <x:c r="D152" s="12" t="n">
        <x:v>103312</x:v>
      </x:c>
      <x:c r="E152" s="12" t="n">
        <x:v>14394.666666671634</x:v>
      </x:c>
      <x:c r="F152" s="12" t="n">
        <x:v>33254.0000000149</x:v>
      </x:c>
      <x:c r="G152" s="12" t="n">
        <x:v>67402</x:v>
      </x:c>
      <x:c r="H152" s="12" t="n">
        <x:v>14607</x:v>
      </x:c>
      <x:c r="I152" s="12" t="n">
        <x:v>2550.000000014901</x:v>
      </x:c>
      <x:c r="J152" s="12" t="n">
        <x:v>105.99999997019768</x:v>
      </x:c>
      <x:c r="K152" s="2" t="n">
        <x:v>253</x:v>
      </x:c>
      <x:c r="L152" s="2" t="n">
        <x:v>1059</x:v>
      </x:c>
    </x:row>
    <x:row r="153" ht="24" customHeight="1">
      <x:c r="A153" s="2" t="n">
        <x:v>262</x:v>
      </x:c>
      <x:c r="B153" s="2" t="n">
        <x:v>2</x:v>
      </x:c>
      <x:c r="C153" s="12" t="n">
        <x:v>121027.9999999851</x:v>
      </x:c>
      <x:c r="D153" s="12" t="n">
        <x:v>84070.9999999851</x:v>
      </x:c>
      <x:c r="E153" s="12" t="n">
        <x:v>36740.666666671634</x:v>
      </x:c>
      <x:c r="F153" s="12" t="n">
        <x:v>31888</x:v>
      </x:c>
      <x:c r="G153" s="12" t="n">
        <x:v>47975</x:v>
      </x:c>
      <x:c r="H153" s="12" t="n">
        <x:v>36957</x:v>
      </x:c>
      <x:c r="I153" s="12" t="n">
        <x:v>4102</x:v>
      </x:c>
      <x:c r="J153" s="12" t="n">
        <x:v>105.99999998509884</x:v>
      </x:c>
      <x:c r="K153" s="2" t="n">
        <x:v>249</x:v>
      </x:c>
      <x:c r="L153" s="2" t="n">
        <x:v>1058</x:v>
      </x:c>
    </x:row>
    <x:row r="154" ht="24" customHeight="1">
      <x:c r="A154" s="2" t="n">
        <x:v>263</x:v>
      </x:c>
      <x:c r="B154" s="2" t="n">
        <x:v>2</x:v>
      </x:c>
      <x:c r="C154" s="12" t="n">
        <x:v>117917.0000000149</x:v>
      </x:c>
      <x:c r="D154" s="12" t="n">
        <x:v>101415.0000000149</x:v>
      </x:c>
      <x:c r="E154" s="12" t="n">
        <x:v>16288.666666671634</x:v>
      </x:c>
      <x:c r="F154" s="12" t="n">
        <x:v>33730</x:v>
      </x:c>
      <x:c r="G154" s="12" t="n">
        <x:v>65029</x:v>
      </x:c>
      <x:c r="H154" s="12" t="n">
        <x:v>16502</x:v>
      </x:c>
      <x:c r="I154" s="12" t="n">
        <x:v>2550</x:v>
      </x:c>
      <x:c r="J154" s="12" t="n">
        <x:v>106.00000001490116</x:v>
      </x:c>
      <x:c r="K154" s="2" t="n">
        <x:v>245</x:v>
      </x:c>
      <x:c r="L154" s="2" t="n">
        <x:v>1058</x:v>
      </x:c>
    </x:row>
    <x:row r="155" ht="24" customHeight="1">
      <x:c r="A155" s="2" t="n">
        <x:v>264</x:v>
      </x:c>
      <x:c r="B155" s="2" t="n">
        <x:v>2</x:v>
      </x:c>
      <x:c r="C155" s="12" t="n">
        <x:v>121025</x:v>
      </x:c>
      <x:c r="D155" s="12" t="n">
        <x:v>87653</x:v>
      </x:c>
      <x:c r="E155" s="12" t="n">
        <x:v>33157.666666671634</x:v>
      </x:c>
      <x:c r="F155" s="12" t="n">
        <x:v>38158</x:v>
      </x:c>
      <x:c r="G155" s="12" t="n">
        <x:v>45287</x:v>
      </x:c>
      <x:c r="H155" s="12" t="n">
        <x:v>33372</x:v>
      </x:c>
      <x:c r="I155" s="12" t="n">
        <x:v>4101.999999985099</x:v>
      </x:c>
      <x:c r="J155" s="12" t="n">
        <x:v>106.00000001490116</x:v>
      </x:c>
      <x:c r="K155" s="2" t="n">
        <x:v>241</x:v>
      </x:c>
      <x:c r="L155" s="2" t="n">
        <x:v>1057</x:v>
      </x:c>
    </x:row>
    <x:row r="156" ht="24" customHeight="1">
      <x:c r="A156" s="2" t="n">
        <x:v>265</x:v>
      </x:c>
      <x:c r="B156" s="2" t="n">
        <x:v>2</x:v>
      </x:c>
      <x:c r="C156" s="12" t="n">
        <x:v>117919</x:v>
      </x:c>
      <x:c r="D156" s="12" t="n">
        <x:v>98157</x:v>
      </x:c>
      <x:c r="E156" s="12" t="n">
        <x:v>19548.666666671634</x:v>
      </x:c>
      <x:c r="F156" s="12" t="n">
        <x:v>33233</x:v>
      </x:c>
      <x:c r="G156" s="12" t="n">
        <x:v>62268</x:v>
      </x:c>
      <x:c r="H156" s="12" t="n">
        <x:v>19762</x:v>
      </x:c>
      <x:c r="I156" s="12" t="n">
        <x:v>2550</x:v>
      </x:c>
      <x:c r="J156" s="12" t="n">
        <x:v>106</x:v>
      </x:c>
      <x:c r="K156" s="2" t="n">
        <x:v>237</x:v>
      </x:c>
      <x:c r="L156" s="2" t="n">
        <x:v>1057</x:v>
      </x:c>
    </x:row>
    <x:row r="157" ht="24" customHeight="1">
      <x:c r="A157" s="2" t="n">
        <x:v>266</x:v>
      </x:c>
      <x:c r="B157" s="2" t="n">
        <x:v>2</x:v>
      </x:c>
      <x:c r="C157" s="12" t="n">
        <x:v>121022.9999999851</x:v>
      </x:c>
      <x:c r="D157" s="12" t="n">
        <x:v>86550.9999999851</x:v>
      </x:c>
      <x:c r="E157" s="12" t="n">
        <x:v>34259.666666671634</x:v>
      </x:c>
      <x:c r="F157" s="12" t="n">
        <x:v>36939</x:v>
      </x:c>
      <x:c r="G157" s="12" t="n">
        <x:v>45404</x:v>
      </x:c>
      <x:c r="H157" s="12" t="n">
        <x:v>34472</x:v>
      </x:c>
      <x:c r="I157" s="12" t="n">
        <x:v>4102</x:v>
      </x:c>
      <x:c r="J157" s="12" t="n">
        <x:v>105.99999998509884</x:v>
      </x:c>
      <x:c r="K157" s="2" t="n">
        <x:v>233</x:v>
      </x:c>
      <x:c r="L157" s="2" t="n">
        <x:v>1056</x:v>
      </x:c>
    </x:row>
    <x:row r="158" ht="24" customHeight="1">
      <x:c r="A158" s="2" t="n">
        <x:v>267</x:v>
      </x:c>
      <x:c r="B158" s="2" t="n">
        <x:v>2</x:v>
      </x:c>
      <x:c r="C158" s="12" t="n">
        <x:v>117921.0000000149</x:v>
      </x:c>
      <x:c r="D158" s="12" t="n">
        <x:v>99779.0000000149</x:v>
      </x:c>
      <x:c r="E158" s="12" t="n">
        <x:v>17928.666666671634</x:v>
      </x:c>
      <x:c r="F158" s="12" t="n">
        <x:v>34671</x:v>
      </x:c>
      <x:c r="G158" s="12" t="n">
        <x:v>62452</x:v>
      </x:c>
      <x:c r="H158" s="12" t="n">
        <x:v>18142</x:v>
      </x:c>
      <x:c r="I158" s="12" t="n">
        <x:v>2550</x:v>
      </x:c>
      <x:c r="J158" s="12" t="n">
        <x:v>106.00000001490116</x:v>
      </x:c>
      <x:c r="K158" s="2" t="n">
        <x:v>229</x:v>
      </x:c>
      <x:c r="L158" s="2" t="n">
        <x:v>1056</x:v>
      </x:c>
    </x:row>
    <x:row r="159" ht="24" customHeight="1">
      <x:c r="A159" s="2" t="n">
        <x:v>268</x:v>
      </x:c>
      <x:c r="B159" s="2" t="n">
        <x:v>2</x:v>
      </x:c>
      <x:c r="C159" s="12" t="n">
        <x:v>119471.9999999851</x:v>
      </x:c>
      <x:c r="D159" s="12" t="n">
        <x:v>63194.9999999702</x:v>
      </x:c>
      <x:c r="E159" s="12" t="n">
        <x:v>56063.666666671634</x:v>
      </x:c>
      <x:c r="F159" s="12" t="n">
        <x:v>30632.0000000149</x:v>
      </x:c>
      <x:c r="G159" s="12" t="n">
        <x:v>29907</x:v>
      </x:c>
      <x:c r="H159" s="12" t="n">
        <x:v>56277.0000000149</x:v>
      </x:c>
      <x:c r="I159" s="12" t="n">
        <x:v>2550</x:v>
      </x:c>
      <x:c r="J159" s="12" t="n">
        <x:v>105.99999995529652</x:v>
      </x:c>
      <x:c r="K159" s="2" t="n">
        <x:v>225</x:v>
      </x:c>
      <x:c r="L159" s="2" t="n">
        <x:v>1056</x:v>
      </x:c>
    </x:row>
    <x:row r="160" ht="24" customHeight="1">
      <x:c r="A160" s="2" t="n">
        <x:v>269</x:v>
      </x:c>
      <x:c r="B160" s="2" t="n">
        <x:v>2</x:v>
      </x:c>
      <x:c r="C160" s="12" t="n">
        <x:v>119474.0000000149</x:v>
      </x:c>
      <x:c r="D160" s="12" t="n">
        <x:v>82287.0000000149</x:v>
      </x:c>
      <x:c r="E160" s="12" t="n">
        <x:v>36971.666666671634</x:v>
      </x:c>
      <x:c r="F160" s="12" t="n">
        <x:v>33162.9999999851</x:v>
      </x:c>
      <x:c r="G160" s="12" t="n">
        <x:v>46468</x:v>
      </x:c>
      <x:c r="H160" s="12" t="n">
        <x:v>37187</x:v>
      </x:c>
      <x:c r="I160" s="12" t="n">
        <x:v>2550</x:v>
      </x:c>
      <x:c r="J160" s="12" t="n">
        <x:v>106.00000002980232</x:v>
      </x:c>
      <x:c r="K160" s="2" t="n">
        <x:v>221</x:v>
      </x:c>
      <x:c r="L160" s="2" t="n">
        <x:v>1056</x:v>
      </x:c>
    </x:row>
    <x:row r="161" ht="24" customHeight="1">
      <x:c r="A161" s="2" t="n">
        <x:v>270</x:v>
      </x:c>
      <x:c r="B161" s="2" t="n">
        <x:v>2</x:v>
      </x:c>
      <x:c r="C161" s="12" t="n">
        <x:v>119473</x:v>
      </x:c>
      <x:c r="D161" s="12" t="n">
        <x:v>64966</x:v>
      </x:c>
      <x:c r="E161" s="12" t="n">
        <x:v>54290.666666671634</x:v>
      </x:c>
      <x:c r="F161" s="12" t="n">
        <x:v>32403</x:v>
      </x:c>
      <x:c r="G161" s="12" t="n">
        <x:v>29907</x:v>
      </x:c>
      <x:c r="H161" s="12" t="n">
        <x:v>54507</x:v>
      </x:c>
      <x:c r="I161" s="12" t="n">
        <x:v>2549.999999985099</x:v>
      </x:c>
      <x:c r="J161" s="12" t="n">
        <x:v>106.00000001490116</x:v>
      </x:c>
      <x:c r="K161" s="2" t="n">
        <x:v>217</x:v>
      </x:c>
      <x:c r="L161" s="2" t="n">
        <x:v>1056</x:v>
      </x:c>
    </x:row>
    <x:row r="162" ht="24" customHeight="1">
      <x:c r="A162" s="2" t="n">
        <x:v>271</x:v>
      </x:c>
      <x:c r="B162" s="2" t="n">
        <x:v>2</x:v>
      </x:c>
      <x:c r="C162" s="12" t="n">
        <x:v>119468</x:v>
      </x:c>
      <x:c r="D162" s="12" t="n">
        <x:v>81741</x:v>
      </x:c>
      <x:c r="E162" s="12" t="n">
        <x:v>37514.666666671634</x:v>
      </x:c>
      <x:c r="F162" s="12" t="n">
        <x:v>32617.0000000149</x:v>
      </x:c>
      <x:c r="G162" s="12" t="n">
        <x:v>46468</x:v>
      </x:c>
      <x:c r="H162" s="12" t="n">
        <x:v>37727</x:v>
      </x:c>
      <x:c r="I162" s="12" t="n">
        <x:v>2550</x:v>
      </x:c>
      <x:c r="J162" s="12" t="n">
        <x:v>105.99999998509884</x:v>
      </x:c>
      <x:c r="K162" s="2" t="n">
        <x:v>213</x:v>
      </x:c>
      <x:c r="L162" s="2" t="n">
        <x:v>1056</x:v>
      </x:c>
    </x:row>
    <x:row r="163" ht="24" customHeight="1">
      <x:c r="A163" s="2" t="n">
        <x:v>272</x:v>
      </x:c>
      <x:c r="B163" s="2" t="n">
        <x:v>2</x:v>
      </x:c>
      <x:c r="C163" s="12" t="n">
        <x:v>119473.9999999851</x:v>
      </x:c>
      <x:c r="D163" s="12" t="n">
        <x:v>64156.9999999851</x:v>
      </x:c>
      <x:c r="E163" s="12" t="n">
        <x:v>55102.666666671634</x:v>
      </x:c>
      <x:c r="F163" s="12" t="n">
        <x:v>31594</x:v>
      </x:c>
      <x:c r="G163" s="12" t="n">
        <x:v>29907</x:v>
      </x:c>
      <x:c r="H163" s="12" t="n">
        <x:v>55317</x:v>
      </x:c>
      <x:c r="I163" s="12" t="n">
        <x:v>2550</x:v>
      </x:c>
      <x:c r="J163" s="12" t="n">
        <x:v>105.99999998509884</x:v>
      </x:c>
      <x:c r="K163" s="2" t="n">
        <x:v>209</x:v>
      </x:c>
      <x:c r="L163" s="2" t="n">
        <x:v>1056</x:v>
      </x:c>
    </x:row>
    <x:row r="164" ht="24" customHeight="1">
      <x:c r="A164" s="2" t="n">
        <x:v>273</x:v>
      </x:c>
      <x:c r="B164" s="2" t="n">
        <x:v>2</x:v>
      </x:c>
      <x:c r="C164" s="12" t="n">
        <x:v>119473.0000000149</x:v>
      </x:c>
      <x:c r="D164" s="12" t="n">
        <x:v>82656.0000000149</x:v>
      </x:c>
      <x:c r="E164" s="12" t="n">
        <x:v>36601.666666671634</x:v>
      </x:c>
      <x:c r="F164" s="12" t="n">
        <x:v>32976.9999999851</x:v>
      </x:c>
      <x:c r="G164" s="12" t="n">
        <x:v>47022.9999999851</x:v>
      </x:c>
      <x:c r="H164" s="12" t="n">
        <x:v>36817</x:v>
      </x:c>
      <x:c r="I164" s="12" t="n">
        <x:v>2550</x:v>
      </x:c>
      <x:c r="J164" s="12" t="n">
        <x:v>106.00000004470348</x:v>
      </x:c>
      <x:c r="K164" s="2" t="n">
        <x:v>205</x:v>
      </x:c>
      <x:c r="L164" s="2" t="n">
        <x:v>1056</x:v>
      </x:c>
    </x:row>
    <x:row r="165" ht="24" customHeight="1">
      <x:c r="A165" s="2" t="n">
        <x:v>274</x:v>
      </x:c>
      <x:c r="B165" s="2" t="n">
        <x:v>2</x:v>
      </x:c>
      <x:c r="C165" s="12" t="n">
        <x:v>119471</x:v>
      </x:c>
      <x:c r="D165" s="12" t="n">
        <x:v>63739</x:v>
      </x:c>
      <x:c r="E165" s="12" t="n">
        <x:v>55517.666666671634</x:v>
      </x:c>
      <x:c r="F165" s="12" t="n">
        <x:v>30686</x:v>
      </x:c>
      <x:c r="G165" s="12" t="n">
        <x:v>30397</x:v>
      </x:c>
      <x:c r="H165" s="12" t="n">
        <x:v>55732</x:v>
      </x:c>
      <x:c r="I165" s="12" t="n">
        <x:v>2550</x:v>
      </x:c>
      <x:c r="J165" s="12" t="n">
        <x:v>106</x:v>
      </x:c>
      <x:c r="K165" s="2" t="n">
        <x:v>201</x:v>
      </x:c>
      <x:c r="L165" s="2" t="n">
        <x:v>1056</x:v>
      </x:c>
    </x:row>
    <x:row r="166" ht="24" customHeight="1">
      <x:c r="A166" s="2" t="n">
        <x:v>275</x:v>
      </x:c>
      <x:c r="B166" s="2" t="n">
        <x:v>2</x:v>
      </x:c>
      <x:c r="C166" s="12" t="n">
        <x:v>121024</x:v>
      </x:c>
      <x:c r="D166" s="12" t="n">
        <x:v>92137</x:v>
      </x:c>
      <x:c r="E166" s="12" t="n">
        <x:v>28672.666666671634</x:v>
      </x:c>
      <x:c r="F166" s="12" t="n">
        <x:v>33649</x:v>
      </x:c>
      <x:c r="G166" s="12" t="n">
        <x:v>54279.9999999851</x:v>
      </x:c>
      <x:c r="H166" s="12" t="n">
        <x:v>28887</x:v>
      </x:c>
      <x:c r="I166" s="12" t="n">
        <x:v>4102</x:v>
      </x:c>
      <x:c r="J166" s="12" t="n">
        <x:v>106.00000001490116</x:v>
      </x:c>
      <x:c r="K166" s="2" t="n">
        <x:v>201</x:v>
      </x:c>
      <x:c r="L166" s="2" t="n">
        <x:v>1052</x:v>
      </x:c>
    </x:row>
    <x:row r="167" ht="24" customHeight="1">
      <x:c r="A167" s="2" t="n">
        <x:v>276</x:v>
      </x:c>
      <x:c r="B167" s="2" t="n">
        <x:v>2</x:v>
      </x:c>
      <x:c r="C167" s="12" t="n">
        <x:v>119474</x:v>
      </x:c>
      <x:c r="D167" s="12" t="n">
        <x:v>76802.0000000149</x:v>
      </x:c>
      <x:c r="E167" s="12" t="n">
        <x:v>42455.666666671634</x:v>
      </x:c>
      <x:c r="F167" s="12" t="n">
        <x:v>32414.0000000149</x:v>
      </x:c>
      <x:c r="G167" s="12" t="n">
        <x:v>40180.0000000149</x:v>
      </x:c>
      <x:c r="H167" s="12" t="n">
        <x:v>42671.9999999851</x:v>
      </x:c>
      <x:c r="I167" s="12" t="n">
        <x:v>4102</x:v>
      </x:c>
      <x:c r="J167" s="12" t="n">
        <x:v>105.99999998509884</x:v>
      </x:c>
      <x:c r="K167" s="2" t="n">
        <x:v>200</x:v>
      </x:c>
      <x:c r="L167" s="2" t="n">
        <x:v>1048</x:v>
      </x:c>
    </x:row>
    <x:row r="168" ht="24" customHeight="1">
      <x:c r="A168" s="2" t="n">
        <x:v>277</x:v>
      </x:c>
      <x:c r="B168" s="2" t="n">
        <x:v>2</x:v>
      </x:c>
      <x:c r="C168" s="12" t="n">
        <x:v>119467.9999999851</x:v>
      </x:c>
      <x:c r="D168" s="12" t="n">
        <x:v>103445.9999999851</x:v>
      </x:c>
      <x:c r="E168" s="12" t="n">
        <x:v>15809.666666671634</x:v>
      </x:c>
      <x:c r="F168" s="12" t="n">
        <x:v>34081</x:v>
      </x:c>
      <x:c r="G168" s="12" t="n">
        <x:v>65157</x:v>
      </x:c>
      <x:c r="H168" s="12" t="n">
        <x:v>16022</x:v>
      </x:c>
      <x:c r="I168" s="12" t="n">
        <x:v>4102</x:v>
      </x:c>
      <x:c r="J168" s="12" t="n">
        <x:v>105.99999998509884</x:v>
      </x:c>
      <x:c r="K168" s="2" t="n">
        <x:v>200</x:v>
      </x:c>
      <x:c r="L168" s="2" t="n">
        <x:v>1044</x:v>
      </x:c>
    </x:row>
    <x:row r="169" ht="24" customHeight="1">
      <x:c r="A169" s="2" t="n">
        <x:v>278</x:v>
      </x:c>
      <x:c r="B169" s="2" t="n">
        <x:v>2</x:v>
      </x:c>
      <x:c r="C169" s="12" t="n">
        <x:v>119473.0000000149</x:v>
      </x:c>
      <x:c r="D169" s="12" t="n">
        <x:v>114761.0000000149</x:v>
      </x:c>
      <x:c r="E169" s="12" t="n">
        <x:v>4498.666666671634</x:v>
      </x:c>
      <x:c r="F169" s="12" t="n">
        <x:v>34357</x:v>
      </x:c>
      <x:c r="G169" s="12" t="n">
        <x:v>76196</x:v>
      </x:c>
      <x:c r="H169" s="12" t="n">
        <x:v>4712</x:v>
      </x:c>
      <x:c r="I169" s="12" t="n">
        <x:v>4101.999999985099</x:v>
      </x:c>
      <x:c r="J169" s="12" t="n">
        <x:v>106.00000002980232</x:v>
      </x:c>
      <x:c r="K169" s="2" t="n">
        <x:v>199</x:v>
      </x:c>
      <x:c r="L169" s="2" t="n">
        <x:v>1040</x:v>
      </x:c>
    </x:row>
    <x:row r="170" ht="24" customHeight="1">
      <x:c r="A170" s="2" t="n">
        <x:v>279</x:v>
      </x:c>
      <x:c r="B170" s="2" t="n">
        <x:v>2</x:v>
      </x:c>
      <x:c r="C170" s="12" t="n">
        <x:v>122292</x:v>
      </x:c>
      <x:c r="D170" s="12" t="n">
        <x:v>118765</x:v>
      </x:c>
      <x:c r="E170" s="12" t="n">
        <x:v>3314.6666666716337</x:v>
      </x:c>
      <x:c r="F170" s="12" t="n">
        <x:v>40824.0000000149</x:v>
      </x:c>
      <x:c r="G170" s="12" t="n">
        <x:v>70912</x:v>
      </x:c>
      <x:c r="H170" s="12" t="n">
        <x:v>3527</x:v>
      </x:c>
      <x:c r="I170" s="12" t="n">
        <x:v>6923.000000014901</x:v>
      </x:c>
      <x:c r="J170" s="12" t="n">
        <x:v>105.99999997019768</x:v>
      </x:c>
      <x:c r="K170" s="2" t="n">
        <x:v>199</x:v>
      </x:c>
      <x:c r="L170" s="2" t="n">
        <x:v>1036</x:v>
      </x:c>
    </x:row>
    <x:row r="171" ht="24" customHeight="1">
      <x:c r="A171" s="2" t="n">
        <x:v>280</x:v>
      </x:c>
      <x:c r="B171" s="2" t="n">
        <x:v>2</x:v>
      </x:c>
      <x:c r="C171" s="12" t="n">
        <x:v>116654.9999999851</x:v>
      </x:c>
      <x:c r="D171" s="12" t="n">
        <x:v>90657.9999999702</x:v>
      </x:c>
      <x:c r="E171" s="12" t="n">
        <x:v>25780.666666671634</x:v>
      </x:c>
      <x:c r="F171" s="12" t="n">
        <x:v>32196</x:v>
      </x:c>
      <x:c r="G171" s="12" t="n">
        <x:v>54254</x:v>
      </x:c>
      <x:c r="H171" s="12" t="n">
        <x:v>25997.0000000149</x:v>
      </x:c>
      <x:c r="I171" s="12" t="n">
        <x:v>4102</x:v>
      </x:c>
      <x:c r="J171" s="12" t="n">
        <x:v>105.99999997019768</x:v>
      </x:c>
      <x:c r="K171" s="2" t="n">
        <x:v>198</x:v>
      </x:c>
      <x:c r="L171" s="2" t="n">
        <x:v>1032</x:v>
      </x:c>
    </x:row>
    <x:row r="172" ht="24" customHeight="1">
      <x:c r="A172" s="2" t="n">
        <x:v>281</x:v>
      </x:c>
      <x:c r="B172" s="2" t="n">
        <x:v>2</x:v>
      </x:c>
      <x:c r="C172" s="12" t="n">
        <x:v>119471.0000000149</x:v>
      </x:c>
      <x:c r="D172" s="12" t="n">
        <x:v>101984.0000000298</x:v>
      </x:c>
      <x:c r="E172" s="12" t="n">
        <x:v>17271.666666671634</x:v>
      </x:c>
      <x:c r="F172" s="12" t="n">
        <x:v>31713</x:v>
      </x:c>
      <x:c r="G172" s="12" t="n">
        <x:v>66063</x:v>
      </x:c>
      <x:c r="H172" s="12" t="n">
        <x:v>17486.9999999851</x:v>
      </x:c>
      <x:c r="I172" s="12" t="n">
        <x:v>4102</x:v>
      </x:c>
      <x:c r="J172" s="12" t="n">
        <x:v>106.00000002980232</x:v>
      </x:c>
      <x:c r="K172" s="2" t="n">
        <x:v>198</x:v>
      </x:c>
      <x:c r="L172" s="2" t="n">
        <x:v>1028</x:v>
      </x:c>
    </x:row>
    <x:row r="173" ht="24" customHeight="1">
      <x:c r="A173" s="2" t="n">
        <x:v>282</x:v>
      </x:c>
      <x:c r="B173" s="2" t="n">
        <x:v>2</x:v>
      </x:c>
      <x:c r="C173" s="12" t="n">
        <x:v>119472.9999999851</x:v>
      </x:c>
      <x:c r="D173" s="12" t="n">
        <x:v>63265.9999999851</x:v>
      </x:c>
      <x:c r="E173" s="12" t="n">
        <x:v>55990.666666671634</x:v>
      </x:c>
      <x:c r="F173" s="12" t="n">
        <x:v>32287.9999999851</x:v>
      </x:c>
      <x:c r="G173" s="12" t="n">
        <x:v>26770</x:v>
      </x:c>
      <x:c r="H173" s="12" t="n">
        <x:v>56207</x:v>
      </x:c>
      <x:c r="I173" s="12" t="n">
        <x:v>4102</x:v>
      </x:c>
      <x:c r="J173" s="12" t="n">
        <x:v>106</x:v>
      </x:c>
      <x:c r="K173" s="2" t="n">
        <x:v>197</x:v>
      </x:c>
      <x:c r="L173" s="2" t="n">
        <x:v>1024</x:v>
      </x:c>
    </x:row>
    <x:row r="174" ht="24" customHeight="1">
      <x:c r="A174" s="2" t="n">
        <x:v>283</x:v>
      </x:c>
      <x:c r="B174" s="2" t="n">
        <x:v>2</x:v>
      </x:c>
      <x:c r="C174" s="12" t="n">
        <x:v>119468.0000000149</x:v>
      </x:c>
      <x:c r="D174" s="12" t="n">
        <x:v>107866</x:v>
      </x:c>
      <x:c r="E174" s="12" t="n">
        <x:v>11389.666666671634</x:v>
      </x:c>
      <x:c r="F174" s="12" t="n">
        <x:v>36893</x:v>
      </x:c>
      <x:c r="G174" s="12" t="n">
        <x:v>66765</x:v>
      </x:c>
      <x:c r="H174" s="12" t="n">
        <x:v>11602.000000014901</x:v>
      </x:c>
      <x:c r="I174" s="12" t="n">
        <x:v>4101.999999985099</x:v>
      </x:c>
      <x:c r="J174" s="12" t="n">
        <x:v>106.00000001490116</x:v>
      </x:c>
      <x:c r="K174" s="2" t="n">
        <x:v>197</x:v>
      </x:c>
      <x:c r="L174" s="2" t="n">
        <x:v>1020</x:v>
      </x:c>
    </x:row>
    <x:row r="175" ht="24" customHeight="1">
      <x:c r="A175" s="2" t="n">
        <x:v>284</x:v>
      </x:c>
      <x:c r="B175" s="2" t="n">
        <x:v>2</x:v>
      </x:c>
      <x:c r="C175" s="12" t="n">
        <x:v>119471.9999999851</x:v>
      </x:c>
      <x:c r="D175" s="12" t="n">
        <x:v>80534.9999999851</x:v>
      </x:c>
      <x:c r="E175" s="12" t="n">
        <x:v>38724.666666671634</x:v>
      </x:c>
      <x:c r="F175" s="12" t="n">
        <x:v>34165.0000000149</x:v>
      </x:c>
      <x:c r="G175" s="12" t="n">
        <x:v>42162</x:v>
      </x:c>
      <x:c r="H175" s="12" t="n">
        <x:v>38937</x:v>
      </x:c>
      <x:c r="I175" s="12" t="n">
        <x:v>4102</x:v>
      </x:c>
      <x:c r="J175" s="12" t="n">
        <x:v>105.99999997019768</x:v>
      </x:c>
      <x:c r="K175" s="2" t="n">
        <x:v>196</x:v>
      </x:c>
      <x:c r="L175" s="2" t="n">
        <x:v>1016</x:v>
      </x:c>
    </x:row>
    <x:row r="176" ht="24" customHeight="1">
      <x:c r="A176" s="2" t="n">
        <x:v>285</x:v>
      </x:c>
      <x:c r="B176" s="2" t="n">
        <x:v>2</x:v>
      </x:c>
      <x:c r="C176" s="12" t="n">
        <x:v>119473.0000000149</x:v>
      </x:c>
      <x:c r="D176" s="12" t="n">
        <x:v>92046</x:v>
      </x:c>
      <x:c r="E176" s="12" t="n">
        <x:v>27213.666666671634</x:v>
      </x:c>
      <x:c r="F176" s="12" t="n">
        <x:v>33465</x:v>
      </x:c>
      <x:c r="G176" s="12" t="n">
        <x:v>54373</x:v>
      </x:c>
      <x:c r="H176" s="12" t="n">
        <x:v>27427.0000000149</x:v>
      </x:c>
      <x:c r="I176" s="12" t="n">
        <x:v>4102.000000014901</x:v>
      </x:c>
      <x:c r="J176" s="12" t="n">
        <x:v>105.99999998509884</x:v>
      </x:c>
      <x:c r="K176" s="2" t="n">
        <x:v>196</x:v>
      </x:c>
      <x:c r="L176" s="2" t="n">
        <x:v>1012</x:v>
      </x:c>
    </x:row>
    <x:row r="177" ht="24" customHeight="1">
      <x:c r="A177" s="2" t="n">
        <x:v>286</x:v>
      </x:c>
      <x:c r="B177" s="2" t="n">
        <x:v>2</x:v>
      </x:c>
      <x:c r="C177" s="12" t="n">
        <x:v>119475</x:v>
      </x:c>
      <x:c r="D177" s="12" t="n">
        <x:v>60758</x:v>
      </x:c>
      <x:c r="E177" s="12" t="n">
        <x:v>58500.666666671634</x:v>
      </x:c>
      <x:c r="F177" s="12" t="n">
        <x:v>30291</x:v>
      </x:c>
      <x:c r="G177" s="12" t="n">
        <x:v>26259</x:v>
      </x:c>
      <x:c r="H177" s="12" t="n">
        <x:v>58717</x:v>
      </x:c>
      <x:c r="I177" s="12" t="n">
        <x:v>4102.000000014901</x:v>
      </x:c>
      <x:c r="J177" s="12" t="n">
        <x:v>105.99999998509884</x:v>
      </x:c>
      <x:c r="K177" s="2" t="n">
        <x:v>196</x:v>
      </x:c>
      <x:c r="L177" s="2" t="n">
        <x:v>1008</x:v>
      </x:c>
    </x:row>
    <x:row r="178" ht="24" customHeight="1">
      <x:c r="A178" s="2" t="n">
        <x:v>287</x:v>
      </x:c>
      <x:c r="B178" s="2" t="n">
        <x:v>2</x:v>
      </x:c>
      <x:c r="C178" s="12" t="n">
        <x:v>119468</x:v>
      </x:c>
      <x:c r="D178" s="12" t="n">
        <x:v>76961</x:v>
      </x:c>
      <x:c r="E178" s="12" t="n">
        <x:v>42294.666666671634</x:v>
      </x:c>
      <x:c r="F178" s="12" t="n">
        <x:v>34363.9999999851</x:v>
      </x:c>
      <x:c r="G178" s="12" t="n">
        <x:v>38389</x:v>
      </x:c>
      <x:c r="H178" s="12" t="n">
        <x:v>42507</x:v>
      </x:c>
      <x:c r="I178" s="12" t="n">
        <x:v>4102</x:v>
      </x:c>
      <x:c r="J178" s="12" t="n">
        <x:v>106.00000001490116</x:v>
      </x:c>
      <x:c r="K178" s="2" t="n">
        <x:v>196</x:v>
      </x:c>
      <x:c r="L178" s="2" t="n">
        <x:v>1004</x:v>
      </x:c>
    </x:row>
    <x:row r="179" ht="24" customHeight="1">
      <x:c r="A179" s="2" t="n">
        <x:v>288</x:v>
      </x:c>
      <x:c r="B179" s="2" t="n">
        <x:v>2</x:v>
      </x:c>
      <x:c r="C179" s="12" t="n">
        <x:v>119476</x:v>
      </x:c>
      <x:c r="D179" s="12" t="n">
        <x:v>62828.9999999851</x:v>
      </x:c>
      <x:c r="E179" s="12" t="n">
        <x:v>56430.666666671634</x:v>
      </x:c>
      <x:c r="F179" s="12" t="n">
        <x:v>32362</x:v>
      </x:c>
      <x:c r="G179" s="12" t="n">
        <x:v>26259.0000000149</x:v>
      </x:c>
      <x:c r="H179" s="12" t="n">
        <x:v>56647.0000000149</x:v>
      </x:c>
      <x:c r="I179" s="12" t="n">
        <x:v>4101.999999985099</x:v>
      </x:c>
      <x:c r="J179" s="12" t="n">
        <x:v>105.99999998509884</x:v>
      </x:c>
      <x:c r="K179" s="2" t="n">
        <x:v>196</x:v>
      </x:c>
      <x:c r="L179" s="2" t="n">
        <x:v>1000</x:v>
      </x:c>
    </x:row>
    <x:row r="180" ht="24" customHeight="1">
      <x:c r="A180" s="2" t="n">
        <x:v>289</x:v>
      </x:c>
      <x:c r="B180" s="2" t="n">
        <x:v>2</x:v>
      </x:c>
      <x:c r="C180" s="12" t="n">
        <x:v>119470</x:v>
      </x:c>
      <x:c r="D180" s="12" t="n">
        <x:v>76578</x:v>
      </x:c>
      <x:c r="E180" s="12" t="n">
        <x:v>42677.666666671634</x:v>
      </x:c>
      <x:c r="F180" s="12" t="n">
        <x:v>33478.0000000149</x:v>
      </x:c>
      <x:c r="G180" s="12" t="n">
        <x:v>38892.0000000149</x:v>
      </x:c>
      <x:c r="H180" s="12" t="n">
        <x:v>42892</x:v>
      </x:c>
      <x:c r="I180" s="12" t="n">
        <x:v>4102</x:v>
      </x:c>
      <x:c r="J180" s="12" t="n">
        <x:v>105.99999997019768</x:v>
      </x:c>
      <x:c r="K180" s="2" t="n">
        <x:v>196</x:v>
      </x:c>
      <x:c r="L180" s="2" t="n">
        <x:v>996</x:v>
      </x:c>
    </x:row>
    <x:row r="181" ht="24" customHeight="1">
      <x:c r="A181" s="2" t="n">
        <x:v>290</x:v>
      </x:c>
      <x:c r="B181" s="2" t="n">
        <x:v>2</x:v>
      </x:c>
      <x:c r="C181" s="12" t="n">
        <x:v>119473</x:v>
      </x:c>
      <x:c r="D181" s="12" t="n">
        <x:v>63206.0000000149</x:v>
      </x:c>
      <x:c r="E181" s="12" t="n">
        <x:v>56051.666666671634</x:v>
      </x:c>
      <x:c r="F181" s="12" t="n">
        <x:v>32248.9999999851</x:v>
      </x:c>
      <x:c r="G181" s="12" t="n">
        <x:v>26749</x:v>
      </x:c>
      <x:c r="H181" s="12" t="n">
        <x:v>56266.9999999851</x:v>
      </x:c>
      <x:c r="I181" s="12" t="n">
        <x:v>4102</x:v>
      </x:c>
      <x:c r="J181" s="12" t="n">
        <x:v>106.00000002980232</x:v>
      </x:c>
      <x:c r="K181" s="2" t="n">
        <x:v>196</x:v>
      </x:c>
      <x:c r="L181" s="2" t="n">
        <x:v>992</x:v>
      </x:c>
    </x:row>
    <x:row r="182" ht="24" customHeight="1">
      <x:c r="A182" s="2" t="n">
        <x:v>291</x:v>
      </x:c>
      <x:c r="B182" s="2" t="n">
        <x:v>2</x:v>
      </x:c>
      <x:c r="C182" s="12" t="n">
        <x:v>119469</x:v>
      </x:c>
      <x:c r="D182" s="12" t="n">
        <x:v>77637.0000000149</x:v>
      </x:c>
      <x:c r="E182" s="12" t="n">
        <x:v>41619.666666671634</x:v>
      </x:c>
      <x:c r="F182" s="12" t="n">
        <x:v>35081</x:v>
      </x:c>
      <x:c r="G182" s="12" t="n">
        <x:v>38348</x:v>
      </x:c>
      <x:c r="H182" s="12" t="n">
        <x:v>41831.9999999851</x:v>
      </x:c>
      <x:c r="I182" s="12" t="n">
        <x:v>4102</x:v>
      </x:c>
      <x:c r="J182" s="12" t="n">
        <x:v>106.00000001490116</x:v>
      </x:c>
      <x:c r="K182" s="2" t="n">
        <x:v>196</x:v>
      </x:c>
      <x:c r="L182" s="2" t="n">
        <x:v>988</x:v>
      </x:c>
    </x:row>
    <x:row r="183" ht="24" customHeight="1">
      <x:c r="A183" s="2" t="n">
        <x:v>292</x:v>
      </x:c>
      <x:c r="B183" s="2" t="n">
        <x:v>2</x:v>
      </x:c>
      <x:c r="C183" s="12" t="n">
        <x:v>119476</x:v>
      </x:c>
      <x:c r="D183" s="12" t="n">
        <x:v>62094</x:v>
      </x:c>
      <x:c r="E183" s="12" t="n">
        <x:v>57165.666666671634</x:v>
      </x:c>
      <x:c r="F183" s="12" t="n">
        <x:v>31639</x:v>
      </x:c>
      <x:c r="G183" s="12" t="n">
        <x:v>26247.0000000149</x:v>
      </x:c>
      <x:c r="H183" s="12" t="n">
        <x:v>57382</x:v>
      </x:c>
      <x:c r="I183" s="12" t="n">
        <x:v>4102</x:v>
      </x:c>
      <x:c r="J183" s="12" t="n">
        <x:v>105.99999998509884</x:v>
      </x:c>
      <x:c r="K183" s="2" t="n">
        <x:v>196</x:v>
      </x:c>
      <x:c r="L183" s="2" t="n">
        <x:v>984</x:v>
      </x:c>
    </x:row>
    <x:row r="184" ht="24" customHeight="1">
      <x:c r="A184" s="2" t="n">
        <x:v>293</x:v>
      </x:c>
      <x:c r="B184" s="2" t="n">
        <x:v>2</x:v>
      </x:c>
      <x:c r="C184" s="12" t="n">
        <x:v>119467.9999999851</x:v>
      </x:c>
      <x:c r="D184" s="12" t="n">
        <x:v>75400.9999999702</x:v>
      </x:c>
      <x:c r="E184" s="12" t="n">
        <x:v>43854.666666671634</x:v>
      </x:c>
      <x:c r="F184" s="12" t="n">
        <x:v>32845</x:v>
      </x:c>
      <x:c r="G184" s="12" t="n">
        <x:v>38348</x:v>
      </x:c>
      <x:c r="H184" s="12" t="n">
        <x:v>44067.0000000149</x:v>
      </x:c>
      <x:c r="I184" s="12" t="n">
        <x:v>4102</x:v>
      </x:c>
      <x:c r="J184" s="12" t="n">
        <x:v>105.99999997019768</x:v>
      </x:c>
      <x:c r="K184" s="2" t="n">
        <x:v>196</x:v>
      </x:c>
      <x:c r="L184" s="2" t="n">
        <x:v>980</x:v>
      </x:c>
    </x:row>
    <x:row r="185" ht="24" customHeight="1">
      <x:c r="A185" s="2" t="n">
        <x:v>294</x:v>
      </x:c>
      <x:c r="B185" s="2" t="n">
        <x:v>2</x:v>
      </x:c>
      <x:c r="C185" s="12" t="n">
        <x:v>119475</x:v>
      </x:c>
      <x:c r="D185" s="12" t="n">
        <x:v>62663</x:v>
      </x:c>
      <x:c r="E185" s="12" t="n">
        <x:v>56596.666666671634</x:v>
      </x:c>
      <x:c r="F185" s="12" t="n">
        <x:v>32208</x:v>
      </x:c>
      <x:c r="G185" s="12" t="n">
        <x:v>26246.9999999851</x:v>
      </x:c>
      <x:c r="H185" s="12" t="n">
        <x:v>56812</x:v>
      </x:c>
      <x:c r="I185" s="12" t="n">
        <x:v>4102</x:v>
      </x:c>
      <x:c r="J185" s="12" t="n">
        <x:v>106.00000001490116</x:v>
      </x:c>
      <x:c r="K185" s="2" t="n">
        <x:v>196</x:v>
      </x:c>
      <x:c r="L185" s="2" t="n">
        <x:v>976</x:v>
      </x:c>
    </x:row>
    <x:row r="186" ht="24" customHeight="1">
      <x:c r="A186" s="2" t="n">
        <x:v>295</x:v>
      </x:c>
      <x:c r="B186" s="2" t="n">
        <x:v>2</x:v>
      </x:c>
      <x:c r="C186" s="12" t="n">
        <x:v>119469</x:v>
      </x:c>
      <x:c r="D186" s="12" t="n">
        <x:v>81912</x:v>
      </x:c>
      <x:c r="E186" s="12" t="n">
        <x:v>37344.666666671634</x:v>
      </x:c>
      <x:c r="F186" s="12" t="n">
        <x:v>39356</x:v>
      </x:c>
      <x:c r="G186" s="12" t="n">
        <x:v>38348.0000000149</x:v>
      </x:c>
      <x:c r="H186" s="12" t="n">
        <x:v>37557</x:v>
      </x:c>
      <x:c r="I186" s="12" t="n">
        <x:v>4102</x:v>
      </x:c>
      <x:c r="J186" s="12" t="n">
        <x:v>105.99999998509884</x:v>
      </x:c>
      <x:c r="K186" s="2" t="n">
        <x:v>196</x:v>
      </x:c>
      <x:c r="L186" s="2" t="n">
        <x:v>972</x:v>
      </x:c>
    </x:row>
    <x:row r="187" ht="24" customHeight="1">
      <x:c r="A187" s="2" t="n">
        <x:v>296</x:v>
      </x:c>
      <x:c r="B187" s="2" t="n">
        <x:v>2</x:v>
      </x:c>
      <x:c r="C187" s="12" t="n">
        <x:v>119472.0000000149</x:v>
      </x:c>
      <x:c r="D187" s="12" t="n">
        <x:v>67020.0000000149</x:v>
      </x:c>
      <x:c r="E187" s="12" t="n">
        <x:v>52239.666666671634</x:v>
      </x:c>
      <x:c r="F187" s="12" t="n">
        <x:v>36565</x:v>
      </x:c>
      <x:c r="G187" s="12" t="n">
        <x:v>26247</x:v>
      </x:c>
      <x:c r="H187" s="12" t="n">
        <x:v>52452</x:v>
      </x:c>
      <x:c r="I187" s="12" t="n">
        <x:v>4102</x:v>
      </x:c>
      <x:c r="J187" s="12" t="n">
        <x:v>106.00000001490116</x:v>
      </x:c>
      <x:c r="K187" s="2" t="n">
        <x:v>196</x:v>
      </x:c>
      <x:c r="L187" s="2" t="n">
        <x:v>968</x:v>
      </x:c>
    </x:row>
    <x:row r="188" ht="24" customHeight="1">
      <x:c r="A188" s="2" t="n">
        <x:v>297</x:v>
      </x:c>
      <x:c r="B188" s="2" t="n">
        <x:v>2</x:v>
      </x:c>
      <x:c r="C188" s="12" t="n">
        <x:v>119475</x:v>
      </x:c>
      <x:c r="D188" s="12" t="n">
        <x:v>78513</x:v>
      </x:c>
      <x:c r="E188" s="12" t="n">
        <x:v>40746.666666671634</x:v>
      </x:c>
      <x:c r="F188" s="12" t="n">
        <x:v>35415</x:v>
      </x:c>
      <x:c r="G188" s="12" t="n">
        <x:v>38890</x:v>
      </x:c>
      <x:c r="H188" s="12" t="n">
        <x:v>40962</x:v>
      </x:c>
      <x:c r="I188" s="12" t="n">
        <x:v>4102</x:v>
      </x:c>
      <x:c r="J188" s="12" t="n">
        <x:v>106</x:v>
      </x:c>
      <x:c r="K188" s="2" t="n">
        <x:v>196</x:v>
      </x:c>
      <x:c r="L188" s="2" t="n">
        <x:v>964</x:v>
      </x:c>
    </x:row>
    <x:row r="189" ht="24" customHeight="1">
      <x:c r="A189" s="2" t="n">
        <x:v>298</x:v>
      </x:c>
      <x:c r="B189" s="2" t="n">
        <x:v>2</x:v>
      </x:c>
      <x:c r="C189" s="12" t="n">
        <x:v>119470</x:v>
      </x:c>
      <x:c r="D189" s="12" t="n">
        <x:v>63992.9999999851</x:v>
      </x:c>
      <x:c r="E189" s="12" t="n">
        <x:v>55263.666666671634</x:v>
      </x:c>
      <x:c r="F189" s="12" t="n">
        <x:v>32105.0000000149</x:v>
      </x:c>
      <x:c r="G189" s="12" t="n">
        <x:v>27680</x:v>
      </x:c>
      <x:c r="H189" s="12" t="n">
        <x:v>55477.0000000149</x:v>
      </x:c>
      <x:c r="I189" s="12" t="n">
        <x:v>4101.999999985099</x:v>
      </x:c>
      <x:c r="J189" s="12" t="n">
        <x:v>105.99999998509884</x:v>
      </x:c>
      <x:c r="K189" s="2" t="n">
        <x:v>196</x:v>
      </x:c>
      <x:c r="L189" s="2" t="n">
        <x:v>960</x:v>
      </x:c>
    </x:row>
    <x:row r="190" ht="24" customHeight="1">
      <x:c r="A190" s="2" t="n">
        <x:v>299</x:v>
      </x:c>
      <x:c r="B190" s="2" t="n">
        <x:v>2</x:v>
      </x:c>
      <x:c r="C190" s="12" t="n">
        <x:v>119474</x:v>
      </x:c>
      <x:c r="D190" s="12" t="n">
        <x:v>77572.0000000149</x:v>
      </x:c>
      <x:c r="E190" s="12" t="n">
        <x:v>41686.666666671634</x:v>
      </x:c>
      <x:c r="F190" s="12" t="n">
        <x:v>34975.0000000149</x:v>
      </x:c>
      <x:c r="G190" s="12" t="n">
        <x:v>38389</x:v>
      </x:c>
      <x:c r="H190" s="12" t="n">
        <x:v>41901.9999999851</x:v>
      </x:c>
      <x:c r="I190" s="12" t="n">
        <x:v>4102</x:v>
      </x:c>
      <x:c r="J190" s="12" t="n">
        <x:v>106</x:v>
      </x:c>
      <x:c r="K190" s="2" t="n">
        <x:v>196</x:v>
      </x:c>
      <x:c r="L190" s="2" t="n">
        <x:v>956</x:v>
      </x:c>
    </x:row>
    <x:row r="191" ht="24" customHeight="1">
      <x:c r="A191" s="2" t="n">
        <x:v>300</x:v>
      </x:c>
      <x:c r="B191" s="2" t="n">
        <x:v>2</x:v>
      </x:c>
      <x:c r="C191" s="12" t="n">
        <x:v>119469</x:v>
      </x:c>
      <x:c r="D191" s="12" t="n">
        <x:v>65302</x:v>
      </x:c>
      <x:c r="E191" s="12" t="n">
        <x:v>53954.666666671634</x:v>
      </x:c>
      <x:c r="F191" s="12" t="n">
        <x:v>33925</x:v>
      </x:c>
      <x:c r="G191" s="12" t="n">
        <x:v>27169.0000000149</x:v>
      </x:c>
      <x:c r="H191" s="12" t="n">
        <x:v>54167</x:v>
      </x:c>
      <x:c r="I191" s="12" t="n">
        <x:v>4102</x:v>
      </x:c>
      <x:c r="J191" s="12" t="n">
        <x:v>105.99999998509884</x:v>
      </x:c>
      <x:c r="K191" s="2" t="n">
        <x:v>196</x:v>
      </x:c>
      <x:c r="L191" s="2" t="n">
        <x:v>952</x:v>
      </x:c>
    </x:row>
    <x:row r="192" ht="24" customHeight="1">
      <x:c r="A192" s="2" t="n">
        <x:v>301</x:v>
      </x:c>
      <x:c r="B192" s="2" t="n">
        <x:v>2</x:v>
      </x:c>
      <x:c r="C192" s="12" t="n">
        <x:v>119472</x:v>
      </x:c>
      <x:c r="D192" s="12" t="n">
        <x:v>77845</x:v>
      </x:c>
      <x:c r="E192" s="12" t="n">
        <x:v>41414.666666671634</x:v>
      </x:c>
      <x:c r="F192" s="12" t="n">
        <x:v>35248</x:v>
      </x:c>
      <x:c r="G192" s="12" t="n">
        <x:v>38389</x:v>
      </x:c>
      <x:c r="H192" s="12" t="n">
        <x:v>41627</x:v>
      </x:c>
      <x:c r="I192" s="12" t="n">
        <x:v>4101.999999985099</x:v>
      </x:c>
      <x:c r="J192" s="12" t="n">
        <x:v>106.00000001490116</x:v>
      </x:c>
      <x:c r="K192" s="2" t="n">
        <x:v>196</x:v>
      </x:c>
      <x:c r="L192" s="2" t="n">
        <x:v>948</x:v>
      </x:c>
    </x:row>
    <x:row r="193" ht="24" customHeight="1">
      <x:c r="A193" s="2" t="n">
        <x:v>302</x:v>
      </x:c>
      <x:c r="B193" s="2" t="n">
        <x:v>2</x:v>
      </x:c>
      <x:c r="C193" s="12" t="n">
        <x:v>119471.9999999851</x:v>
      </x:c>
      <x:c r="D193" s="12" t="n">
        <x:v>70259.9999999702</x:v>
      </x:c>
      <x:c r="E193" s="12" t="n">
        <x:v>48999.666666671634</x:v>
      </x:c>
      <x:c r="F193" s="12" t="n">
        <x:v>38883.0000000149</x:v>
      </x:c>
      <x:c r="G193" s="12" t="n">
        <x:v>27169.0000000149</x:v>
      </x:c>
      <x:c r="H193" s="12" t="n">
        <x:v>49212.0000000149</x:v>
      </x:c>
      <x:c r="I193" s="12" t="n">
        <x:v>4102</x:v>
      </x:c>
      <x:c r="J193" s="12" t="n">
        <x:v>105.99999994039536</x:v>
      </x:c>
      <x:c r="K193" s="2" t="n">
        <x:v>196</x:v>
      </x:c>
      <x:c r="L193" s="2" t="n">
        <x:v>944</x:v>
      </x:c>
    </x:row>
    <x:row r="194" ht="24" customHeight="1">
      <x:c r="A194" s="2" t="n">
        <x:v>303</x:v>
      </x:c>
      <x:c r="B194" s="2" t="n">
        <x:v>2</x:v>
      </x:c>
      <x:c r="C194" s="12" t="n">
        <x:v>119476.0000000149</x:v>
      </x:c>
      <x:c r="D194" s="12" t="n">
        <x:v>79474.0000000298</x:v>
      </x:c>
      <x:c r="E194" s="12" t="n">
        <x:v>39785.666666671634</x:v>
      </x:c>
      <x:c r="F194" s="12" t="n">
        <x:v>36877</x:v>
      </x:c>
      <x:c r="G194" s="12" t="n">
        <x:v>38389</x:v>
      </x:c>
      <x:c r="H194" s="12" t="n">
        <x:v>40001.9999999851</x:v>
      </x:c>
      <x:c r="I194" s="12" t="n">
        <x:v>4102</x:v>
      </x:c>
      <x:c r="J194" s="12" t="n">
        <x:v>106.00000002980232</x:v>
      </x:c>
      <x:c r="K194" s="2" t="n">
        <x:v>196</x:v>
      </x:c>
      <x:c r="L194" s="2" t="n">
        <x:v>940</x:v>
      </x:c>
    </x:row>
    <x:row r="195" ht="24" customHeight="1">
      <x:c r="A195" s="2" t="n">
        <x:v>304</x:v>
      </x:c>
      <x:c r="B195" s="2" t="n">
        <x:v>2</x:v>
      </x:c>
      <x:c r="C195" s="12" t="n">
        <x:v>119472</x:v>
      </x:c>
      <x:c r="D195" s="12" t="n">
        <x:v>63500</x:v>
      </x:c>
      <x:c r="E195" s="12" t="n">
        <x:v>55755.666666671634</x:v>
      </x:c>
      <x:c r="F195" s="12" t="n">
        <x:v>32123</x:v>
      </x:c>
      <x:c r="G195" s="12" t="n">
        <x:v>27169</x:v>
      </x:c>
      <x:c r="H195" s="12" t="n">
        <x:v>55972</x:v>
      </x:c>
      <x:c r="I195" s="12" t="n">
        <x:v>4102.000000014901</x:v>
      </x:c>
      <x:c r="J195" s="12" t="n">
        <x:v>105.99999998509884</x:v>
      </x:c>
      <x:c r="K195" s="2" t="n">
        <x:v>196</x:v>
      </x:c>
      <x:c r="L195" s="2" t="n">
        <x:v>936</x:v>
      </x:c>
    </x:row>
    <x:row r="196" ht="24" customHeight="1">
      <x:c r="A196" s="2" t="n">
        <x:v>305</x:v>
      </x:c>
      <x:c r="B196" s="2" t="n">
        <x:v>2</x:v>
      </x:c>
      <x:c r="C196" s="12" t="n">
        <x:v>119468</x:v>
      </x:c>
      <x:c r="D196" s="12" t="n">
        <x:v>77741</x:v>
      </x:c>
      <x:c r="E196" s="12" t="n">
        <x:v>41514.666666671634</x:v>
      </x:c>
      <x:c r="F196" s="12" t="n">
        <x:v>34641</x:v>
      </x:c>
      <x:c r="G196" s="12" t="n">
        <x:v>38892.0000000149</x:v>
      </x:c>
      <x:c r="H196" s="12" t="n">
        <x:v>41727</x:v>
      </x:c>
      <x:c r="I196" s="12" t="n">
        <x:v>4102</x:v>
      </x:c>
      <x:c r="J196" s="12" t="n">
        <x:v>105.99999998509884</x:v>
      </x:c>
      <x:c r="K196" s="2" t="n">
        <x:v>196</x:v>
      </x:c>
      <x:c r="L196" s="2" t="n">
        <x:v>932</x:v>
      </x:c>
    </x:row>
    <x:row r="197" ht="24" customHeight="1">
      <x:c r="A197" s="2" t="n">
        <x:v>306</x:v>
      </x:c>
      <x:c r="B197" s="2" t="n">
        <x:v>2</x:v>
      </x:c>
      <x:c r="C197" s="12" t="n">
        <x:v>119475</x:v>
      </x:c>
      <x:c r="D197" s="12" t="n">
        <x:v>65858</x:v>
      </x:c>
      <x:c r="E197" s="12" t="n">
        <x:v>53401.666666671634</x:v>
      </x:c>
      <x:c r="F197" s="12" t="n">
        <x:v>34000</x:v>
      </x:c>
      <x:c r="G197" s="12" t="n">
        <x:v>27650</x:v>
      </x:c>
      <x:c r="H197" s="12" t="n">
        <x:v>53617</x:v>
      </x:c>
      <x:c r="I197" s="12" t="n">
        <x:v>4102</x:v>
      </x:c>
      <x:c r="J197" s="12" t="n">
        <x:v>106</x:v>
      </x:c>
      <x:c r="K197" s="2" t="n">
        <x:v>196</x:v>
      </x:c>
      <x:c r="L197" s="2" t="n">
        <x:v>928</x:v>
      </x:c>
    </x:row>
    <x:row r="198" ht="24" customHeight="1">
      <x:c r="A198" s="2" t="n">
        <x:v>307</x:v>
      </x:c>
      <x:c r="B198" s="2" t="n">
        <x:v>2</x:v>
      </x:c>
      <x:c r="C198" s="12" t="n">
        <x:v>119469</x:v>
      </x:c>
      <x:c r="D198" s="12" t="n">
        <x:v>79327</x:v>
      </x:c>
      <x:c r="E198" s="12" t="n">
        <x:v>39929.666666671634</x:v>
      </x:c>
      <x:c r="F198" s="12" t="n">
        <x:v>36771</x:v>
      </x:c>
      <x:c r="G198" s="12" t="n">
        <x:v>38348</x:v>
      </x:c>
      <x:c r="H198" s="12" t="n">
        <x:v>40142</x:v>
      </x:c>
      <x:c r="I198" s="12" t="n">
        <x:v>4102</x:v>
      </x:c>
      <x:c r="J198" s="12" t="n">
        <x:v>106</x:v>
      </x:c>
      <x:c r="K198" s="2" t="n">
        <x:v>196</x:v>
      </x:c>
      <x:c r="L198" s="2" t="n">
        <x:v>924</x:v>
      </x:c>
    </x:row>
    <x:row r="199" ht="24" customHeight="1">
      <x:c r="A199" s="2" t="n">
        <x:v>308</x:v>
      </x:c>
      <x:c r="B199" s="2" t="n">
        <x:v>2</x:v>
      </x:c>
      <x:c r="C199" s="12" t="n">
        <x:v>119476</x:v>
      </x:c>
      <x:c r="D199" s="12" t="n">
        <x:v>70203.9999999851</x:v>
      </x:c>
      <x:c r="E199" s="12" t="n">
        <x:v>49055.666666671634</x:v>
      </x:c>
      <x:c r="F199" s="12" t="n">
        <x:v>38848</x:v>
      </x:c>
      <x:c r="G199" s="12" t="n">
        <x:v>27148.0000000149</x:v>
      </x:c>
      <x:c r="H199" s="12" t="n">
        <x:v>49272.0000000149</x:v>
      </x:c>
      <x:c r="I199" s="12" t="n">
        <x:v>4101.999999985099</x:v>
      </x:c>
      <x:c r="J199" s="12" t="n">
        <x:v>105.99999998509884</x:v>
      </x:c>
      <x:c r="K199" s="2" t="n">
        <x:v>196</x:v>
      </x:c>
      <x:c r="L199" s="2" t="n">
        <x:v>920</x:v>
      </x:c>
    </x:row>
    <x:row r="200" ht="24" customHeight="1">
      <x:c r="A200" s="2" t="n">
        <x:v>309</x:v>
      </x:c>
      <x:c r="B200" s="2" t="n">
        <x:v>2</x:v>
      </x:c>
      <x:c r="C200" s="12" t="n">
        <x:v>119469</x:v>
      </x:c>
      <x:c r="D200" s="12" t="n">
        <x:v>80202</x:v>
      </x:c>
      <x:c r="E200" s="12" t="n">
        <x:v>39053.666666671634</x:v>
      </x:c>
      <x:c r="F200" s="12" t="n">
        <x:v>37646.0000000149</x:v>
      </x:c>
      <x:c r="G200" s="12" t="n">
        <x:v>38348</x:v>
      </x:c>
      <x:c r="H200" s="12" t="n">
        <x:v>39267</x:v>
      </x:c>
      <x:c r="I200" s="12" t="n">
        <x:v>4102</x:v>
      </x:c>
      <x:c r="J200" s="12" t="n">
        <x:v>105.99999998509884</x:v>
      </x:c>
      <x:c r="K200" s="2" t="n">
        <x:v>196</x:v>
      </x:c>
      <x:c r="L200" s="2" t="n">
        <x:v>916</x:v>
      </x:c>
    </x:row>
    <x:row r="201" ht="24" customHeight="1">
      <x:c r="A201" s="2" t="n">
        <x:v>310</x:v>
      </x:c>
      <x:c r="B201" s="2" t="n">
        <x:v>2</x:v>
      </x:c>
      <x:c r="C201" s="12" t="n">
        <x:v>119471</x:v>
      </x:c>
      <x:c r="D201" s="12" t="n">
        <x:v>64714</x:v>
      </x:c>
      <x:c r="E201" s="12" t="n">
        <x:v>54544.666666671634</x:v>
      </x:c>
      <x:c r="F201" s="12" t="n">
        <x:v>33374</x:v>
      </x:c>
      <x:c r="G201" s="12" t="n">
        <x:v>27131.9999999851</x:v>
      </x:c>
      <x:c r="H201" s="12" t="n">
        <x:v>54757</x:v>
      </x:c>
      <x:c r="I201" s="12" t="n">
        <x:v>4101.999999985099</x:v>
      </x:c>
      <x:c r="J201" s="12" t="n">
        <x:v>106.00000002980232</x:v>
      </x:c>
      <x:c r="K201" s="2" t="n">
        <x:v>196</x:v>
      </x:c>
      <x:c r="L201" s="2" t="n">
        <x:v>912</x:v>
      </x:c>
    </x:row>
    <x:row r="202" ht="24" customHeight="1">
      <x:c r="A202" s="2" t="n">
        <x:v>311</x:v>
      </x:c>
      <x:c r="B202" s="2" t="n">
        <x:v>2</x:v>
      </x:c>
      <x:c r="C202" s="12" t="n">
        <x:v>119474</x:v>
      </x:c>
      <x:c r="D202" s="12" t="n">
        <x:v>79637</x:v>
      </x:c>
      <x:c r="E202" s="12" t="n">
        <x:v>39622.666666671634</x:v>
      </x:c>
      <x:c r="F202" s="12" t="n">
        <x:v>36196</x:v>
      </x:c>
      <x:c r="G202" s="12" t="n">
        <x:v>39233</x:v>
      </x:c>
      <x:c r="H202" s="12" t="n">
        <x:v>39837</x:v>
      </x:c>
      <x:c r="I202" s="12" t="n">
        <x:v>4102</x:v>
      </x:c>
      <x:c r="J202" s="12" t="n">
        <x:v>106</x:v>
      </x:c>
      <x:c r="K202" s="2" t="n">
        <x:v>196</x:v>
      </x:c>
      <x:c r="L202" s="2" t="n">
        <x:v>908</x:v>
      </x:c>
    </x:row>
    <x:row r="203" ht="24" customHeight="1">
      <x:c r="A203" s="2" t="n">
        <x:v>312</x:v>
      </x:c>
      <x:c r="B203" s="2" t="n">
        <x:v>2</x:v>
      </x:c>
      <x:c r="C203" s="12" t="n">
        <x:v>119471.9999999851</x:v>
      </x:c>
      <x:c r="D203" s="12" t="n">
        <x:v>65264.9999999702</x:v>
      </x:c>
      <x:c r="E203" s="12" t="n">
        <x:v>53992.666666671634</x:v>
      </x:c>
      <x:c r="F203" s="12" t="n">
        <x:v>33925.0000000149</x:v>
      </x:c>
      <x:c r="G203" s="12" t="n">
        <x:v>27132</x:v>
      </x:c>
      <x:c r="H203" s="12" t="n">
        <x:v>54207.0000000149</x:v>
      </x:c>
      <x:c r="I203" s="12" t="n">
        <x:v>4102</x:v>
      </x:c>
      <x:c r="J203" s="12" t="n">
        <x:v>105.99999995529652</x:v>
      </x:c>
      <x:c r="K203" s="2" t="n">
        <x:v>196</x:v>
      </x:c>
      <x:c r="L203" s="2" t="n">
        <x:v>904</x:v>
      </x:c>
    </x:row>
    <x:row r="204" ht="24" customHeight="1">
      <x:c r="A204" s="2" t="n">
        <x:v>313</x:v>
      </x:c>
      <x:c r="B204" s="2" t="n">
        <x:v>2</x:v>
      </x:c>
      <x:c r="C204" s="12" t="n">
        <x:v>119473.0000000149</x:v>
      </x:c>
      <x:c r="D204" s="12" t="n">
        <x:v>79226</x:v>
      </x:c>
      <x:c r="E204" s="12" t="n">
        <x:v>40031.666666671634</x:v>
      </x:c>
      <x:c r="F204" s="12" t="n">
        <x:v>35234</x:v>
      </x:c>
      <x:c r="G204" s="12" t="n">
        <x:v>39784</x:v>
      </x:c>
      <x:c r="H204" s="12" t="n">
        <x:v>40247.0000000149</x:v>
      </x:c>
      <x:c r="I204" s="12" t="n">
        <x:v>4101.999999985099</x:v>
      </x:c>
      <x:c r="J204" s="12" t="n">
        <x:v>106.00000001490116</x:v>
      </x:c>
      <x:c r="K204" s="2" t="n">
        <x:v>196</x:v>
      </x:c>
      <x:c r="L204" s="2" t="n">
        <x:v>900</x:v>
      </x:c>
    </x:row>
    <x:row r="205" ht="24" customHeight="1">
      <x:c r="A205" s="2" t="n">
        <x:v>314</x:v>
      </x:c>
      <x:c r="B205" s="2" t="n">
        <x:v>2</x:v>
      </x:c>
      <x:c r="C205" s="12" t="n">
        <x:v>119469</x:v>
      </x:c>
      <x:c r="D205" s="12" t="n">
        <x:v>65917</x:v>
      </x:c>
      <x:c r="E205" s="12" t="n">
        <x:v>53339.666666671634</x:v>
      </x:c>
      <x:c r="F205" s="12" t="n">
        <x:v>34045</x:v>
      </x:c>
      <x:c r="G205" s="12" t="n">
        <x:v>27664</x:v>
      </x:c>
      <x:c r="H205" s="12" t="n">
        <x:v>53552</x:v>
      </x:c>
      <x:c r="I205" s="12" t="n">
        <x:v>4102</x:v>
      </x:c>
      <x:c r="J205" s="12" t="n">
        <x:v>106</x:v>
      </x:c>
      <x:c r="K205" s="2" t="n">
        <x:v>196</x:v>
      </x:c>
      <x:c r="L205" s="2" t="n">
        <x:v>896</x:v>
      </x:c>
    </x:row>
    <x:row r="206" ht="24" customHeight="1">
      <x:c r="A206" s="2" t="n">
        <x:v>315</x:v>
      </x:c>
      <x:c r="B206" s="2" t="n">
        <x:v>2</x:v>
      </x:c>
      <x:c r="C206" s="12" t="n">
        <x:v>119476</x:v>
      </x:c>
      <x:c r="D206" s="12" t="n">
        <x:v>85184</x:v>
      </x:c>
      <x:c r="E206" s="12" t="n">
        <x:v>34075.666666671634</x:v>
      </x:c>
      <x:c r="F206" s="12" t="n">
        <x:v>41693</x:v>
      </x:c>
      <x:c r="G206" s="12" t="n">
        <x:v>39283</x:v>
      </x:c>
      <x:c r="H206" s="12" t="n">
        <x:v>34292</x:v>
      </x:c>
      <x:c r="I206" s="12" t="n">
        <x:v>4101.999999985099</x:v>
      </x:c>
      <x:c r="J206" s="12" t="n">
        <x:v>106.00000001490116</x:v>
      </x:c>
      <x:c r="K206" s="2" t="n">
        <x:v>196</x:v>
      </x:c>
      <x:c r="L206" s="2" t="n">
        <x:v>892</x:v>
      </x:c>
    </x:row>
    <x:row r="207" ht="24" customHeight="1">
      <x:c r="A207" s="2" t="n">
        <x:v>316</x:v>
      </x:c>
      <x:c r="B207" s="2" t="n">
        <x:v>2</x:v>
      </x:c>
      <x:c r="C207" s="12" t="n">
        <x:v>122336</x:v>
      </x:c>
      <x:c r="D207" s="12" t="n">
        <x:v>84609</x:v>
      </x:c>
      <x:c r="E207" s="12" t="n">
        <x:v>37514.666666671634</x:v>
      </x:c>
      <x:c r="F207" s="12" t="n">
        <x:v>50364.0000000149</x:v>
      </x:c>
      <x:c r="G207" s="12" t="n">
        <x:v>27169</x:v>
      </x:c>
      <x:c r="H207" s="12" t="n">
        <x:v>37727</x:v>
      </x:c>
      <x:c r="I207" s="12" t="n">
        <x:v>6970</x:v>
      </x:c>
      <x:c r="J207" s="12" t="n">
        <x:v>105.99999998509884</x:v>
      </x:c>
      <x:c r="K207" s="2" t="n">
        <x:v>196</x:v>
      </x:c>
      <x:c r="L207" s="2" t="n">
        <x:v>888</x:v>
      </x:c>
    </x:row>
    <x:row r="208" ht="24" customHeight="1">
      <x:c r="A208" s="2" t="n">
        <x:v>317</x:v>
      </x:c>
      <x:c r="B208" s="2" t="n">
        <x:v>2</x:v>
      </x:c>
      <x:c r="C208" s="12" t="n">
        <x:v>116606</x:v>
      </x:c>
      <x:c r="D208" s="12" t="n">
        <x:v>76854.0000000149</x:v>
      </x:c>
      <x:c r="E208" s="12" t="n">
        <x:v>39537.666666671634</x:v>
      </x:c>
      <x:c r="F208" s="12" t="n">
        <x:v>33347</x:v>
      </x:c>
      <x:c r="G208" s="12" t="n">
        <x:v>39299.0000000149</x:v>
      </x:c>
      <x:c r="H208" s="12" t="n">
        <x:v>39751.9999999851</x:v>
      </x:c>
      <x:c r="I208" s="12" t="n">
        <x:v>4102</x:v>
      </x:c>
      <x:c r="J208" s="12" t="n">
        <x:v>106</x:v>
      </x:c>
      <x:c r="K208" s="2" t="n">
        <x:v>196</x:v>
      </x:c>
      <x:c r="L208" s="2" t="n">
        <x:v>884</x:v>
      </x:c>
    </x:row>
    <x:row r="209" ht="24" customHeight="1">
      <x:c r="A209" s="2" t="n">
        <x:v>318</x:v>
      </x:c>
      <x:c r="B209" s="2" t="n">
        <x:v>2</x:v>
      </x:c>
      <x:c r="C209" s="12" t="n">
        <x:v>119472</x:v>
      </x:c>
      <x:c r="D209" s="12" t="n">
        <x:v>65320</x:v>
      </x:c>
      <x:c r="E209" s="12" t="n">
        <x:v>53937.666666671634</x:v>
      </x:c>
      <x:c r="F209" s="12" t="n">
        <x:v>33942.9999999851</x:v>
      </x:c>
      <x:c r="G209" s="12" t="n">
        <x:v>27169</x:v>
      </x:c>
      <x:c r="H209" s="12" t="n">
        <x:v>54152</x:v>
      </x:c>
      <x:c r="I209" s="12" t="n">
        <x:v>4101.999999985099</x:v>
      </x:c>
      <x:c r="J209" s="12" t="n">
        <x:v>106.00000002980232</x:v>
      </x:c>
      <x:c r="K209" s="2" t="n">
        <x:v>196</x:v>
      </x:c>
      <x:c r="L209" s="2" t="n">
        <x:v>880</x:v>
      </x:c>
    </x:row>
    <x:row r="210" ht="24" customHeight="1">
      <x:c r="A210" s="2" t="n">
        <x:v>319</x:v>
      </x:c>
      <x:c r="B210" s="2" t="n">
        <x:v>2</x:v>
      </x:c>
      <x:c r="C210" s="12" t="n">
        <x:v>122292</x:v>
      </x:c>
      <x:c r="D210" s="12" t="n">
        <x:v>85920</x:v>
      </x:c>
      <x:c r="E210" s="12" t="n">
        <x:v>36158.666666671634</x:v>
      </x:c>
      <x:c r="F210" s="12" t="n">
        <x:v>39592.0000000149</x:v>
      </x:c>
      <x:c r="G210" s="12" t="n">
        <x:v>39299</x:v>
      </x:c>
      <x:c r="H210" s="12" t="n">
        <x:v>36372</x:v>
      </x:c>
      <x:c r="I210" s="12" t="n">
        <x:v>6923.000000014901</x:v>
      </x:c>
      <x:c r="J210" s="12" t="n">
        <x:v>105.99999997019768</x:v>
      </x:c>
      <x:c r="K210" s="2" t="n">
        <x:v>196</x:v>
      </x:c>
      <x:c r="L210" s="2" t="n">
        <x:v>876</x:v>
      </x:c>
    </x:row>
    <x:row r="211" ht="24" customHeight="1">
      <x:c r="A211" s="2" t="n">
        <x:v>320</x:v>
      </x:c>
      <x:c r="B211" s="2" t="n">
        <x:v>2</x:v>
      </x:c>
      <x:c r="C211" s="12" t="n">
        <x:v>116652</x:v>
      </x:c>
      <x:c r="D211" s="12" t="n">
        <x:v>65554.9999999851</x:v>
      </x:c>
      <x:c r="E211" s="12" t="n">
        <x:v>50882.666666671634</x:v>
      </x:c>
      <x:c r="F211" s="12" t="n">
        <x:v>34178</x:v>
      </x:c>
      <x:c r="G211" s="12" t="n">
        <x:v>27169.0000000149</x:v>
      </x:c>
      <x:c r="H211" s="12" t="n">
        <x:v>51097.0000000149</x:v>
      </x:c>
      <x:c r="I211" s="12" t="n">
        <x:v>4101.999999985099</x:v>
      </x:c>
      <x:c r="J211" s="12" t="n">
        <x:v>105.99999998509884</x:v>
      </x:c>
      <x:c r="K211" s="2" t="n">
        <x:v>196</x:v>
      </x:c>
      <x:c r="L211" s="2" t="n">
        <x:v>872</x:v>
      </x:c>
    </x:row>
    <x:row r="212" ht="24" customHeight="1">
      <x:c r="A212" s="2" t="n">
        <x:v>321</x:v>
      </x:c>
      <x:c r="B212" s="2" t="n">
        <x:v>2</x:v>
      </x:c>
      <x:c r="C212" s="12" t="n">
        <x:v>119471</x:v>
      </x:c>
      <x:c r="D212" s="12" t="n">
        <x:v>84104</x:v>
      </x:c>
      <x:c r="E212" s="12" t="n">
        <x:v>35153.666666671634</x:v>
      </x:c>
      <x:c r="F212" s="12" t="n">
        <x:v>40103.0000000149</x:v>
      </x:c>
      <x:c r="G212" s="12" t="n">
        <x:v>39793</x:v>
      </x:c>
      <x:c r="H212" s="12" t="n">
        <x:v>35367</x:v>
      </x:c>
      <x:c r="I212" s="12" t="n">
        <x:v>4102.000000014901</x:v>
      </x:c>
      <x:c r="J212" s="12" t="n">
        <x:v>105.99999997019768</x:v>
      </x:c>
      <x:c r="K212" s="2" t="n">
        <x:v>196</x:v>
      </x:c>
      <x:c r="L212" s="2" t="n">
        <x:v>868</x:v>
      </x:c>
    </x:row>
    <x:row r="213" ht="24" customHeight="1">
      <x:c r="A213" s="2" t="n">
        <x:v>322</x:v>
      </x:c>
      <x:c r="B213" s="2" t="n">
        <x:v>2</x:v>
      </x:c>
      <x:c r="C213" s="12" t="n">
        <x:v>119475</x:v>
      </x:c>
      <x:c r="D213" s="12" t="n">
        <x:v>66348</x:v>
      </x:c>
      <x:c r="E213" s="12" t="n">
        <x:v>52910.666666671634</x:v>
      </x:c>
      <x:c r="F213" s="12" t="n">
        <x:v>34490</x:v>
      </x:c>
      <x:c r="G213" s="12" t="n">
        <x:v>27650</x:v>
      </x:c>
      <x:c r="H213" s="12" t="n">
        <x:v>53127</x:v>
      </x:c>
      <x:c r="I213" s="12" t="n">
        <x:v>4102.000000014901</x:v>
      </x:c>
      <x:c r="J213" s="12" t="n">
        <x:v>105.99999998509884</x:v>
      </x:c>
      <x:c r="K213" s="2" t="n">
        <x:v>196</x:v>
      </x:c>
      <x:c r="L213" s="2" t="n">
        <x:v>864</x:v>
      </x:c>
    </x:row>
    <x:row r="214" ht="24" customHeight="1">
      <x:c r="A214" s="2" t="n">
        <x:v>323</x:v>
      </x:c>
      <x:c r="B214" s="2" t="n">
        <x:v>2</x:v>
      </x:c>
      <x:c r="C214" s="12" t="n">
        <x:v>119470.9999999851</x:v>
      </x:c>
      <x:c r="D214" s="12" t="n">
        <x:v>78383.9999999702</x:v>
      </x:c>
      <x:c r="E214" s="12" t="n">
        <x:v>40871.666666671634</x:v>
      </x:c>
      <x:c r="F214" s="12" t="n">
        <x:v>34927</x:v>
      </x:c>
      <x:c r="G214" s="12" t="n">
        <x:v>39249</x:v>
      </x:c>
      <x:c r="H214" s="12" t="n">
        <x:v>41087.0000000149</x:v>
      </x:c>
      <x:c r="I214" s="12" t="n">
        <x:v>4102</x:v>
      </x:c>
      <x:c r="J214" s="12" t="n">
        <x:v>105.99999997019768</x:v>
      </x:c>
      <x:c r="K214" s="2" t="n">
        <x:v>196</x:v>
      </x:c>
      <x:c r="L214" s="2" t="n">
        <x:v>860</x:v>
      </x:c>
    </x:row>
    <x:row r="215" ht="24" customHeight="1">
      <x:c r="A215" s="2" t="n">
        <x:v>324</x:v>
      </x:c>
      <x:c r="B215" s="2" t="n">
        <x:v>2</x:v>
      </x:c>
      <x:c r="C215" s="12" t="n">
        <x:v>119471.0000000149</x:v>
      </x:c>
      <x:c r="D215" s="12" t="n">
        <x:v>65374.0000000298</x:v>
      </x:c>
      <x:c r="E215" s="12" t="n">
        <x:v>53882.666666671634</x:v>
      </x:c>
      <x:c r="F215" s="12" t="n">
        <x:v>34018</x:v>
      </x:c>
      <x:c r="G215" s="12" t="n">
        <x:v>27148</x:v>
      </x:c>
      <x:c r="H215" s="12" t="n">
        <x:v>54096.9999999851</x:v>
      </x:c>
      <x:c r="I215" s="12" t="n">
        <x:v>4102</x:v>
      </x:c>
      <x:c r="J215" s="12" t="n">
        <x:v>106.00000002980232</x:v>
      </x:c>
      <x:c r="K215" s="2" t="n">
        <x:v>196</x:v>
      </x:c>
      <x:c r="L215" s="2" t="n">
        <x:v>856</x:v>
      </x:c>
    </x:row>
    <x:row r="216" ht="24" customHeight="1">
      <x:c r="A216" s="2" t="n">
        <x:v>325</x:v>
      </x:c>
      <x:c r="B216" s="2" t="n">
        <x:v>2</x:v>
      </x:c>
      <x:c r="C216" s="12" t="n">
        <x:v>119472</x:v>
      </x:c>
      <x:c r="D216" s="12" t="n">
        <x:v>78095</x:v>
      </x:c>
      <x:c r="E216" s="12" t="n">
        <x:v>41162.666666671634</x:v>
      </x:c>
      <x:c r="F216" s="12" t="n">
        <x:v>34638</x:v>
      </x:c>
      <x:c r="G216" s="12" t="n">
        <x:v>39249.0000000149</x:v>
      </x:c>
      <x:c r="H216" s="12" t="n">
        <x:v>41377</x:v>
      </x:c>
      <x:c r="I216" s="12" t="n">
        <x:v>4102.000000014901</x:v>
      </x:c>
      <x:c r="J216" s="12" t="n">
        <x:v>105.99999997019768</x:v>
      </x:c>
      <x:c r="K216" s="2" t="n">
        <x:v>196</x:v>
      </x:c>
      <x:c r="L216" s="2" t="n">
        <x:v>852</x:v>
      </x:c>
    </x:row>
    <x:row r="217" ht="24" customHeight="1">
      <x:c r="A217" s="2" t="n">
        <x:v>326</x:v>
      </x:c>
      <x:c r="B217" s="2" t="n">
        <x:v>2</x:v>
      </x:c>
      <x:c r="C217" s="12" t="n">
        <x:v>119473</x:v>
      </x:c>
      <x:c r="D217" s="12" t="n">
        <x:v>65321.0000000149</x:v>
      </x:c>
      <x:c r="E217" s="12" t="n">
        <x:v>53936.666666671634</x:v>
      </x:c>
      <x:c r="F217" s="12" t="n">
        <x:v>33965</x:v>
      </x:c>
      <x:c r="G217" s="12" t="n">
        <x:v>27148</x:v>
      </x:c>
      <x:c r="H217" s="12" t="n">
        <x:v>54151.9999999851</x:v>
      </x:c>
      <x:c r="I217" s="12" t="n">
        <x:v>4102</x:v>
      </x:c>
      <x:c r="J217" s="12" t="n">
        <x:v>106.00000001490116</x:v>
      </x:c>
      <x:c r="K217" s="2" t="n">
        <x:v>196</x:v>
      </x:c>
      <x:c r="L217" s="2" t="n">
        <x:v>848</x:v>
      </x:c>
    </x:row>
    <x:row r="218" ht="24" customHeight="1">
      <x:c r="A218" s="2" t="n">
        <x:v>327</x:v>
      </x:c>
      <x:c r="B218" s="2" t="n">
        <x:v>2</x:v>
      </x:c>
      <x:c r="C218" s="12" t="n">
        <x:v>119472.9999999851</x:v>
      </x:c>
      <x:c r="D218" s="12" t="n">
        <x:v>85325.9999999702</x:v>
      </x:c>
      <x:c r="E218" s="12" t="n">
        <x:v>33930.666666671634</x:v>
      </x:c>
      <x:c r="F218" s="12" t="n">
        <x:v>41869</x:v>
      </x:c>
      <x:c r="G218" s="12" t="n">
        <x:v>39249</x:v>
      </x:c>
      <x:c r="H218" s="12" t="n">
        <x:v>34147.0000000149</x:v>
      </x:c>
      <x:c r="I218" s="12" t="n">
        <x:v>4102</x:v>
      </x:c>
      <x:c r="J218" s="12" t="n">
        <x:v>105.99999997019768</x:v>
      </x:c>
      <x:c r="K218" s="2" t="n">
        <x:v>196</x:v>
      </x:c>
      <x:c r="L218" s="2" t="n">
        <x:v>844</x:v>
      </x:c>
    </x:row>
    <x:row r="219" ht="24" customHeight="1">
      <x:c r="A219" s="2" t="n">
        <x:v>328</x:v>
      </x:c>
      <x:c r="B219" s="2" t="n">
        <x:v>2</x:v>
      </x:c>
      <x:c r="C219" s="12" t="n">
        <x:v>119472.0000000149</x:v>
      </x:c>
      <x:c r="D219" s="12" t="n">
        <x:v>67285.0000000149</x:v>
      </x:c>
      <x:c r="E219" s="12" t="n">
        <x:v>51970.666666671634</x:v>
      </x:c>
      <x:c r="F219" s="12" t="n">
        <x:v>35945</x:v>
      </x:c>
      <x:c r="G219" s="12" t="n">
        <x:v>27132</x:v>
      </x:c>
      <x:c r="H219" s="12" t="n">
        <x:v>52187</x:v>
      </x:c>
      <x:c r="I219" s="12" t="n">
        <x:v>4102</x:v>
      </x:c>
      <x:c r="J219" s="12" t="n">
        <x:v>106.00000001490116</x:v>
      </x:c>
      <x:c r="K219" s="2" t="n">
        <x:v>196</x:v>
      </x:c>
      <x:c r="L219" s="2" t="n">
        <x:v>840</x:v>
      </x:c>
    </x:row>
    <x:row r="220" ht="24" customHeight="1">
      <x:c r="A220" s="2" t="n">
        <x:v>329</x:v>
      </x:c>
      <x:c r="B220" s="2" t="n">
        <x:v>2</x:v>
      </x:c>
      <x:c r="C220" s="12" t="n">
        <x:v>119471</x:v>
      </x:c>
      <x:c r="D220" s="12" t="n">
        <x:v>80003.9999999851</x:v>
      </x:c>
      <x:c r="E220" s="12" t="n">
        <x:v>39251.666666671634</x:v>
      </x:c>
      <x:c r="F220" s="12" t="n">
        <x:v>36012.0000000149</x:v>
      </x:c>
      <x:c r="G220" s="12" t="n">
        <x:v>39784</x:v>
      </x:c>
      <x:c r="H220" s="12" t="n">
        <x:v>39467.0000000149</x:v>
      </x:c>
      <x:c r="I220" s="12" t="n">
        <x:v>4102</x:v>
      </x:c>
      <x:c r="J220" s="12" t="n">
        <x:v>105.99999997019768</x:v>
      </x:c>
      <x:c r="K220" s="2" t="n">
        <x:v>196</x:v>
      </x:c>
      <x:c r="L220" s="2" t="n">
        <x:v>836</x:v>
      </x:c>
    </x:row>
    <x:row r="221" ht="24" customHeight="1">
      <x:c r="A221" s="2" t="n">
        <x:v>330</x:v>
      </x:c>
      <x:c r="B221" s="2" t="n">
        <x:v>2</x:v>
      </x:c>
      <x:c r="C221" s="12" t="n">
        <x:v>119470.9999999851</x:v>
      </x:c>
      <x:c r="D221" s="12" t="n">
        <x:v>65823.9999999851</x:v>
      </x:c>
      <x:c r="E221" s="12" t="n">
        <x:v>53432.666666671634</x:v>
      </x:c>
      <x:c r="F221" s="12" t="n">
        <x:v>33952</x:v>
      </x:c>
      <x:c r="G221" s="12" t="n">
        <x:v>27664</x:v>
      </x:c>
      <x:c r="H221" s="12" t="n">
        <x:v>53647</x:v>
      </x:c>
      <x:c r="I221" s="12" t="n">
        <x:v>4102</x:v>
      </x:c>
      <x:c r="J221" s="12" t="n">
        <x:v>105.99999998509884</x:v>
      </x:c>
      <x:c r="K221" s="2" t="n">
        <x:v>196</x:v>
      </x:c>
      <x:c r="L221" s="2" t="n">
        <x:v>832</x:v>
      </x:c>
    </x:row>
    <x:row r="222" ht="24" customHeight="1">
      <x:c r="A222" s="2" t="n">
        <x:v>331</x:v>
      </x:c>
      <x:c r="B222" s="2" t="n">
        <x:v>2</x:v>
      </x:c>
      <x:c r="C222" s="12" t="n">
        <x:v>119474.0000000149</x:v>
      </x:c>
      <x:c r="D222" s="12" t="n">
        <x:v>81582.0000000149</x:v>
      </x:c>
      <x:c r="E222" s="12" t="n">
        <x:v>37675.666666671634</x:v>
      </x:c>
      <x:c r="F222" s="12" t="n">
        <x:v>38091</x:v>
      </x:c>
      <x:c r="G222" s="12" t="n">
        <x:v>39283</x:v>
      </x:c>
      <x:c r="H222" s="12" t="n">
        <x:v>37892</x:v>
      </x:c>
      <x:c r="I222" s="12" t="n">
        <x:v>4102.000000014901</x:v>
      </x:c>
      <x:c r="J222" s="12" t="n">
        <x:v>106</x:v>
      </x:c>
      <x:c r="K222" s="2" t="n">
        <x:v>196</x:v>
      </x:c>
      <x:c r="L222" s="2" t="n">
        <x:v>828</x:v>
      </x:c>
    </x:row>
    <x:row r="223" ht="24" customHeight="1">
      <x:c r="A223" s="2" t="n">
        <x:v>332</x:v>
      </x:c>
      <x:c r="B223" s="2" t="n">
        <x:v>2</x:v>
      </x:c>
      <x:c r="C223" s="12" t="n">
        <x:v>119470</x:v>
      </x:c>
      <x:c r="D223" s="12" t="n">
        <x:v>65473</x:v>
      </x:c>
      <x:c r="E223" s="12" t="n">
        <x:v>53782.666666671634</x:v>
      </x:c>
      <x:c r="F223" s="12" t="n">
        <x:v>34112</x:v>
      </x:c>
      <x:c r="G223" s="12" t="n">
        <x:v>27152.9999999851</x:v>
      </x:c>
      <x:c r="H223" s="12" t="n">
        <x:v>53997</x:v>
      </x:c>
      <x:c r="I223" s="12" t="n">
        <x:v>4102.000000014901</x:v>
      </x:c>
      <x:c r="J223" s="12" t="n">
        <x:v>106</x:v>
      </x:c>
      <x:c r="K223" s="2" t="n">
        <x:v>196</x:v>
      </x:c>
      <x:c r="L223" s="2" t="n">
        <x:v>824</x:v>
      </x:c>
    </x:row>
    <x:row r="224" ht="24" customHeight="1">
      <x:c r="A224" s="2" t="n">
        <x:v>333</x:v>
      </x:c>
      <x:c r="B224" s="2" t="n">
        <x:v>2</x:v>
      </x:c>
      <x:c r="C224" s="12" t="n">
        <x:v>119473</x:v>
      </x:c>
      <x:c r="D224" s="12" t="n">
        <x:v>80135.9999999851</x:v>
      </x:c>
      <x:c r="E224" s="12" t="n">
        <x:v>39121.666666671634</x:v>
      </x:c>
      <x:c r="F224" s="12" t="n">
        <x:v>36644.9999999851</x:v>
      </x:c>
      <x:c r="G224" s="12" t="n">
        <x:v>39283</x:v>
      </x:c>
      <x:c r="H224" s="12" t="n">
        <x:v>39337.0000000149</x:v>
      </x:c>
      <x:c r="I224" s="12" t="n">
        <x:v>4102</x:v>
      </x:c>
      <x:c r="J224" s="12" t="n">
        <x:v>106</x:v>
      </x:c>
      <x:c r="K224" s="2" t="n">
        <x:v>196</x:v>
      </x:c>
      <x:c r="L224" s="2" t="n">
        <x:v>820</x:v>
      </x:c>
    </x:row>
    <x:row r="225" ht="24" customHeight="1">
      <x:c r="A225" s="2" t="n">
        <x:v>334</x:v>
      </x:c>
      <x:c r="B225" s="2" t="n">
        <x:v>2</x:v>
      </x:c>
      <x:c r="C225" s="12" t="n">
        <x:v>119469</x:v>
      </x:c>
      <x:c r="D225" s="12" t="n">
        <x:v>69387</x:v>
      </x:c>
      <x:c r="E225" s="12" t="n">
        <x:v>49869.666666671634</x:v>
      </x:c>
      <x:c r="F225" s="12" t="n">
        <x:v>38010.0000000149</x:v>
      </x:c>
      <x:c r="G225" s="12" t="n">
        <x:v>27169</x:v>
      </x:c>
      <x:c r="H225" s="12" t="n">
        <x:v>50082</x:v>
      </x:c>
      <x:c r="I225" s="12" t="n">
        <x:v>4102</x:v>
      </x:c>
      <x:c r="J225" s="12" t="n">
        <x:v>105.99999998509884</x:v>
      </x:c>
      <x:c r="K225" s="2" t="n">
        <x:v>196</x:v>
      </x:c>
      <x:c r="L225" s="2" t="n">
        <x:v>816</x:v>
      </x:c>
    </x:row>
    <x:row r="226" ht="24" customHeight="1">
      <x:c r="A226" s="2" t="n">
        <x:v>335</x:v>
      </x:c>
      <x:c r="B226" s="2" t="n">
        <x:v>2</x:v>
      </x:c>
      <x:c r="C226" s="12" t="n">
        <x:v>119472.9999999851</x:v>
      </x:c>
      <x:c r="D226" s="12" t="n">
        <x:v>78100.9999999702</x:v>
      </x:c>
      <x:c r="E226" s="12" t="n">
        <x:v>41158.666666671634</x:v>
      </x:c>
      <x:c r="F226" s="12" t="n">
        <x:v>34593.9999999851</x:v>
      </x:c>
      <x:c r="G226" s="12" t="n">
        <x:v>39299</x:v>
      </x:c>
      <x:c r="H226" s="12" t="n">
        <x:v>41372.0000000149</x:v>
      </x:c>
      <x:c r="I226" s="12" t="n">
        <x:v>4102</x:v>
      </x:c>
      <x:c r="J226" s="12" t="n">
        <x:v>105.99999998509884</x:v>
      </x:c>
      <x:c r="K226" s="2" t="n">
        <x:v>196</x:v>
      </x:c>
      <x:c r="L226" s="2" t="n">
        <x:v>812</x:v>
      </x:c>
    </x:row>
    <x:row r="227" ht="24" customHeight="1">
      <x:c r="A227" s="2" t="n">
        <x:v>336</x:v>
      </x:c>
      <x:c r="B227" s="2" t="n">
        <x:v>2</x:v>
      </x:c>
      <x:c r="C227" s="12" t="n">
        <x:v>119475</x:v>
      </x:c>
      <x:c r="D227" s="12" t="n">
        <x:v>65033</x:v>
      </x:c>
      <x:c r="E227" s="12" t="n">
        <x:v>54225.666666671634</x:v>
      </x:c>
      <x:c r="F227" s="12" t="n">
        <x:v>33656</x:v>
      </x:c>
      <x:c r="G227" s="12" t="n">
        <x:v>27169</x:v>
      </x:c>
      <x:c r="H227" s="12" t="n">
        <x:v>54442</x:v>
      </x:c>
      <x:c r="I227" s="12" t="n">
        <x:v>4102</x:v>
      </x:c>
      <x:c r="J227" s="12" t="n">
        <x:v>106</x:v>
      </x:c>
      <x:c r="K227" s="2" t="n">
        <x:v>196</x:v>
      </x:c>
      <x:c r="L227" s="2" t="n">
        <x:v>808</x:v>
      </x:c>
    </x:row>
    <x:row r="228" ht="24" customHeight="1">
      <x:c r="A228" s="2" t="n">
        <x:v>337</x:v>
      </x:c>
      <x:c r="B228" s="2" t="n">
        <x:v>2</x:v>
      </x:c>
      <x:c r="C228" s="12" t="n">
        <x:v>119471.0000000149</x:v>
      </x:c>
      <x:c r="D228" s="12" t="n">
        <x:v>79099.0000000298</x:v>
      </x:c>
      <x:c r="E228" s="12" t="n">
        <x:v>40156.666666671634</x:v>
      </x:c>
      <x:c r="F228" s="12" t="n">
        <x:v>35097.9999999851</x:v>
      </x:c>
      <x:c r="G228" s="12" t="n">
        <x:v>39792.9999999851</x:v>
      </x:c>
      <x:c r="H228" s="12" t="n">
        <x:v>40371.9999999851</x:v>
      </x:c>
      <x:c r="I228" s="12" t="n">
        <x:v>4102</x:v>
      </x:c>
      <x:c r="J228" s="12" t="n">
        <x:v>106.00000005960464</x:v>
      </x:c>
      <x:c r="K228" s="2" t="n">
        <x:v>196</x:v>
      </x:c>
      <x:c r="L228" s="2" t="n">
        <x:v>804</x:v>
      </x:c>
    </x:row>
    <x:row r="229" ht="24" customHeight="1">
      <x:c r="A229" s="2" t="n">
        <x:v>338</x:v>
      </x:c>
      <x:c r="B229" s="2" t="n">
        <x:v>2</x:v>
      </x:c>
      <x:c r="C229" s="12" t="n">
        <x:v>119468.9999999851</x:v>
      </x:c>
      <x:c r="D229" s="12" t="n">
        <x:v>65801.9999999851</x:v>
      </x:c>
      <x:c r="E229" s="12" t="n">
        <x:v>53454.666666671634</x:v>
      </x:c>
      <x:c r="F229" s="12" t="n">
        <x:v>33944</x:v>
      </x:c>
      <x:c r="G229" s="12" t="n">
        <x:v>27650</x:v>
      </x:c>
      <x:c r="H229" s="12" t="n">
        <x:v>53667</x:v>
      </x:c>
      <x:c r="I229" s="12" t="n">
        <x:v>4102</x:v>
      </x:c>
      <x:c r="J229" s="12" t="n">
        <x:v>105.99999998509884</x:v>
      </x:c>
      <x:c r="K229" s="2" t="n">
        <x:v>196</x:v>
      </x:c>
      <x:c r="L229" s="2" t="n">
        <x:v>800</x:v>
      </x:c>
    </x:row>
    <x:row r="230" ht="24" customHeight="1">
      <x:c r="A230" s="2" t="n">
        <x:v>339</x:v>
      </x:c>
      <x:c r="B230" s="2" t="n">
        <x:v>2</x:v>
      </x:c>
      <x:c r="C230" s="12" t="n">
        <x:v>119473.0000000149</x:v>
      </x:c>
      <x:c r="D230" s="12" t="n">
        <x:v>80116.0000000149</x:v>
      </x:c>
      <x:c r="E230" s="12" t="n">
        <x:v>39143.666666671634</x:v>
      </x:c>
      <x:c r="F230" s="12" t="n">
        <x:v>36658.9999999851</x:v>
      </x:c>
      <x:c r="G230" s="12" t="n">
        <x:v>39249</x:v>
      </x:c>
      <x:c r="H230" s="12" t="n">
        <x:v>39357</x:v>
      </x:c>
      <x:c r="I230" s="12" t="n">
        <x:v>4102.000000014901</x:v>
      </x:c>
      <x:c r="J230" s="12" t="n">
        <x:v>106.00000001490116</x:v>
      </x:c>
      <x:c r="K230" s="2" t="n">
        <x:v>196</x:v>
      </x:c>
      <x:c r="L230" s="2" t="n">
        <x:v>796</x:v>
      </x:c>
    </x:row>
    <x:row r="231" ht="24" customHeight="1">
      <x:c r="A231" s="2" t="n">
        <x:v>340</x:v>
      </x:c>
      <x:c r="B231" s="2" t="n">
        <x:v>2</x:v>
      </x:c>
      <x:c r="C231" s="12" t="n">
        <x:v>119470.9999999851</x:v>
      </x:c>
      <x:c r="D231" s="12" t="n">
        <x:v>70493.9999999851</x:v>
      </x:c>
      <x:c r="E231" s="12" t="n">
        <x:v>48764.666666671634</x:v>
      </x:c>
      <x:c r="F231" s="12" t="n">
        <x:v>38258.9999999851</x:v>
      </x:c>
      <x:c r="G231" s="12" t="n">
        <x:v>28026.9999999851</x:v>
      </x:c>
      <x:c r="H231" s="12" t="n">
        <x:v>48977</x:v>
      </x:c>
      <x:c r="I231" s="12" t="n">
        <x:v>4102</x:v>
      </x:c>
      <x:c r="J231" s="12" t="n">
        <x:v>106.00000001490116</x:v>
      </x:c>
      <x:c r="K231" s="2" t="n">
        <x:v>196</x:v>
      </x:c>
      <x:c r="L231" s="2" t="n">
        <x:v>792</x:v>
      </x:c>
    </x:row>
    <x:row r="232" ht="24" customHeight="1">
      <x:c r="A232" s="2" t="n">
        <x:v>341</x:v>
      </x:c>
      <x:c r="B232" s="2" t="n">
        <x:v>2</x:v>
      </x:c>
      <x:c r="C232" s="12" t="n">
        <x:v>119475</x:v>
      </x:c>
      <x:c r="D232" s="12" t="n">
        <x:v>102003</x:v>
      </x:c>
      <x:c r="E232" s="12" t="n">
        <x:v>17256.666666671634</x:v>
      </x:c>
      <x:c r="F232" s="12" t="n">
        <x:v>37490</x:v>
      </x:c>
      <x:c r="G232" s="12" t="n">
        <x:v>60305</x:v>
      </x:c>
      <x:c r="H232" s="12" t="n">
        <x:v>17472</x:v>
      </x:c>
      <x:c r="I232" s="12" t="n">
        <x:v>4102</x:v>
      </x:c>
      <x:c r="J232" s="12" t="n">
        <x:v>106</x:v>
      </x:c>
      <x:c r="K232" s="2" t="n">
        <x:v>200</x:v>
      </x:c>
      <x:c r="L232" s="2" t="n">
        <x:v>793</x:v>
      </x:c>
    </x:row>
    <x:row r="233" ht="24" customHeight="1">
      <x:c r="A233" s="2" t="n">
        <x:v>342</x:v>
      </x:c>
      <x:c r="B233" s="2" t="n">
        <x:v>2</x:v>
      </x:c>
      <x:c r="C233" s="12" t="n">
        <x:v>117920.0000000149</x:v>
      </x:c>
      <x:c r="D233" s="12" t="n">
        <x:v>82118.0000000149</x:v>
      </x:c>
      <x:c r="E233" s="12" t="n">
        <x:v>35586.666666671634</x:v>
      </x:c>
      <x:c r="F233" s="12" t="n">
        <x:v>33441.9999999851</x:v>
      </x:c>
      <x:c r="G233" s="12" t="n">
        <x:v>46019.9999999851</x:v>
      </x:c>
      <x:c r="H233" s="12" t="n">
        <x:v>35802</x:v>
      </x:c>
      <x:c r="I233" s="12" t="n">
        <x:v>2550</x:v>
      </x:c>
      <x:c r="J233" s="12" t="n">
        <x:v>106.00000004470348</x:v>
      </x:c>
      <x:c r="K233" s="2" t="n">
        <x:v>204</x:v>
      </x:c>
      <x:c r="L233" s="2" t="n">
        <x:v>793</x:v>
      </x:c>
    </x:row>
    <x:row r="234" ht="24" customHeight="1">
      <x:c r="A234" s="2" t="n">
        <x:v>343</x:v>
      </x:c>
      <x:c r="B234" s="2" t="n">
        <x:v>2</x:v>
      </x:c>
      <x:c r="C234" s="12" t="n">
        <x:v>121021</x:v>
      </x:c>
      <x:c r="D234" s="12" t="n">
        <x:v>105454</x:v>
      </x:c>
      <x:c r="E234" s="12" t="n">
        <x:v>15354.666666671634</x:v>
      </x:c>
      <x:c r="F234" s="12" t="n">
        <x:v>38577</x:v>
      </x:c>
      <x:c r="G234" s="12" t="n">
        <x:v>62669</x:v>
      </x:c>
      <x:c r="H234" s="12" t="n">
        <x:v>15567</x:v>
      </x:c>
      <x:c r="I234" s="12" t="n">
        <x:v>4102</x:v>
      </x:c>
      <x:c r="J234" s="12" t="n">
        <x:v>106</x:v>
      </x:c>
      <x:c r="K234" s="2" t="n">
        <x:v>208</x:v>
      </x:c>
      <x:c r="L234" s="2" t="n">
        <x:v>794</x:v>
      </x:c>
    </x:row>
    <x:row r="235" ht="24" customHeight="1">
      <x:c r="A235" s="2" t="n">
        <x:v>344</x:v>
      </x:c>
      <x:c r="B235" s="2" t="n">
        <x:v>2</x:v>
      </x:c>
      <x:c r="C235" s="12" t="n">
        <x:v>117920</x:v>
      </x:c>
      <x:c r="D235" s="12" t="n">
        <x:v>86373</x:v>
      </x:c>
      <x:c r="E235" s="12" t="n">
        <x:v>31334.666666671634</x:v>
      </x:c>
      <x:c r="F235" s="12" t="n">
        <x:v>33629</x:v>
      </x:c>
      <x:c r="G235" s="12" t="n">
        <x:v>50088</x:v>
      </x:c>
      <x:c r="H235" s="12" t="n">
        <x:v>31547</x:v>
      </x:c>
      <x:c r="I235" s="12" t="n">
        <x:v>2550</x:v>
      </x:c>
      <x:c r="J235" s="12" t="n">
        <x:v>106</x:v>
      </x:c>
      <x:c r="K235" s="2" t="n">
        <x:v>212</x:v>
      </x:c>
      <x:c r="L235" s="2" t="n">
        <x:v>794</x:v>
      </x:c>
    </x:row>
    <x:row r="236" ht="24" customHeight="1">
      <x:c r="A236" s="2" t="n">
        <x:v>345</x:v>
      </x:c>
      <x:c r="B236" s="2" t="n">
        <x:v>2</x:v>
      </x:c>
      <x:c r="C236" s="12" t="n">
        <x:v>121027</x:v>
      </x:c>
      <x:c r="D236" s="12" t="n">
        <x:v>103579.9999999851</x:v>
      </x:c>
      <x:c r="E236" s="12" t="n">
        <x:v>17231.666666671634</x:v>
      </x:c>
      <x:c r="F236" s="12" t="n">
        <x:v>37119</x:v>
      </x:c>
      <x:c r="G236" s="12" t="n">
        <x:v>62253.0000000149</x:v>
      </x:c>
      <x:c r="H236" s="12" t="n">
        <x:v>17447.0000000149</x:v>
      </x:c>
      <x:c r="I236" s="12" t="n">
        <x:v>4102.000000014901</x:v>
      </x:c>
      <x:c r="J236" s="12" t="n">
        <x:v>105.99999995529652</x:v>
      </x:c>
      <x:c r="K236" s="2" t="n">
        <x:v>216</x:v>
      </x:c>
      <x:c r="L236" s="2" t="n">
        <x:v>795</x:v>
      </x:c>
    </x:row>
    <x:row r="237" ht="24" customHeight="1">
      <x:c r="A237" s="2" t="n">
        <x:v>346</x:v>
      </x:c>
      <x:c r="B237" s="2" t="n">
        <x:v>2</x:v>
      </x:c>
      <x:c r="C237" s="12" t="n">
        <x:v>117918.9999999851</x:v>
      </x:c>
      <x:c r="D237" s="12" t="n">
        <x:v>84781.9999999851</x:v>
      </x:c>
      <x:c r="E237" s="12" t="n">
        <x:v>32922.666666671634</x:v>
      </x:c>
      <x:c r="F237" s="12" t="n">
        <x:v>33523</x:v>
      </x:c>
      <x:c r="G237" s="12" t="n">
        <x:v>48603</x:v>
      </x:c>
      <x:c r="H237" s="12" t="n">
        <x:v>33137</x:v>
      </x:c>
      <x:c r="I237" s="12" t="n">
        <x:v>2550</x:v>
      </x:c>
      <x:c r="J237" s="12" t="n">
        <x:v>105.99999998509884</x:v>
      </x:c>
      <x:c r="K237" s="2" t="n">
        <x:v>220</x:v>
      </x:c>
      <x:c r="L237" s="2" t="n">
        <x:v>795</x:v>
      </x:c>
    </x:row>
    <x:row r="238" ht="24" customHeight="1">
      <x:c r="A238" s="2" t="n">
        <x:v>347</x:v>
      </x:c>
      <x:c r="B238" s="2" t="n">
        <x:v>2</x:v>
      </x:c>
      <x:c r="C238" s="12" t="n">
        <x:v>119471.0000000149</x:v>
      </x:c>
      <x:c r="D238" s="12" t="n">
        <x:v>89334.0000000298</x:v>
      </x:c>
      <x:c r="E238" s="12" t="n">
        <x:v>29923.666666671634</x:v>
      </x:c>
      <x:c r="F238" s="12" t="n">
        <x:v>39370</x:v>
      </x:c>
      <x:c r="G238" s="12" t="n">
        <x:v>47308</x:v>
      </x:c>
      <x:c r="H238" s="12" t="n">
        <x:v>30136.9999999851</x:v>
      </x:c>
      <x:c r="I238" s="12" t="n">
        <x:v>2550</x:v>
      </x:c>
      <x:c r="J238" s="12" t="n">
        <x:v>106.00000002980232</x:v>
      </x:c>
      <x:c r="K238" s="2" t="n">
        <x:v>224</x:v>
      </x:c>
      <x:c r="L238" s="2" t="n">
        <x:v>795</x:v>
      </x:c>
    </x:row>
    <x:row r="239" ht="24" customHeight="1">
      <x:c r="A239" s="2" t="n">
        <x:v>348</x:v>
      </x:c>
      <x:c r="B239" s="2" t="n">
        <x:v>2</x:v>
      </x:c>
      <x:c r="C239" s="12" t="n">
        <x:v>119473</x:v>
      </x:c>
      <x:c r="D239" s="12" t="n">
        <x:v>66131</x:v>
      </x:c>
      <x:c r="E239" s="12" t="n">
        <x:v>53127.666666671634</x:v>
      </x:c>
      <x:c r="F239" s="12" t="n">
        <x:v>33563</x:v>
      </x:c>
      <x:c r="G239" s="12" t="n">
        <x:v>29912.0000000149</x:v>
      </x:c>
      <x:c r="H239" s="12" t="n">
        <x:v>53342</x:v>
      </x:c>
      <x:c r="I239" s="12" t="n">
        <x:v>2550</x:v>
      </x:c>
      <x:c r="J239" s="12" t="n">
        <x:v>105.99999998509884</x:v>
      </x:c>
      <x:c r="K239" s="2" t="n">
        <x:v>228</x:v>
      </x:c>
      <x:c r="L239" s="2" t="n">
        <x:v>795</x:v>
      </x:c>
    </x:row>
    <x:row r="240" ht="24" customHeight="1">
      <x:c r="A240" s="2" t="n">
        <x:v>349</x:v>
      </x:c>
      <x:c r="B240" s="2" t="n">
        <x:v>2</x:v>
      </x:c>
      <x:c r="C240" s="12" t="n">
        <x:v>119474</x:v>
      </x:c>
      <x:c r="D240" s="12" t="n">
        <x:v>84362</x:v>
      </x:c>
      <x:c r="E240" s="12" t="n">
        <x:v>34895.666666671634</x:v>
      </x:c>
      <x:c r="F240" s="12" t="n">
        <x:v>34398</x:v>
      </x:c>
      <x:c r="G240" s="12" t="n">
        <x:v>47308.0000000149</x:v>
      </x:c>
      <x:c r="H240" s="12" t="n">
        <x:v>35112</x:v>
      </x:c>
      <x:c r="I240" s="12" t="n">
        <x:v>2550</x:v>
      </x:c>
      <x:c r="J240" s="12" t="n">
        <x:v>105.99999998509884</x:v>
      </x:c>
      <x:c r="K240" s="2" t="n">
        <x:v>232</x:v>
      </x:c>
      <x:c r="L240" s="2" t="n">
        <x:v>795</x:v>
      </x:c>
    </x:row>
    <x:row r="241" ht="24" customHeight="1">
      <x:c r="A241" s="2" t="n">
        <x:v>350</x:v>
      </x:c>
      <x:c r="B241" s="2" t="n">
        <x:v>2</x:v>
      </x:c>
      <x:c r="C241" s="12" t="n">
        <x:v>119469</x:v>
      </x:c>
      <x:c r="D241" s="12" t="n">
        <x:v>66131.9999999851</x:v>
      </x:c>
      <x:c r="E241" s="12" t="n">
        <x:v>53123.666666671634</x:v>
      </x:c>
      <x:c r="F241" s="12" t="n">
        <x:v>33564</x:v>
      </x:c>
      <x:c r="G241" s="12" t="n">
        <x:v>29912</x:v>
      </x:c>
      <x:c r="H241" s="12" t="n">
        <x:v>53337.0000000149</x:v>
      </x:c>
      <x:c r="I241" s="12" t="n">
        <x:v>2550</x:v>
      </x:c>
      <x:c r="J241" s="12" t="n">
        <x:v>105.99999998509884</x:v>
      </x:c>
      <x:c r="K241" s="2" t="n">
        <x:v>236</x:v>
      </x:c>
      <x:c r="L241" s="2" t="n">
        <x:v>795</x:v>
      </x:c>
    </x:row>
    <x:row r="242" ht="24" customHeight="1">
      <x:c r="A242" s="2" t="n">
        <x:v>351</x:v>
      </x:c>
      <x:c r="B242" s="2" t="n">
        <x:v>2</x:v>
      </x:c>
      <x:c r="C242" s="12" t="n">
        <x:v>119471.9999999851</x:v>
      </x:c>
      <x:c r="D242" s="12" t="n">
        <x:v>86089.9999999702</x:v>
      </x:c>
      <x:c r="E242" s="12" t="n">
        <x:v>33168.666666671634</x:v>
      </x:c>
      <x:c r="F242" s="12" t="n">
        <x:v>36126.0000000149</x:v>
      </x:c>
      <x:c r="G242" s="12" t="n">
        <x:v>47308.0000000149</x:v>
      </x:c>
      <x:c r="H242" s="12" t="n">
        <x:v>33382.0000000149</x:v>
      </x:c>
      <x:c r="I242" s="12" t="n">
        <x:v>2550</x:v>
      </x:c>
      <x:c r="J242" s="12" t="n">
        <x:v>105.99999994039536</x:v>
      </x:c>
      <x:c r="K242" s="2" t="n">
        <x:v>240</x:v>
      </x:c>
      <x:c r="L242" s="2" t="n">
        <x:v>795</x:v>
      </x:c>
    </x:row>
    <x:row r="243" ht="24" customHeight="1">
      <x:c r="A243" s="2" t="n">
        <x:v>352</x:v>
      </x:c>
      <x:c r="B243" s="2" t="n">
        <x:v>2</x:v>
      </x:c>
      <x:c r="C243" s="12" t="n">
        <x:v>119472.0000000149</x:v>
      </x:c>
      <x:c r="D243" s="12" t="n">
        <x:v>65535</x:v>
      </x:c>
      <x:c r="E243" s="12" t="n">
        <x:v>53723.666666671634</x:v>
      </x:c>
      <x:c r="F243" s="12" t="n">
        <x:v>32966.9999999851</x:v>
      </x:c>
      <x:c r="G243" s="12" t="n">
        <x:v>29912</x:v>
      </x:c>
      <x:c r="H243" s="12" t="n">
        <x:v>53937.0000000149</x:v>
      </x:c>
      <x:c r="I243" s="12" t="n">
        <x:v>2550</x:v>
      </x:c>
      <x:c r="J243" s="12" t="n">
        <x:v>106.00000001490116</x:v>
      </x:c>
      <x:c r="K243" s="2" t="n">
        <x:v>244</x:v>
      </x:c>
      <x:c r="L243" s="2" t="n">
        <x:v>795</x:v>
      </x:c>
    </x:row>
    <x:row r="244" ht="24" customHeight="1">
      <x:c r="A244" s="2" t="n">
        <x:v>353</x:v>
      </x:c>
      <x:c r="B244" s="2" t="n">
        <x:v>2</x:v>
      </x:c>
      <x:c r="C244" s="12" t="n">
        <x:v>119472.9999999851</x:v>
      </x:c>
      <x:c r="D244" s="12" t="n">
        <x:v>88766</x:v>
      </x:c>
      <x:c r="E244" s="12" t="n">
        <x:v>30492.666666671634</x:v>
      </x:c>
      <x:c r="F244" s="12" t="n">
        <x:v>37384.0000000149</x:v>
      </x:c>
      <x:c r="G244" s="12" t="n">
        <x:v>48726.0000000149</x:v>
      </x:c>
      <x:c r="H244" s="12" t="n">
        <x:v>30706.9999999851</x:v>
      </x:c>
      <x:c r="I244" s="12" t="n">
        <x:v>2550</x:v>
      </x:c>
      <x:c r="J244" s="12" t="n">
        <x:v>105.99999997019768</x:v>
      </x:c>
      <x:c r="K244" s="2" t="n">
        <x:v>248</x:v>
      </x:c>
      <x:c r="L244" s="2" t="n">
        <x:v>795</x:v>
      </x:c>
    </x:row>
    <x:row r="245" ht="24" customHeight="1">
      <x:c r="A245" s="2" t="n">
        <x:v>354</x:v>
      </x:c>
      <x:c r="B245" s="2" t="n">
        <x:v>2</x:v>
      </x:c>
      <x:c r="C245" s="12" t="n">
        <x:v>119471.0000000149</x:v>
      </x:c>
      <x:c r="D245" s="12" t="n">
        <x:v>69814.0000000149</x:v>
      </x:c>
      <x:c r="E245" s="12" t="n">
        <x:v>49443.666666671634</x:v>
      </x:c>
      <x:c r="F245" s="12" t="n">
        <x:v>35892.9999999851</x:v>
      </x:c>
      <x:c r="G245" s="12" t="n">
        <x:v>31264.9999999851</x:v>
      </x:c>
      <x:c r="H245" s="12" t="n">
        <x:v>49657</x:v>
      </x:c>
      <x:c r="I245" s="12" t="n">
        <x:v>2550</x:v>
      </x:c>
      <x:c r="J245" s="12" t="n">
        <x:v>106.00000004470348</x:v>
      </x:c>
      <x:c r="K245" s="2" t="n">
        <x:v>252</x:v>
      </x:c>
      <x:c r="L245" s="2" t="n">
        <x:v>795</x:v>
      </x:c>
    </x:row>
    <x:row r="246" ht="24" customHeight="1">
      <x:c r="A246" s="2" t="n">
        <x:v>355</x:v>
      </x:c>
      <x:c r="B246" s="2" t="n">
        <x:v>2</x:v>
      </x:c>
      <x:c r="C246" s="12" t="n">
        <x:v>119472</x:v>
      </x:c>
      <x:c r="D246" s="12" t="n">
        <x:v>87259.9999999851</x:v>
      </x:c>
      <x:c r="E246" s="12" t="n">
        <x:v>31998.666666671634</x:v>
      </x:c>
      <x:c r="F246" s="12" t="n">
        <x:v>36450.9999999851</x:v>
      </x:c>
      <x:c r="G246" s="12" t="n">
        <x:v>48153</x:v>
      </x:c>
      <x:c r="H246" s="12" t="n">
        <x:v>32212.0000000149</x:v>
      </x:c>
      <x:c r="I246" s="12" t="n">
        <x:v>2550.000000014901</x:v>
      </x:c>
      <x:c r="J246" s="12" t="n">
        <x:v>105.99999998509884</x:v>
      </x:c>
      <x:c r="K246" s="2" t="n">
        <x:v>256</x:v>
      </x:c>
      <x:c r="L246" s="2" t="n">
        <x:v>795</x:v>
      </x:c>
    </x:row>
    <x:row r="247" ht="24" customHeight="1">
      <x:c r="A247" s="2" t="n">
        <x:v>356</x:v>
      </x:c>
      <x:c r="B247" s="2" t="n">
        <x:v>2</x:v>
      </x:c>
      <x:c r="C247" s="12" t="n">
        <x:v>119473</x:v>
      </x:c>
      <x:c r="D247" s="12" t="n">
        <x:v>67160.9999999851</x:v>
      </x:c>
      <x:c r="E247" s="12" t="n">
        <x:v>52097.666666671634</x:v>
      </x:c>
      <x:c r="F247" s="12" t="n">
        <x:v>33745</x:v>
      </x:c>
      <x:c r="G247" s="12" t="n">
        <x:v>30760</x:v>
      </x:c>
      <x:c r="H247" s="12" t="n">
        <x:v>52312.0000000149</x:v>
      </x:c>
      <x:c r="I247" s="12" t="n">
        <x:v>2550</x:v>
      </x:c>
      <x:c r="J247" s="12" t="n">
        <x:v>105.99999998509884</x:v>
      </x:c>
      <x:c r="K247" s="2" t="n">
        <x:v>260</x:v>
      </x:c>
      <x:c r="L247" s="2" t="n">
        <x:v>795</x:v>
      </x:c>
    </x:row>
    <x:row r="248" ht="24" customHeight="1">
      <x:c r="A248" s="2" t="n">
        <x:v>357</x:v>
      </x:c>
      <x:c r="B248" s="2" t="n">
        <x:v>2</x:v>
      </x:c>
      <x:c r="C248" s="12" t="n">
        <x:v>119471</x:v>
      </x:c>
      <x:c r="D248" s="12" t="n">
        <x:v>88419</x:v>
      </x:c>
      <x:c r="E248" s="12" t="n">
        <x:v>30838.666666671634</x:v>
      </x:c>
      <x:c r="F248" s="12" t="n">
        <x:v>35034.0000000149</x:v>
      </x:c>
      <x:c r="G248" s="12" t="n">
        <x:v>50729</x:v>
      </x:c>
      <x:c r="H248" s="12" t="n">
        <x:v>31052</x:v>
      </x:c>
      <x:c r="I248" s="12" t="n">
        <x:v>2550</x:v>
      </x:c>
      <x:c r="J248" s="12" t="n">
        <x:v>105.99999998509884</x:v>
      </x:c>
      <x:c r="K248" s="2" t="n">
        <x:v>264</x:v>
      </x:c>
      <x:c r="L248" s="2" t="n">
        <x:v>795</x:v>
      </x:c>
    </x:row>
    <x:row r="249" ht="24" customHeight="1">
      <x:c r="A249" s="2" t="n">
        <x:v>358</x:v>
      </x:c>
      <x:c r="B249" s="2" t="n">
        <x:v>2</x:v>
      </x:c>
      <x:c r="C249" s="12" t="n">
        <x:v>119474</x:v>
      </x:c>
      <x:c r="D249" s="12" t="n">
        <x:v>67282</x:v>
      </x:c>
      <x:c r="E249" s="12" t="n">
        <x:v>51976.666666671634</x:v>
      </x:c>
      <x:c r="F249" s="12" t="n">
        <x:v>31290</x:v>
      </x:c>
      <x:c r="G249" s="12" t="n">
        <x:v>33336</x:v>
      </x:c>
      <x:c r="H249" s="12" t="n">
        <x:v>52192</x:v>
      </x:c>
      <x:c r="I249" s="12" t="n">
        <x:v>2549.999999985099</x:v>
      </x:c>
      <x:c r="J249" s="12" t="n">
        <x:v>106.00000001490116</x:v>
      </x:c>
      <x:c r="K249" s="2" t="n">
        <x:v>268</x:v>
      </x:c>
      <x:c r="L249" s="2" t="n">
        <x:v>795</x:v>
      </x:c>
    </x:row>
    <x:row r="250" ht="24" customHeight="1">
      <x:c r="A250" s="2" t="n">
        <x:v>359</x:v>
      </x:c>
      <x:c r="B250" s="2" t="n">
        <x:v>2</x:v>
      </x:c>
      <x:c r="C250" s="12" t="n">
        <x:v>123845</x:v>
      </x:c>
      <x:c r="D250" s="12" t="n">
        <x:v>95378</x:v>
      </x:c>
      <x:c r="E250" s="12" t="n">
        <x:v>28251.666666671634</x:v>
      </x:c>
      <x:c r="F250" s="12" t="n">
        <x:v>37620.0000000149</x:v>
      </x:c>
      <x:c r="G250" s="12" t="n">
        <x:v>50729</x:v>
      </x:c>
      <x:c r="H250" s="12" t="n">
        <x:v>28467</x:v>
      </x:c>
      <x:c r="I250" s="12" t="n">
        <x:v>6922.999999985099</x:v>
      </x:c>
      <x:c r="J250" s="12" t="n">
        <x:v>106</x:v>
      </x:c>
      <x:c r="K250" s="2" t="n">
        <x:v>272</x:v>
      </x:c>
      <x:c r="L250" s="2" t="n">
        <x:v>795</x:v>
      </x:c>
    </x:row>
    <x:row r="251" ht="24" customHeight="1">
      <x:c r="A251" s="2" t="n">
        <x:v>360</x:v>
      </x:c>
      <x:c r="B251" s="2" t="n">
        <x:v>2</x:v>
      </x:c>
      <x:c r="C251" s="12" t="n">
        <x:v>115099</x:v>
      </x:c>
      <x:c r="D251" s="12" t="n">
        <x:v>73907</x:v>
      </x:c>
      <x:c r="E251" s="12" t="n">
        <x:v>40976.666666671634</x:v>
      </x:c>
      <x:c r="F251" s="12" t="n">
        <x:v>37915.0000000149</x:v>
      </x:c>
      <x:c r="G251" s="12" t="n">
        <x:v>33336</x:v>
      </x:c>
      <x:c r="H251" s="12" t="n">
        <x:v>41192</x:v>
      </x:c>
      <x:c r="I251" s="12" t="n">
        <x:v>2550</x:v>
      </x:c>
      <x:c r="J251" s="12" t="n">
        <x:v>105.99999998509884</x:v>
      </x:c>
      <x:c r="K251" s="2" t="n">
        <x:v>276</x:v>
      </x:c>
      <x:c r="L251" s="2" t="n">
        <x:v>795</x:v>
      </x:c>
    </x:row>
    <x:row r="252" ht="24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4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4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 fixtures: entry through RET,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2645.0000000021864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0.7389207287524493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2645.0000000021864</x:v>
      </x:c>
      <x:c r="J6" s="8" t="n">
        <x:f>I6/'Summary'!$B$20*1000</x:f>
        <x:v>0.7389207287524493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1004.5544041448474</x:v>
      </x:c>
      <x:c r="D7" s="12" t="n">
        <x:v>4939.999999997298</x:v>
      </x:c>
      <x:c r="E7" s="12" t="n">
        <x:v>18635.999999993513</x:v>
      </x:c>
      <x:c r="F7" s="8" t="n">
        <x:f>C7/'Summary'!$B$20*1000</x:f>
        <x:v>0.2806374564769677</x:v>
      </x:c>
      <x:c r="G7" s="8" t="n">
        <x:f>D7/'Summary'!$B$20*1000</x:f>
        <x:v>1.380063667308917</x:v>
      </x:c>
      <x:c r="H7" s="8" t="n">
        <x:f>E7/'Summary'!$B$20*1000</x:f>
        <x:v>5.2062482801567</x:v>
      </x:c>
      <x:c r="I7" s="12" t="n">
        <x:v>1004.5544041448474</x:v>
      </x:c>
      <x:c r="J7" s="8" t="n">
        <x:f>I7/'Summary'!$B$20*1000</x:f>
        <x:v>0.2806374564769677</x:v>
      </x:c>
      <x:c r="K7" s="12" t="n">
        <x:v>4939.999999997298</x:v>
      </x:c>
      <x:c r="L7" s="12" t="n">
        <x:v>18635.999999993513</x:v>
      </x:c>
      <x:c r="M7" s="8" t="n">
        <x:f>K7/'Summary'!$B$20*1000</x:f>
        <x:v>1.380063667308917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2" t="n">
        <x:v>6340966.999999999</x:v>
      </x:c>
      <x:c r="D8" s="12" t="n">
        <x:v>6411050.000000015</x:v>
      </x:c>
      <x:c r="E8" s="12" t="n">
        <x:v>6411050.000000015</x:v>
      </x:c>
      <x:c r="F8" s="8" t="n">
        <x:f>C8/'Summary'!$B$20*1000</x:f>
        <x:v>1771.4449741517424</x:v>
      </x:c>
      <x:c r="G8" s="8" t="n">
        <x:f>D8/'Summary'!$B$20*1000</x:f>
        <x:v>1791.0237194950796</x:v>
      </x:c>
      <x:c r="H8" s="8" t="n">
        <x:f>E8/'Summary'!$B$20*1000</x:f>
        <x:v>1791.0237194950796</x:v>
      </x:c>
      <x:c r="I8" s="12" t="n">
        <x:v>4834442.999999996</x:v>
      </x:c>
      <x:c r="J8" s="8" t="n">
        <x:f>I8/'Summary'!$B$20*1000</x:f>
        <x:v>1350.5747238825036</x:v>
      </x:c>
      <x:c r="K8" s="12" t="n">
        <x:v>4901217.999999994</x:v>
      </x:c>
      <x:c r="L8" s="12" t="n">
        <x:v>4901217.999999994</x:v>
      </x:c>
      <x:c r="M8" s="8" t="n">
        <x:f>K8/'Summary'!$B$20*1000</x:f>
        <x:v>1369.229329425945</x:v>
      </x:c>
      <x:c r="N8" s="8" t="n">
        <x:f>L8/'Summary'!$B$20*1000</x:f>
        <x:v>1369.229329425945</x:v>
      </x:c>
    </x:row>
    <x:row r="9" ht="24" customHeight="1">
      <x:c r="A9" s="2" t="str">
        <x:v>GameSession_Prewarm</x:v>
      </x:c>
      <x:c r="B9" s="2" t="n">
        <x:v>14</x:v>
      </x:c>
      <x:c r="C9" s="12" t="n">
        <x:v>438980.71428571444</x:v>
      </x:c>
      <x:c r="D9" s="12" t="n">
        <x:v>442399.000000006</x:v>
      </x:c>
      <x:c r="E9" s="12" t="n">
        <x:v>442399.000000006</x:v>
      </x:c>
      <x:c r="F9" s="8" t="n">
        <x:f>C9/'Summary'!$B$20*1000</x:f>
        <x:v>122.63589765898024</x:v>
      </x:c>
      <x:c r="G9" s="8" t="n">
        <x:f>D9/'Summary'!$B$20*1000</x:f>
        <x:v>123.59084744010929</x:v>
      </x:c>
      <x:c r="H9" s="8" t="n">
        <x:f>E9/'Summary'!$B$20*1000</x:f>
        <x:v>123.59084744010929</x:v>
      </x:c>
      <x:c r="I9" s="12" t="n">
        <x:v>438980.71428571444</x:v>
      </x:c>
      <x:c r="J9" s="8" t="n">
        <x:f>I9/'Summary'!$B$20*1000</x:f>
        <x:v>122.63589765898024</x:v>
      </x:c>
      <x:c r="K9" s="12" t="n">
        <x:v>442399.000000006</x:v>
      </x:c>
      <x:c r="L9" s="12" t="n">
        <x:v>442399.000000006</x:v>
      </x:c>
      <x:c r="M9" s="8" t="n">
        <x:f>K9/'Summary'!$B$20*1000</x:f>
        <x:v>123.59084744010929</x:v>
      </x:c>
      <x:c r="N9" s="8" t="n">
        <x:f>L9/'Summary'!$B$20*1000</x:f>
        <x:v>123.59084744010929</x:v>
      </x:c>
    </x:row>
    <x:row r="10" ht="24" customHeight="1">
      <x:c r="A10" s="2" t="str">
        <x:v>GameSession_Video</x:v>
      </x:c>
      <x:c r="B10" s="2" t="n">
        <x:v>14</x:v>
      </x:c>
      <x:c r="C10" s="12" t="n">
        <x:v>1504783.571428572</x:v>
      </x:c>
      <x:c r="D10" s="12" t="n">
        <x:v>1534113.9999999919</x:v>
      </x:c>
      <x:c r="E10" s="12" t="n">
        <x:v>1534113.9999999919</x:v>
      </x:c>
      <x:c r="F10" s="8" t="n">
        <x:f>C10/'Summary'!$B$20*1000</x:f>
        <x:v>420.3840352415103</x:v>
      </x:c>
      <x:c r="G10" s="8" t="n">
        <x:f>D10/'Summary'!$B$20*1000</x:f>
        <x:v>428.57793378767184</x:v>
      </x:c>
      <x:c r="H10" s="8" t="n">
        <x:f>E10/'Summary'!$B$20*1000</x:f>
        <x:v>428.57793378767184</x:v>
      </x:c>
      <x:c r="I10" s="12" t="n">
        <x:v>1063157.857142856</x:v>
      </x:c>
      <x:c r="J10" s="8" t="n">
        <x:f>I10/'Summary'!$B$20*1000</x:f>
        <x:v>297.0092168537778</x:v>
      </x:c>
      <x:c r="K10" s="12" t="n">
        <x:v>1092349.000000042</x:v>
      </x:c>
      <x:c r="L10" s="12" t="n">
        <x:v>1092349.000000042</x:v>
      </x:c>
      <x:c r="M10" s="8" t="n">
        <x:f>K10/'Summary'!$B$20*1000</x:f>
        <x:v>305.1642038303868</x:v>
      </x:c>
      <x:c r="N10" s="8" t="n">
        <x:f>L10/'Summary'!$B$20*1000</x:f>
        <x:v>305.1642038303868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15909.999999999964</x:v>
      </x:c>
      <x:c r="D11" s="12" t="n">
        <x:v>15910.000000007594</x:v>
      </x:c>
      <x:c r="E11" s="12" t="n">
        <x:v>15910.000000007594</x:v>
      </x:c>
      <x:c r="F11" s="8" t="n">
        <x:f>C11/'Summary'!$B$20*1000</x:f>
        <x:v>4.444698977104622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2" t="n">
        <x:v>15909.999999999964</x:v>
      </x:c>
      <x:c r="J11" s="8" t="n">
        <x:f>I11/'Summary'!$B$20*1000</x:f>
        <x:v>4.444698977104622</x:v>
      </x:c>
      <x:c r="K11" s="12" t="n">
        <x:v>15910.000000007594</x:v>
      </x:c>
      <x:c r="L11" s="12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2295.511111111042</x:v>
      </x:c>
      <x:c r="D12" s="12" t="n">
        <x:v>3033.9999999979286</x:v>
      </x:c>
      <x:c r="E12" s="12" t="n">
        <x:v>3949.999999996398</x:v>
      </x:c>
      <x:c r="F12" s="8" t="n">
        <x:f>C12/'Summary'!$B$20*1000</x:f>
        <x:v>0.6412857251720656</x:v>
      </x:c>
      <x:c r="G12" s="8" t="n">
        <x:f>D12/'Summary'!$B$20*1000</x:f>
        <x:v>0.8475937584240256</x:v>
      </x:c>
      <x:c r="H12" s="8" t="n">
        <x:f>E12/'Summary'!$B$20*1000</x:f>
        <x:v>1.1034922036170514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3826.500000004414</x:v>
      </x:c>
      <x:c r="D13" s="12" t="n">
        <x:v>4306.000000004828</x:v>
      </x:c>
      <x:c r="E13" s="12" t="n">
        <x:v>4306.000000004828</x:v>
      </x:c>
      <x:c r="F13" s="8" t="n">
        <x:f>C13/'Summary'!$B$20*1000</x:f>
        <x:v>1.0689906119365489</x:v>
      </x:c>
      <x:c r="G13" s="8" t="n">
        <x:f>D13/'Summary'!$B$20*1000</x:f>
        <x:v>1.2029461845024514</x:v>
      </x:c>
      <x:c r="H13" s="8" t="n">
        <x:f>E13/'Summary'!$B$20*1000</x:f>
        <x:v>1.2029461845024514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2206.125000000937</x:v>
      </x:c>
      <x:c r="D14" s="12" t="n">
        <x:v>3788.999999991711</x:v>
      </x:c>
      <x:c r="E14" s="12" t="n">
        <x:v>3788.999999991711</x:v>
      </x:c>
      <x:c r="F14" s="8" t="n">
        <x:f>C14/'Summary'!$B$20*1000</x:f>
        <x:v>0.6163143639766889</x:v>
      </x:c>
      <x:c r="G14" s="8" t="n">
        <x:f>D14/'Summary'!$B$20*1000</x:f>
        <x:v>1.0585144201264995</x:v>
      </x:c>
      <x:c r="H14" s="8" t="n">
        <x:f>E14/'Summary'!$B$20*1000</x:f>
        <x:v>1.0585144201264995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2222.0972222221667</x:v>
      </x:c>
      <x:c r="D15" s="12" t="n">
        <x:v>3219.0000000071855</x:v>
      </x:c>
      <x:c r="E15" s="12" t="n">
        <x:v>4092.9999999944794</x:v>
      </x:c>
      <x:c r="F15" s="8" t="n">
        <x:f>C15/'Summary'!$B$20*1000</x:f>
        <x:v>0.620776445671773</x:v>
      </x:c>
      <x:c r="G15" s="8" t="n">
        <x:f>D15/'Summary'!$B$20*1000</x:f>
        <x:v>0.8992763046720144</x:v>
      </x:c>
      <x:c r="H15" s="8" t="n">
        <x:f>E15/'Summary'!$B$20*1000</x:f>
        <x:v>1.1434414150386374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(fuel)</x:v>
      </x:c>
      <x:c r="B16" s="2" t="n">
        <x:v>30</x:v>
      </x:c>
      <x:c r="C16" s="12" t="n">
        <x:v>2529.20000000017</x:v>
      </x:c>
      <x:c r="D16" s="12" t="n">
        <x:v>3831.0000000028863</x:v>
      </x:c>
      <x:c r="E16" s="12" t="n">
        <x:v>3909.9999999993806</x:v>
      </x:c>
      <x:c r="F16" s="8" t="n">
        <x:f>C16/'Summary'!$B$20*1000</x:f>
        <x:v>0.7065702484534123</x:v>
      </x:c>
      <x:c r="G16" s="8" t="n">
        <x:f>D16/'Summary'!$B$20*1000</x:f>
        <x:v>1.0702477549529021</x:v>
      </x:c>
      <x:c r="H16" s="8" t="n">
        <x:f>E16/'Summary'!$B$20*1000</x:f>
        <x:v>1.092317599024284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GameSession_AudioStop</x:v>
      </x:c>
      <x:c r="B17" s="2" t="n">
        <x:v>1</x:v>
      </x:c>
      <x:c r="C17" s="12" t="n">
        <x:v>2655.9999999927295</x:v>
      </x:c>
      <x:c r="D17" s="12" t="n">
        <x:v>2655.9999999927295</x:v>
      </x:c>
      <x:c r="E17" s="12" t="n">
        <x:v>2655.9999999927295</x:v>
      </x:c>
      <x:c r="F17" s="8" t="n">
        <x:f>C17/'Summary'!$B$20*1000</x:f>
        <x:v>0.7419937450130476</x:v>
      </x:c>
      <x:c r="G17" s="8" t="n">
        <x:f>D17/'Summary'!$B$20*1000</x:f>
        <x:v>0.7419937450130476</x:v>
      </x:c>
      <x:c r="H17" s="8" t="n">
        <x:f>E17/'Summary'!$B$20*1000</x:f>
        <x:v>0.7419937450130476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GameAudio_Tick (gameover)</x:v>
      </x:c>
      <x:c r="B18" s="2" t="n">
        <x:v>249</x:v>
      </x:c>
      <x:c r="C18" s="12" t="n">
        <x:v>2685.365461847276</x:v>
      </x:c>
      <x:c r="D18" s="12" t="n">
        <x:v>3642.999999994648</x:v>
      </x:c>
      <x:c r="E18" s="12" t="n">
        <x:v>6570.000000007708</x:v>
      </x:c>
      <x:c r="F18" s="8" t="n">
        <x:f>C18/'Summary'!$B$20*1000</x:f>
        <x:v>0.7501974306363731</x:v>
      </x:c>
      <x:c r="G18" s="8" t="n">
        <x:f>D18/'Summary'!$B$20*1000</x:f>
        <x:v>1.017727113360678</x:v>
      </x:c>
      <x:c r="H18" s="8" t="n">
        <x:f>E18/'Summary'!$B$20*1000</x:f>
        <x:v>1.8354288045010492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(challenge_intro)</x:v>
      </x:c>
      <x:c r="B19" s="2" t="n">
        <x:v>193</x:v>
      </x:c>
      <x:c r="C19" s="12" t="n">
        <x:v>2195.0207253883345</x:v>
      </x:c>
      <x:c r="D19" s="12" t="n">
        <x:v>3500.000000015643</x:v>
      </x:c>
      <x:c r="E19" s="12" t="n">
        <x:v>6547.00000000068</x:v>
      </x:c>
      <x:c r="F19" s="8" t="n">
        <x:f>C19/'Summary'!$B$20*1000</x:f>
        <x:v>0.6132122170243242</x:v>
      </x:c>
      <x:c r="G19" s="8" t="n">
        <x:f>D19/'Summary'!$B$20*1000</x:f>
        <x:v>0.977777901944421</x:v>
      </x:c>
      <x:c r="H19" s="8" t="n">
        <x:f>E19/'Summary'!$B$20*1000</x:f>
        <x:v>1.8290034068577656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(challenge)</x:v>
      </x:c>
      <x:c r="B20" s="2" t="n">
        <x:v>31</x:v>
      </x:c>
      <x:c r="C20" s="12" t="n">
        <x:v>2873.096774195987</x:v>
      </x:c>
      <x:c r="D20" s="12" t="n">
        <x:v>3835.000000018484</x:v>
      </x:c>
      <x:c r="E20" s="12" t="n">
        <x:v>7146.000000002914</x:v>
      </x:c>
      <x:c r="F20" s="8" t="n">
        <x:f>C20/'Summary'!$B$20*1000</x:f>
        <x:v>0.8026430102697374</x:v>
      </x:c>
      <x:c r="G20" s="8" t="n">
        <x:f>D20/'Summary'!$B$20*1000</x:f>
        <x:v>1.0713652154166198</x:v>
      </x:c>
      <x:c r="H20" s="8" t="n">
        <x:f>E20/'Summary'!$B$20*1000</x:f>
        <x:v>1.9963431106475582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Full_MSXPlayerSpeed (ordinary)</x:v>
      </x:c>
      <x:c r="B21" s="2" t="n">
        <x:v>24</x:v>
      </x:c>
      <x:c r="C21" s="12" t="n">
        <x:v>281.0833333328428</x:v>
      </x:c>
      <x:c r="D21" s="12" t="n">
        <x:v>339.9999999969051</x:v>
      </x:c>
      <x:c r="E21" s="12" t="n">
        <x:v>340.0000000032636</x:v>
      </x:c>
      <x:c r="F21" s="8" t="n">
        <x:f>C21/'Summary'!$B$20*1000</x:f>
        <x:v>0.07852487769614373</x:v>
      </x:c>
      <x:c r="G21" s="8" t="n">
        <x:f>D21/'Summary'!$B$20*1000</x:f>
        <x:v>0.09498413904474035</x:v>
      </x:c>
      <x:c r="H21" s="8" t="n">
        <x:f>E21/'Summary'!$B$20*1000</x:f>
        <x:v>0.0949841390465167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Full_MSXPlayerSpeed (parked)</x:v>
      </x:c>
      <x:c r="B22" s="2" t="n">
        <x:v>40</x:v>
      </x:c>
      <x:c r="C22" s="12" t="n">
        <x:v>71.00000000042905</x:v>
      </x:c>
      <x:c r="D22" s="12" t="n">
        <x:v>71.00000000344936</x:v>
      </x:c>
      <x:c r="E22" s="12" t="n">
        <x:v>71.00000000344936</x:v>
      </x:c>
      <x:c r="F22" s="8" t="n">
        <x:f>C22/'Summary'!$B$20*1000</x:f>
        <x:v>0.019834923153760897</x:v>
      </x:c>
      <x:c r="G22" s="8" t="n">
        <x:f>D22/'Summary'!$B$20*1000</x:f>
        <x:v>0.019834923154604667</x:v>
      </x:c>
      <x:c r="H22" s="8" t="n">
        <x:f>E22/'Summary'!$B$20*1000</x:f>
        <x:v>0.019834923154604667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 t="str">
        <x:v>Cold/UI source: /Users/sandersouza/Developer/msx-gamePorts/newrallyx/references/experiments/full-session/session-start-18urbrzi/cold-hooks.tsv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 t="str">
        <x:v>Separate controlled full-session integration, native rounds2..14, UI/cold restoration; not part of the active frame statistics.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 t="str">
        <x:v>Flag cache invalidation: ten real contact-handler captures; normal and S-hidden caches cleared together.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 t="str">
        <x:v>Challenge callback includes typed glyphs, complete item blits, delay ticks and final wait; this is cold UI only.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 t="str">
        <x:v>AudioStop disables PSG tones/noise, zeroes all three volumes and clears queued effects before blocking work.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 t="str">
        <x:v>Challenge reveal: 66 units over 276 physical refreshes; original font/items at 1:1 scale.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 t="str">
        <x:v>Audio: original WSG challenge loop 1540 ticks; 770 cached PSG frames; 170/256 dictionary entries.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 t="str">
        <x:v>Collision: cached attack/hold/release, 25 sound frames on B/C. AY timbre remains for user acceptance.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 t="str">
        <x:v>ROM SHA256: 70d6335163a702045b4a6da5cc3ac4eba1dd5e5b48e1aeda3cb628a81887a3c4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36" customHeight="1">
      <x:c r="A36" s="7" t="str">
        <x:v>Engine range</x:v>
      </x:c>
      <x:c r="B36" s="7" t="str">
        <x:v>Baseline RMS</x:v>
      </x:c>
      <x:c r="C36" s="7" t="str">
        <x:v>Current RMS</x:v>
      </x:c>
      <x:c r="D36" s="7" t="str">
        <x:v>Amplitude ratio</x:v>
      </x:c>
      <x:c r="E36" s="7" t="str">
        <x:v>Reduction</x:v>
      </x:c>
      <x:c r="F36" s="7" t="str">
        <x:v>PCM window</x:v>
      </x:c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Idle</x:v>
      </x:c>
      <x:c r="B37" s="12" t="n">
        <x:v>1859.5379802147925</x:v>
      </x:c>
      <x:c r="C37" s="12" t="n">
        <x:v>1598.8599405744171</x:v>
      </x:c>
      <x:c r="D37" s="15" t="n">
        <x:f>C37/B37</x:f>
        <x:v>0.8598156948586418</x:v>
      </x:c>
      <x:c r="E37" s="15" t="n">
        <x:f>1-D37</x:f>
        <x:v>0.14018430514135816</x:v>
      </x:c>
      <x:c r="F37" s="2" t="str">
        <x:v>0.15..1.95s</x:v>
      </x:c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Cruise</x:v>
      </x:c>
      <x:c r="B38" s="12" t="n">
        <x:v>1864.2795080726773</x:v>
      </x:c>
      <x:c r="C38" s="12" t="n">
        <x:v>1584.8705521625986</x:v>
      </x:c>
      <x:c r="D38" s="15" t="n">
        <x:f>C38/B38</x:f>
        <x:v>0.8501249653283288</x:v>
      </x:c>
      <x:c r="E38" s="15" t="n">
        <x:f>1-D38</x:f>
        <x:v>0.14987503467167118</x:v>
      </x:c>
      <x:c r="F38" s="2" t="str">
        <x:v>0.15..1.95s</x:v>
      </x:c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Drive</x:v>
      </x:c>
      <x:c r="B39" s="12" t="n">
        <x:v>1848.802028607675</x:v>
      </x:c>
      <x:c r="C39" s="12" t="n">
        <x:v>1546.1169257462834</x:v>
      </x:c>
      <x:c r="D39" s="15" t="n">
        <x:f>C39/B39</x:f>
        <x:v>0.8362804139233109</x:v>
      </x:c>
      <x:c r="E39" s="15" t="n">
        <x:f>1-D39</x:f>
        <x:v>0.16371958607668913</x:v>
      </x:c>
      <x:c r="F39" s="2" t="str">
        <x:v>0.15..1.95s</x:v>
      </x:c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6" customHeight="1">
      <x:c r="A41" s="7" t="str">
        <x:v>Smoke cue</x:v>
      </x:c>
      <x:c r="B41" s="7" t="str">
        <x:v>15c931 RMS</x:v>
      </x:c>
      <x:c r="C41" s="7" t="str">
        <x:v>Current RMS</x:v>
      </x:c>
      <x:c r="D41" s="7" t="str">
        <x:v>Amplitude gain</x:v>
      </x:c>
      <x:c r="E41" s="7" t="str">
        <x:v>Gain dB</x:v>
      </x:c>
      <x:c r="F41" s="7" t="str">
        <x:v>Sound frames</x:v>
      </x:c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smoke1</x:v>
      </x:c>
      <x:c r="B42" s="12" t="n">
        <x:v>467.3932640588231</x:v>
      </x:c>
      <x:c r="C42" s="12" t="n">
        <x:v>2721.004543816311</x:v>
      </x:c>
      <x:c r="D42" s="16" t="n">
        <x:f>C42/B42</x:f>
        <x:v>5.821659730795485</x:v>
      </x:c>
      <x:c r="E42" s="17" t="n">
        <x:f>20*LOG10(D42)</x:f>
        <x:v>15.3009363567982</x:v>
      </x:c>
      <x:c r="F42" s="2" t="n">
        <x:v>2</x:v>
      </x:c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 t="str">
        <x:v>smoke2</x:v>
      </x:c>
      <x:c r="B43" s="12" t="n">
        <x:v>457.35800657544866</x:v>
      </x:c>
      <x:c r="C43" s="12" t="n">
        <x:v>2363.0625952269816</x:v>
      </x:c>
      <x:c r="D43" s="16" t="n">
        <x:f>C43/B43</x:f>
        <x:v>5.166767742672405</x:v>
      </x:c>
      <x:c r="E43" s="17" t="n">
        <x:f>20*LOG10(D43)</x:f>
        <x:v>14.2643787902597</x:v>
      </x:c>
      <x:c r="F43" s="2" t="n">
        <x:v>2</x:v>
      </x:c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4" customHeight="1">
      <x:c r="A45" s="2" t="str">
        <x:v>Captured rising gated tone replaces authored noise. B/C hardware envelope for two sound frames; B then returns to music.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Arcade capture: 37 smoke bursts; engine H/V nominal 49.80469 Hz. PSG timbre is an approximation.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Smoke visual regression: 300 committed frames, all8 H/V fine phases, three native enemies. Phase metadata moved2820..2827; smoke rows remain2800..281F.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Challenger RND</x:v>
      </x:c>
      <x:c r="B50" s="7" t="str">
        <x:v>Arcade target px/tick</x:v>
      </x:c>
      <x:c r="C50" s="7" t="str">
        <x:v>Previous cap px/tick</x:v>
      </x:c>
      <x:c r="D50" s="7" t="str">
        <x:v>Restored / previous</x:v>
      </x:c>
      <x:c r="E50" s="7" t="str">
        <x:v>Enemy cohorts</x:v>
      </x:c>
      <x:c r="F50" s="7" t="str">
        <x:v>Scope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n">
        <x:v>3</x:v>
      </x:c>
      <x:c r="B51" s="19" t="n">
        <x:v>2.625</x:v>
      </x:c>
      <x:c r="C51" s="19" t="n">
        <x:v>2</x:v>
      </x:c>
      <x:c r="D51" s="20" t="n">
        <x:f>B51/C51</x:f>
        <x:v>1.3125</x:v>
      </x:c>
      <x:c r="E51" s="18" t="str">
        <x:v>Parked</x:v>
      </x:c>
      <x:c r="F51" s="2" t="str">
        <x:v>Native target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n">
        <x:v>7</x:v>
      </x:c>
      <x:c r="B52" s="19" t="n">
        <x:v>2.6875</x:v>
      </x:c>
      <x:c r="C52" s="19" t="n">
        <x:v>2</x:v>
      </x:c>
      <x:c r="D52" s="20" t="n">
        <x:f>B52/C52</x:f>
        <x:v>1.34375</x:v>
      </x:c>
      <x:c r="E52" s="18" t="str">
        <x:v>Parked</x:v>
      </x:c>
      <x:c r="F52" s="2" t="str">
        <x:v>Native target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 t="n">
        <x:v>11</x:v>
      </x:c>
      <x:c r="B53" s="19" t="n">
        <x:v>2.75</x:v>
      </x:c>
      <x:c r="C53" s="19" t="n">
        <x:v>2</x:v>
      </x:c>
      <x:c r="D53" s="20" t="n">
        <x:f>B53/C53</x:f>
        <x:v>1.375</x:v>
      </x:c>
      <x:c r="E53" s="18" t="str">
        <x:v>Parked</x:v>
      </x:c>
      <x:c r="F53" s="2" t="str">
        <x:v>Native target</x:v>
      </x:c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n">
        <x:v>15</x:v>
      </x:c>
      <x:c r="B54" s="19" t="n">
        <x:v>2.75</x:v>
      </x:c>
      <x:c r="C54" s="19" t="n">
        <x:v>2</x:v>
      </x:c>
      <x:c r="D54" s="20" t="n">
        <x:f>B54/C54</x:f>
        <x:v>1.375</x:v>
      </x:c>
      <x:c r="E54" s="18" t="str">
        <x:v>Parked</x:v>
      </x:c>
      <x:c r="F54" s="2" t="str">
        <x:v>Native target</x:v>
      </x:c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Original first credit/start, then seeded native round initializers; no ROM/speed-table edits.64 limiter cases include both signs and fuel-exhaustion activation.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 t="str">
        <x:v>Real integrated RND3 snapshot: 2.625 px/tick; original target 2.625. Other phases retain their existing cap.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</x:sheetData>
  <x:pageMargins left="0.7" right="0.7" top="0.75" bottom="0.75" header="0.3" footer="0.3"/>
</x:worksheet>
</file>