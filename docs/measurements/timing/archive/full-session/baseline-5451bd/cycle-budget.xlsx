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d4a4dfe8424d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6f3a4ba4e434eb0"/>
    <x:sheet xmlns:r="http://schemas.openxmlformats.org/officeDocument/2006/relationships" name="Routines" sheetId="2" r:id="R3ec7f2118fc64d06"/>
    <x:sheet xmlns:r="http://schemas.openxmlformats.org/officeDocument/2006/relationships" name="Raster" sheetId="3" r:id="Rcaca4e672d4545d7"/>
    <x:sheet xmlns:r="http://schemas.openxmlformats.org/officeDocument/2006/relationships" name="Frames" sheetId="4" r:id="Rf9a2066b1b9b4a48"/>
    <x:sheet xmlns:r="http://schemas.openxmlformats.org/officeDocument/2006/relationships" name="Events" sheetId="5" r:id="R97a15263373644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"/>
    <x:numFmt numFmtId="202" formatCode="#,##0.0"/>
  </x:numFmts>
  <x:fonts count="4">
    <x:font>
      <x:sz val="11"/>
      <x:name val="Carlito"/>
    </x:font>
    <x:font>
      <x:sz val="10"/>
      <x:color rgb="FF20344A"/>
      <x:name val="Arial"/>
    </x:font>
    <x:font>
      <x:b/>
      <x:sz val="15"/>
      <x:color rgb="FF20344A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0344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c992c40f514d18" /><Relationship Type="http://schemas.openxmlformats.org/officeDocument/2006/relationships/theme" Target="/xl/theme/theme1.xml" Id="R096482372bce4f58" /><Relationship Type="http://schemas.openxmlformats.org/officeDocument/2006/relationships/sharedStrings" Target="/xl/sharedStrings.xml" Id="R45afdd4ed4594a8a" /><Relationship Type="http://schemas.openxmlformats.org/officeDocument/2006/relationships/worksheet" Target="/xl/worksheets/sheet1.xml" Id="R76f3a4ba4e434eb0" /><Relationship Type="http://schemas.openxmlformats.org/officeDocument/2006/relationships/worksheet" Target="/xl/worksheets/sheet2.xml" Id="R3ec7f2118fc64d06" /><Relationship Type="http://schemas.openxmlformats.org/officeDocument/2006/relationships/worksheet" Target="/xl/worksheets/sheet3.xml" Id="Rcaca4e672d4545d7" /><Relationship Type="http://schemas.openxmlformats.org/officeDocument/2006/relationships/worksheet" Target="/xl/worksheets/sheet4.xml" Id="Rf9a2066b1b9b4a48" /><Relationship Type="http://schemas.openxmlformats.org/officeDocument/2006/relationships/worksheet" Target="/xl/worksheets/sheet5.xml" Id="R97a15263373644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8" hidden="0" customWidth="1"/>
    <x:col min="3" max="3" width="16" hidden="0" customWidth="1"/>
    <x:col min="4" max="4" width="79" hidden="0" customWidth="1"/>
  </x:cols>
  <x:sheetData>
    <x:row r="1" ht="24" customHeight="1">
      <x:c r="A1" s="2"/>
      <x:c r="B1" s="2"/>
      <x:c r="C1" s="2"/>
      <x:c r="D1" s="2"/>
    </x:row>
    <x:row r="2" ht="24" customHeight="1">
      <x:c r="A2" s="3" t="str">
        <x:v>Full session: three native enemies</x:v>
      </x:c>
      <x:c r="B2" s="2"/>
      <x:c r="C2" s="2"/>
      <x:c r="D2" s="2"/>
    </x:row>
    <x:row r="3" ht="24" customHeight="1">
      <x:c r="A3" s="2" t="str">
        <x:v>RND4, layout1; active endpoints exclude death, bonus and menus.</x:v>
      </x:c>
      <x:c r="B3" s="2"/>
      <x:c r="C3" s="2"/>
      <x:c r="D3" s="2"/>
    </x:row>
    <x:row r="4" ht="24" customHeight="1">
      <x:c r="A4" s="2"/>
      <x:c r="B4" s="2"/>
      <x:c r="C4" s="2"/>
      <x:c r="D4" s="2"/>
    </x:row>
    <x:row r="5" ht="36" customHeight="1">
      <x:c r="A5" s="7" t="str">
        <x:v>Measure</x:v>
      </x:c>
      <x:c r="B5" s="7" t="str">
        <x:v>Result</x:v>
      </x:c>
      <x:c r="C5" s="7" t="str">
        <x:v>Unit</x:v>
      </x:c>
      <x:c r="D5" s="7" t="str">
        <x:v>Scope</x:v>
      </x:c>
    </x:row>
    <x:row r="6" ht="24" customHeight="1">
      <x:c r="A6" s="2" t="str">
        <x:v>Active presentations</x:v>
      </x:c>
      <x:c r="B6" s="9" t="n">
        <x:f>COUNT('Frames'!A6:A257)</x:f>
        <x:v>252</x:v>
      </x:c>
      <x:c r="C6" s="2" t="str">
        <x:v>frames</x:v>
      </x:c>
      <x:c r="D6" s="2" t="str">
        <x:v>Both endpoints active; no population override</x:v>
      </x:c>
    </x:row>
    <x:row r="7" ht="24" customHeight="1">
      <x:c r="A7" s="2" t="str">
        <x:v>Active duration</x:v>
      </x:c>
      <x:c r="B7" s="8" t="n">
        <x:f>SUM('Frames'!C6:C257)/$B$20</x:f>
        <x:v>8.725897006463113</x:v>
      </x:c>
      <x:c r="C7" s="2" t="str">
        <x:v>s</x:v>
      </x:c>
      <x:c r="D7" s="2" t="str">
        <x:v>Sum of active presentation intervals</x:v>
      </x:c>
    </x:row>
    <x:row r="8" ht="24" customHeight="1">
      <x:c r="A8" s="2" t="str">
        <x:v>Presentation rate</x:v>
      </x:c>
      <x:c r="B8" s="8" t="n">
        <x:f>B6/B7</x:f>
        <x:v>28.879552418891514</x:v>
      </x:c>
      <x:c r="C8" s="2" t="str">
        <x:v>FPS</x:v>
      </x:c>
      <x:c r="D8" s="2" t="str">
        <x:v>Short directional sample; not a complete phase</x:v>
      </x:c>
    </x:row>
    <x:row r="9" ht="24" customHeight="1">
      <x:c r="A9" s="2" t="str">
        <x:v>Mean CPU work</x:v>
      </x:c>
      <x:c r="B9" s="8" t="n">
        <x:f>AVERAGE('Frames'!D6:D257)/$B$20*1000</x:f>
        <x:v>24.114172575848595</x:v>
      </x:c>
      <x:c r="C9" s="2" t="str">
        <x:v>ms/frame</x:v>
      </x:c>
      <x:c r="D9" s="2" t="str">
        <x:v>Logic, drawing and publication; synchronization excluded</x:v>
      </x:c>
    </x:row>
    <x:row r="10" ht="24" customHeight="1">
      <x:c r="A10" s="2" t="str">
        <x:v>Late presentations</x:v>
      </x:c>
      <x:c r="B10" s="9" t="n">
        <x:f>COUNTIF('Frames'!B6:B257,"&gt;2")</x:f>
        <x:v>19</x:v>
      </x:c>
      <x:c r="C10" s="2" t="str">
        <x:v>frames</x:v>
      </x:c>
      <x:c r="D10" s="2" t="str">
        <x:v>Three refreshes instead of two</x:v>
      </x:c>
    </x:row>
    <x:row r="11" ht="24" customHeight="1">
      <x:c r="A11" s="2" t="str">
        <x:v>Physical refresh</x:v>
      </x:c>
      <x:c r="B11" s="8" t="n">
        <x:f>$B$20/$B$21</x:f>
        <x:v>59.92274340431231</x:v>
      </x:c>
      <x:c r="C11" s="2" t="str">
        <x:v>Hz</x:v>
      </x:c>
      <x:c r="D11" s="2" t="str">
        <x:v>Physical refresh and presentation rate are separate</x:v>
      </x:c>
    </x:row>
    <x:row r="12" ht="24" customHeight="1">
      <x:c r="A12" s="2" t="str">
        <x:v>Two-refresh cadence</x:v>
      </x:c>
      <x:c r="B12" s="8" t="n">
        <x:f>$B$20/(2*$B$21)</x:f>
        <x:v>29.961371702156153</x:v>
      </x:c>
      <x:c r="C12" s="2" t="str">
        <x:v>FPS</x:v>
      </x:c>
      <x:c r="D12" s="2" t="str">
        <x:v>Physical emulator clock; nominal target remains29.97</x:v>
      </x:c>
    </x:row>
    <x:row r="13" ht="24" customHeight="1">
      <x:c r="A13" s="2" t="str">
        <x:v>Physical VBlank</x:v>
      </x:c>
      <x:c r="B13" s="8" t="n">
        <x:f>$B$24/$B$20*1000</x:f>
        <x:v>3.1210670629926427</x:v>
      </x:c>
      <x:c r="C13" s="2" t="str">
        <x:v>ms</x:v>
      </x:c>
      <x:c r="D13" s="2" t="str">
        <x:v>Status2 VR; usable reserve is not established by this</x:v>
      </x:c>
    </x:row>
    <x:row r="14" ht="24" customHeight="1">
      <x:c r="A14" s="2" t="str">
        <x:v>Mean target work margin</x:v>
      </x:c>
      <x:c r="B14" s="8" t="n">
        <x:f>($B$20/$B$22-AVERAGE('Frames'!D6:D257))/$B$20*1000</x:f>
        <x:v>9.252527457518106</x:v>
      </x:c>
      <x:c r="C14" s="2" t="str">
        <x:v>ms</x:v>
      </x:c>
      <x:c r="D14" s="2" t="str">
        <x:v>Average margin does not imply every deadline was met</x:v>
      </x:c>
    </x:row>
    <x:row r="15" ht="24" customHeight="1">
      <x:c r="A15" s="2" t="str">
        <x:v>Worst readiness margin</x:v>
      </x:c>
      <x:c r="B15" s="8" t="n">
        <x:f>MIN('Frames'!E6:E257)/$B$20*1000</x:f>
        <x:v>-15.233034738585035</x:v>
      </x:c>
      <x:c r="C15" s="2" t="str">
        <x:v>ms</x:v>
      </x:c>
      <x:c r="D15" s="2" t="str">
        <x:v>Readiness relative to the second next VBlank edge</x:v>
      </x:c>
    </x:row>
    <x:row r="16" ht="24" customHeight="1">
      <x:c r="A16" s="2"/>
      <x:c r="B16" s="2"/>
      <x:c r="C16" s="2"/>
      <x:c r="D16" s="2"/>
    </x:row>
    <x:row r="17" ht="24" customHeight="1">
      <x:c r="A17" s="2"/>
      <x:c r="B17" s="2"/>
      <x:c r="C17" s="2"/>
      <x:c r="D17" s="2"/>
    </x:row>
    <x:row r="18" ht="24" customHeight="1">
      <x:c r="A18" s="2"/>
      <x:c r="B18" s="2"/>
      <x:c r="C18" s="2"/>
      <x:c r="D18" s="2"/>
    </x:row>
    <x:row r="19" ht="36" customHeight="1">
      <x:c r="A19" s="7" t="str">
        <x:v>Clock / assumption</x:v>
      </x:c>
      <x:c r="B19" s="7" t="str">
        <x:v>Cycles or rate</x:v>
      </x:c>
      <x:c r="C19" s="7" t="str">
        <x:v>Unit</x:v>
      </x:c>
      <x:c r="D19" s="7" t="str">
        <x:v>Evidence</x:v>
      </x:c>
    </x:row>
    <x:row r="20" ht="24" customHeight="1">
      <x:c r="A20" s="2" t="str">
        <x:v>Z80 clock</x:v>
      </x:c>
      <x:c r="B20" s="2" t="n">
        <x:v>3579545</x:v>
      </x:c>
      <x:c r="C20" s="2" t="str">
        <x:v>Hz</x:v>
      </x:c>
      <x:c r="D20" s="2" t="str">
        <x:v>Locked, turbo disabled</x:v>
      </x:c>
    </x:row>
    <x:row r="21" ht="24" customHeight="1">
      <x:c r="A21" s="2" t="str">
        <x:v>Physical refresh</x:v>
      </x:c>
      <x:c r="B21" s="2" t="n">
        <x:v>59736</x:v>
      </x:c>
      <x:c r="C21" s="2" t="str">
        <x:v>cycles</x:v>
      </x:c>
      <x:c r="D21" s="2" t="str">
        <x:v>262 lines x228 cycles</x:v>
      </x:c>
    </x:row>
    <x:row r="22" ht="24" customHeight="1">
      <x:c r="A22" s="2" t="str">
        <x:v>Nominal presentation target</x:v>
      </x:c>
      <x:c r="B22" s="2" t="n">
        <x:v>29.97</x:v>
      </x:c>
      <x:c r="C22" s="2" t="str">
        <x:v>FPS</x:v>
      </x:c>
      <x:c r="D22" s="2" t="str">
        <x:v>Requested target; distinct from physical two-refresh rate</x:v>
      </x:c>
    </x:row>
    <x:row r="23" ht="24" customHeight="1">
      <x:c r="A23" s="2" t="str">
        <x:v>Usable VBlank reserve</x:v>
      </x:c>
      <x:c r="B23" s="2" t="n">
        <x:v>5000</x:v>
      </x:c>
      <x:c r="C23" s="2" t="str">
        <x:v>cycles</x:v>
      </x:c>
      <x:c r="D23" s="2" t="str">
        <x:v>Planning assumption, not a measured hardware limit</x:v>
      </x:c>
    </x:row>
    <x:row r="24" ht="24" customHeight="1">
      <x:c r="A24" s="2" t="str">
        <x:v>Physical VR interval</x:v>
      </x:c>
      <x:c r="B24" s="2" t="n">
        <x:v>11172</x:v>
      </x:c>
      <x:c r="C24" s="2" t="str">
        <x:v>cycles</x:v>
      </x:c>
      <x:c r="D24" s="2" t="str">
        <x:v>Every measured endpoint checked against native VDP status2</x:v>
      </x:c>
    </x:row>
    <x:row r="25" ht="24" customHeight="1">
      <x:c r="A25" s="2"/>
      <x:c r="B25" s="2"/>
      <x:c r="C25" s="2"/>
      <x:c r="D25" s="2"/>
    </x:row>
    <x:row r="26" ht="24" customHeight="1">
      <x:c r="A26" s="2"/>
      <x:c r="B26" s="2"/>
      <x:c r="C26" s="2"/>
      <x:c r="D26" s="2"/>
    </x:row>
    <x:row r="27" ht="24" customHeight="1">
      <x:c r="A27" s="2" t="str">
        <x:v>Measured ROM SHA256</x:v>
      </x:c>
      <x:c r="B27" s="2"/>
      <x:c r="C27" s="2"/>
      <x:c r="D27" s="2"/>
    </x:row>
    <x:row r="28" ht="24" customHeight="1">
      <x:c r="A28" s="2" t="str">
        <x:v>5451bd8933b22f1fa334dbc538a905b5615cf1ea58623af23933e900cdf3ffa2</x:v>
      </x:c>
      <x:c r="B28" s="2"/>
      <x:c r="C28" s="2"/>
      <x:c r="D28" s="2"/>
    </x:row>
    <x:row r="29" ht="24" customHeight="1">
      <x:c r="A29" s="2"/>
      <x:c r="B29" s="2"/>
      <x:c r="C29" s="2"/>
      <x:c r="D29" s="2"/>
    </x:row>
    <x:row r="30" ht="24" customHeight="1">
      <x:c r="A30" s="2" t="str">
        <x:v>Source revision: 6d562a791b0cc242119a31dd686ff8e93eb94fe0</x:v>
      </x:c>
      <x:c r="B30" s="2"/>
      <x:c r="C30" s="2"/>
      <x:c r="D30" s="2"/>
    </x:row>
    <x:row r="31" ht="24" customHeight="1">
      <x:c r="A31" s="2" t="str">
        <x:v>Panasonic_FS-A1WSX_NR128; openMSX 21.0; HUD/audio and real sprite limits enabled.</x:v>
      </x:c>
      <x:c r="B31" s="2"/>
      <x:c r="C31" s="2"/>
      <x:c r="D31" s="2"/>
    </x:row>
    <x:row r="32" ht="24" customHeight="1">
      <x:c r="A32" s="2" t="str">
        <x:v>356 camera/tick states match a run without routine breakpoints; total duration matches within5.01cycles; per-frame observation jitter &lt;=5 cycles</x:v>
      </x:c>
      <x:c r="B32" s="2"/>
      <x:c r="C32" s="2"/>
      <x:c r="D32" s="2"/>
    </x:row>
    <x:row r="33" ht="24" customHeight="1">
      <x:c r="A33" s="2" t="str">
        <x:v>Evidence: /Users/sandersouza/Developer/msx-gamePorts/newrallyx/references/experiments/full-session/profile-5sm15lco</x:v>
      </x:c>
      <x:c r="B33" s="2"/>
      <x:c r="C33" s="2"/>
      <x:c r="D33" s="2"/>
    </x:row>
    <x:row r="34" ht="24" customHeight="1">
      <x:c r="A34" s="2" t="str">
        <x:v>Original first-stage workbook remains bound to its earlier ROM and workload.</x:v>
      </x:c>
      <x:c r="B34" s="2"/>
      <x:c r="C34" s="2"/>
      <x:c r="D34" s="2"/>
    </x:row>
    <x:row r="35" ht="24" customHeight="1">
      <x:c r="A35" s="2" t="str">
        <x:v>Separate checks: 163 stable graphics states; 54 cold-silence assertions; 16,000 steering refreshes.</x:v>
      </x:c>
      <x:c r="B35" s="2"/>
      <x:c r="C35" s="2"/>
      <x:c r="D35" s="2"/>
    </x:row>
    <x:row r="36" ht="24" customHeight="1">
      <x:c r="A36" s="2"/>
      <x:c r="B36" s="2"/>
      <x:c r="C36" s="2"/>
      <x:c r="D36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2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8" hidden="0" customWidth="1"/>
    <x:col min="8" max="8" width="16" hidden="0" customWidth="1"/>
    <x:col min="9" max="9" width="16" hidden="0" customWidth="1"/>
    <x:col min="10" max="10" width="16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6" hidden="0" customWidth="1"/>
    <x:col min="18" max="18" width="16" hidden="0" customWidth="1"/>
    <x:col min="19" max="19" width="18" hidden="0" customWidth="1"/>
    <x:col min="20" max="20" width="18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4" customHeight="1">
      <x:c r="A2" s="3" t="str">
        <x:v>Measured routine costs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4" customHeight="1">
      <x:c r="A3" s="2" t="str">
        <x:v>Inclusive parents overlap children. Self time subtracts tracked descendants; do not add inclusive rows.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4" customHeight="1">
      <x:c r="A4" s="2" t="str">
        <x:v>Zero-call rows have no per-call sample; zero frame cost means the hook was not exercised on this route.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36" customHeight="1">
      <x:c r="A5" s="7" t="str">
        <x:v>Routine / hook</x:v>
      </x:c>
      <x:c r="B5" s="7" t="str">
        <x:v>Calls/frame</x:v>
      </x:c>
      <x:c r="C5" s="7" t="str">
        <x:v>Mean incl ms/frame</x:v>
      </x:c>
      <x:c r="D5" s="7" t="str">
        <x:v>P95 incl ms/frame</x:v>
      </x:c>
      <x:c r="E5" s="7" t="str">
        <x:v>Max incl ms/frame</x:v>
      </x:c>
      <x:c r="F5" s="7" t="str">
        <x:v>Self ms/frame</x:v>
      </x:c>
      <x:c r="G5" s="7" t="str">
        <x:v>Mean incl cycles/call</x:v>
      </x:c>
      <x:c r="H5" s="7" t="str">
        <x:v>P95 incl cycles/call</x:v>
      </x:c>
      <x:c r="I5" s="7" t="str">
        <x:v>Max incl cycles/call</x:v>
      </x:c>
      <x:c r="J5" s="7" t="str">
        <x:v>Self cycles/frame</x:v>
      </x:c>
      <x:c r="K5" s="7" t="str">
        <x:v>Mean incl cycles/frame</x:v>
      </x:c>
      <x:c r="L5" s="7" t="str">
        <x:v>P95 incl cycles/frame</x:v>
      </x:c>
      <x:c r="M5" s="7" t="str">
        <x:v>Max incl cycles/frame</x:v>
      </x:c>
      <x:c r="N5" s="7" t="str">
        <x:v>Mean self cycles/call</x:v>
      </x:c>
      <x:c r="O5" s="7" t="str">
        <x:v>P95 self cycles/call</x:v>
      </x:c>
      <x:c r="P5" s="7" t="str">
        <x:v>Max self cycles/call</x:v>
      </x:c>
      <x:c r="Q5" s="7" t="str">
        <x:v>P95 self ms/frame</x:v>
      </x:c>
      <x:c r="R5" s="7" t="str">
        <x:v>Max self ms/frame</x:v>
      </x:c>
      <x:c r="S5" s="7" t="str">
        <x:v>P95 self cycles/frame</x:v>
      </x:c>
      <x:c r="T5" s="7" t="str">
        <x:v>Max self cycles/frame</x:v>
      </x:c>
    </x:row>
    <x:row r="6" ht="24" customHeight="1">
      <x:c r="A6" s="2" t="str">
        <x:v>Game_Prepare</x:v>
      </x:c>
      <x:c r="B6" s="8" t="n">
        <x:v>1</x:v>
      </x:c>
      <x:c r="C6" s="8" t="n">
        <x:f>K6/'Summary'!$B$20*1000</x:f>
        <x:v>10.889684325623943</x:v>
      </x:c>
      <x:c r="D6" s="8" t="n">
        <x:f>L6/'Summary'!$B$20*1000</x:f>
        <x:v>15.317868611788677</x:v>
      </x:c>
      <x:c r="E6" s="8" t="n">
        <x:f>M6/'Summary'!$B$20*1000</x:f>
        <x:v>19.227583393978843</x:v>
      </x:c>
      <x:c r="F6" s="8" t="n">
        <x:f>J6/'Summary'!$B$20*1000</x:f>
        <x:v>0.05028572067123566</x:v>
      </x:c>
      <x:c r="G6" s="11" t="n">
        <x:v>38980.115079365554</x:v>
      </x:c>
      <x:c r="H6" s="11" t="n">
        <x:v>54830.9999999851</x:v>
      </x:c>
      <x:c r="I6" s="11" t="n">
        <x:v>68826</x:v>
      </x:c>
      <x:c r="J6" s="11" t="n">
        <x:v>180.00000000011826</x:v>
      </x:c>
      <x:c r="K6" s="2" t="n">
        <x:v>38980.115079365554</x:v>
      </x:c>
      <x:c r="L6" s="2" t="n">
        <x:v>54830.9999999851</x:v>
      </x:c>
      <x:c r="M6" s="2" t="n">
        <x:v>68826</x:v>
      </x:c>
      <x:c r="N6" s="11" t="n">
        <x:v>180.00000000011826</x:v>
      </x:c>
      <x:c r="O6" s="11" t="n">
        <x:v>180.00000002980232</x:v>
      </x:c>
      <x:c r="P6" s="11" t="n">
        <x:v>180.00000004470348</x:v>
      </x:c>
      <x:c r="Q6" s="8" t="n">
        <x:f>S6/'Summary'!$B$20*1000</x:f>
        <x:v>0.050285720679528356</x:v>
      </x:c>
      <x:c r="R6" s="8" t="n">
        <x:f>T6/'Summary'!$B$20*1000</x:f>
        <x:v>0.050285720683691214</x:v>
      </x:c>
      <x:c r="S6" s="11" t="n">
        <x:v>180.00000002980232</x:v>
      </x:c>
      <x:c r="T6" s="11" t="n">
        <x:v>180.00000004470348</x:v>
      </x:c>
    </x:row>
    <x:row r="7" ht="24" customHeight="1">
      <x:c r="A7" s="2" t="str">
        <x:v>Game_Frame</x:v>
      </x:c>
      <x:c r="B7" s="8" t="n">
        <x:v>1</x:v>
      </x:c>
      <x:c r="C7" s="8" t="n">
        <x:f>K7/'Summary'!$B$20*1000</x:f>
        <x:v>7.396538404599245</x:v>
      </x:c>
      <x:c r="D7" s="8" t="n">
        <x:f>L7/'Summary'!$B$20*1000</x:f>
        <x:v>9.157029734225999</x:v>
      </x:c>
      <x:c r="E7" s="8" t="n">
        <x:f>M7/'Summary'!$B$20*1000</x:f>
        <x:v>14.036700195136532</x:v>
      </x:c>
      <x:c r="F7" s="8" t="n">
        <x:f>J7/'Summary'!$B$20*1000</x:f>
        <x:v>1.4518693705569061</x:v>
      </x:c>
      <x:c r="G7" s="11" t="n">
        <x:v>26476.242063491205</x:v>
      </x:c>
      <x:c r="H7" s="11" t="n">
        <x:v>32778</x:v>
      </x:c>
      <x:c r="I7" s="11" t="n">
        <x:v>50245</x:v>
      </x:c>
      <x:c r="J7" s="11" t="n">
        <x:v>5197.03174603012</x:v>
      </x:c>
      <x:c r="K7" s="2" t="n">
        <x:v>26476.242063491205</x:v>
      </x:c>
      <x:c r="L7" s="2" t="n">
        <x:v>32778</x:v>
      </x:c>
      <x:c r="M7" s="2" t="n">
        <x:v>50245</x:v>
      </x:c>
      <x:c r="N7" s="11" t="n">
        <x:v>5197.03174603012</x:v>
      </x:c>
      <x:c r="O7" s="11" t="n">
        <x:v>7454</x:v>
      </x:c>
      <x:c r="P7" s="11" t="n">
        <x:v>9924</x:v>
      </x:c>
      <x:c r="Q7" s="8" t="n">
        <x:f>S7/'Summary'!$B$20*1000</x:f>
        <x:v>2.0823875660174687</x:v>
      </x:c>
      <x:c r="R7" s="8" t="n">
        <x:f>T7/'Summary'!$B$20*1000</x:f>
        <x:v>2.7724193996723048</x:v>
      </x:c>
      <x:c r="S7" s="11" t="n">
        <x:v>7454</x:v>
      </x:c>
      <x:c r="T7" s="11" t="n">
        <x:v>9924</x:v>
      </x:c>
    </x:row>
    <x:row r="8" ht="24" customHeight="1">
      <x:c r="A8" s="2" t="str">
        <x:v>Game_LogicTick</x:v>
      </x:c>
      <x:c r="B8" s="8" t="n">
        <x:v>2.0793650793650795</x:v>
      </x:c>
      <x:c r="C8" s="8" t="n">
        <x:f>K8/'Summary'!$B$20*1000</x:f>
        <x:v>4.81336226403015</x:v>
      </x:c>
      <x:c r="D8" s="8" t="n">
        <x:f>L8/'Summary'!$B$20*1000</x:f>
        <x:v>6.403327797243811</x:v>
      </x:c>
      <x:c r="E8" s="8" t="n">
        <x:f>M8/'Summary'!$B$20*1000</x:f>
        <x:v>10.618947380187958</x:v>
      </x:c>
      <x:c r="F8" s="8" t="n">
        <x:f>J8/'Summary'!$B$20*1000</x:f>
        <x:v>4.757021415353946</x:v>
      </x:c>
      <x:c r="G8" s="11" t="n">
        <x:v>8286.013358779095</x:v>
      </x:c>
      <x:c r="H8" s="11" t="n">
        <x:v>16350</x:v>
      </x:c>
      <x:c r="I8" s="11" t="n">
        <x:v>21129.0000000149</x:v>
      </x:c>
      <x:c r="J8" s="11" t="n">
        <x:v>17027.97222222314</x:v>
      </x:c>
      <x:c r="K8" s="2" t="n">
        <x:v>17229.646825397802</x:v>
      </x:c>
      <x:c r="L8" s="2" t="n">
        <x:v>22920.9999999851</x:v>
      </x:c>
      <x:c r="M8" s="2" t="n">
        <x:v>38011.0000000149</x:v>
      </x:c>
      <x:c r="N8" s="11" t="n">
        <x:v>8189.024809160746</x:v>
      </x:c>
      <x:c r="O8" s="11" t="n">
        <x:v>16159</x:v>
      </x:c>
      <x:c r="P8" s="11" t="n">
        <x:v>20958.000000029802</x:v>
      </x:c>
      <x:c r="Q8" s="8" t="n">
        <x:f>S8/'Summary'!$B$20*1000</x:f>
        <x:v>6.355556362602006</x:v>
      </x:c>
      <x:c r="R8" s="8" t="n">
        <x:f>T8/'Summary'!$B$20*1000</x:f>
        <x:v>10.044572704076886</x:v>
      </x:c>
      <x:c r="S8" s="11" t="n">
        <x:v>22749.999999970198</x:v>
      </x:c>
      <x:c r="T8" s="11" t="n">
        <x:v>35955.0000000149</x:v>
      </x:c>
    </x:row>
    <x:row r="9" ht="24" customHeight="1">
      <x:c r="A9" s="2" t="str">
        <x:v>Game_Position</x:v>
      </x:c>
      <x:c r="B9" s="8" t="n">
        <x:v>1</x:v>
      </x:c>
      <x:c r="C9" s="8" t="n">
        <x:f>K9/'Summary'!$B$20*1000</x:f>
        <x:v>0.2514286033559884</x:v>
      </x:c>
      <x:c r="D9" s="8" t="n">
        <x:f>L9/'Summary'!$B$20*1000</x:f>
        <x:v>0.25142860335601314</x:v>
      </x:c>
      <x:c r="E9" s="8" t="n">
        <x:f>M9/'Summary'!$B$20*1000</x:f>
        <x:v>0.251428603360176</x:v>
      </x:c>
      <x:c r="F9" s="8" t="n">
        <x:f>J9/'Summary'!$B$20*1000</x:f>
        <x:v>0.2514286033559884</x:v>
      </x:c>
      <x:c r="G9" s="11" t="n">
        <x:v>899.9999999999113</x:v>
      </x:c>
      <x:c r="H9" s="11" t="n">
        <x:v>900</x:v>
      </x:c>
      <x:c r="I9" s="11" t="n">
        <x:v>900.0000000149012</x:v>
      </x:c>
      <x:c r="J9" s="11" t="n">
        <x:v>899.9999999999113</x:v>
      </x:c>
      <x:c r="K9" s="2" t="n">
        <x:v>899.9999999999113</x:v>
      </x:c>
      <x:c r="L9" s="2" t="n">
        <x:v>900</x:v>
      </x:c>
      <x:c r="M9" s="2" t="n">
        <x:v>900.0000000149012</x:v>
      </x:c>
      <x:c r="N9" s="11" t="n">
        <x:v>899.9999999999113</x:v>
      </x:c>
      <x:c r="O9" s="11" t="n">
        <x:v>900</x:v>
      </x:c>
      <x:c r="P9" s="11" t="n">
        <x:v>900.0000000149012</x:v>
      </x:c>
      <x:c r="Q9" s="8" t="n">
        <x:f>S9/'Summary'!$B$20*1000</x:f>
        <x:v>0.25142860335601314</x:v>
      </x:c>
      <x:c r="R9" s="8" t="n">
        <x:f>T9/'Summary'!$B$20*1000</x:f>
        <x:v>0.251428603360176</x:v>
      </x:c>
      <x:c r="S9" s="11" t="n">
        <x:v>900</x:v>
      </x:c>
      <x:c r="T9" s="11" t="n">
        <x:v>900.0000000149012</x:v>
      </x:c>
    </x:row>
    <x:row r="10" ht="24" customHeight="1">
      <x:c r="A10" s="2" t="str">
        <x:v>Game_Actors</x:v>
      </x:c>
      <x:c r="B10" s="8" t="n">
        <x:v>1</x:v>
      </x:c>
      <x:c r="C10" s="8" t="n">
        <x:f>K10/'Summary'!$B$20*1000</x:f>
        <x:v>1.1132699826377885</x:v>
      </x:c>
      <x:c r="D10" s="8" t="n">
        <x:f>L10/'Summary'!$B$20*1000</x:f>
        <x:v>1.1132699826416208</x:v>
      </x:c>
      <x:c r="E10" s="8" t="n">
        <x:f>M10/'Summary'!$B$20*1000</x:f>
        <x:v>1.1132699826416208</x:v>
      </x:c>
      <x:c r="F10" s="8" t="n">
        <x:f>J10/'Summary'!$B$20*1000</x:f>
        <x:v>1.1132699826377885</x:v>
      </x:c>
      <x:c r="G10" s="11" t="n">
        <x:v>3985.000000001183</x:v>
      </x:c>
      <x:c r="H10" s="11" t="n">
        <x:v>3985.000000014901</x:v>
      </x:c>
      <x:c r="I10" s="11" t="n">
        <x:v>3985.000000014901</x:v>
      </x:c>
      <x:c r="J10" s="11" t="n">
        <x:v>3985.000000001183</x:v>
      </x:c>
      <x:c r="K10" s="2" t="n">
        <x:v>3985.000000001183</x:v>
      </x:c>
      <x:c r="L10" s="2" t="n">
        <x:v>3985.000000014901</x:v>
      </x:c>
      <x:c r="M10" s="2" t="n">
        <x:v>3985.000000014901</x:v>
      </x:c>
      <x:c r="N10" s="11" t="n">
        <x:v>3985.000000001183</x:v>
      </x:c>
      <x:c r="O10" s="11" t="n">
        <x:v>3985.000000014901</x:v>
      </x:c>
      <x:c r="P10" s="11" t="n">
        <x:v>3985.000000014901</x:v>
      </x:c>
      <x:c r="Q10" s="8" t="n">
        <x:f>S10/'Summary'!$B$20*1000</x:f>
        <x:v>1.1132699826416208</x:v>
      </x:c>
      <x:c r="R10" s="8" t="n">
        <x:f>T10/'Summary'!$B$20*1000</x:f>
        <x:v>1.1132699826416208</x:v>
      </x:c>
      <x:c r="S10" s="11" t="n">
        <x:v>3985.000000014901</x:v>
      </x:c>
      <x:c r="T10" s="11" t="n">
        <x:v>3985.000000014901</x:v>
      </x:c>
    </x:row>
    <x:row r="11" ht="24" customHeight="1">
      <x:c r="A11" s="2" t="str">
        <x:v>GameSprites_Prepare</x:v>
      </x:c>
      <x:c r="B11" s="8" t="n">
        <x:v>1</x:v>
      </x:c>
      <x:c r="C11" s="8" t="n">
        <x:f>K11/'Summary'!$B$20*1000</x:f>
        <x:v>1.7685219680866195</x:v>
      </x:c>
      <x:c r="D11" s="8" t="n">
        <x:f>L11/'Summary'!$B$20*1000</x:f>
        <x:v>4.267581494296063</x:v>
      </x:c>
      <x:c r="E11" s="8" t="n">
        <x:f>M11/'Summary'!$B$20*1000</x:f>
        <x:v>10.378414016306541</x:v>
      </x:c>
      <x:c r="F11" s="8" t="n">
        <x:f>J11/'Summary'!$B$20*1000</x:f>
        <x:v>1.766247137865796</x:v>
      </x:c>
      <x:c r="G11" s="11" t="n">
        <x:v>6330.5039682546185</x:v>
      </x:c>
      <x:c r="H11" s="11" t="n">
        <x:v>15276</x:v>
      </x:c>
      <x:c r="I11" s="11" t="n">
        <x:v>37150</x:v>
      </x:c>
      <x:c r="J11" s="11" t="n">
        <x:v>6322.361111111821</x:v>
      </x:c>
      <x:c r="K11" s="2" t="n">
        <x:v>6330.5039682546185</x:v>
      </x:c>
      <x:c r="L11" s="2" t="n">
        <x:v>15276</x:v>
      </x:c>
      <x:c r="M11" s="2" t="n">
        <x:v>37150</x:v>
      </x:c>
      <x:c r="N11" s="11" t="n">
        <x:v>6322.361111111821</x:v>
      </x:c>
      <x:c r="O11" s="11" t="n">
        <x:v>15256.999999985099</x:v>
      </x:c>
      <x:c r="P11" s="11" t="n">
        <x:v>36979</x:v>
      </x:c>
      <x:c r="Q11" s="8" t="n">
        <x:f>S11/'Summary'!$B$20*1000</x:f>
        <x:v>4.262273557109939</x:v>
      </x:c>
      <x:c r="R11" s="8" t="n">
        <x:f>T11/'Summary'!$B$20*1000</x:f>
        <x:v>10.330642581668899</x:v>
      </x:c>
      <x:c r="S11" s="11" t="n">
        <x:v>15256.999999985099</x:v>
      </x:c>
      <x:c r="T11" s="11" t="n">
        <x:v>36979</x:v>
      </x:c>
    </x:row>
    <x:row r="12" ht="24" customHeight="1">
      <x:c r="A12" s="2" t="str">
        <x:v>GameSprites_Commit</x:v>
      </x:c>
      <x:c r="B12" s="8" t="n">
        <x:v>1</x:v>
      </x:c>
      <x:c r="C12" s="8" t="n">
        <x:f>K12/'Summary'!$B$20*1000</x:f>
        <x:v>0.5492451188763902</x:v>
      </x:c>
      <x:c r="D12" s="8" t="n">
        <x:f>L12/'Summary'!$B$20*1000</x:f>
        <x:v>0.5450413390570312</x:v>
      </x:c>
      <x:c r="E12" s="8" t="n">
        <x:f>M12/'Summary'!$B$20*1000</x:f>
        <x:v>1.0747175967895362</x:v>
      </x:c>
      <x:c r="F12" s="8" t="n">
        <x:f>J12/'Summary'!$B$20*1000</x:f>
        <x:v>0.5492451188763902</x:v>
      </x:c>
      <x:c r="G12" s="11" t="n">
        <x:v>1966.0476190483878</x:v>
      </x:c>
      <x:c r="H12" s="11" t="n">
        <x:v>1951.0000000149012</x:v>
      </x:c>
      <x:c r="I12" s="11" t="n">
        <x:v>3847</x:v>
      </x:c>
      <x:c r="J12" s="11" t="n">
        <x:v>1966.0476190483878</x:v>
      </x:c>
      <x:c r="K12" s="2" t="n">
        <x:v>1966.0476190483878</x:v>
      </x:c>
      <x:c r="L12" s="2" t="n">
        <x:v>1951.0000000149012</x:v>
      </x:c>
      <x:c r="M12" s="2" t="n">
        <x:v>3847</x:v>
      </x:c>
      <x:c r="N12" s="11" t="n">
        <x:v>1966.0476190483878</x:v>
      </x:c>
      <x:c r="O12" s="11" t="n">
        <x:v>1951.0000000149012</x:v>
      </x:c>
      <x:c r="P12" s="11" t="n">
        <x:v>3847</x:v>
      </x:c>
      <x:c r="Q12" s="8" t="n">
        <x:f>S12/'Summary'!$B$20*1000</x:f>
        <x:v>0.5450413390570312</x:v>
      </x:c>
      <x:c r="R12" s="8" t="n">
        <x:f>T12/'Summary'!$B$20*1000</x:f>
        <x:v>1.0747175967895362</x:v>
      </x:c>
      <x:c r="S12" s="11" t="n">
        <x:v>1951.0000000149012</x:v>
      </x:c>
      <x:c r="T12" s="11" t="n">
        <x:v>3847</x:v>
      </x:c>
    </x:row>
    <x:row r="13" ht="24" customHeight="1">
      <x:c r="A13" s="2" t="str">
        <x:v>GameHUD_Prepare</x:v>
      </x:c>
      <x:c r="B13" s="8" t="n">
        <x:v>1</x:v>
      </x:c>
      <x:c r="C13" s="8" t="n">
        <x:f>K13/'Summary'!$B$20*1000</x:f>
        <x:v>0.5024725253832172</x:v>
      </x:c>
      <x:c r="D13" s="8" t="n">
        <x:f>L13/'Summary'!$B$20*1000</x:f>
        <x:v>0.5651556273255124</x:v>
      </x:c>
      <x:c r="E13" s="8" t="n">
        <x:f>M13/'Summary'!$B$20*1000</x:f>
        <x:v>1.495162094627921</x:v>
      </x:c>
      <x:c r="F13" s="8" t="n">
        <x:f>J13/'Summary'!$B$20*1000</x:f>
        <x:v>0.5024725253832172</x:v>
      </x:c>
      <x:c r="G13" s="11" t="n">
        <x:v>1798.623015872868</x:v>
      </x:c>
      <x:c r="H13" s="11" t="n">
        <x:v>2023.0000000149012</x:v>
      </x:c>
      <x:c r="I13" s="11" t="n">
        <x:v>5352.000000014901</x:v>
      </x:c>
      <x:c r="J13" s="11" t="n">
        <x:v>1798.623015872868</x:v>
      </x:c>
      <x:c r="K13" s="2" t="n">
        <x:v>1798.623015872868</x:v>
      </x:c>
      <x:c r="L13" s="2" t="n">
        <x:v>2023.0000000149012</x:v>
      </x:c>
      <x:c r="M13" s="2" t="n">
        <x:v>5352.000000014901</x:v>
      </x:c>
      <x:c r="N13" s="11" t="n">
        <x:v>1798.623015872868</x:v>
      </x:c>
      <x:c r="O13" s="11" t="n">
        <x:v>2023.0000000149012</x:v>
      </x:c>
      <x:c r="P13" s="11" t="n">
        <x:v>5352.000000014901</x:v>
      </x:c>
      <x:c r="Q13" s="8" t="n">
        <x:f>S13/'Summary'!$B$20*1000</x:f>
        <x:v>0.5651556273255124</x:v>
      </x:c>
      <x:c r="R13" s="8" t="n">
        <x:f>T13/'Summary'!$B$20*1000</x:f>
        <x:v>1.495162094627921</x:v>
      </x:c>
      <x:c r="S13" s="11" t="n">
        <x:v>2023.0000000149012</x:v>
      </x:c>
      <x:c r="T13" s="11" t="n">
        <x:v>5352.000000014901</x:v>
      </x:c>
    </x:row>
    <x:row r="14" ht="24" customHeight="1">
      <x:c r="A14" s="2" t="str">
        <x:v>GameHUD_Commit</x:v>
      </x:c>
      <x:c r="B14" s="8" t="n">
        <x:v>1</x:v>
      </x:c>
      <x:c r="C14" s="8" t="n">
        <x:f>K14/'Summary'!$B$20*1000</x:f>
        <x:v>0.34970193405139116</x:v>
      </x:c>
      <x:c r="D14" s="8" t="n">
        <x:f>L14/'Summary'!$B$20*1000</x:f>
        <x:v>0.45340958138950654</x:v>
      </x:c>
      <x:c r="E14" s="8" t="n">
        <x:f>M14/'Summary'!$B$20*1000</x:f>
        <x:v>1.2414985703531876</x:v>
      </x:c>
      <x:c r="F14" s="8" t="n">
        <x:f>J14/'Summary'!$B$20*1000</x:f>
        <x:v>0.34970193405139116</x:v>
      </x:c>
      <x:c r="G14" s="11" t="n">
        <x:v>1251.773809523987</x:v>
      </x:c>
      <x:c r="H14" s="11" t="n">
        <x:v>1623.0000000149012</x:v>
      </x:c>
      <x:c r="I14" s="11" t="n">
        <x:v>4444.000000014901</x:v>
      </x:c>
      <x:c r="J14" s="11" t="n">
        <x:v>1251.773809523987</x:v>
      </x:c>
      <x:c r="K14" s="2" t="n">
        <x:v>1251.773809523987</x:v>
      </x:c>
      <x:c r="L14" s="2" t="n">
        <x:v>1623.0000000149012</x:v>
      </x:c>
      <x:c r="M14" s="2" t="n">
        <x:v>4444.000000014901</x:v>
      </x:c>
      <x:c r="N14" s="11" t="n">
        <x:v>1251.773809523987</x:v>
      </x:c>
      <x:c r="O14" s="11" t="n">
        <x:v>1623.0000000149012</x:v>
      </x:c>
      <x:c r="P14" s="11" t="n">
        <x:v>4444.000000014901</x:v>
      </x:c>
      <x:c r="Q14" s="8" t="n">
        <x:f>S14/'Summary'!$B$20*1000</x:f>
        <x:v>0.45340958138950654</x:v>
      </x:c>
      <x:c r="R14" s="8" t="n">
        <x:f>T14/'Summary'!$B$20*1000</x:f>
        <x:v>1.2414985703531876</x:v>
      </x:c>
      <x:c r="S14" s="11" t="n">
        <x:v>1623.0000000149012</x:v>
      </x:c>
      <x:c r="T14" s="11" t="n">
        <x:v>4444.000000014901</x:v>
      </x:c>
    </x:row>
    <x:row r="15" ht="24" customHeight="1">
      <x:c r="A15" s="2" t="str">
        <x:v>render</x:v>
      </x:c>
      <x:c r="B15" s="8" t="n">
        <x:v>1</x:v>
      </x:c>
      <x:c r="C15" s="8" t="n">
        <x:f>K15/'Summary'!$B$20*1000</x:f>
        <x:v>12.144233237766215</x:v>
      </x:c>
      <x:c r="D15" s="8" t="n">
        <x:f>L15/'Summary'!$B$20*1000</x:f>
        <x:v>21.877640873347058</x:v>
      </x:c>
      <x:c r="E15" s="8" t="n">
        <x:f>M15/'Summary'!$B$20*1000</x:f>
        <x:v>31.888689763643146</x:v>
      </x:c>
      <x:c r="F15" s="8" t="n">
        <x:f>J15/'Summary'!$B$20*1000</x:f>
        <x:v>2.709851591274026</x:v>
      </x:c>
      <x:c r="G15" s="11" t="n">
        <x:v>43470.829365079866</x:v>
      </x:c>
      <x:c r="H15" s="11" t="n">
        <x:v>78311.9999999851</x:v>
      </x:c>
      <x:c r="I15" s="11" t="n">
        <x:v>114147</x:v>
      </x:c>
      <x:c r="J15" s="11" t="n">
        <x:v>9700.035714286985</x:v>
      </x:c>
      <x:c r="K15" s="2" t="n">
        <x:v>43470.829365079866</x:v>
      </x:c>
      <x:c r="L15" s="2" t="n">
        <x:v>78311.9999999851</x:v>
      </x:c>
      <x:c r="M15" s="2" t="n">
        <x:v>114147</x:v>
      </x:c>
      <x:c r="N15" s="11" t="n">
        <x:v>9700.035714286985</x:v>
      </x:c>
      <x:c r="O15" s="11" t="n">
        <x:v>23778.0000000149</x:v>
      </x:c>
      <x:c r="P15" s="11" t="n">
        <x:v>42076.0000000149</x:v>
      </x:c>
      <x:c r="Q15" s="8" t="n">
        <x:f>S15/'Summary'!$B$20*1000</x:f>
        <x:v>6.642743700670029</x:v>
      </x:c>
      <x:c r="R15" s="8" t="n">
        <x:f>T15/'Summary'!$B$20*1000</x:f>
        <x:v>11.754566572012617</x:v>
      </x:c>
      <x:c r="S15" s="11" t="n">
        <x:v>23778.0000000149</x:v>
      </x:c>
      <x:c r="T15" s="11" t="n">
        <x:v>42076.0000000149</x:v>
      </x:c>
    </x:row>
    <x:row r="16" ht="24" customHeight="1">
      <x:c r="A16" s="2" t="str">
        <x:v>wait_blank</x:v>
      </x:c>
      <x:c r="B16" s="8" t="n">
        <x:v>1</x:v>
      </x:c>
      <x:c r="C16" s="8" t="n">
        <x:f>K16/'Summary'!$B$20*1000</x:f>
        <x:v>10.51240284662407</x:v>
      </x:c>
      <x:c r="D16" s="8" t="n">
        <x:f>L16/'Summary'!$B$20*1000</x:f>
        <x:v>15.269259081810677</x:v>
      </x:c>
      <x:c r="E16" s="8" t="n">
        <x:f>M16/'Summary'!$B$20*1000</x:f>
        <x:v>16.614402109761183</x:v>
      </x:c>
      <x:c r="F16" s="8" t="n">
        <x:f>J16/'Summary'!$B$20*1000</x:f>
        <x:v>10.46463141198638</x:v>
      </x:c>
      <x:c r="G16" s="11" t="n">
        <x:v>37629.61904761896</x:v>
      </x:c>
      <x:c r="H16" s="11" t="n">
        <x:v>54657</x:v>
      </x:c>
      <x:c r="I16" s="11" t="n">
        <x:v>59471.9999999851</x:v>
      </x:c>
      <x:c r="J16" s="11" t="n">
        <x:v>37458.619047618784</x:v>
      </x:c>
      <x:c r="K16" s="2" t="n">
        <x:v>37629.61904761896</x:v>
      </x:c>
      <x:c r="L16" s="2" t="n">
        <x:v>54657</x:v>
      </x:c>
      <x:c r="M16" s="2" t="n">
        <x:v>59471.9999999851</x:v>
      </x:c>
      <x:c r="N16" s="11" t="n">
        <x:v>37458.619047618784</x:v>
      </x:c>
      <x:c r="O16" s="11" t="n">
        <x:v>54486</x:v>
      </x:c>
      <x:c r="P16" s="11" t="n">
        <x:v>59300.9999999851</x:v>
      </x:c>
      <x:c r="Q16" s="8" t="n">
        <x:f>S16/'Summary'!$B$20*1000</x:f>
        <x:v>15.221487647173035</x:v>
      </x:c>
      <x:c r="R16" s="8" t="n">
        <x:f>T16/'Summary'!$B$20*1000</x:f>
        <x:v>16.56663067512354</x:v>
      </x:c>
      <x:c r="S16" s="11" t="n">
        <x:v>54486</x:v>
      </x:c>
      <x:c r="T16" s="11" t="n">
        <x:v>59300.9999999851</x:v>
      </x:c>
    </x:row>
    <x:row r="17" ht="24" customHeight="1">
      <x:c r="A17" s="2" t="str">
        <x:v>commit</x:v>
      </x:c>
      <x:c r="B17" s="8" t="n">
        <x:v>1</x:v>
      </x:c>
      <x:c r="C17" s="8" t="n">
        <x:f>K17/'Summary'!$B$20*1000</x:f>
        <x:v>1.0506423102855373</x:v>
      </x:c>
      <x:c r="D17" s="8" t="n">
        <x:f>L17/'Summary'!$B$20*1000</x:f>
        <x:v>1.1501461778005029</x:v>
      </x:c>
      <x:c r="E17" s="8" t="n">
        <x:f>M17/'Summary'!$B$20*1000</x:f>
        <x:v>1.938235166764184</x:v>
      </x:c>
      <x:c r="F17" s="8" t="n">
        <x:f>J17/'Summary'!$B$20*1000</x:f>
        <x:v>0.15169525735775624</x:v>
      </x:c>
      <x:c r="G17" s="11" t="n">
        <x:v>3760.821428571044</x:v>
      </x:c>
      <x:c r="H17" s="11" t="n">
        <x:v>4117.000000014901</x:v>
      </x:c>
      <x:c r="I17" s="11" t="n">
        <x:v>6938.000000014901</x:v>
      </x:c>
      <x:c r="J17" s="11" t="n">
        <x:v>542.9999999986695</x:v>
      </x:c>
      <x:c r="K17" s="2" t="n">
        <x:v>3760.821428571044</x:v>
      </x:c>
      <x:c r="L17" s="2" t="n">
        <x:v>4117.000000014901</x:v>
      </x:c>
      <x:c r="M17" s="2" t="n">
        <x:v>6938.000000014901</x:v>
      </x:c>
      <x:c r="N17" s="11" t="n">
        <x:v>542.9999999986695</x:v>
      </x:c>
      <x:c r="O17" s="11" t="n">
        <x:v>543.0000000149012</x:v>
      </x:c>
      <x:c r="P17" s="11" t="n">
        <x:v>543.0000000298023</x:v>
      </x:c>
      <x:c r="Q17" s="8" t="n">
        <x:f>S17/'Summary'!$B$20*1000</x:f>
        <x:v>0.15169525736229078</x:v>
      </x:c>
      <x:c r="R17" s="8" t="n">
        <x:f>T17/'Summary'!$B$20*1000</x:f>
        <x:v>0.15169525736645365</x:v>
      </x:c>
      <x:c r="S17" s="11" t="n">
        <x:v>543.0000000149012</x:v>
      </x:c>
      <x:c r="T17" s="11" t="n">
        <x:v>543.0000000298023</x:v>
      </x:c>
    </x:row>
    <x:row r="18" ht="24" customHeight="1">
      <x:c r="A18" s="2" t="str">
        <x:v>Ring_Prepare</x:v>
      </x:c>
      <x:c r="B18" s="8" t="n">
        <x:v>1</x:v>
      </x:c>
      <x:c r="C18" s="8" t="n">
        <x:f>K18/'Summary'!$B$20*1000</x:f>
        <x:v>1.9360745214870703</x:v>
      </x:c>
      <x:c r="D18" s="8" t="n">
        <x:f>L18/'Summary'!$B$20*1000</x:f>
        <x:v>4.7486482220505675</x:v>
      </x:c>
      <x:c r="E18" s="8" t="n">
        <x:f>M18/'Summary'!$B$20*1000</x:f>
        <x:v>5.249829238073554</x:v>
      </x:c>
      <x:c r="F18" s="8" t="n">
        <x:f>J18/'Summary'!$B$20*1000</x:f>
        <x:v>1.9324727069707073</x:v>
      </x:c>
      <x:c r="G18" s="11" t="n">
        <x:v>6930.265873016435</x:v>
      </x:c>
      <x:c r="H18" s="11" t="n">
        <x:v>16998</x:v>
      </x:c>
      <x:c r="I18" s="11" t="n">
        <x:v>18792</x:v>
      </x:c>
      <x:c r="J18" s="11" t="n">
        <x:v>6917.37301587346</x:v>
      </x:c>
      <x:c r="K18" s="2" t="n">
        <x:v>6930.265873016435</x:v>
      </x:c>
      <x:c r="L18" s="2" t="n">
        <x:v>16998</x:v>
      </x:c>
      <x:c r="M18" s="2" t="n">
        <x:v>18792</x:v>
      </x:c>
      <x:c r="N18" s="11" t="n">
        <x:v>6917.37301587346</x:v>
      </x:c>
      <x:c r="O18" s="11" t="n">
        <x:v>16998</x:v>
      </x:c>
      <x:c r="P18" s="11" t="n">
        <x:v>18621</x:v>
      </x:c>
      <x:c r="Q18" s="8" t="n">
        <x:f>S18/'Summary'!$B$20*1000</x:f>
        <x:v>4.7486482220505675</x:v>
      </x:c>
      <x:c r="R18" s="8" t="n">
        <x:f>T18/'Summary'!$B$20*1000</x:f>
        <x:v>5.2020578034359115</x:v>
      </x:c>
      <x:c r="S18" s="11" t="n">
        <x:v>16998</x:v>
      </x:c>
      <x:c r="T18" s="11" t="n">
        <x:v>18621</x:v>
      </x:c>
    </x:row>
    <x:row r="19" ht="24" customHeight="1">
      <x:c r="A19" s="2" t="str">
        <x:v>Game_RingPatch</x:v>
      </x:c>
      <x:c r="B19" s="8" t="n">
        <x:v>1</x:v>
      </x:c>
      <x:c r="C19" s="8" t="n">
        <x:f>K19/'Summary'!$B$20*1000</x:f>
        <x:v>0.29741409672367813</x:v>
      </x:c>
      <x:c r="D19" s="8" t="n">
        <x:f>L19/'Summary'!$B$20*1000</x:f>
        <x:v>0.498387364874586</x:v>
      </x:c>
      <x:c r="E19" s="8" t="n">
        <x:f>M19/'Summary'!$B$20*1000</x:f>
        <x:v>0.5500699111199887</x:v>
      </x:c>
      <x:c r="F19" s="8" t="n">
        <x:f>J19/'Summary'!$B$20*1000</x:f>
        <x:v>0.26166533934957065</x:v>
      </x:c>
      <x:c r="G19" s="11" t="n">
        <x:v>1064.6071428567584</x:v>
      </x:c>
      <x:c r="H19" s="11" t="n">
        <x:v>1784</x:v>
      </x:c>
      <x:c r="I19" s="11" t="n">
        <x:v>1969</x:v>
      </x:c>
      <x:c r="J19" s="11" t="n">
        <x:v>936.6428571420589</x:v>
      </x:c>
      <x:c r="K19" s="2" t="n">
        <x:v>1064.6071428567584</x:v>
      </x:c>
      <x:c r="L19" s="2" t="n">
        <x:v>1784</x:v>
      </x:c>
      <x:c r="M19" s="2" t="n">
        <x:v>1969</x:v>
      </x:c>
      <x:c r="N19" s="11" t="n">
        <x:v>936.6428571420589</x:v>
      </x:c>
      <x:c r="O19" s="11" t="n">
        <x:v>1568</x:v>
      </x:c>
      <x:c r="P19" s="11" t="n">
        <x:v>1582</x:v>
      </x:c>
      <x:c r="Q19" s="8" t="n">
        <x:f>S19/'Summary'!$B$20*1000</x:f>
        <x:v>0.43804450006914286</x:v>
      </x:c>
      <x:c r="R19" s="8" t="n">
        <x:f>T19/'Summary'!$B$20*1000</x:f>
        <x:v>0.4419556116769031</x:v>
      </x:c>
      <x:c r="S19" s="11" t="n">
        <x:v>1568</x:v>
      </x:c>
      <x:c r="T19" s="11" t="n">
        <x:v>1582</x:v>
      </x:c>
    </x:row>
    <x:row r="20" ht="24" customHeight="1">
      <x:c r="A20" s="2" t="str">
        <x:v>Game_DirtyTileUpload</x:v>
      </x:c>
      <x:c r="B20" s="8" t="n">
        <x:v>1</x:v>
      </x:c>
      <x:c r="C20" s="8" t="n">
        <x:f>K20/'Summary'!$B$20*1000</x:f>
        <x:v>0.0357587346993319</x:v>
      </x:c>
      <x:c r="D20" s="8" t="n">
        <x:f>L20/'Summary'!$B$20*1000</x:f>
        <x:v>0.04050794165180212</x:v>
      </x:c>
      <x:c r="E20" s="8" t="n">
        <x:f>M20/'Summary'!$B$20*1000</x:f>
        <x:v>0.040507941655964975</x:v>
      </x:c>
      <x:c r="F20" s="8" t="n">
        <x:f>J20/'Summary'!$B$20*1000</x:f>
        <x:v>0.0357587346993319</x:v>
      </x:c>
      <x:c r="G20" s="11" t="n">
        <x:v>127.99999999931998</x:v>
      </x:c>
      <x:c r="H20" s="11" t="n">
        <x:v>145</x:v>
      </x:c>
      <x:c r="I20" s="11" t="n">
        <x:v>145.00000001490116</x:v>
      </x:c>
      <x:c r="J20" s="11" t="n">
        <x:v>127.99999999931998</x:v>
      </x:c>
      <x:c r="K20" s="2" t="n">
        <x:v>127.99999999931998</x:v>
      </x:c>
      <x:c r="L20" s="2" t="n">
        <x:v>145</x:v>
      </x:c>
      <x:c r="M20" s="2" t="n">
        <x:v>145.00000001490116</x:v>
      </x:c>
      <x:c r="N20" s="11" t="n">
        <x:v>127.99999999931998</x:v>
      </x:c>
      <x:c r="O20" s="11" t="n">
        <x:v>145</x:v>
      </x:c>
      <x:c r="P20" s="11" t="n">
        <x:v>145.00000001490116</x:v>
      </x:c>
      <x:c r="Q20" s="8" t="n">
        <x:f>S20/'Summary'!$B$20*1000</x:f>
        <x:v>0.04050794165180212</x:v>
      </x:c>
      <x:c r="R20" s="8" t="n">
        <x:f>T20/'Summary'!$B$20*1000</x:f>
        <x:v>0.040507941655964975</x:v>
      </x:c>
      <x:c r="S20" s="11" t="n">
        <x:v>145</x:v>
      </x:c>
      <x:c r="T20" s="11" t="n">
        <x:v>145.00000001490116</x:v>
      </x:c>
    </x:row>
    <x:row r="21" ht="24" customHeight="1">
      <x:c r="A21" s="2" t="str">
        <x:v>Game_Radar</x:v>
      </x:c>
      <x:c r="B21" s="8" t="n">
        <x:v>1</x:v>
      </x:c>
      <x:c r="C21" s="8" t="n">
        <x:f>K21/'Summary'!$B$20*1000</x:f>
        <x:v>1.3927049387560257</x:v>
      </x:c>
      <x:c r="D21" s="8" t="n">
        <x:f>L21/'Summary'!$B$20*1000</x:f>
        <x:v>1.5999240126846008</x:v>
      </x:c>
      <x:c r="E21" s="8" t="n">
        <x:f>M21/'Summary'!$B$20*1000</x:f>
        <x:v>1.8158732464600946</x:v>
      </x:c>
      <x:c r="F21" s="8" t="n">
        <x:f>J21/'Summary'!$B$20*1000</x:f>
        <x:v>1.030971458708055</x:v>
      </x:c>
      <x:c r="G21" s="11" t="n">
        <x:v>4985.249999999438</x:v>
      </x:c>
      <x:c r="H21" s="11" t="n">
        <x:v>5726.999999985099</x:v>
      </x:c>
      <x:c r="I21" s="11" t="n">
        <x:v>6500</x:v>
      </x:c>
      <x:c r="J21" s="11" t="n">
        <x:v>3690.408730161125</x:v>
      </x:c>
      <x:c r="K21" s="2" t="n">
        <x:v>4985.249999999438</x:v>
      </x:c>
      <x:c r="L21" s="2" t="n">
        <x:v>5726.999999985099</x:v>
      </x:c>
      <x:c r="M21" s="2" t="n">
        <x:v>6500</x:v>
      </x:c>
      <x:c r="N21" s="11" t="n">
        <x:v>3690.408730161125</x:v>
      </x:c>
      <x:c r="O21" s="11" t="n">
        <x:v>4302.000000014901</x:v>
      </x:c>
      <x:c r="P21" s="11" t="n">
        <x:v>5211.999999985099</x:v>
      </x:c>
      <x:c r="Q21" s="8" t="n">
        <x:f>S21/'Summary'!$B$20*1000</x:f>
        <x:v>1.2018287240459056</x:v>
      </x:c>
      <x:c r="R21" s="8" t="n">
        <x:f>T21/'Summary'!$B$20*1000</x:f>
        <x:v>1.456050978541993</x:v>
      </x:c>
      <x:c r="S21" s="11" t="n">
        <x:v>4302.000000014901</x:v>
      </x:c>
      <x:c r="T21" s="11" t="n">
        <x:v>5211.999999985099</x:v>
      </x:c>
    </x:row>
    <x:row r="22" ht="24" customHeight="1">
      <x:c r="A22" s="2" t="str">
        <x:v>Game_RadarUpload</x:v>
      </x:c>
      <x:c r="B22" s="8" t="n">
        <x:v>1</x:v>
      </x:c>
      <x:c r="C22" s="8" t="n">
        <x:f>K22/'Summary'!$B$20*1000</x:f>
        <x:v>0.4781600002501478</x:v>
      </x:c>
      <x:c r="D22" s="8" t="n">
        <x:f>L22/'Summary'!$B$20*1000</x:f>
        <x:v>0.6014730922463886</x:v>
      </x:c>
      <x:c r="E22" s="8" t="n">
        <x:f>M22/'Summary'!$B$20*1000</x:f>
        <x:v>0.708749296349117</x:v>
      </x:c>
      <x:c r="F22" s="8" t="n">
        <x:f>J22/'Summary'!$B$20*1000</x:f>
        <x:v>0.47626430839942296</x:v>
      </x:c>
      <x:c r="G22" s="11" t="n">
        <x:v>1711.5952380954154</x:v>
      </x:c>
      <x:c r="H22" s="11" t="n">
        <x:v>2152.999999985099</x:v>
      </x:c>
      <x:c r="I22" s="11" t="n">
        <x:v>2537</x:v>
      </x:c>
      <x:c r="J22" s="11" t="n">
        <x:v>1704.8095238096125</x:v>
      </x:c>
      <x:c r="K22" s="2" t="n">
        <x:v>1711.5952380954154</x:v>
      </x:c>
      <x:c r="L22" s="2" t="n">
        <x:v>2152.999999985099</x:v>
      </x:c>
      <x:c r="M22" s="2" t="n">
        <x:v>2537</x:v>
      </x:c>
      <x:c r="N22" s="11" t="n">
        <x:v>1704.8095238096125</x:v>
      </x:c>
      <x:c r="O22" s="11" t="n">
        <x:v>1981.9999999850988</x:v>
      </x:c>
      <x:c r="P22" s="11" t="n">
        <x:v>2365.999999985099</x:v>
      </x:c>
      <x:c r="Q22" s="8" t="n">
        <x:f>S22/'Summary'!$B$20*1000</x:f>
        <x:v>0.5537016576087461</x:v>
      </x:c>
      <x:c r="R22" s="8" t="n">
        <x:f>T22/'Summary'!$B$20*1000</x:f>
        <x:v>0.6609778617073117</x:v>
      </x:c>
      <x:c r="S22" s="11" t="n">
        <x:v>1981.9999999850988</x:v>
      </x:c>
      <x:c r="T22" s="11" t="n">
        <x:v>2365.999999985099</x:v>
      </x:c>
    </x:row>
    <x:row r="23" ht="24" customHeight="1">
      <x:c r="A23" s="2" t="str">
        <x:v>Ring_UploadNames</x:v>
      </x:c>
      <x:c r="B23" s="8" t="n">
        <x:v>1</x:v>
      </x:c>
      <x:c r="C23" s="8" t="n">
        <x:f>K23/'Summary'!$B$20*1000</x:f>
        <x:v>3.926327029193348</x:v>
      </x:c>
      <x:c r="D23" s="8" t="n">
        <x:f>L23/'Summary'!$B$20*1000</x:f>
        <x:v>4.8835815725182945</x:v>
      </x:c>
      <x:c r="E23" s="8" t="n">
        <x:f>M23/'Summary'!$B$20*1000</x:f>
        <x:v>10.661410877639476</x:v>
      </x:c>
      <x:c r="F23" s="8" t="n">
        <x:f>J23/'Summary'!$B$20*1000</x:f>
        <x:v>3.9104032176474504</x:v>
      </x:c>
      <x:c r="G23" s="11" t="n">
        <x:v>14054.4642857139</x:v>
      </x:c>
      <x:c r="H23" s="11" t="n">
        <x:v>17481</x:v>
      </x:c>
      <x:c r="I23" s="11" t="n">
        <x:v>38163</x:v>
      </x:c>
      <x:c r="J23" s="11" t="n">
        <x:v>13997.464285713842</x:v>
      </x:c>
      <x:c r="K23" s="2" t="n">
        <x:v>14054.4642857139</x:v>
      </x:c>
      <x:c r="L23" s="2" t="n">
        <x:v>17481</x:v>
      </x:c>
      <x:c r="M23" s="2" t="n">
        <x:v>38163</x:v>
      </x:c>
      <x:c r="N23" s="11" t="n">
        <x:v>13997.464285713842</x:v>
      </x:c>
      <x:c r="O23" s="11" t="n">
        <x:v>17310</x:v>
      </x:c>
      <x:c r="P23" s="11" t="n">
        <x:v>38163</x:v>
      </x:c>
      <x:c r="Q23" s="8" t="n">
        <x:f>S23/'Summary'!$B$20*1000</x:f>
        <x:v>4.835810137880652</x:v>
      </x:c>
      <x:c r="R23" s="8" t="n">
        <x:f>T23/'Summary'!$B$20*1000</x:f>
        <x:v>10.661410877639476</x:v>
      </x:c>
      <x:c r="S23" s="11" t="n">
        <x:v>17310</x:v>
      </x:c>
      <x:c r="T23" s="11" t="n">
        <x:v>38163</x:v>
      </x:c>
    </x:row>
    <x:row r="24" ht="24" customHeight="1">
      <x:c r="A24" s="2" t="str">
        <x:v>hud_upload</x:v>
      </x:c>
      <x:c r="B24" s="8" t="n">
        <x:v>1</x:v>
      </x:c>
      <x:c r="C24" s="8" t="n">
        <x:f>K24/'Summary'!$B$20*1000</x:f>
        <x:v>0.7265045014257726</x:v>
      </x:c>
      <x:c r="D24" s="8" t="n">
        <x:f>L24/'Summary'!$B$20*1000</x:f>
        <x:v>3.58397505828671</x:v>
      </x:c>
      <x:c r="E24" s="8" t="n">
        <x:f>M24/'Summary'!$B$20*1000</x:f>
        <x:v>4.6609275759908035</x:v>
      </x:c>
      <x:c r="F24" s="8" t="n">
        <x:f>J24/'Summary'!$B$20*1000</x:f>
        <x:v>0.7240401020198625</x:v>
      </x:c>
      <x:c r="G24" s="11" t="n">
        <x:v>2600.5555555561173</x:v>
      </x:c>
      <x:c r="H24" s="11" t="n">
        <x:v>12829.000000014901</x:v>
      </x:c>
      <x:c r="I24" s="11" t="n">
        <x:v>16684</x:v>
      </x:c>
      <x:c r="J24" s="11" t="n">
        <x:v>2591.734126984689</x:v>
      </x:c>
      <x:c r="K24" s="2" t="n">
        <x:v>2600.5555555561173</x:v>
      </x:c>
      <x:c r="L24" s="2" t="n">
        <x:v>12829.000000014901</x:v>
      </x:c>
      <x:c r="M24" s="2" t="n">
        <x:v>16684</x:v>
      </x:c>
      <x:c r="N24" s="11" t="n">
        <x:v>2591.734126984689</x:v>
      </x:c>
      <x:c r="O24" s="11" t="n">
        <x:v>12829.000000014901</x:v>
      </x:c>
      <x:c r="P24" s="11" t="n">
        <x:v>16684</x:v>
      </x:c>
      <x:c r="Q24" s="8" t="n">
        <x:f>S24/'Summary'!$B$20*1000</x:f>
        <x:v>3.58397505828671</x:v>
      </x:c>
      <x:c r="R24" s="8" t="n">
        <x:f>T24/'Summary'!$B$20*1000</x:f>
        <x:v>4.6609275759908035</x:v>
      </x:c>
      <x:c r="S24" s="11" t="n">
        <x:v>12829.000000014901</x:v>
      </x:c>
      <x:c r="T24" s="11" t="n">
        <x:v>16684</x:v>
      </x:c>
    </x:row>
    <x:row r="25" ht="24" customHeight="1">
      <x:c r="A25" s="2" t="str">
        <x:v>GameAudio_Tick</x:v>
      </x:c>
      <x:c r="B25" s="8" t="n">
        <x:v>2.0793650793650795</x:v>
      </x:c>
      <x:c r="C25" s="8" t="n">
        <x:f>K25/'Summary'!$B$20*1000</x:f>
        <x:v>0.8798781666562018</x:v>
      </x:c>
      <x:c r="D25" s="8" t="n">
        <x:f>L25/'Summary'!$B$20*1000</x:f>
        <x:v>1.1537779242934232</x:v>
      </x:c>
      <x:c r="E25" s="8" t="n">
        <x:f>M25/'Summary'!$B$20*1000</x:f>
        <x:v>1.1873017380742248</x:v>
      </x:c>
      <x:c r="F25" s="8" t="n">
        <x:f>J25/'Summary'!$B$20*1000</x:f>
        <x:v>0.8798781666562018</x:v>
      </x:c>
      <x:c r="G25" s="11" t="n">
        <x:v>1514.6755725190271</x:v>
      </x:c>
      <x:c r="H25" s="11" t="n">
        <x:v>3997</x:v>
      </x:c>
      <x:c r="I25" s="11" t="n">
        <x:v>4197.000000014901</x:v>
      </x:c>
      <x:c r="J25" s="11" t="n">
        <x:v>3149.563492063374</x:v>
      </x:c>
      <x:c r="K25" s="2" t="n">
        <x:v>3149.563492063374</x:v>
      </x:c>
      <x:c r="L25" s="2" t="n">
        <x:v>4130.000000014901</x:v>
      </x:c>
      <x:c r="M25" s="2" t="n">
        <x:v>4250.000000014901</x:v>
      </x:c>
      <x:c r="N25" s="11" t="n">
        <x:v>1514.6755725190271</x:v>
      </x:c>
      <x:c r="O25" s="11" t="n">
        <x:v>3997</x:v>
      </x:c>
      <x:c r="P25" s="11" t="n">
        <x:v>4197.000000014901</x:v>
      </x:c>
      <x:c r="Q25" s="8" t="n">
        <x:f>S25/'Summary'!$B$20*1000</x:f>
        <x:v>1.1537779242934232</x:v>
      </x:c>
      <x:c r="R25" s="8" t="n">
        <x:f>T25/'Summary'!$B$20*1000</x:f>
        <x:v>1.1873017380742248</x:v>
      </x:c>
      <x:c r="S25" s="11" t="n">
        <x:v>4130.000000014901</x:v>
      </x:c>
      <x:c r="T25" s="11" t="n">
        <x:v>4250.000000014901</x:v>
      </x:c>
    </x:row>
    <x:row r="26" ht="24" customHeight="1">
      <x:c r="A26" s="2" t="str">
        <x:v>Session_SaveMotion</x:v>
      </x:c>
      <x:c r="B26" s="8" t="n">
        <x:v>1.0396825396825398</x:v>
      </x:c>
      <x:c r="C26" s="8" t="n">
        <x:f>K26/'Summary'!$B$20*1000</x:f>
        <x:v>0.04120635443895171</x:v>
      </x:c>
      <x:c r="D26" s="8" t="n">
        <x:f>L26/'Summary'!$B$20*1000</x:f>
        <x:v>0.05922540435024596</x:v>
      </x:c>
      <x:c r="E26" s="8" t="n">
        <x:f>M26/'Summary'!$B$20*1000</x:f>
        <x:v>0.37434925388561957</x:v>
      </x:c>
      <x:c r="F26" s="8" t="n">
        <x:f>J26/'Summary'!$B$20*1000</x:f>
        <x:v>0.04120635443895171</x:v>
      </x:c>
      <x:c r="G26" s="11" t="n">
        <x:v>141.8702290078042</x:v>
      </x:c>
      <x:c r="H26" s="11" t="n">
        <x:v>150</x:v>
      </x:c>
      <x:c r="I26" s="11" t="n">
        <x:v>1234</x:v>
      </x:c>
      <x:c r="J26" s="11" t="n">
        <x:v>147.5000000001774</x:v>
      </x:c>
      <x:c r="K26" s="2" t="n">
        <x:v>147.5000000001774</x:v>
      </x:c>
      <x:c r="L26" s="2" t="n">
        <x:v>212.00000001490116</x:v>
      </x:c>
      <x:c r="M26" s="2" t="n">
        <x:v>1340</x:v>
      </x:c>
      <x:c r="N26" s="11" t="n">
        <x:v>141.8702290078042</x:v>
      </x:c>
      <x:c r="O26" s="11" t="n">
        <x:v>150</x:v>
      </x:c>
      <x:c r="P26" s="11" t="n">
        <x:v>1234</x:v>
      </x:c>
      <x:c r="Q26" s="8" t="n">
        <x:f>S26/'Summary'!$B$20*1000</x:f>
        <x:v>0.05922540435024596</x:v>
      </x:c>
      <x:c r="R26" s="8" t="n">
        <x:f>T26/'Summary'!$B$20*1000</x:f>
        <x:v>0.37434925388561957</x:v>
      </x:c>
      <x:c r="S26" s="11" t="n">
        <x:v>212.00000001490116</x:v>
      </x:c>
      <x:c r="T26" s="11" t="n">
        <x:v>1340</x:v>
      </x:c>
    </x:row>
    <x:row r="27" ht="24" customHeight="1">
      <x:c r="A27" s="2" t="str">
        <x:v>Session_RestoreMotion</x:v>
      </x:c>
      <x:c r="B27" s="8" t="n">
        <x:v>0</x:v>
      </x:c>
      <x:c r="C27" s="8" t="n">
        <x:f>K27/'Summary'!$B$20*1000</x:f>
        <x:v>0</x:v>
      </x:c>
      <x:c r="D27" s="8" t="n">
        <x:f>L27/'Summary'!$B$20*1000</x:f>
        <x:v>0</x:v>
      </x:c>
      <x:c r="E27" s="8" t="n">
        <x:f>M27/'Summary'!$B$20*1000</x:f>
        <x:v>0</x:v>
      </x:c>
      <x:c r="F27" s="8" t="n">
        <x:f>J27/'Summary'!$B$20*1000</x:f>
        <x:v>0</x:v>
      </x:c>
      <x:c r="G27" s="11"/>
      <x:c r="H27" s="11"/>
      <x:c r="I27" s="11"/>
      <x:c r="J27" s="11" t="n">
        <x:v>0</x:v>
      </x:c>
      <x:c r="K27" s="2" t="n">
        <x:v>0</x:v>
      </x:c>
      <x:c r="L27" s="2" t="n">
        <x:v>0</x:v>
      </x:c>
      <x:c r="M27" s="2" t="n">
        <x:v>0</x:v>
      </x:c>
      <x:c r="N27" s="12" t="str">
        <x:v>n.a.</x:v>
      </x:c>
      <x:c r="O27" s="12" t="str">
        <x:v>n.a.</x:v>
      </x:c>
      <x:c r="P27" s="12" t="str">
        <x:v>n.a.</x:v>
      </x:c>
      <x:c r="Q27" s="8" t="n">
        <x:f>S27/'Summary'!$B$20*1000</x:f>
        <x:v>0</x:v>
      </x:c>
      <x:c r="R27" s="8" t="n">
        <x:f>T27/'Summary'!$B$20*1000</x:f>
        <x:v>0</x:v>
      </x:c>
      <x:c r="S27" s="11" t="n">
        <x:v>0</x:v>
      </x:c>
      <x:c r="T27" s="11" t="n">
        <x:v>0</x:v>
      </x:c>
    </x:row>
    <x:row r="28" ht="24" customHeight="1">
      <x:c r="A28" s="2" t="str">
        <x:v>GameSession_ValidateMotion</x:v>
      </x:c>
      <x:c r="B28" s="8" t="n">
        <x:v>1.0396825396825398</x:v>
      </x:c>
      <x:c r="C28" s="8" t="n">
        <x:f>K28/'Summary'!$B$20*1000</x:f>
        <x:v>0.015134494237252197</x:v>
      </x:c>
      <x:c r="D28" s="8" t="n">
        <x:f>L28/'Summary'!$B$20*1000</x:f>
        <x:v>0.017320637120080903</x:v>
      </x:c>
      <x:c r="E28" s="8" t="n">
        <x:f>M28/'Summary'!$B$20*1000</x:f>
        <x:v>0.21930161514941146</x:v>
      </x:c>
      <x:c r="F28" s="8" t="n">
        <x:f>J28/'Summary'!$B$20*1000</x:f>
        <x:v>0.015134494237252197</x:v>
      </x:c>
      <x:c r="G28" s="11" t="n">
        <x:v>52.10687022889388</x:v>
      </x:c>
      <x:c r="H28" s="11" t="n">
        <x:v>31</x:v>
      </x:c>
      <x:c r="I28" s="11" t="n">
        <x:v>754</x:v>
      </x:c>
      <x:c r="J28" s="11" t="n">
        <x:v>54.174603174484915</x:v>
      </x:c>
      <x:c r="K28" s="2" t="n">
        <x:v>54.174603174484915</x:v>
      </x:c>
      <x:c r="L28" s="2" t="n">
        <x:v>62</x:v>
      </x:c>
      <x:c r="M28" s="2" t="n">
        <x:v>785</x:v>
      </x:c>
      <x:c r="N28" s="11" t="n">
        <x:v>52.10687022889388</x:v>
      </x:c>
      <x:c r="O28" s="11" t="n">
        <x:v>31</x:v>
      </x:c>
      <x:c r="P28" s="11" t="n">
        <x:v>754</x:v>
      </x:c>
      <x:c r="Q28" s="8" t="n">
        <x:f>S28/'Summary'!$B$20*1000</x:f>
        <x:v>0.017320637120080903</x:v>
      </x:c>
      <x:c r="R28" s="8" t="n">
        <x:f>T28/'Summary'!$B$20*1000</x:f>
        <x:v>0.21930161514941146</x:v>
      </x:c>
      <x:c r="S28" s="11" t="n">
        <x:v>62</x:v>
      </x:c>
      <x:c r="T28" s="11" t="n">
        <x:v>785</x:v>
      </x:c>
    </x:row>
    <x:row r="29" ht="24" customHeight="1">
      <x:c r="A29" s="2" t="str">
        <x:v>GameSession_SpecialFrame</x:v>
      </x:c>
      <x:c r="B29" s="8" t="n">
        <x:v>1</x:v>
      </x:c>
      <x:c r="C29" s="8" t="n">
        <x:f>K29/'Summary'!$B$20*1000</x:f>
        <x:v>0.016970322134755772</x:v>
      </x:c>
      <x:c r="D29" s="8" t="n">
        <x:f>L29/'Summary'!$B$20*1000</x:f>
        <x:v>0.03184762309176166</x:v>
      </x:c>
      <x:c r="E29" s="8" t="n">
        <x:f>M29/'Summary'!$B$20*1000</x:f>
        <x:v>0.03184762309592453</x:v>
      </x:c>
      <x:c r="F29" s="8" t="n">
        <x:f>J29/'Summary'!$B$20*1000</x:f>
        <x:v>0.016970322134755772</x:v>
      </x:c>
      <x:c r="G29" s="11" t="n">
        <x:v>60.74603174585435</x:v>
      </x:c>
      <x:c r="H29" s="11" t="n">
        <x:v>114</x:v>
      </x:c>
      <x:c r="I29" s="11" t="n">
        <x:v>114.00000001490116</x:v>
      </x:c>
      <x:c r="J29" s="11" t="n">
        <x:v>60.74603174585435</x:v>
      </x:c>
      <x:c r="K29" s="2" t="n">
        <x:v>60.74603174585435</x:v>
      </x:c>
      <x:c r="L29" s="2" t="n">
        <x:v>114</x:v>
      </x:c>
      <x:c r="M29" s="2" t="n">
        <x:v>114.00000001490116</x:v>
      </x:c>
      <x:c r="N29" s="11" t="n">
        <x:v>60.74603174585435</x:v>
      </x:c>
      <x:c r="O29" s="11" t="n">
        <x:v>114</x:v>
      </x:c>
      <x:c r="P29" s="11" t="n">
        <x:v>114.00000001490116</x:v>
      </x:c>
      <x:c r="Q29" s="8" t="n">
        <x:f>S29/'Summary'!$B$20*1000</x:f>
        <x:v>0.03184762309176166</x:v>
      </x:c>
      <x:c r="R29" s="8" t="n">
        <x:f>T29/'Summary'!$B$20*1000</x:f>
        <x:v>0.03184762309592453</x:v>
      </x:c>
      <x:c r="S29" s="11" t="n">
        <x:v>114</x:v>
      </x:c>
      <x:c r="T29" s="11" t="n">
        <x:v>114.00000001490116</x:v>
      </x:c>
    </x:row>
    <x:row r="30" ht="24" customHeight="1">
      <x:c r="A30" s="2" t="str">
        <x:v>GameSession_SpecialOverlay</x:v>
      </x:c>
      <x:c r="B30" s="8" t="n">
        <x:v>0.5674603174603174</x:v>
      </x:c>
      <x:c r="C30" s="8" t="n">
        <x:f>K30/'Summary'!$B$20*1000</x:f>
        <x:v>0.029317816774142868</x:v>
      </x:c>
      <x:c r="D30" s="8" t="n">
        <x:f>L30/'Summary'!$B$20*1000</x:f>
        <x:v>0.051682546249565565</x:v>
      </x:c>
      <x:c r="E30" s="8" t="n">
        <x:f>M30/'Summary'!$B$20*1000</x:f>
        <x:v>0.10783493432824563</x:v>
      </x:c>
      <x:c r="F30" s="8" t="n">
        <x:f>J30/'Summary'!$B$20*1000</x:f>
        <x:v>0.029128247589072856</x:v>
      </x:c>
      <x:c r="G30" s="11" t="n">
        <x:v>184.93706293768815</x:v>
      </x:c>
      <x:c r="H30" s="11" t="n">
        <x:v>185.00000001490116</x:v>
      </x:c>
      <x:c r="I30" s="11" t="n">
        <x:v>386</x:v>
      </x:c>
      <x:c r="J30" s="11" t="n">
        <x:v>104.2658730162278</x:v>
      </x:c>
      <x:c r="K30" s="2" t="n">
        <x:v>104.94444444479923</x:v>
      </x:c>
      <x:c r="L30" s="2" t="n">
        <x:v>185.00000001490116</x:v>
      </x:c>
      <x:c r="M30" s="2" t="n">
        <x:v>386</x:v>
      </x:c>
      <x:c r="N30" s="11" t="n">
        <x:v>183.74125874188397</x:v>
      </x:c>
      <x:c r="O30" s="11" t="n">
        <x:v>185.00000001490116</x:v>
      </x:c>
      <x:c r="P30" s="11" t="n">
        <x:v>215</x:v>
      </x:c>
      <x:c r="Q30" s="8" t="n">
        <x:f>S30/'Summary'!$B$20*1000</x:f>
        <x:v>0.051682546249565565</x:v>
      </x:c>
      <x:c r="R30" s="8" t="n">
        <x:f>T30/'Summary'!$B$20*1000</x:f>
        <x:v>0.06006349969060314</x:v>
      </x:c>
      <x:c r="S30" s="11" t="n">
        <x:v>185.00000001490116</x:v>
      </x:c>
      <x:c r="T30" s="11" t="n">
        <x:v>215</x:v>
      </x:c>
    </x:row>
    <x:row r="31" ht="24" customHeight="1">
      <x:c r="A31" s="2" t="str">
        <x:v>GameSession_RadarColor</x:v>
      </x:c>
      <x:c r="B31" s="8" t="n">
        <x:v>4</x:v>
      </x:c>
      <x:c r="C31" s="8" t="n">
        <x:f>K31/'Summary'!$B$20*1000</x:f>
        <x:v>0.22340451312502374</x:v>
      </x:c>
      <x:c r="D31" s="8" t="n">
        <x:f>L31/'Summary'!$B$20*1000</x:f>
        <x:v>0.229638124398492</x:v>
      </x:c>
      <x:c r="E31" s="8" t="n">
        <x:f>M31/'Summary'!$B$20*1000</x:f>
        <x:v>0.2813206706355689</x:v>
      </x:c>
      <x:c r="F31" s="8" t="n">
        <x:f>J31/'Summary'!$B$20*1000</x:f>
        <x:v>0.2230253747548837</x:v>
      </x:c>
      <x:c r="G31" s="11" t="n">
        <x:v>199.92162698352828</x:v>
      </x:c>
      <x:c r="H31" s="11" t="n">
        <x:v>208.00000001490116</x:v>
      </x:c>
      <x:c r="I31" s="11" t="n">
        <x:v>408.99999998509884</x:v>
      </x:c>
      <x:c r="J31" s="11" t="n">
        <x:v>798.3293650769702</x:v>
      </x:c>
      <x:c r="K31" s="2" t="n">
        <x:v>799.6865079341131</x:v>
      </x:c>
      <x:c r="L31" s="2" t="n">
        <x:v>822</x:v>
      </x:c>
      <x:c r="M31" s="2" t="n">
        <x:v>1006.9999999701977</x:v>
      </x:c>
      <x:c r="N31" s="11" t="n">
        <x:v>199.58234126924256</x:v>
      </x:c>
      <x:c r="O31" s="11" t="n">
        <x:v>208.00000001490116</x:v>
      </x:c>
      <x:c r="P31" s="11" t="n">
        <x:v>237.99999998509884</x:v>
      </x:c>
      <x:c r="Q31" s="8" t="n">
        <x:f>S31/'Summary'!$B$20*1000</x:f>
        <x:v>0.229638124398492</x:v>
      </x:c>
      <x:c r="R31" s="8" t="n">
        <x:f>T31/'Summary'!$B$20*1000</x:f>
        <x:v>0.23354923599792646</x:v>
      </x:c>
      <x:c r="S31" s="11" t="n">
        <x:v>822</x:v>
      </x:c>
      <x:c r="T31" s="11" t="n">
        <x:v>835.9999999701977</x:v>
      </x:c>
    </x:row>
    <x:row r="32" ht="24" customHeight="1">
      <x:c r="A32" s="2" t="str">
        <x:v>GameSession_FlagNames</x:v>
      </x:c>
      <x:c r="B32" s="8" t="n">
        <x:v>1</x:v>
      </x:c>
      <x:c r="C32" s="8" t="n">
        <x:f>K32/'Summary'!$B$20*1000</x:f>
        <x:v>0.12208588096020523</x:v>
      </x:c>
      <x:c r="D32" s="8" t="n">
        <x:f>L32/'Summary'!$B$20*1000</x:f>
        <x:v>0.1251555714524894</x:v>
      </x:c>
      <x:c r="E32" s="8" t="n">
        <x:f>M32/'Summary'!$B$20*1000</x:f>
        <x:v>0.18130795953116946</x:v>
      </x:c>
      <x:c r="F32" s="8" t="n">
        <x:f>J32/'Summary'!$B$20*1000</x:f>
        <x:v>0.12056932747964513</x:v>
      </x:c>
      <x:c r="G32" s="11" t="n">
        <x:v>437.0119047616978</x:v>
      </x:c>
      <x:c r="H32" s="11" t="n">
        <x:v>448.00000001490116</x:v>
      </x:c>
      <x:c r="I32" s="11" t="n">
        <x:v>649</x:v>
      </x:c>
      <x:c r="J32" s="11" t="n">
        <x:v>431.58333333312635</x:v>
      </x:c>
      <x:c r="K32" s="2" t="n">
        <x:v>437.0119047616978</x:v>
      </x:c>
      <x:c r="L32" s="2" t="n">
        <x:v>448.00000001490116</x:v>
      </x:c>
      <x:c r="M32" s="2" t="n">
        <x:v>649</x:v>
      </x:c>
      <x:c r="N32" s="11" t="n">
        <x:v>431.58333333312635</x:v>
      </x:c>
      <x:c r="O32" s="11" t="n">
        <x:v>448.00000001490116</x:v>
      </x:c>
      <x:c r="P32" s="11" t="n">
        <x:v>478</x:v>
      </x:c>
      <x:c r="Q32" s="8" t="n">
        <x:f>S32/'Summary'!$B$20*1000</x:f>
        <x:v>0.1251555714524894</x:v>
      </x:c>
      <x:c r="R32" s="8" t="n">
        <x:f>T32/'Summary'!$B$20*1000</x:f>
        <x:v>0.13353652489352696</x:v>
      </x:c>
      <x:c r="S32" s="11" t="n">
        <x:v>448.00000001490116</x:v>
      </x:c>
      <x:c r="T32" s="11" t="n">
        <x:v>478</x:v>
      </x:c>
    </x:row>
    <x:row r="33" ht="24" customHeight="1">
      <x:c r="A33" s="2" t="str">
        <x:v>GameSession_FlagUpload</x:v>
      </x:c>
      <x:c r="B33" s="8" t="n">
        <x:v>1</x:v>
      </x:c>
      <x:c r="C33" s="8" t="n">
        <x:f>K33/'Summary'!$B$20*1000</x:f>
        <x:v>0.6110036553150869</x:v>
      </x:c>
      <x:c r="D33" s="8" t="n">
        <x:f>L33/'Summary'!$B$20*1000</x:f>
        <x:v>1.454095422738113</x:v>
      </x:c>
      <x:c r="E33" s="8" t="n">
        <x:f>M33/'Summary'!$B$20*1000</x:f>
        <x:v>1.5102478108251187</x:v>
      </x:c>
      <x:c r="F33" s="8" t="n">
        <x:f>J33/'Summary'!$B$20*1000</x:f>
        <x:v>0.6100558093897535</x:v>
      </x:c>
      <x:c r="G33" s="11" t="n">
        <x:v>2187.115079364843</x:v>
      </x:c>
      <x:c r="H33" s="11" t="n">
        <x:v>5204.999999985099</x:v>
      </x:c>
      <x:c r="I33" s="11" t="n">
        <x:v>5406</x:v>
      </x:c>
      <x:c r="J33" s="11" t="n">
        <x:v>2183.722222222045</x:v>
      </x:c>
      <x:c r="K33" s="2" t="n">
        <x:v>2187.115079364843</x:v>
      </x:c>
      <x:c r="L33" s="2" t="n">
        <x:v>5204.999999985099</x:v>
      </x:c>
      <x:c r="M33" s="2" t="n">
        <x:v>5406</x:v>
      </x:c>
      <x:c r="N33" s="11" t="n">
        <x:v>2183.722222222045</x:v>
      </x:c>
      <x:c r="O33" s="11" t="n">
        <x:v>5204.999999985099</x:v>
      </x:c>
      <x:c r="P33" s="11" t="n">
        <x:v>5235</x:v>
      </x:c>
      <x:c r="Q33" s="8" t="n">
        <x:f>S33/'Summary'!$B$20*1000</x:f>
        <x:v>1.454095422738113</x:v>
      </x:c>
      <x:c r="R33" s="8" t="n">
        <x:f>T33/'Summary'!$B$20*1000</x:f>
        <x:v>1.4624763761874764</x:v>
      </x:c>
      <x:c r="S33" s="11" t="n">
        <x:v>5204.999999985099</x:v>
      </x:c>
      <x:c r="T33" s="11" t="n">
        <x:v>5235</x:v>
      </x:c>
    </x:row>
    <x:row r="34" ht="24" customHeight="1">
      <x:c r="A34" s="2" t="str">
        <x:v>GameSession_LabelNames</x:v>
      </x:c>
      <x:c r="B34" s="8" t="n">
        <x:v>1</x:v>
      </x:c>
      <x:c r="C34" s="8" t="n">
        <x:f>K34/'Summary'!$B$20*1000</x:f>
        <x:v>0.008660318560040452</x:v>
      </x:c>
      <x:c r="D34" s="8" t="n">
        <x:f>L34/'Summary'!$B$20*1000</x:f>
        <x:v>0.008660318560040452</x:v>
      </x:c>
      <x:c r="E34" s="8" t="n">
        <x:f>M34/'Summary'!$B$20*1000</x:f>
        <x:v>0.008660318564203316</x:v>
      </x:c>
      <x:c r="F34" s="8" t="n">
        <x:f>J34/'Summary'!$B$20*1000</x:f>
        <x:v>0.008660318560040452</x:v>
      </x:c>
      <x:c r="G34" s="11" t="n">
        <x:v>31</x:v>
      </x:c>
      <x:c r="H34" s="11" t="n">
        <x:v>31</x:v>
      </x:c>
      <x:c r="I34" s="11" t="n">
        <x:v>31.00000001490116</x:v>
      </x:c>
      <x:c r="J34" s="11" t="n">
        <x:v>31</x:v>
      </x:c>
      <x:c r="K34" s="2" t="n">
        <x:v>31</x:v>
      </x:c>
      <x:c r="L34" s="2" t="n">
        <x:v>31</x:v>
      </x:c>
      <x:c r="M34" s="2" t="n">
        <x:v>31.00000001490116</x:v>
      </x:c>
      <x:c r="N34" s="11" t="n">
        <x:v>31</x:v>
      </x:c>
      <x:c r="O34" s="11" t="n">
        <x:v>31</x:v>
      </x:c>
      <x:c r="P34" s="11" t="n">
        <x:v>31.00000001490116</x:v>
      </x:c>
      <x:c r="Q34" s="8" t="n">
        <x:f>S34/'Summary'!$B$20*1000</x:f>
        <x:v>0.008660318560040452</x:v>
      </x:c>
      <x:c r="R34" s="8" t="n">
        <x:f>T34/'Summary'!$B$20*1000</x:f>
        <x:v>0.008660318564203316</x:v>
      </x:c>
      <x:c r="S34" s="11" t="n">
        <x:v>31</x:v>
      </x:c>
      <x:c r="T34" s="11" t="n">
        <x:v>31.00000001490116</x:v>
      </x:c>
    </x:row>
    <x:row r="35" ht="24" customHeight="1">
      <x:c r="A35" s="2" t="str">
        <x:v>GameSession_LabelUpload</x:v>
      </x:c>
      <x:c r="B35" s="8" t="n">
        <x:v>1</x:v>
      </x:c>
      <x:c r="C35" s="8" t="n">
        <x:f>K35/'Summary'!$B$20*1000</x:f>
        <x:v>0.008660318560056971</x:v>
      </x:c>
      <x:c r="D35" s="8" t="n">
        <x:f>L35/'Summary'!$B$20*1000</x:f>
        <x:v>0.008660318560040452</x:v>
      </x:c>
      <x:c r="E35" s="8" t="n">
        <x:f>M35/'Summary'!$B$20*1000</x:f>
        <x:v>0.008660318564203316</x:v>
      </x:c>
      <x:c r="F35" s="8" t="n">
        <x:f>J35/'Summary'!$B$20*1000</x:f>
        <x:v>0.008660318560056971</x:v>
      </x:c>
      <x:c r="G35" s="11" t="n">
        <x:v>31.00000000005913</x:v>
      </x:c>
      <x:c r="H35" s="11" t="n">
        <x:v>31</x:v>
      </x:c>
      <x:c r="I35" s="11" t="n">
        <x:v>31.00000001490116</x:v>
      </x:c>
      <x:c r="J35" s="11" t="n">
        <x:v>31.00000000005913</x:v>
      </x:c>
      <x:c r="K35" s="2" t="n">
        <x:v>31.00000000005913</x:v>
      </x:c>
      <x:c r="L35" s="2" t="n">
        <x:v>31</x:v>
      </x:c>
      <x:c r="M35" s="2" t="n">
        <x:v>31.00000001490116</x:v>
      </x:c>
      <x:c r="N35" s="11" t="n">
        <x:v>31.00000000005913</x:v>
      </x:c>
      <x:c r="O35" s="11" t="n">
        <x:v>31</x:v>
      </x:c>
      <x:c r="P35" s="11" t="n">
        <x:v>31.00000001490116</x:v>
      </x:c>
      <x:c r="Q35" s="8" t="n">
        <x:f>S35/'Summary'!$B$20*1000</x:f>
        <x:v>0.008660318560040452</x:v>
      </x:c>
      <x:c r="R35" s="8" t="n">
        <x:f>T35/'Summary'!$B$20*1000</x:f>
        <x:v>0.008660318564203316</x:v>
      </x:c>
      <x:c r="S35" s="11" t="n">
        <x:v>31</x:v>
      </x:c>
      <x:c r="T35" s="11" t="n">
        <x:v>31.00000001490116</x:v>
      </x:c>
    </x:row>
    <x:row r="36" ht="24" customHeight="1">
      <x:c r="A36" s="2" t="str">
        <x:v>GameSession_PopupFrame</x:v>
      </x:c>
      <x:c r="B36" s="8" t="n">
        <x:v>1</x:v>
      </x:c>
      <x:c r="C36" s="8" t="n">
        <x:f>K36/'Summary'!$B$20*1000</x:f>
        <x:v>0.024584130105913024</x:v>
      </x:c>
      <x:c r="D36" s="8" t="n">
        <x:f>L36/'Summary'!$B$20*1000</x:f>
        <x:v>0.02458413010592128</x:v>
      </x:c>
      <x:c r="E36" s="8" t="n">
        <x:f>M36/'Summary'!$B$20*1000</x:f>
        <x:v>0.02458413011008415</x:v>
      </x:c>
      <x:c r="F36" s="8" t="n">
        <x:f>J36/'Summary'!$B$20*1000</x:f>
        <x:v>0.024584130105913024</x:v>
      </x:c>
      <x:c r="G36" s="11" t="n">
        <x:v>87.99999999997043</x:v>
      </x:c>
      <x:c r="H36" s="11" t="n">
        <x:v>88</x:v>
      </x:c>
      <x:c r="I36" s="11" t="n">
        <x:v>88.00000001490116</x:v>
      </x:c>
      <x:c r="J36" s="11" t="n">
        <x:v>87.99999999997043</x:v>
      </x:c>
      <x:c r="K36" s="2" t="n">
        <x:v>87.99999999997043</x:v>
      </x:c>
      <x:c r="L36" s="2" t="n">
        <x:v>88</x:v>
      </x:c>
      <x:c r="M36" s="2" t="n">
        <x:v>88.00000001490116</x:v>
      </x:c>
      <x:c r="N36" s="11" t="n">
        <x:v>87.99999999997043</x:v>
      </x:c>
      <x:c r="O36" s="11" t="n">
        <x:v>88</x:v>
      </x:c>
      <x:c r="P36" s="11" t="n">
        <x:v>88.00000001490116</x:v>
      </x:c>
      <x:c r="Q36" s="8" t="n">
        <x:f>S36/'Summary'!$B$20*1000</x:f>
        <x:v>0.02458413010592128</x:v>
      </x:c>
      <x:c r="R36" s="8" t="n">
        <x:f>T36/'Summary'!$B$20*1000</x:f>
        <x:v>0.02458413011008415</x:v>
      </x:c>
      <x:c r="S36" s="11" t="n">
        <x:v>88</x:v>
      </x:c>
      <x:c r="T36" s="11" t="n">
        <x:v>88.00000001490116</x:v>
      </x:c>
    </x:row>
    <x:row r="37" ht="24" customHeight="1">
      <x:c r="A37" s="2" t="str">
        <x:v>GameSession_PopupOverlay</x:v>
      </x:c>
      <x:c r="B37" s="8" t="n">
        <x:v>0.5674603174603174</x:v>
      </x:c>
      <x:c r="C37" s="8" t="n">
        <x:f>K37/'Summary'!$B$20*1000</x:f>
        <x:v>0.0049143871193715145</x:v>
      </x:c>
      <x:c r="D37" s="8" t="n">
        <x:f>L37/'Summary'!$B$20*1000</x:f>
        <x:v>0.008660318560040452</x:v>
      </x:c>
      <x:c r="E37" s="8" t="n">
        <x:f>M37/'Summary'!$B$20*1000</x:f>
        <x:v>0.008660318560040452</x:v>
      </x:c>
      <x:c r="F37" s="8" t="n">
        <x:f>J37/'Summary'!$B$20*1000</x:f>
        <x:v>0.0049143871193715145</x:v>
      </x:c>
      <x:c r="G37" s="11" t="n">
        <x:v>30.999999999895795</x:v>
      </x:c>
      <x:c r="H37" s="11" t="n">
        <x:v>31</x:v>
      </x:c>
      <x:c r="I37" s="11" t="n">
        <x:v>31</x:v>
      </x:c>
      <x:c r="J37" s="11" t="n">
        <x:v>17.59126984121071</x:v>
      </x:c>
      <x:c r="K37" s="2" t="n">
        <x:v>17.59126984121071</x:v>
      </x:c>
      <x:c r="L37" s="2" t="n">
        <x:v>31</x:v>
      </x:c>
      <x:c r="M37" s="2" t="n">
        <x:v>31</x:v>
      </x:c>
      <x:c r="N37" s="11" t="n">
        <x:v>30.999999999895795</x:v>
      </x:c>
      <x:c r="O37" s="11" t="n">
        <x:v>31</x:v>
      </x:c>
      <x:c r="P37" s="11" t="n">
        <x:v>31</x:v>
      </x:c>
      <x:c r="Q37" s="8" t="n">
        <x:f>S37/'Summary'!$B$20*1000</x:f>
        <x:v>0.008660318560040452</x:v>
      </x:c>
      <x:c r="R37" s="8" t="n">
        <x:f>T37/'Summary'!$B$20*1000</x:f>
        <x:v>0.008660318560040452</x:v>
      </x:c>
      <x:c r="S37" s="11" t="n">
        <x:v>31</x:v>
      </x:c>
      <x:c r="T37" s="11" t="n">
        <x:v>31</x:v>
      </x:c>
    </x:row>
    <x:row r="38" ht="24" customHeight="1">
      <x:c r="A38" s="2" t="str">
        <x:v>GameSession_PopupUpload</x:v>
      </x:c>
      <x:c r="B38" s="8" t="n">
        <x:v>1</x:v>
      </x:c>
      <x:c r="C38" s="8" t="n">
        <x:f>K38/'Summary'!$B$20*1000</x:f>
        <x:v>0.008883145496910168</x:v>
      </x:c>
      <x:c r="D38" s="8" t="n">
        <x:f>L38/'Summary'!$B$20*1000</x:f>
        <x:v>0.008660318560040452</x:v>
      </x:c>
      <x:c r="E38" s="8" t="n">
        <x:f>M38/'Summary'!$B$20*1000</x:f>
        <x:v>0.06481270664288338</x:v>
      </x:c>
      <x:c r="F38" s="8" t="n">
        <x:f>J38/'Summary'!$B$20*1000</x:f>
        <x:v>0.00869357631184016</x:v>
      </x:c>
      <x:c r="G38" s="11" t="n">
        <x:v>31.79761904773731</x:v>
      </x:c>
      <x:c r="H38" s="11" t="n">
        <x:v>31</x:v>
      </x:c>
      <x:c r="I38" s="11" t="n">
        <x:v>232</x:v>
      </x:c>
      <x:c r="J38" s="11" t="n">
        <x:v>31.119047619165883</x:v>
      </x:c>
      <x:c r="K38" s="2" t="n">
        <x:v>31.79761904773731</x:v>
      </x:c>
      <x:c r="L38" s="2" t="n">
        <x:v>31</x:v>
      </x:c>
      <x:c r="M38" s="2" t="n">
        <x:v>232</x:v>
      </x:c>
      <x:c r="N38" s="11" t="n">
        <x:v>31.119047619165883</x:v>
      </x:c>
      <x:c r="O38" s="11" t="n">
        <x:v>31</x:v>
      </x:c>
      <x:c r="P38" s="11" t="n">
        <x:v>61</x:v>
      </x:c>
      <x:c r="Q38" s="8" t="n">
        <x:f>S38/'Summary'!$B$20*1000</x:f>
        <x:v>0.008660318560040452</x:v>
      </x:c>
      <x:c r="R38" s="8" t="n">
        <x:f>T38/'Summary'!$B$20*1000</x:f>
        <x:v>0.01704127200524089</x:v>
      </x:c>
      <x:c r="S38" s="11" t="n">
        <x:v>31</x:v>
      </x:c>
      <x:c r="T38" s="11" t="n">
        <x:v>61</x:v>
      </x:c>
    </x:row>
    <x:row r="39" ht="24" customHeight="1">
      <x:c r="A39" s="2" t="str">
        <x:v>GameSession_AfterFrame</x:v>
      </x:c>
      <x:c r="B39" s="8" t="n">
        <x:v>1</x:v>
      </x:c>
      <x:c r="C39" s="8" t="n">
        <x:f>K39/'Summary'!$B$20*1000</x:f>
        <x:v>0.058595724245835354</x:v>
      </x:c>
      <x:c r="D39" s="8" t="n">
        <x:f>L39/'Summary'!$B$20*1000</x:f>
        <x:v>0.07347302520292383</x:v>
      </x:c>
      <x:c r="E39" s="8" t="n">
        <x:f>M39/'Summary'!$B$20*1000</x:f>
        <x:v>0.07347302520708669</x:v>
      </x:c>
      <x:c r="F39" s="8" t="n">
        <x:f>J39/'Summary'!$B$20*1000</x:f>
        <x:v>0.017041272005166554</x:v>
      </x:c>
      <x:c r="G39" s="11" t="n">
        <x:v>209.7460317455587</x:v>
      </x:c>
      <x:c r="H39" s="11" t="n">
        <x:v>263</x:v>
      </x:c>
      <x:c r="I39" s="11" t="n">
        <x:v>263.00000001490116</x:v>
      </x:c>
      <x:c r="J39" s="11" t="n">
        <x:v>60.99999999973391</x:v>
      </x:c>
      <x:c r="K39" s="2" t="n">
        <x:v>209.7460317455587</x:v>
      </x:c>
      <x:c r="L39" s="2" t="n">
        <x:v>263</x:v>
      </x:c>
      <x:c r="M39" s="2" t="n">
        <x:v>263.00000001490116</x:v>
      </x:c>
      <x:c r="N39" s="11" t="n">
        <x:v>60.99999999973391</x:v>
      </x:c>
      <x:c r="O39" s="11" t="n">
        <x:v>61.00000001490116</x:v>
      </x:c>
      <x:c r="P39" s="11" t="n">
        <x:v>61.00000001490116</x:v>
      </x:c>
      <x:c r="Q39" s="8" t="n">
        <x:f>S39/'Summary'!$B$20*1000</x:f>
        <x:v>0.017041272009403755</x:v>
      </x:c>
      <x:c r="R39" s="8" t="n">
        <x:f>T39/'Summary'!$B$20*1000</x:f>
        <x:v>0.017041272009403755</x:v>
      </x:c>
      <x:c r="S39" s="11" t="n">
        <x:v>61.00000001490116</x:v>
      </x:c>
      <x:c r="T39" s="11" t="n">
        <x:v>61.00000001490116</x:v>
      </x:c>
    </x:row>
    <x:row r="40" ht="24" customHeight="1">
      <x:c r="A40" s="2" t="str">
        <x:v>clock_irq</x:v>
      </x:c>
      <x:c r="B40" s="8" t="n">
        <x:v>2.0753968253968256</x:v>
      </x:c>
      <x:c r="C40" s="8" t="n">
        <x:f>K40/'Summary'!$B$20*1000</x:f>
        <x:v>0.09914468379163996</x:v>
      </x:c>
      <x:c r="D40" s="8" t="n">
        <x:f>L40/'Summary'!$B$20*1000</x:f>
        <x:v>0.1433143039129275</x:v>
      </x:c>
      <x:c r="E40" s="8" t="n">
        <x:f>M40/'Summary'!$B$20*1000</x:f>
        <x:v>0.1433143039212532</x:v>
      </x:c>
      <x:c r="F40" s="8" t="n">
        <x:f>J40/'Summary'!$B$20*1000</x:f>
        <x:v>0.09914468379163996</x:v>
      </x:c>
      <x:c r="G40" s="11" t="n">
        <x:v>171.00000000004275</x:v>
      </x:c>
      <x:c r="H40" s="11" t="n">
        <x:v>171.00000001490116</x:v>
      </x:c>
      <x:c r="I40" s="11" t="n">
        <x:v>171.00000001490116</x:v>
      </x:c>
      <x:c r="J40" s="11" t="n">
        <x:v>354.89285714294584</x:v>
      </x:c>
      <x:c r="K40" s="2" t="n">
        <x:v>354.89285714294584</x:v>
      </x:c>
      <x:c r="L40" s="2" t="n">
        <x:v>513</x:v>
      </x:c>
      <x:c r="M40" s="2" t="n">
        <x:v>513.0000000298023</x:v>
      </x:c>
      <x:c r="N40" s="11" t="n">
        <x:v>171.00000000004275</x:v>
      </x:c>
      <x:c r="O40" s="11" t="n">
        <x:v>171.00000001490116</x:v>
      </x:c>
      <x:c r="P40" s="11" t="n">
        <x:v>171.00000001490116</x:v>
      </x:c>
      <x:c r="Q40" s="8" t="n">
        <x:f>S40/'Summary'!$B$20*1000</x:f>
        <x:v>0.1433143039129275</x:v>
      </x:c>
      <x:c r="R40" s="8" t="n">
        <x:f>T40/'Summary'!$B$20*1000</x:f>
        <x:v>0.1433143039212532</x:v>
      </x:c>
      <x:c r="S40" s="11" t="n">
        <x:v>513</x:v>
      </x:c>
      <x:c r="T40" s="11" t="n">
        <x:v>513.0000000298023</x:v>
      </x:c>
    </x:row>
    <x:row r="41" ht="24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</x:row>
    <x:row r="42" ht="24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</x:row>
    <x:row r="43" ht="24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</x:row>
    <x:row r="44" ht="24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9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</x:row>
    <x:row r="2" ht="24" customHeight="1">
      <x:c r="A2" s="3" t="str">
        <x:v>Logic and publication within the raster</x:v>
      </x:c>
      <x:c r="B2" s="2"/>
      <x:c r="C2" s="2"/>
      <x:c r="D2" s="2"/>
      <x:c r="E2" s="2"/>
      <x:c r="F2" s="2"/>
      <x:c r="G2" s="2"/>
      <x:c r="H2" s="2"/>
    </x:row>
    <x:row r="3" ht="24" customHeight="1">
      <x:c r="A3" s="2" t="str">
        <x:v>Physical line0 = VSYNC;228 CPU cycles/line. Foreground routines have variable placement.</x:v>
      </x:c>
      <x:c r="B3" s="2"/>
      <x:c r="C3" s="2"/>
      <x:c r="D3" s="2"/>
      <x:c r="E3" s="2"/>
      <x:c r="F3" s="2"/>
      <x:c r="G3" s="2"/>
      <x:c r="H3" s="2"/>
    </x:row>
    <x:row r="4" ht="24" customHeight="1">
      <x:c r="A4" s="2"/>
      <x:c r="B4" s="2"/>
      <x:c r="C4" s="2"/>
      <x:c r="D4" s="2"/>
      <x:c r="E4" s="2"/>
      <x:c r="F4" s="2"/>
      <x:c r="G4" s="2"/>
      <x:c r="H4" s="2"/>
    </x:row>
    <x:row r="5" ht="36" customHeight="1">
      <x:c r="A5" s="7" t="str">
        <x:v>Routine / hook</x:v>
      </x:c>
      <x:c r="B5" s="7" t="str">
        <x:v>Start line min..max</x:v>
      </x:c>
      <x:c r="C5" s="7" t="str">
        <x:v>Start cycle min..max</x:v>
      </x:c>
      <x:c r="D5" s="7" t="str">
        <x:v>Mean in VBlank cycles/call</x:v>
      </x:c>
      <x:c r="E5" s="7" t="str">
        <x:v>Mean outside cycles/call</x:v>
      </x:c>
      <x:c r="F5" s="7" t="str">
        <x:v>Max in VBlank cycles/call</x:v>
      </x:c>
      <x:c r="G5" s="7" t="str">
        <x:v>Wholly in VBlank calls</x:v>
      </x:c>
      <x:c r="H5" s="7" t="str">
        <x:v>Wholly outside calls</x:v>
      </x:c>
    </x:row>
    <x:row r="6" ht="24" customHeight="1">
      <x:c r="A6" s="2" t="str">
        <x:v>Game_Prepare</x:v>
      </x:c>
      <x:c r="B6" s="2" t="str">
        <x:v>1..256</x:v>
      </x:c>
      <x:c r="C6" s="2" t="str">
        <x:v>101.000..190.000</x:v>
      </x:c>
      <x:c r="D6" s="11" t="n">
        <x:v>7464.261904761905</x:v>
      </x:c>
      <x:c r="E6" s="11" t="n">
        <x:v>31515.85317460365</x:v>
      </x:c>
      <x:c r="F6" s="11" t="n">
        <x:v>17941.666666666668</x:v>
      </x:c>
      <x:c r="G6" s="2" t="n">
        <x:v>0</x:v>
      </x:c>
      <x:c r="H6" s="2" t="n">
        <x:v>0</x:v>
      </x:c>
    </x:row>
    <x:row r="7" ht="24" customHeight="1">
      <x:c r="A7" s="2" t="str">
        <x:v>Game_Frame</x:v>
      </x:c>
      <x:c r="B7" s="2" t="str">
        <x:v>1..257</x:v>
      </x:c>
      <x:c r="C7" s="2" t="str">
        <x:v>32.000..220.000</x:v>
      </x:c>
      <x:c r="D7" s="11" t="n">
        <x:v>6983.3452380952385</x:v>
      </x:c>
      <x:c r="E7" s="11" t="n">
        <x:v>19492.89682539597</x:v>
      </x:c>
      <x:c r="F7" s="11" t="n">
        <x:v>8209.666666666666</x:v>
      </x:c>
      <x:c r="G7" s="2" t="n">
        <x:v>0</x:v>
      </x:c>
      <x:c r="H7" s="2" t="n">
        <x:v>0</x:v>
      </x:c>
    </x:row>
    <x:row r="8" ht="24" customHeight="1">
      <x:c r="A8" s="2" t="str">
        <x:v>Game_LogicTick</x:v>
      </x:c>
      <x:c r="B8" s="2" t="str">
        <x:v>12..196</x:v>
      </x:c>
      <x:c r="C8" s="2" t="str">
        <x:v>1.000..225.000</x:v>
      </x:c>
      <x:c r="D8" s="11" t="n">
        <x:v>829.6354961832061</x:v>
      </x:c>
      <x:c r="E8" s="11" t="n">
        <x:v>7456.377862595975</x:v>
      </x:c>
      <x:c r="F8" s="11" t="n">
        <x:v>4304.666666666667</x:v>
      </x:c>
      <x:c r="G8" s="2" t="n">
        <x:v>20</x:v>
      </x:c>
      <x:c r="H8" s="2" t="n">
        <x:v>282</x:v>
      </x:c>
    </x:row>
    <x:row r="9" ht="24" customHeight="1">
      <x:c r="A9" s="2" t="str">
        <x:v>Game_Position</x:v>
      </x:c>
      <x:c r="B9" s="2" t="str">
        <x:v>84..218</x:v>
      </x:c>
      <x:c r="C9" s="2" t="str">
        <x:v>0.000..227.000</x:v>
      </x:c>
      <x:c r="D9" s="11" t="n">
        <x:v>0</x:v>
      </x:c>
      <x:c r="E9" s="11" t="n">
        <x:v>899.9999999999113</x:v>
      </x:c>
      <x:c r="F9" s="11" t="n">
        <x:v>0</x:v>
      </x:c>
      <x:c r="G9" s="2" t="n">
        <x:v>0</x:v>
      </x:c>
      <x:c r="H9" s="2" t="n">
        <x:v>252</x:v>
      </x:c>
    </x:row>
    <x:row r="10" ht="24" customHeight="1">
      <x:c r="A10" s="2" t="str">
        <x:v>Game_Actors</x:v>
      </x:c>
      <x:c r="B10" s="2" t="str">
        <x:v>89..223</x:v>
      </x:c>
      <x:c r="C10" s="2" t="str">
        <x:v>1.000..226.000</x:v>
      </x:c>
      <x:c r="D10" s="11" t="n">
        <x:v>0</x:v>
      </x:c>
      <x:c r="E10" s="11" t="n">
        <x:v>3985.000000001183</x:v>
      </x:c>
      <x:c r="F10" s="11" t="n">
        <x:v>0</x:v>
      </x:c>
      <x:c r="G10" s="2" t="n">
        <x:v>0</x:v>
      </x:c>
      <x:c r="H10" s="2" t="n">
        <x:v>252</x:v>
      </x:c>
    </x:row>
    <x:row r="11" ht="24" customHeight="1">
      <x:c r="A11" s="2" t="str">
        <x:v>GameSprites_Prepare</x:v>
      </x:c>
      <x:c r="B11" s="2" t="str">
        <x:v>107..240</x:v>
      </x:c>
      <x:c r="C11" s="2" t="str">
        <x:v>0.000..226.000</x:v>
      </x:c>
      <x:c r="D11" s="11" t="n">
        <x:v>293.2738095238095</x:v>
      </x:c>
      <x:c r="E11" s="11" t="n">
        <x:v>6037.230158730809</x:v>
      </x:c>
      <x:c r="F11" s="11" t="n">
        <x:v>11172</x:v>
      </x:c>
      <x:c r="G11" s="2" t="n">
        <x:v>0</x:v>
      </x:c>
      <x:c r="H11" s="2" t="n">
        <x:v>240</x:v>
      </x:c>
    </x:row>
    <x:row r="12" ht="24" customHeight="1">
      <x:c r="A12" s="2" t="str">
        <x:v>GameSprites_Commit</x:v>
      </x:c>
      <x:c r="B12" s="2" t="str">
        <x:v>4..254</x:v>
      </x:c>
      <x:c r="C12" s="2" t="str">
        <x:v>134.000..223.000</x:v>
      </x:c>
      <x:c r="D12" s="11" t="n">
        <x:v>1966.047619047619</x:v>
      </x:c>
      <x:c r="E12" s="11" t="n">
        <x:v>2.986145397973439e-9</x:v>
      </x:c>
      <x:c r="F12" s="11" t="n">
        <x:v>3847</x:v>
      </x:c>
      <x:c r="G12" s="2" t="n">
        <x:v>252</x:v>
      </x:c>
      <x:c r="H12" s="2" t="n">
        <x:v>0</x:v>
      </x:c>
    </x:row>
    <x:row r="13" ht="24" customHeight="1">
      <x:c r="A13" s="2" t="str">
        <x:v>GameHUD_Prepare</x:v>
      </x:c>
      <x:c r="B13" s="2" t="str">
        <x:v>0..261</x:v>
      </x:c>
      <x:c r="C13" s="2" t="str">
        <x:v>1.000..227.000</x:v>
      </x:c>
      <x:c r="D13" s="11" t="n">
        <x:v>72.25</x:v>
      </x:c>
      <x:c r="E13" s="11" t="n">
        <x:v>1726.3730158729272</x:v>
      </x:c>
      <x:c r="F13" s="11" t="n">
        <x:v>2023</x:v>
      </x:c>
      <x:c r="G13" s="2" t="n">
        <x:v>9</x:v>
      </x:c>
      <x:c r="H13" s="2" t="n">
        <x:v>243</x:v>
      </x:c>
    </x:row>
    <x:row r="14" ht="24" customHeight="1">
      <x:c r="A14" s="2" t="str">
        <x:v>GameHUD_Commit</x:v>
      </x:c>
      <x:c r="B14" s="2" t="str">
        <x:v>247..247</x:v>
      </x:c>
      <x:c r="C14" s="2" t="str">
        <x:v>89.000..93.000</x:v>
      </x:c>
      <x:c r="D14" s="11" t="n">
        <x:v>1251.7738095238096</x:v>
      </x:c>
      <x:c r="E14" s="11" t="n">
        <x:v>2.3948294775826592e-9</x:v>
      </x:c>
      <x:c r="F14" s="11" t="n">
        <x:v>4444</x:v>
      </x:c>
      <x:c r="G14" s="2" t="n">
        <x:v>252</x:v>
      </x:c>
      <x:c r="H14" s="2" t="n">
        <x:v>0</x:v>
      </x:c>
    </x:row>
    <x:row r="15" ht="24" customHeight="1">
      <x:c r="A15" s="2" t="str">
        <x:v>render</x:v>
      </x:c>
      <x:c r="B15" s="2" t="str">
        <x:v>0..256</x:v>
      </x:c>
      <x:c r="C15" s="2" t="str">
        <x:v>0.000..227.000</x:v>
      </x:c>
      <x:c r="D15" s="11" t="n">
        <x:v>10636.099206349207</x:v>
      </x:c>
      <x:c r="E15" s="11" t="n">
        <x:v>32834.730158730665</x:v>
      </x:c>
      <x:c r="F15" s="11" t="n">
        <x:v>22344</x:v>
      </x:c>
      <x:c r="G15" s="2" t="n">
        <x:v>0</x:v>
      </x:c>
      <x:c r="H15" s="2" t="n">
        <x:v>2</x:v>
      </x:c>
    </x:row>
    <x:row r="16" ht="24" customHeight="1">
      <x:c r="A16" s="2" t="str">
        <x:v>wait_blank</x:v>
      </x:c>
      <x:c r="B16" s="2" t="str">
        <x:v>1..261</x:v>
      </x:c>
      <x:c r="C16" s="2" t="str">
        <x:v>0.000..226.000</x:v>
      </x:c>
      <x:c r="D16" s="11" t="n">
        <x:v>1221.2738095238096</x:v>
      </x:c>
      <x:c r="E16" s="11" t="n">
        <x:v>36408.34523809515</x:v>
      </x:c>
      <x:c r="F16" s="11" t="n">
        <x:v>10908</x:v>
      </x:c>
      <x:c r="G16" s="2" t="n">
        <x:v>0</x:v>
      </x:c>
      <x:c r="H16" s="2" t="n">
        <x:v>0</x:v>
      </x:c>
    </x:row>
    <x:row r="17" ht="24" customHeight="1">
      <x:c r="A17" s="2" t="str">
        <x:v>commit</x:v>
      </x:c>
      <x:c r="B17" s="2" t="str">
        <x:v>245..245</x:v>
      </x:c>
      <x:c r="C17" s="2" t="str">
        <x:v>36.000..40.000</x:v>
      </x:c>
      <x:c r="D17" s="11" t="n">
        <x:v>3760.8214285714284</x:v>
      </x:c>
      <x:c r="E17" s="11" t="n">
        <x:v>6.80013308449397e-10</x:v>
      </x:c>
      <x:c r="F17" s="11" t="n">
        <x:v>6938</x:v>
      </x:c>
      <x:c r="G17" s="2" t="n">
        <x:v>252</x:v>
      </x:c>
      <x:c r="H17" s="2" t="n">
        <x:v>0</x:v>
      </x:c>
    </x:row>
    <x:row r="18" ht="24" customHeight="1">
      <x:c r="A18" s="2" t="str">
        <x:v>Ring_Prepare</x:v>
      </x:c>
      <x:c r="B18" s="2" t="str">
        <x:v>2..257</x:v>
      </x:c>
      <x:c r="C18" s="2" t="str">
        <x:v>0.000..227.000</x:v>
      </x:c>
      <x:c r="D18" s="11" t="n">
        <x:v>543.4603174603175</x:v>
      </x:c>
      <x:c r="E18" s="11" t="n">
        <x:v>6386.805555556118</x:v>
      </x:c>
      <x:c r="F18" s="11" t="n">
        <x:v>11172</x:v>
      </x:c>
      <x:c r="G18" s="2" t="n">
        <x:v>2</x:v>
      </x:c>
      <x:c r="H18" s="2" t="n">
        <x:v>225</x:v>
      </x:c>
    </x:row>
    <x:row r="19" ht="24" customHeight="1">
      <x:c r="A19" s="2" t="str">
        <x:v>Game_RingPatch</x:v>
      </x:c>
      <x:c r="B19" s="2" t="str">
        <x:v>2..259</x:v>
      </x:c>
      <x:c r="C19" s="2" t="str">
        <x:v>0.000..227.000</x:v>
      </x:c>
      <x:c r="D19" s="11" t="n">
        <x:v>158.24603174603175</x:v>
      </x:c>
      <x:c r="E19" s="11" t="n">
        <x:v>906.361111111052</x:v>
      </x:c>
      <x:c r="F19" s="11" t="n">
        <x:v>1940.3333333333333</x:v>
      </x:c>
      <x:c r="G19" s="2" t="n">
        <x:v>18</x:v>
      </x:c>
      <x:c r="H19" s="2" t="n">
        <x:v>225</x:v>
      </x:c>
    </x:row>
    <x:row r="20" ht="24" customHeight="1">
      <x:c r="A20" s="2" t="str">
        <x:v>Game_DirtyTileUpload</x:v>
      </x:c>
      <x:c r="B20" s="2" t="str">
        <x:v>0..260</x:v>
      </x:c>
      <x:c r="C20" s="2" t="str">
        <x:v>1.000..227.000</x:v>
      </x:c>
      <x:c r="D20" s="11" t="n">
        <x:v>36.07804232804233</x:v>
      </x:c>
      <x:c r="E20" s="11" t="n">
        <x:v>91.92195767160288</x:v>
      </x:c>
      <x:c r="F20" s="11" t="n">
        <x:v>145</x:v>
      </x:c>
      <x:c r="G20" s="2" t="n">
        <x:v>66</x:v>
      </x:c>
      <x:c r="H20" s="2" t="n">
        <x:v>185</x:v>
      </x:c>
    </x:row>
    <x:row r="21" ht="24" customHeight="1">
      <x:c r="A21" s="2" t="str">
        <x:v>Game_Radar</x:v>
      </x:c>
      <x:c r="B21" s="2" t="str">
        <x:v>0..261</x:v>
      </x:c>
      <x:c r="C21" s="2" t="str">
        <x:v>0.000..227.000</x:v>
      </x:c>
      <x:c r="D21" s="11" t="n">
        <x:v>1941.8624338624338</x:v>
      </x:c>
      <x:c r="E21" s="11" t="n">
        <x:v>3043.3875661376546</x:v>
      </x:c>
      <x:c r="F21" s="11" t="n">
        <x:v>6000</x:v>
      </x:c>
      <x:c r="G21" s="2" t="n">
        <x:v>57</x:v>
      </x:c>
      <x:c r="H21" s="2" t="n">
        <x:v>126</x:v>
      </x:c>
    </x:row>
    <x:row r="22" ht="24" customHeight="1">
      <x:c r="A22" s="2" t="str">
        <x:v>Game_RadarUpload</x:v>
      </x:c>
      <x:c r="B22" s="2" t="str">
        <x:v>0..259</x:v>
      </x:c>
      <x:c r="C22" s="2" t="str">
        <x:v>0.000..226.000</x:v>
      </x:c>
      <x:c r="D22" s="11" t="n">
        <x:v>568.4550264550264</x:v>
      </x:c>
      <x:c r="E22" s="11" t="n">
        <x:v>1143.1402116407735</x:v>
      </x:c>
      <x:c r="F22" s="11" t="n">
        <x:v>2336</x:v>
      </x:c>
      <x:c r="G22" s="2" t="n">
        <x:v>71</x:v>
      </x:c>
      <x:c r="H22" s="2" t="n">
        <x:v>157</x:v>
      </x:c>
    </x:row>
    <x:row r="23" ht="24" customHeight="1">
      <x:c r="A23" s="2" t="str">
        <x:v>Ring_UploadNames</x:v>
      </x:c>
      <x:c r="B23" s="2" t="str">
        <x:v>0..261</x:v>
      </x:c>
      <x:c r="C23" s="2" t="str">
        <x:v>0.000..227.000</x:v>
      </x:c>
      <x:c r="D23" s="11" t="n">
        <x:v>4227.349206349207</x:v>
      </x:c>
      <x:c r="E23" s="11" t="n">
        <x:v>9827.115079364696</x:v>
      </x:c>
      <x:c r="F23" s="11" t="n">
        <x:v>11172</x:v>
      </x:c>
      <x:c r="G23" s="2" t="n">
        <x:v>0</x:v>
      </x:c>
      <x:c r="H23" s="2" t="n">
        <x:v>86</x:v>
      </x:c>
    </x:row>
    <x:row r="24" ht="24" customHeight="1">
      <x:c r="A24" s="2" t="str">
        <x:v>hud_upload</x:v>
      </x:c>
      <x:c r="B24" s="2" t="str">
        <x:v>0..261</x:v>
      </x:c>
      <x:c r="C24" s="2" t="str">
        <x:v>1.000..226.000</x:v>
      </x:c>
      <x:c r="D24" s="11" t="n">
        <x:v>826.4312169312169</x:v>
      </x:c>
      <x:c r="E24" s="11" t="n">
        <x:v>1774.124338625758</x:v>
      </x:c>
      <x:c r="F24" s="11" t="n">
        <x:v>11172</x:v>
      </x:c>
      <x:c r="G24" s="2" t="n">
        <x:v>88</x:v>
      </x:c>
      <x:c r="H24" s="2" t="n">
        <x:v>132</x:v>
      </x:c>
    </x:row>
    <x:row r="25" ht="24" customHeight="1">
      <x:c r="A25" s="2" t="str">
        <x:v>GameAudio_Tick</x:v>
      </x:c>
      <x:c r="B25" s="2" t="str">
        <x:v>2..257</x:v>
      </x:c>
      <x:c r="C25" s="2" t="str">
        <x:v>0.000..227.000</x:v>
      </x:c>
      <x:c r="D25" s="11" t="n">
        <x:v>1486.0801526717557</x:v>
      </x:c>
      <x:c r="E25" s="11" t="n">
        <x:v>28.595419848195583</x:v>
      </x:c>
      <x:c r="F25" s="11" t="n">
        <x:v>4197</x:v>
      </x:c>
      <x:c r="G25" s="2" t="n">
        <x:v>254</x:v>
      </x:c>
      <x:c r="H25" s="2" t="n">
        <x:v>267</x:v>
      </x:c>
    </x:row>
    <x:row r="26" ht="24" customHeight="1">
      <x:c r="A26" s="2" t="str">
        <x:v>Session_SaveMotion</x:v>
      </x:c>
      <x:c r="B26" s="2" t="str">
        <x:v>15..156</x:v>
      </x:c>
      <x:c r="C26" s="2" t="str">
        <x:v>0.000..227.000</x:v>
      </x:c>
      <x:c r="D26" s="11" t="n">
        <x:v>55.213740458015266</x:v>
      </x:c>
      <x:c r="E26" s="11" t="n">
        <x:v>86.65648855032926</x:v>
      </x:c>
      <x:c r="F26" s="11" t="n">
        <x:v>1234</x:v>
      </x:c>
      <x:c r="G26" s="2" t="n">
        <x:v>83</x:v>
      </x:c>
      <x:c r="H26" s="2" t="n">
        <x:v>155</x:v>
      </x:c>
    </x:row>
    <x:row r="27" ht="24" customHeight="1">
      <x:c r="A27" s="2" t="str">
        <x:v>GameSession_ValidateMotion</x:v>
      </x:c>
      <x:c r="B27" s="2" t="str">
        <x:v>41..195</x:v>
      </x:c>
      <x:c r="C27" s="2" t="str">
        <x:v>0.000..227.000</x:v>
      </x:c>
      <x:c r="D27" s="11" t="n">
        <x:v>0</x:v>
      </x:c>
      <x:c r="E27" s="11" t="n">
        <x:v>52.10687022889388</x:v>
      </x:c>
      <x:c r="F27" s="11" t="n">
        <x:v>0</x:v>
      </x:c>
      <x:c r="G27" s="2" t="n">
        <x:v>0</x:v>
      </x:c>
      <x:c r="H27" s="2" t="n">
        <x:v>262</x:v>
      </x:c>
    </x:row>
    <x:row r="28" ht="24" customHeight="1">
      <x:c r="A28" s="2" t="str">
        <x:v>GameSession_SpecialFrame</x:v>
      </x:c>
      <x:c r="B28" s="2" t="str">
        <x:v>88..222</x:v>
      </x:c>
      <x:c r="C28" s="2" t="str">
        <x:v>0.000..227.000</x:v>
      </x:c>
      <x:c r="D28" s="11" t="n">
        <x:v>0</x:v>
      </x:c>
      <x:c r="E28" s="11" t="n">
        <x:v>60.74603174585435</x:v>
      </x:c>
      <x:c r="F28" s="11" t="n">
        <x:v>0</x:v>
      </x:c>
      <x:c r="G28" s="2" t="n">
        <x:v>0</x:v>
      </x:c>
      <x:c r="H28" s="2" t="n">
        <x:v>252</x:v>
      </x:c>
    </x:row>
    <x:row r="29" ht="24" customHeight="1">
      <x:c r="A29" s="2" t="str">
        <x:v>GameSession_SpecialOverlay</x:v>
      </x:c>
      <x:c r="B29" s="2" t="str">
        <x:v>0..261</x:v>
      </x:c>
      <x:c r="C29" s="2" t="str">
        <x:v>0.000..227.000</x:v>
      </x:c>
      <x:c r="D29" s="11" t="n">
        <x:v>31.75058275058275</x:v>
      </x:c>
      <x:c r="E29" s="11" t="n">
        <x:v>153.18648018773064</x:v>
      </x:c>
      <x:c r="F29" s="11" t="n">
        <x:v>318.3333333333333</x:v>
      </x:c>
      <x:c r="G29" s="2" t="n">
        <x:v>23</x:v>
      </x:c>
      <x:c r="H29" s="2" t="n">
        <x:v>119</x:v>
      </x:c>
    </x:row>
    <x:row r="30" ht="24" customHeight="1">
      <x:c r="A30" s="2" t="str">
        <x:v>GameSession_RadarColor</x:v>
      </x:c>
      <x:c r="B30" s="2" t="str">
        <x:v>0..261</x:v>
      </x:c>
      <x:c r="C30" s="2" t="str">
        <x:v>0.000..227.000</x:v>
      </x:c>
      <x:c r="D30" s="11" t="n">
        <x:v>83.0112433862434</x:v>
      </x:c>
      <x:c r="E30" s="11" t="n">
        <x:v>116.91038359818664</x:v>
      </x:c>
      <x:c r="F30" s="11" t="n">
        <x:v>378.3333333333333</x:v>
      </x:c>
      <x:c r="G30" s="2" t="n">
        <x:v>415</x:v>
      </x:c>
      <x:c r="H30" s="2" t="n">
        <x:v>587</x:v>
      </x:c>
    </x:row>
    <x:row r="31" ht="24" customHeight="1">
      <x:c r="A31" s="2" t="str">
        <x:v>GameSession_FlagNames</x:v>
      </x:c>
      <x:c r="B31" s="2" t="str">
        <x:v>0..261</x:v>
      </x:c>
      <x:c r="C31" s="2" t="str">
        <x:v>1.000..222.000</x:v>
      </x:c>
      <x:c r="D31" s="11" t="n">
        <x:v>140.12698412698413</x:v>
      </x:c>
      <x:c r="E31" s="11" t="n">
        <x:v>296.8849206354824</x:v>
      </x:c>
      <x:c r="F31" s="11" t="n">
        <x:v>524.3333333333334</x:v>
      </x:c>
      <x:c r="G31" s="2" t="n">
        <x:v>74</x:v>
      </x:c>
      <x:c r="H31" s="2" t="n">
        <x:v>168</x:v>
      </x:c>
    </x:row>
    <x:row r="32" ht="24" customHeight="1">
      <x:c r="A32" s="2" t="str">
        <x:v>GameSession_FlagUpload</x:v>
      </x:c>
      <x:c r="B32" s="2" t="str">
        <x:v>0..261</x:v>
      </x:c>
      <x:c r="C32" s="2" t="str">
        <x:v>0.000..227.000</x:v>
      </x:c>
      <x:c r="D32" s="11" t="n">
        <x:v>684.6137566137567</x:v>
      </x:c>
      <x:c r="E32" s="11" t="n">
        <x:v>1502.5013227518846</x:v>
      </x:c>
      <x:c r="F32" s="11" t="n">
        <x:v>5205</x:v>
      </x:c>
      <x:c r="G32" s="2" t="n">
        <x:v>82</x:v>
      </x:c>
      <x:c r="H32" s="2" t="n">
        <x:v>147</x:v>
      </x:c>
    </x:row>
    <x:row r="33" ht="24" customHeight="1">
      <x:c r="A33" s="2" t="str">
        <x:v>GameSession_LabelNames</x:v>
      </x:c>
      <x:c r="B33" s="2" t="str">
        <x:v>0..261</x:v>
      </x:c>
      <x:c r="C33" s="2" t="str">
        <x:v>0.000..226.000</x:v>
      </x:c>
      <x:c r="D33" s="11" t="n">
        <x:v>10.21031746031746</x:v>
      </x:c>
      <x:c r="E33" s="11" t="n">
        <x:v>20.78968253968254</x:v>
      </x:c>
      <x:c r="F33" s="11" t="n">
        <x:v>31</x:v>
      </x:c>
      <x:c r="G33" s="2" t="n">
        <x:v>83</x:v>
      </x:c>
      <x:c r="H33" s="2" t="n">
        <x:v>169</x:v>
      </x:c>
    </x:row>
    <x:row r="34" ht="24" customHeight="1">
      <x:c r="A34" s="2" t="str">
        <x:v>GameSession_LabelUpload</x:v>
      </x:c>
      <x:c r="B34" s="2" t="str">
        <x:v>0..261</x:v>
      </x:c>
      <x:c r="C34" s="2" t="str">
        <x:v>0.000..226.000</x:v>
      </x:c>
      <x:c r="D34" s="11" t="n">
        <x:v>10.333333333333334</x:v>
      </x:c>
      <x:c r="E34" s="11" t="n">
        <x:v>20.6666666667258</x:v>
      </x:c>
      <x:c r="F34" s="11" t="n">
        <x:v>31</x:v>
      </x:c>
      <x:c r="G34" s="2" t="n">
        <x:v>84</x:v>
      </x:c>
      <x:c r="H34" s="2" t="n">
        <x:v>168</x:v>
      </x:c>
    </x:row>
    <x:row r="35" ht="24" customHeight="1">
      <x:c r="A35" s="2" t="str">
        <x:v>GameSession_PopupFrame</x:v>
      </x:c>
      <x:c r="B35" s="2" t="str">
        <x:v>89..222</x:v>
      </x:c>
      <x:c r="C35" s="2" t="str">
        <x:v>0.000..227.000</x:v>
      </x:c>
      <x:c r="D35" s="11" t="n">
        <x:v>0</x:v>
      </x:c>
      <x:c r="E35" s="11" t="n">
        <x:v>87.99999999997043</x:v>
      </x:c>
      <x:c r="F35" s="11" t="n">
        <x:v>0</x:v>
      </x:c>
      <x:c r="G35" s="2" t="n">
        <x:v>0</x:v>
      </x:c>
      <x:c r="H35" s="2" t="n">
        <x:v>252</x:v>
      </x:c>
    </x:row>
    <x:row r="36" ht="24" customHeight="1">
      <x:c r="A36" s="2" t="str">
        <x:v>GameSession_PopupOverlay</x:v>
      </x:c>
      <x:c r="B36" s="2" t="str">
        <x:v>0..261</x:v>
      </x:c>
      <x:c r="C36" s="2" t="str">
        <x:v>5.000..227.000</x:v>
      </x:c>
      <x:c r="D36" s="11" t="n">
        <x:v>5.2027972027972025</x:v>
      </x:c>
      <x:c r="E36" s="11" t="n">
        <x:v>25.797202797098592</x:v>
      </x:c>
      <x:c r="F36" s="11" t="n">
        <x:v>31</x:v>
      </x:c>
      <x:c r="G36" s="2" t="n">
        <x:v>24</x:v>
      </x:c>
      <x:c r="H36" s="2" t="n">
        <x:v>119</x:v>
      </x:c>
    </x:row>
    <x:row r="37" ht="24" customHeight="1">
      <x:c r="A37" s="2" t="str">
        <x:v>GameSession_PopupUpload</x:v>
      </x:c>
      <x:c r="B37" s="2" t="str">
        <x:v>0..261</x:v>
      </x:c>
      <x:c r="C37" s="2" t="str">
        <x:v>0.000..227.000</x:v>
      </x:c>
      <x:c r="D37" s="11" t="n">
        <x:v>11.132275132275133</x:v>
      </x:c>
      <x:c r="E37" s="11" t="n">
        <x:v>20.665343915462177</x:v>
      </x:c>
      <x:c r="F37" s="11" t="n">
        <x:v>201.33333333333334</x:v>
      </x:c>
      <x:c r="G37" s="2" t="n">
        <x:v>84</x:v>
      </x:c>
      <x:c r="H37" s="2" t="n">
        <x:v>167</x:v>
      </x:c>
    </x:row>
    <x:row r="38" ht="24" customHeight="1">
      <x:c r="A38" s="2" t="str">
        <x:v>GameSession_AfterFrame</x:v>
      </x:c>
      <x:c r="B38" s="2" t="str">
        <x:v>88..222</x:v>
      </x:c>
      <x:c r="C38" s="2" t="str">
        <x:v>0.000..227.000</x:v>
      </x:c>
      <x:c r="D38" s="11" t="n">
        <x:v>0</x:v>
      </x:c>
      <x:c r="E38" s="11" t="n">
        <x:v>209.7460317455587</x:v>
      </x:c>
      <x:c r="F38" s="11" t="n">
        <x:v>0</x:v>
      </x:c>
      <x:c r="G38" s="2" t="n">
        <x:v>0</x:v>
      </x:c>
      <x:c r="H38" s="2" t="n">
        <x:v>252</x:v>
      </x:c>
    </x:row>
    <x:row r="39" ht="24" customHeight="1">
      <x:c r="A39" s="2" t="str">
        <x:v>clock_irq</x:v>
      </x:c>
      <x:c r="B39" s="2" t="str">
        <x:v>244..244</x:v>
      </x:c>
      <x:c r="C39" s="2" t="str">
        <x:v>64.000..151.000</x:v>
      </x:c>
      <x:c r="D39" s="11" t="n">
        <x:v>171</x:v>
      </x:c>
      <x:c r="E39" s="11" t="n">
        <x:v>8.547511201059841e-10</x:v>
      </x:c>
      <x:c r="F39" s="11" t="n">
        <x:v>171</x:v>
      </x:c>
      <x:c r="G39" s="2" t="n">
        <x:v>523</x:v>
      </x:c>
      <x:c r="H39" s="2" t="n">
        <x:v>0</x:v>
      </x:c>
    </x:row>
    <x:row r="40" ht="24" customHeight="1">
      <x:c r="A40" s="2"/>
      <x:c r="B40" s="2"/>
      <x:c r="C40" s="2"/>
      <x:c r="D40" s="2"/>
      <x:c r="E40" s="2"/>
      <x:c r="F40" s="2"/>
      <x:c r="G40" s="2"/>
      <x:c r="H40" s="2"/>
    </x:row>
    <x:row r="41" ht="24" customHeight="1">
      <x:c r="A41" s="2"/>
      <x:c r="B41" s="2"/>
      <x:c r="C41" s="2"/>
      <x:c r="D41" s="2"/>
      <x:c r="E41" s="2"/>
      <x:c r="F41" s="2"/>
      <x:c r="G41" s="2"/>
      <x:c r="H41" s="2"/>
    </x:row>
    <x:row r="42" ht="24" customHeight="1">
      <x:c r="A42" s="2" t="str">
        <x:v>VR rises at line244 cycle33.667 and falls next line31 cycle33.667.</x:v>
      </x:c>
      <x:c r="B42" s="2"/>
      <x:c r="C42" s="2"/>
      <x:c r="D42" s="2"/>
      <x:c r="E42" s="2"/>
      <x:c r="F42" s="2"/>
      <x:c r="G42" s="2"/>
      <x:c r="H42" s="2"/>
    </x:row>
    <x:row r="43" ht="24" customHeight="1">
      <x:c r="A43" s="2" t="str">
        <x:v>Gameplay logic, PSG and inactive-table drawing run in foreground, including visible scanlines.</x:v>
      </x:c>
      <x:c r="B43" s="2"/>
      <x:c r="C43" s="2"/>
      <x:c r="D43" s="2"/>
      <x:c r="E43" s="2"/>
      <x:c r="F43" s="2"/>
      <x:c r="G43" s="2"/>
      <x:c r="H43" s="2"/>
    </x:row>
    <x:row r="44" ht="24" customHeight="1">
      <x:c r="A44" s="2" t="str">
        <x:v>Active VBlank IRQ acknowledges VDP status and advances the clock. UI additionally latches keys in its IRQ.</x:v>
      </x:c>
      <x:c r="B44" s="2"/>
      <x:c r="C44" s="2"/>
      <x:c r="D44" s="2"/>
      <x:c r="E44" s="2"/>
      <x:c r="F44" s="2"/>
      <x:c r="G44" s="2"/>
      <x:c r="H44" s="2"/>
    </x:row>
    <x:row r="45" ht="24" customHeight="1">
      <x:c r="A45" s="2" t="str">
        <x:v>Commit publishes display registers and sprite attribute tables after HALT. See observed endpoints above.</x:v>
      </x:c>
      <x:c r="B45" s="2"/>
      <x:c r="C45" s="2"/>
      <x:c r="D45" s="2"/>
      <x:c r="E45" s="2"/>
      <x:c r="F45" s="2"/>
      <x:c r="G45" s="2"/>
      <x:c r="H45" s="2"/>
    </x:row>
    <x:row r="46" ht="24" customHeight="1">
      <x:c r="A46" s="2" t="str">
        <x:v>Inclusive spans may cross VBlank. In/outside partitions do not establish a safe VRAM transfer allowance.</x:v>
      </x:c>
      <x:c r="B46" s="2"/>
      <x:c r="C46" s="2"/>
      <x:c r="D46" s="2"/>
      <x:c r="E46" s="2"/>
      <x:c r="F46" s="2"/>
      <x:c r="G46" s="2"/>
      <x:c r="H46" s="2"/>
    </x:row>
    <x:row r="47" ht="24" customHeight="1">
      <x:c r="A47" s="2" t="str">
        <x:v>UI/cold restoration and flag-capture costs are separate event samples in Events; excluded from active FPS.</x:v>
      </x:c>
      <x:c r="B47" s="2"/>
      <x:c r="C47" s="2"/>
      <x:c r="D47" s="2"/>
      <x:c r="E47" s="2"/>
      <x:c r="F47" s="2"/>
      <x:c r="G47" s="2"/>
      <x:c r="H47" s="2"/>
    </x:row>
    <x:row r="48" ht="24" customHeight="1">
      <x:c r="A48" s="2"/>
      <x:c r="B48" s="2"/>
      <x:c r="C48" s="2"/>
      <x:c r="D48" s="2"/>
      <x:c r="E48" s="2"/>
      <x:c r="F48" s="2"/>
      <x:c r="G48" s="2"/>
      <x:c r="H48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18" hidden="0" customWidth="1"/>
    <x:col min="5" max="5" width="19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5" hidden="0" customWidth="1"/>
    <x:col min="11" max="11" width="12" hidden="0" customWidth="1"/>
    <x:col min="12" max="12" width="12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24" customHeight="1">
      <x:c r="A2" s="3" t="str">
        <x:v>Active frame observations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4" customHeight="1">
      <x:c r="A3" s="2" t="str">
        <x:v>Raw guest cycles, native VDP cadence and camera endpoints; same recorded workload as the routine ledger.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4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36" customHeight="1">
      <x:c r="A5" s="7" t="str">
        <x:v>Frame</x:v>
      </x:c>
      <x:c r="B5" s="7" t="str">
        <x:v>Refreshes</x:v>
      </x:c>
      <x:c r="C5" s="7" t="str">
        <x:v>Interval cycles</x:v>
      </x:c>
      <x:c r="D5" s="7" t="str">
        <x:v>CPU work cycles</x:v>
      </x:c>
      <x:c r="E5" s="7" t="str">
        <x:v>Readiness margin cycles</x:v>
      </x:c>
      <x:c r="F5" s="7" t="str">
        <x:v>Game_Prepare cycles</x:v>
      </x:c>
      <x:c r="G5" s="7" t="str">
        <x:v>Render cycles</x:v>
      </x:c>
      <x:c r="H5" s="7" t="str">
        <x:v>Wait cycles</x:v>
      </x:c>
      <x:c r="I5" s="7" t="str">
        <x:v>Commit cycles</x:v>
      </x:c>
      <x:c r="J5" s="7" t="str">
        <x:v>Untracked cycles</x:v>
      </x:c>
      <x:c r="K5" s="7" t="str">
        <x:v>Camera X</x:v>
      </x:c>
      <x:c r="L5" s="7" t="str">
        <x:v>Camera Y</x:v>
      </x:c>
    </x:row>
    <x:row r="6" ht="24" customHeight="1">
      <x:c r="A6" s="2" t="n">
        <x:v>5</x:v>
      </x:c>
      <x:c r="B6" s="2" t="n">
        <x:v>2</x:v>
      </x:c>
      <x:c r="C6" s="11" t="n">
        <x:v>116655</x:v>
      </x:c>
      <x:c r="D6" s="11" t="n">
        <x:v>71373</x:v>
      </x:c>
      <x:c r="E6" s="11" t="n">
        <x:v>45065.66666666418</x:v>
      </x:c>
      <x:c r="F6" s="11" t="n">
        <x:v>38575</x:v>
      </x:c>
      <x:c r="G6" s="11" t="n">
        <x:v>28574.99999999255</x:v>
      </x:c>
      <x:c r="H6" s="11" t="n">
        <x:v>45282</x:v>
      </x:c>
      <x:c r="I6" s="11" t="n">
        <x:v>4116.999999992549</x:v>
      </x:c>
      <x:c r="J6" s="11" t="n">
        <x:v>106.00000001490116</x:v>
      </x:c>
      <x:c r="K6" s="2" t="n">
        <x:v>292</x:v>
      </x:c>
      <x:c r="L6" s="2" t="n">
        <x:v>1107</x:v>
      </x:c>
    </x:row>
    <x:row r="7" ht="24" customHeight="1">
      <x:c r="A7" s="2" t="n">
        <x:v>6</x:v>
      </x:c>
      <x:c r="B7" s="2" t="n">
        <x:v>2</x:v>
      </x:c>
      <x:c r="C7" s="11" t="n">
        <x:v>119471</x:v>
      </x:c>
      <x:c r="D7" s="11" t="n">
        <x:v>80913.99999999255</x:v>
      </x:c>
      <x:c r="E7" s="11" t="n">
        <x:v>38341.66666666418</x:v>
      </x:c>
      <x:c r="F7" s="11" t="n">
        <x:v>36634.00000000745</x:v>
      </x:c>
      <x:c r="G7" s="11" t="n">
        <x:v>40057.00000000745</x:v>
      </x:c>
      <x:c r="H7" s="11" t="n">
        <x:v>38557.00000000745</x:v>
      </x:c>
      <x:c r="I7" s="11" t="n">
        <x:v>4117</x:v>
      </x:c>
      <x:c r="J7" s="11" t="n">
        <x:v>105.99999997764826</x:v>
      </x:c>
      <x:c r="K7" s="2" t="n">
        <x:v>292</x:v>
      </x:c>
      <x:c r="L7" s="2" t="n">
        <x:v>1103</x:v>
      </x:c>
    </x:row>
    <x:row r="8" ht="24" customHeight="1">
      <x:c r="A8" s="2" t="n">
        <x:v>7</x:v>
      </x:c>
      <x:c r="B8" s="2" t="n">
        <x:v>2</x:v>
      </x:c>
      <x:c r="C8" s="11" t="n">
        <x:v>119469</x:v>
      </x:c>
      <x:c r="D8" s="11" t="n">
        <x:v>71042</x:v>
      </x:c>
      <x:c r="E8" s="11" t="n">
        <x:v>48214.66666666418</x:v>
      </x:c>
      <x:c r="F8" s="11" t="n">
        <x:v>38244</x:v>
      </x:c>
      <x:c r="G8" s="11" t="n">
        <x:v>28574.99999999255</x:v>
      </x:c>
      <x:c r="H8" s="11" t="n">
        <x:v>48427</x:v>
      </x:c>
      <x:c r="I8" s="11" t="n">
        <x:v>4117</x:v>
      </x:c>
      <x:c r="J8" s="11" t="n">
        <x:v>106.00000000745058</x:v>
      </x:c>
      <x:c r="K8" s="2" t="n">
        <x:v>292</x:v>
      </x:c>
      <x:c r="L8" s="2" t="n">
        <x:v>1099</x:v>
      </x:c>
    </x:row>
    <x:row r="9" ht="24" customHeight="1">
      <x:c r="A9" s="2" t="n">
        <x:v>8</x:v>
      </x:c>
      <x:c r="B9" s="2" t="n">
        <x:v>2</x:v>
      </x:c>
      <x:c r="C9" s="11" t="n">
        <x:v>119472.99999999255</x:v>
      </x:c>
      <x:c r="D9" s="11" t="n">
        <x:v>82921</x:v>
      </x:c>
      <x:c r="E9" s="11" t="n">
        <x:v>36338.66666666418</x:v>
      </x:c>
      <x:c r="F9" s="11" t="n">
        <x:v>38641.00000000745</x:v>
      </x:c>
      <x:c r="G9" s="11" t="n">
        <x:v>40057</x:v>
      </x:c>
      <x:c r="H9" s="11" t="n">
        <x:v>36551.99999999255</x:v>
      </x:c>
      <x:c r="I9" s="11" t="n">
        <x:v>4117</x:v>
      </x:c>
      <x:c r="J9" s="11" t="n">
        <x:v>105.99999999254942</x:v>
      </x:c>
      <x:c r="K9" s="2" t="n">
        <x:v>292</x:v>
      </x:c>
      <x:c r="L9" s="2" t="n">
        <x:v>1095</x:v>
      </x:c>
    </x:row>
    <x:row r="10" ht="24" customHeight="1">
      <x:c r="A10" s="2" t="n">
        <x:v>9</x:v>
      </x:c>
      <x:c r="B10" s="2" t="n">
        <x:v>2</x:v>
      </x:c>
      <x:c r="C10" s="11" t="n">
        <x:v>119473</x:v>
      </x:c>
      <x:c r="D10" s="11" t="n">
        <x:v>70601</x:v>
      </x:c>
      <x:c r="E10" s="11" t="n">
        <x:v>48657.66666666418</x:v>
      </x:c>
      <x:c r="F10" s="11" t="n">
        <x:v>37803</x:v>
      </x:c>
      <x:c r="G10" s="11" t="n">
        <x:v>28575</x:v>
      </x:c>
      <x:c r="H10" s="11" t="n">
        <x:v>48872</x:v>
      </x:c>
      <x:c r="I10" s="11" t="n">
        <x:v>4117.000000007451</x:v>
      </x:c>
      <x:c r="J10" s="11" t="n">
        <x:v>105.99999999254942</x:v>
      </x:c>
      <x:c r="K10" s="2" t="n">
        <x:v>292</x:v>
      </x:c>
      <x:c r="L10" s="2" t="n">
        <x:v>1091</x:v>
      </x:c>
    </x:row>
    <x:row r="11" ht="24" customHeight="1">
      <x:c r="A11" s="2" t="n">
        <x:v>10</x:v>
      </x:c>
      <x:c r="B11" s="2" t="n">
        <x:v>2</x:v>
      </x:c>
      <x:c r="C11" s="11" t="n">
        <x:v>119471</x:v>
      </x:c>
      <x:c r="D11" s="11" t="n">
        <x:v>84274</x:v>
      </x:c>
      <x:c r="E11" s="11" t="n">
        <x:v>34983.66666666418</x:v>
      </x:c>
      <x:c r="F11" s="11" t="n">
        <x:v>34925</x:v>
      </x:c>
      <x:c r="G11" s="11" t="n">
        <x:v>45126.00000000745</x:v>
      </x:c>
      <x:c r="H11" s="11" t="n">
        <x:v>35197</x:v>
      </x:c>
      <x:c r="I11" s="11" t="n">
        <x:v>4117</x:v>
      </x:c>
      <x:c r="J11" s="11" t="n">
        <x:v>105.99999999254942</x:v>
      </x:c>
      <x:c r="K11" s="2" t="n">
        <x:v>292</x:v>
      </x:c>
      <x:c r="L11" s="2" t="n">
        <x:v>1087</x:v>
      </x:c>
    </x:row>
    <x:row r="12" ht="24" customHeight="1">
      <x:c r="A12" s="2" t="n">
        <x:v>11</x:v>
      </x:c>
      <x:c r="B12" s="2" t="n">
        <x:v>2</x:v>
      </x:c>
      <x:c r="C12" s="11" t="n">
        <x:v>119474</x:v>
      </x:c>
      <x:c r="D12" s="11" t="n">
        <x:v>75582</x:v>
      </x:c>
      <x:c r="E12" s="11" t="n">
        <x:v>43676.66666666418</x:v>
      </x:c>
      <x:c r="F12" s="11" t="n">
        <x:v>38143.99999999255</x:v>
      </x:c>
      <x:c r="G12" s="11" t="n">
        <x:v>33215</x:v>
      </x:c>
      <x:c r="H12" s="11" t="n">
        <x:v>43892</x:v>
      </x:c>
      <x:c r="I12" s="11" t="n">
        <x:v>4117</x:v>
      </x:c>
      <x:c r="J12" s="11" t="n">
        <x:v>106.00000000745058</x:v>
      </x:c>
      <x:c r="K12" s="2" t="n">
        <x:v>292</x:v>
      </x:c>
      <x:c r="L12" s="2" t="n">
        <x:v>1083</x:v>
      </x:c>
    </x:row>
    <x:row r="13" ht="24" customHeight="1">
      <x:c r="A13" s="2" t="n">
        <x:v>12</x:v>
      </x:c>
      <x:c r="B13" s="2" t="n">
        <x:v>2</x:v>
      </x:c>
      <x:c r="C13" s="11" t="n">
        <x:v>119471</x:v>
      </x:c>
      <x:c r="D13" s="11" t="n">
        <x:v>113809.00000000745</x:v>
      </x:c>
      <x:c r="E13" s="11" t="n">
        <x:v>5447.666666664183</x:v>
      </x:c>
      <x:c r="F13" s="11" t="n">
        <x:v>68826</x:v>
      </x:c>
      <x:c r="G13" s="11" t="n">
        <x:v>40760</x:v>
      </x:c>
      <x:c r="H13" s="11" t="n">
        <x:v>5661.999999992549</x:v>
      </x:c>
      <x:c r="I13" s="11" t="n">
        <x:v>4117</x:v>
      </x:c>
      <x:c r="J13" s="11" t="n">
        <x:v>106.00000000745058</x:v>
      </x:c>
      <x:c r="K13" s="2" t="n">
        <x:v>292</x:v>
      </x:c>
      <x:c r="L13" s="2" t="n">
        <x:v>1079</x:v>
      </x:c>
    </x:row>
    <x:row r="14" ht="24" customHeight="1">
      <x:c r="A14" s="2" t="n">
        <x:v>13</x:v>
      </x:c>
      <x:c r="B14" s="2" t="n">
        <x:v>2</x:v>
      </x:c>
      <x:c r="C14" s="11" t="n">
        <x:v>119470.00000000745</x:v>
      </x:c>
      <x:c r="D14" s="11" t="n">
        <x:v>99073.00000000745</x:v>
      </x:c>
      <x:c r="E14" s="11" t="n">
        <x:v>20184.666666664183</x:v>
      </x:c>
      <x:c r="F14" s="11" t="n">
        <x:v>66464</x:v>
      </x:c>
      <x:c r="G14" s="11" t="n">
        <x:v>28386</x:v>
      </x:c>
      <x:c r="H14" s="11" t="n">
        <x:v>20397</x:v>
      </x:c>
      <x:c r="I14" s="11" t="n">
        <x:v>4117</x:v>
      </x:c>
      <x:c r="J14" s="11" t="n">
        <x:v>106.00000000745058</x:v>
      </x:c>
      <x:c r="K14" s="2" t="n">
        <x:v>292</x:v>
      </x:c>
      <x:c r="L14" s="2" t="n">
        <x:v>1075</x:v>
      </x:c>
    </x:row>
    <x:row r="15" ht="24" customHeight="1">
      <x:c r="A15" s="2" t="n">
        <x:v>14</x:v>
      </x:c>
      <x:c r="B15" s="2" t="n">
        <x:v>2</x:v>
      </x:c>
      <x:c r="C15" s="11" t="n">
        <x:v>119472</x:v>
      </x:c>
      <x:c r="D15" s="11" t="n">
        <x:v>107505</x:v>
      </x:c>
      <x:c r="E15" s="11" t="n">
        <x:v>11754.666666664183</x:v>
      </x:c>
      <x:c r="F15" s="11" t="n">
        <x:v>62521.99999999255</x:v>
      </x:c>
      <x:c r="G15" s="11" t="n">
        <x:v>40759.99999999255</x:v>
      </x:c>
      <x:c r="H15" s="11" t="n">
        <x:v>11967</x:v>
      </x:c>
      <x:c r="I15" s="11" t="n">
        <x:v>4117</x:v>
      </x:c>
      <x:c r="J15" s="11" t="n">
        <x:v>106.00000001490116</x:v>
      </x:c>
      <x:c r="K15" s="2" t="n">
        <x:v>292</x:v>
      </x:c>
      <x:c r="L15" s="2" t="n">
        <x:v>1071</x:v>
      </x:c>
    </x:row>
    <x:row r="16" ht="24" customHeight="1">
      <x:c r="A16" s="2" t="n">
        <x:v>15</x:v>
      </x:c>
      <x:c r="B16" s="2" t="n">
        <x:v>2</x:v>
      </x:c>
      <x:c r="C16" s="11" t="n">
        <x:v>119475</x:v>
      </x:c>
      <x:c r="D16" s="11" t="n">
        <x:v>92212.99999999255</x:v>
      </x:c>
      <x:c r="E16" s="11" t="n">
        <x:v>27046.666666664183</x:v>
      </x:c>
      <x:c r="F16" s="11" t="n">
        <x:v>59604.00000000745</x:v>
      </x:c>
      <x:c r="G16" s="11" t="n">
        <x:v>28386.00000000745</x:v>
      </x:c>
      <x:c r="H16" s="11" t="n">
        <x:v>27262.00000000745</x:v>
      </x:c>
      <x:c r="I16" s="11" t="n">
        <x:v>4117</x:v>
      </x:c>
      <x:c r="J16" s="11" t="n">
        <x:v>105.99999997764826</x:v>
      </x:c>
      <x:c r="K16" s="2" t="n">
        <x:v>292</x:v>
      </x:c>
      <x:c r="L16" s="2" t="n">
        <x:v>1067</x:v>
      </x:c>
    </x:row>
    <x:row r="17" ht="24" customHeight="1">
      <x:c r="A17" s="2" t="n">
        <x:v>16</x:v>
      </x:c>
      <x:c r="B17" s="2" t="n">
        <x:v>2</x:v>
      </x:c>
      <x:c r="C17" s="11" t="n">
        <x:v>119473</x:v>
      </x:c>
      <x:c r="D17" s="11" t="n">
        <x:v>80701</x:v>
      </x:c>
      <x:c r="E17" s="11" t="n">
        <x:v>38555.66666666418</x:v>
      </x:c>
      <x:c r="F17" s="11" t="n">
        <x:v>35517</x:v>
      </x:c>
      <x:c r="G17" s="11" t="n">
        <x:v>40961</x:v>
      </x:c>
      <x:c r="H17" s="11" t="n">
        <x:v>38772</x:v>
      </x:c>
      <x:c r="I17" s="11" t="n">
        <x:v>4117</x:v>
      </x:c>
      <x:c r="J17" s="11" t="n">
        <x:v>106</x:v>
      </x:c>
      <x:c r="K17" s="2" t="n">
        <x:v>292</x:v>
      </x:c>
      <x:c r="L17" s="2" t="n">
        <x:v>1063</x:v>
      </x:c>
    </x:row>
    <x:row r="18" ht="24" customHeight="1">
      <x:c r="A18" s="2" t="n">
        <x:v>17</x:v>
      </x:c>
      <x:c r="B18" s="2" t="n">
        <x:v>2</x:v>
      </x:c>
      <x:c r="C18" s="11" t="n">
        <x:v>119472</x:v>
      </x:c>
      <x:c r="D18" s="11" t="n">
        <x:v>68840</x:v>
      </x:c>
      <x:c r="E18" s="11" t="n">
        <x:v>50415.66666666418</x:v>
      </x:c>
      <x:c r="F18" s="11" t="n">
        <x:v>36030.00000000745</x:v>
      </x:c>
      <x:c r="G18" s="11" t="n">
        <x:v>28587</x:v>
      </x:c>
      <x:c r="H18" s="11" t="n">
        <x:v>50632</x:v>
      </x:c>
      <x:c r="I18" s="11" t="n">
        <x:v>4117</x:v>
      </x:c>
      <x:c r="J18" s="11" t="n">
        <x:v>105.99999999254942</x:v>
      </x:c>
      <x:c r="K18" s="2" t="n">
        <x:v>292</x:v>
      </x:c>
      <x:c r="L18" s="2" t="n">
        <x:v>1059</x:v>
      </x:c>
    </x:row>
    <x:row r="19" ht="24" customHeight="1">
      <x:c r="A19" s="2" t="n">
        <x:v>18</x:v>
      </x:c>
      <x:c r="B19" s="2" t="n">
        <x:v>2</x:v>
      </x:c>
      <x:c r="C19" s="11" t="n">
        <x:v>119470.99999999255</x:v>
      </x:c>
      <x:c r="D19" s="11" t="n">
        <x:v>84339</x:v>
      </x:c>
      <x:c r="E19" s="11" t="n">
        <x:v>34916.66666666418</x:v>
      </x:c>
      <x:c r="F19" s="11" t="n">
        <x:v>34176.99999999255</x:v>
      </x:c>
      <x:c r="G19" s="11" t="n">
        <x:v>45938.99999999255</x:v>
      </x:c>
      <x:c r="H19" s="11" t="n">
        <x:v>35131.99999999255</x:v>
      </x:c>
      <x:c r="I19" s="11" t="n">
        <x:v>4117</x:v>
      </x:c>
      <x:c r="J19" s="11" t="n">
        <x:v>106.00000001490116</x:v>
      </x:c>
      <x:c r="K19" s="2" t="n">
        <x:v>292</x:v>
      </x:c>
      <x:c r="L19" s="2" t="n">
        <x:v>1055</x:v>
      </x:c>
    </x:row>
    <x:row r="20" ht="24" customHeight="1">
      <x:c r="A20" s="2" t="n">
        <x:v>19</x:v>
      </x:c>
      <x:c r="B20" s="2" t="n">
        <x:v>2</x:v>
      </x:c>
      <x:c r="C20" s="11" t="n">
        <x:v>119470</x:v>
      </x:c>
      <x:c r="D20" s="11" t="n">
        <x:v>73138</x:v>
      </x:c>
      <x:c r="E20" s="11" t="n">
        <x:v>46118.66666666418</x:v>
      </x:c>
      <x:c r="F20" s="11" t="n">
        <x:v>35721</x:v>
      </x:c>
      <x:c r="G20" s="11" t="n">
        <x:v>33194.00000000745</x:v>
      </x:c>
      <x:c r="H20" s="11" t="n">
        <x:v>46332</x:v>
      </x:c>
      <x:c r="I20" s="11" t="n">
        <x:v>4117</x:v>
      </x:c>
      <x:c r="J20" s="11" t="n">
        <x:v>105.99999999254942</x:v>
      </x:c>
      <x:c r="K20" s="2" t="n">
        <x:v>292</x:v>
      </x:c>
      <x:c r="L20" s="2" t="n">
        <x:v>1051</x:v>
      </x:c>
    </x:row>
    <x:row r="21" ht="24" customHeight="1">
      <x:c r="A21" s="2" t="n">
        <x:v>20</x:v>
      </x:c>
      <x:c r="B21" s="2" t="n">
        <x:v>2</x:v>
      </x:c>
      <x:c r="C21" s="11" t="n">
        <x:v>119475</x:v>
      </x:c>
      <x:c r="D21" s="11" t="n">
        <x:v>81288</x:v>
      </x:c>
      <x:c r="E21" s="11" t="n">
        <x:v>37970.66666666418</x:v>
      </x:c>
      <x:c r="F21" s="11" t="n">
        <x:v>36145</x:v>
      </x:c>
      <x:c r="G21" s="11" t="n">
        <x:v>40920.00000000745</x:v>
      </x:c>
      <x:c r="H21" s="11" t="n">
        <x:v>38187</x:v>
      </x:c>
      <x:c r="I21" s="11" t="n">
        <x:v>4117</x:v>
      </x:c>
      <x:c r="J21" s="11" t="n">
        <x:v>105.99999999254942</x:v>
      </x:c>
      <x:c r="K21" s="2" t="n">
        <x:v>292</x:v>
      </x:c>
      <x:c r="L21" s="2" t="n">
        <x:v>1047</x:v>
      </x:c>
    </x:row>
    <x:row r="22" ht="24" customHeight="1">
      <x:c r="A22" s="2" t="n">
        <x:v>21</x:v>
      </x:c>
      <x:c r="B22" s="2" t="n">
        <x:v>2</x:v>
      </x:c>
      <x:c r="C22" s="11" t="n">
        <x:v>119468.00000000745</x:v>
      </x:c>
      <x:c r="D22" s="11" t="n">
        <x:v>68096.00000000745</x:v>
      </x:c>
      <x:c r="E22" s="11" t="n">
        <x:v>51159.66666666418</x:v>
      </x:c>
      <x:c r="F22" s="11" t="n">
        <x:v>35297.99999999255</x:v>
      </x:c>
      <x:c r="G22" s="11" t="n">
        <x:v>28575</x:v>
      </x:c>
      <x:c r="H22" s="11" t="n">
        <x:v>51372</x:v>
      </x:c>
      <x:c r="I22" s="11" t="n">
        <x:v>4117.000000007451</x:v>
      </x:c>
      <x:c r="J22" s="11" t="n">
        <x:v>106.00000000745058</x:v>
      </x:c>
      <x:c r="K22" s="2" t="n">
        <x:v>292</x:v>
      </x:c>
      <x:c r="L22" s="2" t="n">
        <x:v>1043</x:v>
      </x:c>
    </x:row>
    <x:row r="23" ht="24" customHeight="1">
      <x:c r="A23" s="2" t="n">
        <x:v>22</x:v>
      </x:c>
      <x:c r="B23" s="2" t="n">
        <x:v>2</x:v>
      </x:c>
      <x:c r="C23" s="11" t="n">
        <x:v>119474.99999999255</x:v>
      </x:c>
      <x:c r="D23" s="11" t="n">
        <x:v>77492.9999999851</x:v>
      </x:c>
      <x:c r="E23" s="11" t="n">
        <x:v>41766.66666666418</x:v>
      </x:c>
      <x:c r="F23" s="11" t="n">
        <x:v>32350</x:v>
      </x:c>
      <x:c r="G23" s="11" t="n">
        <x:v>40920.00000000745</x:v>
      </x:c>
      <x:c r="H23" s="11" t="n">
        <x:v>41982.00000000745</x:v>
      </x:c>
      <x:c r="I23" s="11" t="n">
        <x:v>4117.000000007451</x:v>
      </x:c>
      <x:c r="J23" s="11" t="n">
        <x:v>105.99999997019768</x:v>
      </x:c>
      <x:c r="K23" s="2" t="n">
        <x:v>292</x:v>
      </x:c>
      <x:c r="L23" s="2" t="n">
        <x:v>1039</x:v>
      </x:c>
    </x:row>
    <x:row r="24" ht="24" customHeight="1">
      <x:c r="A24" s="2" t="n">
        <x:v>23</x:v>
      </x:c>
      <x:c r="B24" s="2" t="n">
        <x:v>2</x:v>
      </x:c>
      <x:c r="C24" s="11" t="n">
        <x:v>119469.00000000745</x:v>
      </x:c>
      <x:c r="D24" s="11" t="n">
        <x:v>68437</x:v>
      </x:c>
      <x:c r="E24" s="11" t="n">
        <x:v>50819.66666666418</x:v>
      </x:c>
      <x:c r="F24" s="11" t="n">
        <x:v>35639</x:v>
      </x:c>
      <x:c r="G24" s="11" t="n">
        <x:v>28575.00000000745</x:v>
      </x:c>
      <x:c r="H24" s="11" t="n">
        <x:v>51032.00000000745</x:v>
      </x:c>
      <x:c r="I24" s="11" t="n">
        <x:v>4117</x:v>
      </x:c>
      <x:c r="J24" s="11" t="n">
        <x:v>105.99999999254942</x:v>
      </x:c>
      <x:c r="K24" s="2" t="n">
        <x:v>292</x:v>
      </x:c>
      <x:c r="L24" s="2" t="n">
        <x:v>1035</x:v>
      </x:c>
    </x:row>
    <x:row r="25" ht="24" customHeight="1">
      <x:c r="A25" s="2" t="n">
        <x:v>24</x:v>
      </x:c>
      <x:c r="B25" s="2" t="n">
        <x:v>2</x:v>
      </x:c>
      <x:c r="C25" s="11" t="n">
        <x:v>119471.99999999255</x:v>
      </x:c>
      <x:c r="D25" s="11" t="n">
        <x:v>81230</x:v>
      </x:c>
      <x:c r="E25" s="11" t="n">
        <x:v>38029.66666666418</x:v>
      </x:c>
      <x:c r="F25" s="11" t="n">
        <x:v>36087</x:v>
      </x:c>
      <x:c r="G25" s="11" t="n">
        <x:v>40919.99999999255</x:v>
      </x:c>
      <x:c r="H25" s="11" t="n">
        <x:v>38241.99999999255</x:v>
      </x:c>
      <x:c r="I25" s="11" t="n">
        <x:v>4117</x:v>
      </x:c>
      <x:c r="J25" s="11" t="n">
        <x:v>106.00000000745058</x:v>
      </x:c>
      <x:c r="K25" s="2" t="n">
        <x:v>292</x:v>
      </x:c>
      <x:c r="L25" s="2" t="n">
        <x:v>1031</x:v>
      </x:c>
    </x:row>
    <x:row r="26" ht="24" customHeight="1">
      <x:c r="A26" s="2" t="n">
        <x:v>25</x:v>
      </x:c>
      <x:c r="B26" s="2" t="n">
        <x:v>2</x:v>
      </x:c>
      <x:c r="C26" s="11" t="n">
        <x:v>119472.00000000745</x:v>
      </x:c>
      <x:c r="D26" s="11" t="n">
        <x:v>68950.00000000745</x:v>
      </x:c>
      <x:c r="E26" s="11" t="n">
        <x:v>50309.66666666418</x:v>
      </x:c>
      <x:c r="F26" s="11" t="n">
        <x:v>36151.99999999255</x:v>
      </x:c>
      <x:c r="G26" s="11" t="n">
        <x:v>28574.99999999255</x:v>
      </x:c>
      <x:c r="H26" s="11" t="n">
        <x:v>50522</x:v>
      </x:c>
      <x:c r="I26" s="11" t="n">
        <x:v>4117</x:v>
      </x:c>
      <x:c r="J26" s="11" t="n">
        <x:v>106.00000002235174</x:v>
      </x:c>
      <x:c r="K26" s="2" t="n">
        <x:v>292</x:v>
      </x:c>
      <x:c r="L26" s="2" t="n">
        <x:v>1027</x:v>
      </x:c>
    </x:row>
    <x:row r="27" ht="24" customHeight="1">
      <x:c r="A27" s="2" t="n">
        <x:v>26</x:v>
      </x:c>
      <x:c r="B27" s="2" t="n">
        <x:v>2</x:v>
      </x:c>
      <x:c r="C27" s="11" t="n">
        <x:v>119474</x:v>
      </x:c>
      <x:c r="D27" s="11" t="n">
        <x:v>84427</x:v>
      </x:c>
      <x:c r="E27" s="11" t="n">
        <x:v>34832.66666666418</x:v>
      </x:c>
      <x:c r="F27" s="11" t="n">
        <x:v>34217.00000000745</x:v>
      </x:c>
      <x:c r="G27" s="11" t="n">
        <x:v>45987</x:v>
      </x:c>
      <x:c r="H27" s="11" t="n">
        <x:v>35047</x:v>
      </x:c>
      <x:c r="I27" s="11" t="n">
        <x:v>4116.999999992549</x:v>
      </x:c>
      <x:c r="J27" s="11" t="n">
        <x:v>106</x:v>
      </x:c>
      <x:c r="K27" s="2" t="n">
        <x:v>292</x:v>
      </x:c>
      <x:c r="L27" s="2" t="n">
        <x:v>1023</x:v>
      </x:c>
    </x:row>
    <x:row r="28" ht="24" customHeight="1">
      <x:c r="A28" s="2" t="n">
        <x:v>27</x:v>
      </x:c>
      <x:c r="B28" s="2" t="n">
        <x:v>2</x:v>
      </x:c>
      <x:c r="C28" s="11" t="n">
        <x:v>119472.99999999255</x:v>
      </x:c>
      <x:c r="D28" s="11" t="n">
        <x:v>71146</x:v>
      </x:c>
      <x:c r="E28" s="11" t="n">
        <x:v>48111.66666666418</x:v>
      </x:c>
      <x:c r="F28" s="11" t="n">
        <x:v>33708.00000000745</x:v>
      </x:c>
      <x:c r="G28" s="11" t="n">
        <x:v>33215</x:v>
      </x:c>
      <x:c r="H28" s="11" t="n">
        <x:v>48326.99999999255</x:v>
      </x:c>
      <x:c r="I28" s="11" t="n">
        <x:v>4117</x:v>
      </x:c>
      <x:c r="J28" s="11" t="n">
        <x:v>105.99999999254942</x:v>
      </x:c>
      <x:c r="K28" s="2" t="n">
        <x:v>292</x:v>
      </x:c>
      <x:c r="L28" s="2" t="n">
        <x:v>1019</x:v>
      </x:c>
    </x:row>
    <x:row r="29" ht="24" customHeight="1">
      <x:c r="A29" s="2" t="n">
        <x:v>28</x:v>
      </x:c>
      <x:c r="B29" s="2" t="n">
        <x:v>2</x:v>
      </x:c>
      <x:c r="C29" s="11" t="n">
        <x:v>119469</x:v>
      </x:c>
      <x:c r="D29" s="11" t="n">
        <x:v>80641.99999999255</x:v>
      </x:c>
      <x:c r="E29" s="11" t="n">
        <x:v>38614.66666666418</x:v>
      </x:c>
      <x:c r="F29" s="11" t="n">
        <x:v>35459.99999999255</x:v>
      </x:c>
      <x:c r="G29" s="11" t="n">
        <x:v>40959</x:v>
      </x:c>
      <x:c r="H29" s="11" t="n">
        <x:v>38827.00000000745</x:v>
      </x:c>
      <x:c r="I29" s="11" t="n">
        <x:v>4117</x:v>
      </x:c>
      <x:c r="J29" s="11" t="n">
        <x:v>106</x:v>
      </x:c>
      <x:c r="K29" s="2" t="n">
        <x:v>292</x:v>
      </x:c>
      <x:c r="L29" s="2" t="n">
        <x:v>1015</x:v>
      </x:c>
    </x:row>
    <x:row r="30" ht="24" customHeight="1">
      <x:c r="A30" s="2" t="n">
        <x:v>29</x:v>
      </x:c>
      <x:c r="B30" s="2" t="n">
        <x:v>2</x:v>
      </x:c>
      <x:c r="C30" s="11" t="n">
        <x:v>119473.00000000745</x:v>
      </x:c>
      <x:c r="D30" s="11" t="n">
        <x:v>68801.00000000745</x:v>
      </x:c>
      <x:c r="E30" s="11" t="n">
        <x:v>50458.66666666418</x:v>
      </x:c>
      <x:c r="F30" s="11" t="n">
        <x:v>35991</x:v>
      </x:c>
      <x:c r="G30" s="11" t="n">
        <x:v>28587</x:v>
      </x:c>
      <x:c r="H30" s="11" t="n">
        <x:v>50672</x:v>
      </x:c>
      <x:c r="I30" s="11" t="n">
        <x:v>4117</x:v>
      </x:c>
      <x:c r="J30" s="11" t="n">
        <x:v>106.00000000745058</x:v>
      </x:c>
      <x:c r="K30" s="2" t="n">
        <x:v>292</x:v>
      </x:c>
      <x:c r="L30" s="2" t="n">
        <x:v>1011</x:v>
      </x:c>
    </x:row>
    <x:row r="31" ht="24" customHeight="1">
      <x:c r="A31" s="2" t="n">
        <x:v>30</x:v>
      </x:c>
      <x:c r="B31" s="2" t="n">
        <x:v>2</x:v>
      </x:c>
      <x:c r="C31" s="11" t="n">
        <x:v>119472.99999999255</x:v>
      </x:c>
      <x:c r="D31" s="11" t="n">
        <x:v>79241</x:v>
      </x:c>
      <x:c r="E31" s="11" t="n">
        <x:v>40017.66666666418</x:v>
      </x:c>
      <x:c r="F31" s="11" t="n">
        <x:v>34059.00000000745</x:v>
      </x:c>
      <x:c r="G31" s="11" t="n">
        <x:v>40958.99999999255</x:v>
      </x:c>
      <x:c r="H31" s="11" t="n">
        <x:v>40231.99999999255</x:v>
      </x:c>
      <x:c r="I31" s="11" t="n">
        <x:v>4117</x:v>
      </x:c>
      <x:c r="J31" s="11" t="n">
        <x:v>106</x:v>
      </x:c>
      <x:c r="K31" s="2" t="n">
        <x:v>292</x:v>
      </x:c>
      <x:c r="L31" s="2" t="n">
        <x:v>1007</x:v>
      </x:c>
    </x:row>
    <x:row r="32" ht="24" customHeight="1">
      <x:c r="A32" s="2" t="n">
        <x:v>31</x:v>
      </x:c>
      <x:c r="B32" s="2" t="n">
        <x:v>2</x:v>
      </x:c>
      <x:c r="C32" s="11" t="n">
        <x:v>119472.00000000745</x:v>
      </x:c>
      <x:c r="D32" s="11" t="n">
        <x:v>68540</x:v>
      </x:c>
      <x:c r="E32" s="11" t="n">
        <x:v>50717.66666666418</x:v>
      </x:c>
      <x:c r="F32" s="11" t="n">
        <x:v>35730</x:v>
      </x:c>
      <x:c r="G32" s="11" t="n">
        <x:v>28587.00000000745</x:v>
      </x:c>
      <x:c r="H32" s="11" t="n">
        <x:v>50932.00000000745</x:v>
      </x:c>
      <x:c r="I32" s="11" t="n">
        <x:v>4117</x:v>
      </x:c>
      <x:c r="J32" s="11" t="n">
        <x:v>105.99999999254942</x:v>
      </x:c>
      <x:c r="K32" s="2" t="n">
        <x:v>292</x:v>
      </x:c>
      <x:c r="L32" s="2" t="n">
        <x:v>1003</x:v>
      </x:c>
    </x:row>
    <x:row r="33" ht="24" customHeight="1">
      <x:c r="A33" s="2" t="n">
        <x:v>32</x:v>
      </x:c>
      <x:c r="B33" s="2" t="n">
        <x:v>2</x:v>
      </x:c>
      <x:c r="C33" s="11" t="n">
        <x:v>119470</x:v>
      </x:c>
      <x:c r="D33" s="11" t="n">
        <x:v>81247.99999999255</x:v>
      </x:c>
      <x:c r="E33" s="11" t="n">
        <x:v>38009.66666666418</x:v>
      </x:c>
      <x:c r="F33" s="11" t="n">
        <x:v>36066</x:v>
      </x:c>
      <x:c r="G33" s="11" t="n">
        <x:v>40959</x:v>
      </x:c>
      <x:c r="H33" s="11" t="n">
        <x:v>38222.00000000745</x:v>
      </x:c>
      <x:c r="I33" s="11" t="n">
        <x:v>4117</x:v>
      </x:c>
      <x:c r="J33" s="11" t="n">
        <x:v>105.99999999254942</x:v>
      </x:c>
      <x:c r="K33" s="2" t="n">
        <x:v>292</x:v>
      </x:c>
      <x:c r="L33" s="2" t="n">
        <x:v>999</x:v>
      </x:c>
    </x:row>
    <x:row r="34" ht="24" customHeight="1">
      <x:c r="A34" s="2" t="n">
        <x:v>33</x:v>
      </x:c>
      <x:c r="B34" s="2" t="n">
        <x:v>2</x:v>
      </x:c>
      <x:c r="C34" s="11" t="n">
        <x:v>119475.99999999255</x:v>
      </x:c>
      <x:c r="D34" s="11" t="n">
        <x:v>68068.99999999255</x:v>
      </x:c>
      <x:c r="E34" s="11" t="n">
        <x:v>51190.66666666418</x:v>
      </x:c>
      <x:c r="F34" s="11" t="n">
        <x:v>35259</x:v>
      </x:c>
      <x:c r="G34" s="11" t="n">
        <x:v>28586.99999999255</x:v>
      </x:c>
      <x:c r="H34" s="11" t="n">
        <x:v>51407</x:v>
      </x:c>
      <x:c r="I34" s="11" t="n">
        <x:v>4117</x:v>
      </x:c>
      <x:c r="J34" s="11" t="n">
        <x:v>106</x:v>
      </x:c>
      <x:c r="K34" s="2" t="n">
        <x:v>292</x:v>
      </x:c>
      <x:c r="L34" s="2" t="n">
        <x:v>995</x:v>
      </x:c>
    </x:row>
    <x:row r="35" ht="24" customHeight="1">
      <x:c r="A35" s="2" t="n">
        <x:v>34</x:v>
      </x:c>
      <x:c r="B35" s="2" t="n">
        <x:v>2</x:v>
      </x:c>
      <x:c r="C35" s="11" t="n">
        <x:v>119472.00000000745</x:v>
      </x:c>
      <x:c r="D35" s="11" t="n">
        <x:v>82550</x:v>
      </x:c>
      <x:c r="E35" s="11" t="n">
        <x:v>36705.66666666418</x:v>
      </x:c>
      <x:c r="F35" s="11" t="n">
        <x:v>32390</x:v>
      </x:c>
      <x:c r="G35" s="11" t="n">
        <x:v>45937.00000000745</x:v>
      </x:c>
      <x:c r="H35" s="11" t="n">
        <x:v>36922.00000000745</x:v>
      </x:c>
      <x:c r="I35" s="11" t="n">
        <x:v>4117</x:v>
      </x:c>
      <x:c r="J35" s="11" t="n">
        <x:v>105.99999999254942</x:v>
      </x:c>
      <x:c r="K35" s="2" t="n">
        <x:v>292</x:v>
      </x:c>
      <x:c r="L35" s="2" t="n">
        <x:v>991</x:v>
      </x:c>
    </x:row>
    <x:row r="36" ht="24" customHeight="1">
      <x:c r="A36" s="2" t="n">
        <x:v>35</x:v>
      </x:c>
      <x:c r="B36" s="2" t="n">
        <x:v>2</x:v>
      </x:c>
      <x:c r="C36" s="11" t="n">
        <x:v>119469</x:v>
      </x:c>
      <x:c r="D36" s="11" t="n">
        <x:v>73017</x:v>
      </x:c>
      <x:c r="E36" s="11" t="n">
        <x:v>46238.66666666418</x:v>
      </x:c>
      <x:c r="F36" s="11" t="n">
        <x:v>35600.00000000745</x:v>
      </x:c>
      <x:c r="G36" s="11" t="n">
        <x:v>33194.00000000745</x:v>
      </x:c>
      <x:c r="H36" s="11" t="n">
        <x:v>46452</x:v>
      </x:c>
      <x:c r="I36" s="11" t="n">
        <x:v>4117</x:v>
      </x:c>
      <x:c r="J36" s="11" t="n">
        <x:v>105.99999998509884</x:v>
      </x:c>
      <x:c r="K36" s="2" t="n">
        <x:v>292</x:v>
      </x:c>
      <x:c r="L36" s="2" t="n">
        <x:v>987</x:v>
      </x:c>
    </x:row>
    <x:row r="37" ht="24" customHeight="1">
      <x:c r="A37" s="2" t="n">
        <x:v>36</x:v>
      </x:c>
      <x:c r="B37" s="2" t="n">
        <x:v>2</x:v>
      </x:c>
      <x:c r="C37" s="11" t="n">
        <x:v>119472.99999999255</x:v>
      </x:c>
      <x:c r="D37" s="11" t="n">
        <x:v>80560.99999999255</x:v>
      </x:c>
      <x:c r="E37" s="11" t="n">
        <x:v>38697.66666666418</x:v>
      </x:c>
      <x:c r="F37" s="11" t="n">
        <x:v>35420</x:v>
      </x:c>
      <x:c r="G37" s="11" t="n">
        <x:v>40918</x:v>
      </x:c>
      <x:c r="H37" s="11" t="n">
        <x:v>38912</x:v>
      </x:c>
      <x:c r="I37" s="11" t="n">
        <x:v>4117.000000007451</x:v>
      </x:c>
      <x:c r="J37" s="11" t="n">
        <x:v>105.99999998509884</x:v>
      </x:c>
      <x:c r="K37" s="2" t="n">
        <x:v>292</x:v>
      </x:c>
      <x:c r="L37" s="2" t="n">
        <x:v>983</x:v>
      </x:c>
    </x:row>
    <x:row r="38" ht="24" customHeight="1">
      <x:c r="A38" s="2" t="n">
        <x:v>37</x:v>
      </x:c>
      <x:c r="B38" s="2" t="n">
        <x:v>2</x:v>
      </x:c>
      <x:c r="C38" s="11" t="n">
        <x:v>119473.00000000745</x:v>
      </x:c>
      <x:c r="D38" s="11" t="n">
        <x:v>68871</x:v>
      </x:c>
      <x:c r="E38" s="11" t="n">
        <x:v>50386.66666666418</x:v>
      </x:c>
      <x:c r="F38" s="11" t="n">
        <x:v>36073</x:v>
      </x:c>
      <x:c r="G38" s="11" t="n">
        <x:v>28575.00000000745</x:v>
      </x:c>
      <x:c r="H38" s="11" t="n">
        <x:v>50602.00000000745</x:v>
      </x:c>
      <x:c r="I38" s="11" t="n">
        <x:v>4117</x:v>
      </x:c>
      <x:c r="J38" s="11" t="n">
        <x:v>105.99999999254942</x:v>
      </x:c>
      <x:c r="K38" s="2" t="n">
        <x:v>292</x:v>
      </x:c>
      <x:c r="L38" s="2" t="n">
        <x:v>979</x:v>
      </x:c>
    </x:row>
    <x:row r="39" ht="24" customHeight="1">
      <x:c r="A39" s="2" t="n">
        <x:v>38</x:v>
      </x:c>
      <x:c r="B39" s="2" t="n">
        <x:v>2</x:v>
      </x:c>
      <x:c r="C39" s="11" t="n">
        <x:v>119471.99999999255</x:v>
      </x:c>
      <x:c r="D39" s="11" t="n">
        <x:v>79240</x:v>
      </x:c>
      <x:c r="E39" s="11" t="n">
        <x:v>40016.66666666418</x:v>
      </x:c>
      <x:c r="F39" s="11" t="n">
        <x:v>34099.00000000745</x:v>
      </x:c>
      <x:c r="G39" s="11" t="n">
        <x:v>40918</x:v>
      </x:c>
      <x:c r="H39" s="11" t="n">
        <x:v>40231.99999999255</x:v>
      </x:c>
      <x:c r="I39" s="11" t="n">
        <x:v>4117</x:v>
      </x:c>
      <x:c r="J39" s="11" t="n">
        <x:v>105.99999999254942</x:v>
      </x:c>
      <x:c r="K39" s="2" t="n">
        <x:v>292</x:v>
      </x:c>
      <x:c r="L39" s="2" t="n">
        <x:v>975</x:v>
      </x:c>
    </x:row>
    <x:row r="40" ht="24" customHeight="1">
      <x:c r="A40" s="2" t="n">
        <x:v>39</x:v>
      </x:c>
      <x:c r="B40" s="2" t="n">
        <x:v>2</x:v>
      </x:c>
      <x:c r="C40" s="11" t="n">
        <x:v>119473.00000000745</x:v>
      </x:c>
      <x:c r="D40" s="11" t="n">
        <x:v>66506.00000000745</x:v>
      </x:c>
      <x:c r="E40" s="11" t="n">
        <x:v>52750.66666666418</x:v>
      </x:c>
      <x:c r="F40" s="11" t="n">
        <x:v>33708</x:v>
      </x:c>
      <x:c r="G40" s="11" t="n">
        <x:v>28574.99999999255</x:v>
      </x:c>
      <x:c r="H40" s="11" t="n">
        <x:v>52967</x:v>
      </x:c>
      <x:c r="I40" s="11" t="n">
        <x:v>4117</x:v>
      </x:c>
      <x:c r="J40" s="11" t="n">
        <x:v>106.00000001490116</x:v>
      </x:c>
      <x:c r="K40" s="2" t="n">
        <x:v>292</x:v>
      </x:c>
      <x:c r="L40" s="2" t="n">
        <x:v>971</x:v>
      </x:c>
    </x:row>
    <x:row r="41" ht="24" customHeight="1">
      <x:c r="A41" s="2" t="n">
        <x:v>40</x:v>
      </x:c>
      <x:c r="B41" s="2" t="n">
        <x:v>2</x:v>
      </x:c>
      <x:c r="C41" s="11" t="n">
        <x:v>119470.99999999255</x:v>
      </x:c>
      <x:c r="D41" s="11" t="n">
        <x:v>80618.9999999851</x:v>
      </x:c>
      <x:c r="E41" s="11" t="n">
        <x:v>38636.66666666418</x:v>
      </x:c>
      <x:c r="F41" s="11" t="n">
        <x:v>35478</x:v>
      </x:c>
      <x:c r="G41" s="11" t="n">
        <x:v>40918</x:v>
      </x:c>
      <x:c r="H41" s="11" t="n">
        <x:v>38852.00000000745</x:v>
      </x:c>
      <x:c r="I41" s="11" t="n">
        <x:v>4117.000000007451</x:v>
      </x:c>
      <x:c r="J41" s="11" t="n">
        <x:v>105.99999997764826</x:v>
      </x:c>
      <x:c r="K41" s="2" t="n">
        <x:v>292</x:v>
      </x:c>
      <x:c r="L41" s="2" t="n">
        <x:v>967</x:v>
      </x:c>
    </x:row>
    <x:row r="42" ht="24" customHeight="1">
      <x:c r="A42" s="2" t="n">
        <x:v>41</x:v>
      </x:c>
      <x:c r="B42" s="2" t="n">
        <x:v>2</x:v>
      </x:c>
      <x:c r="C42" s="11" t="n">
        <x:v>119471</x:v>
      </x:c>
      <x:c r="D42" s="11" t="n">
        <x:v>68789</x:v>
      </x:c>
      <x:c r="E42" s="11" t="n">
        <x:v>50467.66666666418</x:v>
      </x:c>
      <x:c r="F42" s="11" t="n">
        <x:v>35991</x:v>
      </x:c>
      <x:c r="G42" s="11" t="n">
        <x:v>28575.00000000745</x:v>
      </x:c>
      <x:c r="H42" s="11" t="n">
        <x:v>50682</x:v>
      </x:c>
      <x:c r="I42" s="11" t="n">
        <x:v>4117</x:v>
      </x:c>
      <x:c r="J42" s="11" t="n">
        <x:v>105.99999999254942</x:v>
      </x:c>
      <x:c r="K42" s="2" t="n">
        <x:v>292</x:v>
      </x:c>
      <x:c r="L42" s="2" t="n">
        <x:v>963</x:v>
      </x:c>
    </x:row>
    <x:row r="43" ht="24" customHeight="1">
      <x:c r="A43" s="2" t="n">
        <x:v>42</x:v>
      </x:c>
      <x:c r="B43" s="2" t="n">
        <x:v>2</x:v>
      </x:c>
      <x:c r="C43" s="11" t="n">
        <x:v>119472.00000000745</x:v>
      </x:c>
      <x:c r="D43" s="11" t="n">
        <x:v>82560</x:v>
      </x:c>
      <x:c r="E43" s="11" t="n">
        <x:v>36697.66666666418</x:v>
      </x:c>
      <x:c r="F43" s="11" t="n">
        <x:v>32349.99999999255</x:v>
      </x:c>
      <x:c r="G43" s="11" t="n">
        <x:v>45987</x:v>
      </x:c>
      <x:c r="H43" s="11" t="n">
        <x:v>36912.00000000745</x:v>
      </x:c>
      <x:c r="I43" s="11" t="n">
        <x:v>4117</x:v>
      </x:c>
      <x:c r="J43" s="11" t="n">
        <x:v>106.00000000745058</x:v>
      </x:c>
      <x:c r="K43" s="2" t="n">
        <x:v>292</x:v>
      </x:c>
      <x:c r="L43" s="2" t="n">
        <x:v>959</x:v>
      </x:c>
    </x:row>
    <x:row r="44" ht="24" customHeight="1">
      <x:c r="A44" s="2" t="n">
        <x:v>43</x:v>
      </x:c>
      <x:c r="B44" s="2" t="n">
        <x:v>2</x:v>
      </x:c>
      <x:c r="C44" s="11" t="n">
        <x:v>119470</x:v>
      </x:c>
      <x:c r="D44" s="11" t="n">
        <x:v>73057.99999999255</x:v>
      </x:c>
      <x:c r="E44" s="11" t="n">
        <x:v>46199.66666666418</x:v>
      </x:c>
      <x:c r="F44" s="11" t="n">
        <x:v>35620.00000000745</x:v>
      </x:c>
      <x:c r="G44" s="11" t="n">
        <x:v>33215.00000000745</x:v>
      </x:c>
      <x:c r="H44" s="11" t="n">
        <x:v>46412.00000000745</x:v>
      </x:c>
      <x:c r="I44" s="11" t="n">
        <x:v>4117</x:v>
      </x:c>
      <x:c r="J44" s="11" t="n">
        <x:v>105.99999997764826</x:v>
      </x:c>
      <x:c r="K44" s="2" t="n">
        <x:v>292</x:v>
      </x:c>
      <x:c r="L44" s="2" t="n">
        <x:v>955</x:v>
      </x:c>
    </x:row>
    <x:row r="45" ht="24" customHeight="1">
      <x:c r="A45" s="2" t="n">
        <x:v>44</x:v>
      </x:c>
      <x:c r="B45" s="2" t="n">
        <x:v>2</x:v>
      </x:c>
      <x:c r="C45" s="11" t="n">
        <x:v>122294.99999999255</x:v>
      </x:c>
      <x:c r="D45" s="11" t="n">
        <x:v>87442.9999999851</x:v>
      </x:c>
      <x:c r="E45" s="11" t="n">
        <x:v>34637.66666666418</x:v>
      </x:c>
      <x:c r="F45" s="11" t="n">
        <x:v>39440.00000000745</x:v>
      </x:c>
      <x:c r="G45" s="11" t="n">
        <x:v>40959</x:v>
      </x:c>
      <x:c r="H45" s="11" t="n">
        <x:v>34852.00000000745</x:v>
      </x:c>
      <x:c r="I45" s="11" t="n">
        <x:v>6938</x:v>
      </x:c>
      <x:c r="J45" s="11" t="n">
        <x:v>105.99999997764826</x:v>
      </x:c>
      <x:c r="K45" s="2" t="n">
        <x:v>292</x:v>
      </x:c>
      <x:c r="L45" s="2" t="n">
        <x:v>951</x:v>
      </x:c>
    </x:row>
    <x:row r="46" ht="24" customHeight="1">
      <x:c r="A46" s="2" t="n">
        <x:v>45</x:v>
      </x:c>
      <x:c r="B46" s="2" t="n">
        <x:v>2</x:v>
      </x:c>
      <x:c r="C46" s="11" t="n">
        <x:v>116649.00000000745</x:v>
      </x:c>
      <x:c r="D46" s="11" t="n">
        <x:v>68087.00000000745</x:v>
      </x:c>
      <x:c r="E46" s="11" t="n">
        <x:v>48349.66666666418</x:v>
      </x:c>
      <x:c r="F46" s="11" t="n">
        <x:v>35277</x:v>
      </x:c>
      <x:c r="G46" s="11" t="n">
        <x:v>28587.00000000745</x:v>
      </x:c>
      <x:c r="H46" s="11" t="n">
        <x:v>48562</x:v>
      </x:c>
      <x:c r="I46" s="11" t="n">
        <x:v>4117</x:v>
      </x:c>
      <x:c r="J46" s="11" t="n">
        <x:v>106</x:v>
      </x:c>
      <x:c r="K46" s="2" t="n">
        <x:v>292</x:v>
      </x:c>
      <x:c r="L46" s="2" t="n">
        <x:v>947</x:v>
      </x:c>
    </x:row>
    <x:row r="47" ht="24" customHeight="1">
      <x:c r="A47" s="2" t="n">
        <x:v>46</x:v>
      </x:c>
      <x:c r="B47" s="2" t="n">
        <x:v>2</x:v>
      </x:c>
      <x:c r="C47" s="11" t="n">
        <x:v>119475</x:v>
      </x:c>
      <x:c r="D47" s="11" t="n">
        <x:v>77493</x:v>
      </x:c>
      <x:c r="E47" s="11" t="n">
        <x:v>41766.66666666418</x:v>
      </x:c>
      <x:c r="F47" s="11" t="n">
        <x:v>32311.00000000745</x:v>
      </x:c>
      <x:c r="G47" s="11" t="n">
        <x:v>40959</x:v>
      </x:c>
      <x:c r="H47" s="11" t="n">
        <x:v>41982</x:v>
      </x:c>
      <x:c r="I47" s="11" t="n">
        <x:v>4117</x:v>
      </x:c>
      <x:c r="J47" s="11" t="n">
        <x:v>105.99999999254942</x:v>
      </x:c>
      <x:c r="K47" s="2" t="n">
        <x:v>292</x:v>
      </x:c>
      <x:c r="L47" s="2" t="n">
        <x:v>943</x:v>
      </x:c>
    </x:row>
    <x:row r="48" ht="24" customHeight="1">
      <x:c r="A48" s="2" t="n">
        <x:v>47</x:v>
      </x:c>
      <x:c r="B48" s="2" t="n">
        <x:v>2</x:v>
      </x:c>
      <x:c r="C48" s="11" t="n">
        <x:v>119471.99999999255</x:v>
      </x:c>
      <x:c r="D48" s="11" t="n">
        <x:v>68410</x:v>
      </x:c>
      <x:c r="E48" s="11" t="n">
        <x:v>50846.66666666418</x:v>
      </x:c>
      <x:c r="F48" s="11" t="n">
        <x:v>35600.00000000745</x:v>
      </x:c>
      <x:c r="G48" s="11" t="n">
        <x:v>28587</x:v>
      </x:c>
      <x:c r="H48" s="11" t="n">
        <x:v>51061.99999999255</x:v>
      </x:c>
      <x:c r="I48" s="11" t="n">
        <x:v>4117</x:v>
      </x:c>
      <x:c r="J48" s="11" t="n">
        <x:v>105.99999999254942</x:v>
      </x:c>
      <x:c r="K48" s="2" t="n">
        <x:v>292</x:v>
      </x:c>
      <x:c r="L48" s="2" t="n">
        <x:v>939</x:v>
      </x:c>
    </x:row>
    <x:row r="49" ht="24" customHeight="1">
      <x:c r="A49" s="2" t="n">
        <x:v>48</x:v>
      </x:c>
      <x:c r="B49" s="2" t="n">
        <x:v>2</x:v>
      </x:c>
      <x:c r="C49" s="11" t="n">
        <x:v>119470.00000000745</x:v>
      </x:c>
      <x:c r="D49" s="11" t="n">
        <x:v>81038.00000000745</x:v>
      </x:c>
      <x:c r="E49" s="11" t="n">
        <x:v>38218.66666665673</x:v>
      </x:c>
      <x:c r="F49" s="11" t="n">
        <x:v>35856</x:v>
      </x:c>
      <x:c r="G49" s="11" t="n">
        <x:v>40959.0000000149</x:v>
      </x:c>
      <x:c r="H49" s="11" t="n">
        <x:v>38432</x:v>
      </x:c>
      <x:c r="I49" s="11" t="n">
        <x:v>4117</x:v>
      </x:c>
      <x:c r="J49" s="11" t="n">
        <x:v>105.99999999254942</x:v>
      </x:c>
      <x:c r="K49" s="2" t="n">
        <x:v>292</x:v>
      </x:c>
      <x:c r="L49" s="2" t="n">
        <x:v>935</x:v>
      </x:c>
    </x:row>
    <x:row r="50" ht="24" customHeight="1">
      <x:c r="A50" s="2" t="n">
        <x:v>49</x:v>
      </x:c>
      <x:c r="B50" s="2" t="n">
        <x:v>3</x:v>
      </x:c>
      <x:c r="C50" s="11" t="n">
        <x:v>179210</x:v>
      </x:c>
      <x:c r="D50" s="11" t="n">
        <x:v>152493</x:v>
      </x:c>
      <x:c r="E50" s="11" t="n">
        <x:v>-33234.333333328366</x:v>
      </x:c>
      <x:c r="F50" s="11" t="n">
        <x:v>38366</x:v>
      </x:c>
      <x:c r="G50" s="11" t="n">
        <x:v>109904</x:v>
      </x:c>
      <x:c r="H50" s="11" t="n">
        <x:v>26717</x:v>
      </x:c>
      <x:c r="I50" s="11" t="n">
        <x:v>4117</x:v>
      </x:c>
      <x:c r="J50" s="11" t="n">
        <x:v>106</x:v>
      </x:c>
      <x:c r="K50" s="2" t="n">
        <x:v>296</x:v>
      </x:c>
      <x:c r="L50" s="2" t="n">
        <x:v>936</x:v>
      </x:c>
    </x:row>
    <x:row r="51" ht="24" customHeight="1">
      <x:c r="A51" s="2" t="n">
        <x:v>50</x:v>
      </x:c>
      <x:c r="B51" s="2" t="n">
        <x:v>3</x:v>
      </x:c>
      <x:c r="C51" s="11" t="n">
        <x:v>179209</x:v>
      </x:c>
      <x:c r="D51" s="11" t="n">
        <x:v>167827</x:v>
      </x:c>
      <x:c r="E51" s="11" t="n">
        <x:v>-48570.333333328366</x:v>
      </x:c>
      <x:c r="F51" s="11" t="n">
        <x:v>49456.9999999851</x:v>
      </x:c>
      <x:c r="G51" s="11" t="n">
        <x:v>114147</x:v>
      </x:c>
      <x:c r="H51" s="11" t="n">
        <x:v>11382</x:v>
      </x:c>
      <x:c r="I51" s="11" t="n">
        <x:v>4117</x:v>
      </x:c>
      <x:c r="J51" s="11" t="n">
        <x:v>106.00000001490116</x:v>
      </x:c>
      <x:c r="K51" s="2" t="n">
        <x:v>304</x:v>
      </x:c>
      <x:c r="L51" s="2" t="n">
        <x:v>937</x:v>
      </x:c>
    </x:row>
    <x:row r="52" ht="24" customHeight="1">
      <x:c r="A52" s="2" t="n">
        <x:v>51</x:v>
      </x:c>
      <x:c r="B52" s="2" t="n">
        <x:v>2</x:v>
      </x:c>
      <x:c r="C52" s="11" t="n">
        <x:v>117919</x:v>
      </x:c>
      <x:c r="D52" s="11" t="n">
        <x:v>89877</x:v>
      </x:c>
      <x:c r="E52" s="11" t="n">
        <x:v>27826.666666671634</x:v>
      </x:c>
      <x:c r="F52" s="11" t="n">
        <x:v>42393</x:v>
      </x:c>
      <x:c r="G52" s="11" t="n">
        <x:v>44813.0000000149</x:v>
      </x:c>
      <x:c r="H52" s="11" t="n">
        <x:v>28042</x:v>
      </x:c>
      <x:c r="I52" s="11" t="n">
        <x:v>2565</x:v>
      </x:c>
      <x:c r="J52" s="11" t="n">
        <x:v>105.99999998509884</x:v>
      </x:c>
      <x:c r="K52" s="2" t="n">
        <x:v>308</x:v>
      </x:c>
      <x:c r="L52" s="2" t="n">
        <x:v>937</x:v>
      </x:c>
    </x:row>
    <x:row r="53" ht="24" customHeight="1">
      <x:c r="A53" s="2" t="n">
        <x:v>52</x:v>
      </x:c>
      <x:c r="B53" s="2" t="n">
        <x:v>3</x:v>
      </x:c>
      <x:c r="C53" s="11" t="n">
        <x:v>180758</x:v>
      </x:c>
      <x:c r="D53" s="11" t="n">
        <x:v>125176</x:v>
      </x:c>
      <x:c r="E53" s="11" t="n">
        <x:v>-4367.333333328366</x:v>
      </x:c>
      <x:c r="F53" s="11" t="n">
        <x:v>37933</x:v>
      </x:c>
      <x:c r="G53" s="11" t="n">
        <x:v>83020</x:v>
      </x:c>
      <x:c r="H53" s="11" t="n">
        <x:v>55582</x:v>
      </x:c>
      <x:c r="I53" s="11" t="n">
        <x:v>4117</x:v>
      </x:c>
      <x:c r="J53" s="11" t="n">
        <x:v>106</x:v>
      </x:c>
      <x:c r="K53" s="2" t="n">
        <x:v>312</x:v>
      </x:c>
      <x:c r="L53" s="2" t="n">
        <x:v>938</x:v>
      </x:c>
    </x:row>
    <x:row r="54" ht="24" customHeight="1">
      <x:c r="A54" s="2" t="n">
        <x:v>53</x:v>
      </x:c>
      <x:c r="B54" s="2" t="n">
        <x:v>3</x:v>
      </x:c>
      <x:c r="C54" s="11" t="n">
        <x:v>179211</x:v>
      </x:c>
      <x:c r="D54" s="11" t="n">
        <x:v>120964</x:v>
      </x:c>
      <x:c r="E54" s="11" t="n">
        <x:v>-1705.3333333283663</x:v>
      </x:c>
      <x:c r="F54" s="11" t="n">
        <x:v>49573.9999999851</x:v>
      </x:c>
      <x:c r="G54" s="11" t="n">
        <x:v>67167</x:v>
      </x:c>
      <x:c r="H54" s="11" t="n">
        <x:v>58247</x:v>
      </x:c>
      <x:c r="I54" s="11" t="n">
        <x:v>4116.999999985099</x:v>
      </x:c>
      <x:c r="J54" s="11" t="n">
        <x:v>106.00000002980232</x:v>
      </x:c>
      <x:c r="K54" s="2" t="n">
        <x:v>320</x:v>
      </x:c>
      <x:c r="L54" s="2" t="n">
        <x:v>939</x:v>
      </x:c>
    </x:row>
    <x:row r="55" ht="24" customHeight="1">
      <x:c r="A55" s="2" t="n">
        <x:v>54</x:v>
      </x:c>
      <x:c r="B55" s="2" t="n">
        <x:v>2</x:v>
      </x:c>
      <x:c r="C55" s="11" t="n">
        <x:v>117918</x:v>
      </x:c>
      <x:c r="D55" s="11" t="n">
        <x:v>107271</x:v>
      </x:c>
      <x:c r="E55" s="11" t="n">
        <x:v>10432.666666671634</x:v>
      </x:c>
      <x:c r="F55" s="11" t="n">
        <x:v>41348.0000000149</x:v>
      </x:c>
      <x:c r="G55" s="11" t="n">
        <x:v>63252</x:v>
      </x:c>
      <x:c r="H55" s="11" t="n">
        <x:v>10647</x:v>
      </x:c>
      <x:c r="I55" s="11" t="n">
        <x:v>2565</x:v>
      </x:c>
      <x:c r="J55" s="11" t="n">
        <x:v>105.99999998509884</x:v>
      </x:c>
      <x:c r="K55" s="2" t="n">
        <x:v>324</x:v>
      </x:c>
      <x:c r="L55" s="2" t="n">
        <x:v>939</x:v>
      </x:c>
    </x:row>
    <x:row r="56" ht="24" customHeight="1">
      <x:c r="A56" s="2" t="n">
        <x:v>55</x:v>
      </x:c>
      <x:c r="B56" s="2" t="n">
        <x:v>2</x:v>
      </x:c>
      <x:c r="C56" s="11" t="n">
        <x:v>119471.9999999851</x:v>
      </x:c>
      <x:c r="D56" s="11" t="n">
        <x:v>82969.9999999851</x:v>
      </x:c>
      <x:c r="E56" s="11" t="n">
        <x:v>36287.666666671634</x:v>
      </x:c>
      <x:c r="F56" s="11" t="n">
        <x:v>32104.0000000149</x:v>
      </x:c>
      <x:c r="G56" s="11" t="n">
        <x:v>48195</x:v>
      </x:c>
      <x:c r="H56" s="11" t="n">
        <x:v>36502</x:v>
      </x:c>
      <x:c r="I56" s="11" t="n">
        <x:v>2565</x:v>
      </x:c>
      <x:c r="J56" s="11" t="n">
        <x:v>105.99999997019768</x:v>
      </x:c>
      <x:c r="K56" s="2" t="n">
        <x:v>328</x:v>
      </x:c>
      <x:c r="L56" s="2" t="n">
        <x:v>939</x:v>
      </x:c>
    </x:row>
    <x:row r="57" ht="24" customHeight="1">
      <x:c r="A57" s="2" t="n">
        <x:v>56</x:v>
      </x:c>
      <x:c r="B57" s="2" t="n">
        <x:v>2</x:v>
      </x:c>
      <x:c r="C57" s="11" t="n">
        <x:v>119473.0000000149</x:v>
      </x:c>
      <x:c r="D57" s="11" t="n">
        <x:v>69201.0000000149</x:v>
      </x:c>
      <x:c r="E57" s="11" t="n">
        <x:v>50056.666666671634</x:v>
      </x:c>
      <x:c r="F57" s="11" t="n">
        <x:v>31160</x:v>
      </x:c>
      <x:c r="G57" s="11" t="n">
        <x:v>35370</x:v>
      </x:c>
      <x:c r="H57" s="11" t="n">
        <x:v>50272</x:v>
      </x:c>
      <x:c r="I57" s="11" t="n">
        <x:v>2565</x:v>
      </x:c>
      <x:c r="J57" s="11" t="n">
        <x:v>106.00000001490116</x:v>
      </x:c>
      <x:c r="K57" s="2" t="n">
        <x:v>332</x:v>
      </x:c>
      <x:c r="L57" s="2" t="n">
        <x:v>939</x:v>
      </x:c>
    </x:row>
    <x:row r="58" ht="24" customHeight="1">
      <x:c r="A58" s="2" t="n">
        <x:v>57</x:v>
      </x:c>
      <x:c r="B58" s="2" t="n">
        <x:v>2</x:v>
      </x:c>
      <x:c r="C58" s="11" t="n">
        <x:v>119471</x:v>
      </x:c>
      <x:c r="D58" s="11" t="n">
        <x:v>89729</x:v>
      </x:c>
      <x:c r="E58" s="11" t="n">
        <x:v>29527.666666671634</x:v>
      </x:c>
      <x:c r="F58" s="11" t="n">
        <x:v>34219.9999999851</x:v>
      </x:c>
      <x:c r="G58" s="11" t="n">
        <x:v>52838</x:v>
      </x:c>
      <x:c r="H58" s="11" t="n">
        <x:v>29742</x:v>
      </x:c>
      <x:c r="I58" s="11" t="n">
        <x:v>2565</x:v>
      </x:c>
      <x:c r="J58" s="11" t="n">
        <x:v>106.00000001490116</x:v>
      </x:c>
      <x:c r="K58" s="2" t="n">
        <x:v>336</x:v>
      </x:c>
      <x:c r="L58" s="2" t="n">
        <x:v>939</x:v>
      </x:c>
    </x:row>
    <x:row r="59" ht="24" customHeight="1">
      <x:c r="A59" s="2" t="n">
        <x:v>58</x:v>
      </x:c>
      <x:c r="B59" s="2" t="n">
        <x:v>2</x:v>
      </x:c>
      <x:c r="C59" s="11" t="n">
        <x:v>119470</x:v>
      </x:c>
      <x:c r="D59" s="11" t="n">
        <x:v>72748</x:v>
      </x:c>
      <x:c r="E59" s="11" t="n">
        <x:v>46509.666666671634</x:v>
      </x:c>
      <x:c r="F59" s="11" t="n">
        <x:v>40977</x:v>
      </x:c>
      <x:c r="G59" s="11" t="n">
        <x:v>29100</x:v>
      </x:c>
      <x:c r="H59" s="11" t="n">
        <x:v>46722</x:v>
      </x:c>
      <x:c r="I59" s="11" t="n">
        <x:v>2565</x:v>
      </x:c>
      <x:c r="J59" s="11" t="n">
        <x:v>106</x:v>
      </x:c>
      <x:c r="K59" s="2" t="n">
        <x:v>340</x:v>
      </x:c>
      <x:c r="L59" s="2" t="n">
        <x:v>939</x:v>
      </x:c>
    </x:row>
    <x:row r="60" ht="24" customHeight="1">
      <x:c r="A60" s="2" t="n">
        <x:v>59</x:v>
      </x:c>
      <x:c r="B60" s="2" t="n">
        <x:v>2</x:v>
      </x:c>
      <x:c r="C60" s="11" t="n">
        <x:v>119472</x:v>
      </x:c>
      <x:c r="D60" s="11" t="n">
        <x:v>86955</x:v>
      </x:c>
      <x:c r="E60" s="11" t="n">
        <x:v>32304.666666671634</x:v>
      </x:c>
      <x:c r="F60" s="11" t="n">
        <x:v>36074</x:v>
      </x:c>
      <x:c r="G60" s="11" t="n">
        <x:v>48210</x:v>
      </x:c>
      <x:c r="H60" s="11" t="n">
        <x:v>32517</x:v>
      </x:c>
      <x:c r="I60" s="11" t="n">
        <x:v>2565</x:v>
      </x:c>
      <x:c r="J60" s="11" t="n">
        <x:v>106</x:v>
      </x:c>
      <x:c r="K60" s="2" t="n">
        <x:v>344</x:v>
      </x:c>
      <x:c r="L60" s="2" t="n">
        <x:v>939</x:v>
      </x:c>
    </x:row>
    <x:row r="61" ht="24" customHeight="1">
      <x:c r="A61" s="2" t="n">
        <x:v>60</x:v>
      </x:c>
      <x:c r="B61" s="2" t="n">
        <x:v>2</x:v>
      </x:c>
      <x:c r="C61" s="11" t="n">
        <x:v>119476</x:v>
      </x:c>
      <x:c r="D61" s="11" t="n">
        <x:v>66124</x:v>
      </x:c>
      <x:c r="E61" s="11" t="n">
        <x:v>53135.666666671634</x:v>
      </x:c>
      <x:c r="F61" s="11" t="n">
        <x:v>34353</x:v>
      </x:c>
      <x:c r="G61" s="11" t="n">
        <x:v>29100</x:v>
      </x:c>
      <x:c r="H61" s="11" t="n">
        <x:v>53352</x:v>
      </x:c>
      <x:c r="I61" s="11" t="n">
        <x:v>2565</x:v>
      </x:c>
      <x:c r="J61" s="11" t="n">
        <x:v>106</x:v>
      </x:c>
      <x:c r="K61" s="2" t="n">
        <x:v>348</x:v>
      </x:c>
      <x:c r="L61" s="2" t="n">
        <x:v>939</x:v>
      </x:c>
    </x:row>
    <x:row r="62" ht="24" customHeight="1">
      <x:c r="A62" s="2" t="n">
        <x:v>61</x:v>
      </x:c>
      <x:c r="B62" s="2" t="n">
        <x:v>2</x:v>
      </x:c>
      <x:c r="C62" s="11" t="n">
        <x:v>119471.9999999851</x:v>
      </x:c>
      <x:c r="D62" s="11" t="n">
        <x:v>84540</x:v>
      </x:c>
      <x:c r="E62" s="11" t="n">
        <x:v>34715.666666671634</x:v>
      </x:c>
      <x:c r="F62" s="11" t="n">
        <x:v>33659.0000000149</x:v>
      </x:c>
      <x:c r="G62" s="11" t="n">
        <x:v>48210</x:v>
      </x:c>
      <x:c r="H62" s="11" t="n">
        <x:v>34931.9999999851</x:v>
      </x:c>
      <x:c r="I62" s="11" t="n">
        <x:v>2565</x:v>
      </x:c>
      <x:c r="J62" s="11" t="n">
        <x:v>105.99999998509884</x:v>
      </x:c>
      <x:c r="K62" s="2" t="n">
        <x:v>352</x:v>
      </x:c>
      <x:c r="L62" s="2" t="n">
        <x:v>939</x:v>
      </x:c>
    </x:row>
    <x:row r="63" ht="24" customHeight="1">
      <x:c r="A63" s="2" t="n">
        <x:v>62</x:v>
      </x:c>
      <x:c r="B63" s="2" t="n">
        <x:v>2</x:v>
      </x:c>
      <x:c r="C63" s="11" t="n">
        <x:v>119470.0000000149</x:v>
      </x:c>
      <x:c r="D63" s="11" t="n">
        <x:v>67438.0000000149</x:v>
      </x:c>
      <x:c r="E63" s="11" t="n">
        <x:v>51817.666666671634</x:v>
      </x:c>
      <x:c r="F63" s="11" t="n">
        <x:v>35667</x:v>
      </x:c>
      <x:c r="G63" s="11" t="n">
        <x:v>29100</x:v>
      </x:c>
      <x:c r="H63" s="11" t="n">
        <x:v>52032</x:v>
      </x:c>
      <x:c r="I63" s="11" t="n">
        <x:v>2565</x:v>
      </x:c>
      <x:c r="J63" s="11" t="n">
        <x:v>106.00000001490116</x:v>
      </x:c>
      <x:c r="K63" s="2" t="n">
        <x:v>356</x:v>
      </x:c>
      <x:c r="L63" s="2" t="n">
        <x:v>939</x:v>
      </x:c>
    </x:row>
    <x:row r="64" ht="24" customHeight="1">
      <x:c r="A64" s="2" t="n">
        <x:v>63</x:v>
      </x:c>
      <x:c r="B64" s="2" t="n">
        <x:v>2</x:v>
      </x:c>
      <x:c r="C64" s="11" t="n">
        <x:v>119474</x:v>
      </x:c>
      <x:c r="D64" s="11" t="n">
        <x:v>86802</x:v>
      </x:c>
      <x:c r="E64" s="11" t="n">
        <x:v>32455.666666671634</x:v>
      </x:c>
      <x:c r="F64" s="11" t="n">
        <x:v>35921</x:v>
      </x:c>
      <x:c r="G64" s="11" t="n">
        <x:v>48210</x:v>
      </x:c>
      <x:c r="H64" s="11" t="n">
        <x:v>32672</x:v>
      </x:c>
      <x:c r="I64" s="11" t="n">
        <x:v>2565</x:v>
      </x:c>
      <x:c r="J64" s="11" t="n">
        <x:v>106</x:v>
      </x:c>
      <x:c r="K64" s="2" t="n">
        <x:v>360</x:v>
      </x:c>
      <x:c r="L64" s="2" t="n">
        <x:v>939</x:v>
      </x:c>
    </x:row>
    <x:row r="65" ht="24" customHeight="1">
      <x:c r="A65" s="2" t="n">
        <x:v>64</x:v>
      </x:c>
      <x:c r="B65" s="2" t="n">
        <x:v>2</x:v>
      </x:c>
      <x:c r="C65" s="11" t="n">
        <x:v>119471</x:v>
      </x:c>
      <x:c r="D65" s="11" t="n">
        <x:v>80834</x:v>
      </x:c>
      <x:c r="E65" s="11" t="n">
        <x:v>38421.666666671634</x:v>
      </x:c>
      <x:c r="F65" s="11" t="n">
        <x:v>42817</x:v>
      </x:c>
      <x:c r="G65" s="11" t="n">
        <x:v>35346</x:v>
      </x:c>
      <x:c r="H65" s="11" t="n">
        <x:v>38637</x:v>
      </x:c>
      <x:c r="I65" s="11" t="n">
        <x:v>2565</x:v>
      </x:c>
      <x:c r="J65" s="11" t="n">
        <x:v>106</x:v>
      </x:c>
      <x:c r="K65" s="2" t="n">
        <x:v>364</x:v>
      </x:c>
      <x:c r="L65" s="2" t="n">
        <x:v>939</x:v>
      </x:c>
    </x:row>
    <x:row r="66" ht="24" customHeight="1">
      <x:c r="A66" s="2" t="n">
        <x:v>65</x:v>
      </x:c>
      <x:c r="B66" s="2" t="n">
        <x:v>2</x:v>
      </x:c>
      <x:c r="C66" s="11" t="n">
        <x:v>121023</x:v>
      </x:c>
      <x:c r="D66" s="11" t="n">
        <x:v>99601</x:v>
      </x:c>
      <x:c r="E66" s="11" t="n">
        <x:v>21207.666666671634</x:v>
      </x:c>
      <x:c r="F66" s="11" t="n">
        <x:v>40042</x:v>
      </x:c>
      <x:c r="G66" s="11" t="n">
        <x:v>55336</x:v>
      </x:c>
      <x:c r="H66" s="11" t="n">
        <x:v>21422</x:v>
      </x:c>
      <x:c r="I66" s="11" t="n">
        <x:v>4116.999999985099</x:v>
      </x:c>
      <x:c r="J66" s="11" t="n">
        <x:v>106.00000001490116</x:v>
      </x:c>
      <x:c r="K66" s="2" t="n">
        <x:v>364</x:v>
      </x:c>
      <x:c r="L66" s="2" t="n">
        <x:v>935</x:v>
      </x:c>
    </x:row>
    <x:row r="67" ht="24" customHeight="1">
      <x:c r="A67" s="2" t="n">
        <x:v>66</x:v>
      </x:c>
      <x:c r="B67" s="2" t="n">
        <x:v>2</x:v>
      </x:c>
      <x:c r="C67" s="11" t="n">
        <x:v>119471.9999999851</x:v>
      </x:c>
      <x:c r="D67" s="11" t="n">
        <x:v>104889.9999999851</x:v>
      </x:c>
      <x:c r="E67" s="11" t="n">
        <x:v>14367.666666671634</x:v>
      </x:c>
      <x:c r="F67" s="11" t="n">
        <x:v>39692</x:v>
      </x:c>
      <x:c r="G67" s="11" t="n">
        <x:v>60975</x:v>
      </x:c>
      <x:c r="H67" s="11" t="n">
        <x:v>14582</x:v>
      </x:c>
      <x:c r="I67" s="11" t="n">
        <x:v>4117</x:v>
      </x:c>
      <x:c r="J67" s="11" t="n">
        <x:v>105.99999998509884</x:v>
      </x:c>
      <x:c r="K67" s="2" t="n">
        <x:v>365</x:v>
      </x:c>
      <x:c r="L67" s="2" t="n">
        <x:v>931</x:v>
      </x:c>
    </x:row>
    <x:row r="68" ht="24" customHeight="1">
      <x:c r="A68" s="2" t="n">
        <x:v>67</x:v>
      </x:c>
      <x:c r="B68" s="2" t="n">
        <x:v>2</x:v>
      </x:c>
      <x:c r="C68" s="11" t="n">
        <x:v>119470</x:v>
      </x:c>
      <x:c r="D68" s="11" t="n">
        <x:v>117003</x:v>
      </x:c>
      <x:c r="E68" s="11" t="n">
        <x:v>2254.6666666716337</x:v>
      </x:c>
      <x:c r="F68" s="11" t="n">
        <x:v>39066</x:v>
      </x:c>
      <x:c r="G68" s="11" t="n">
        <x:v>73714</x:v>
      </x:c>
      <x:c r="H68" s="11" t="n">
        <x:v>2467</x:v>
      </x:c>
      <x:c r="I68" s="11" t="n">
        <x:v>4117</x:v>
      </x:c>
      <x:c r="J68" s="11" t="n">
        <x:v>106</x:v>
      </x:c>
      <x:c r="K68" s="2" t="n">
        <x:v>365</x:v>
      </x:c>
      <x:c r="L68" s="2" t="n">
        <x:v>927</x:v>
      </x:c>
    </x:row>
    <x:row r="69" ht="24" customHeight="1">
      <x:c r="A69" s="2" t="n">
        <x:v>68</x:v>
      </x:c>
      <x:c r="B69" s="2" t="n">
        <x:v>2</x:v>
      </x:c>
      <x:c r="C69" s="11" t="n">
        <x:v>119472.0000000149</x:v>
      </x:c>
      <x:c r="D69" s="11" t="n">
        <x:v>97630.0000000149</x:v>
      </x:c>
      <x:c r="E69" s="11" t="n">
        <x:v>21629.666666671634</x:v>
      </x:c>
      <x:c r="F69" s="11" t="n">
        <x:v>35897</x:v>
      </x:c>
      <x:c r="G69" s="11" t="n">
        <x:v>57510</x:v>
      </x:c>
      <x:c r="H69" s="11" t="n">
        <x:v>21842</x:v>
      </x:c>
      <x:c r="I69" s="11" t="n">
        <x:v>4117</x:v>
      </x:c>
      <x:c r="J69" s="11" t="n">
        <x:v>106.00000001490116</x:v>
      </x:c>
      <x:c r="K69" s="2" t="n">
        <x:v>366</x:v>
      </x:c>
      <x:c r="L69" s="2" t="n">
        <x:v>923</x:v>
      </x:c>
    </x:row>
    <x:row r="70" ht="24" customHeight="1">
      <x:c r="A70" s="2" t="n">
        <x:v>69</x:v>
      </x:c>
      <x:c r="B70" s="2" t="n">
        <x:v>2</x:v>
      </x:c>
      <x:c r="C70" s="11" t="n">
        <x:v>119474</x:v>
      </x:c>
      <x:c r="D70" s="11" t="n">
        <x:v>113817</x:v>
      </x:c>
      <x:c r="E70" s="11" t="n">
        <x:v>5442.666666671634</x:v>
      </x:c>
      <x:c r="F70" s="11" t="n">
        <x:v>40001.0000000149</x:v>
      </x:c>
      <x:c r="G70" s="11" t="n">
        <x:v>69593</x:v>
      </x:c>
      <x:c r="H70" s="11" t="n">
        <x:v>5657</x:v>
      </x:c>
      <x:c r="I70" s="11" t="n">
        <x:v>4117</x:v>
      </x:c>
      <x:c r="J70" s="11" t="n">
        <x:v>105.99999998509884</x:v>
      </x:c>
      <x:c r="K70" s="2" t="n">
        <x:v>366</x:v>
      </x:c>
      <x:c r="L70" s="2" t="n">
        <x:v>919</x:v>
      </x:c>
    </x:row>
    <x:row r="71" ht="24" customHeight="1">
      <x:c r="A71" s="2" t="n">
        <x:v>70</x:v>
      </x:c>
      <x:c r="B71" s="2" t="n">
        <x:v>2</x:v>
      </x:c>
      <x:c r="C71" s="11" t="n">
        <x:v>119470</x:v>
      </x:c>
      <x:c r="D71" s="11" t="n">
        <x:v>106563</x:v>
      </x:c>
      <x:c r="E71" s="11" t="n">
        <x:v>12694.666666671634</x:v>
      </x:c>
      <x:c r="F71" s="11" t="n">
        <x:v>44800</x:v>
      </x:c>
      <x:c r="G71" s="11" t="n">
        <x:v>57539.9999999851</x:v>
      </x:c>
      <x:c r="H71" s="11" t="n">
        <x:v>12907</x:v>
      </x:c>
      <x:c r="I71" s="11" t="n">
        <x:v>4117</x:v>
      </x:c>
      <x:c r="J71" s="11" t="n">
        <x:v>106.00000001490116</x:v>
      </x:c>
      <x:c r="K71" s="2" t="n">
        <x:v>367</x:v>
      </x:c>
      <x:c r="L71" s="2" t="n">
        <x:v>915</x:v>
      </x:c>
    </x:row>
    <x:row r="72" ht="24" customHeight="1">
      <x:c r="A72" s="2" t="n">
        <x:v>71</x:v>
      </x:c>
      <x:c r="B72" s="2" t="n">
        <x:v>2</x:v>
      </x:c>
      <x:c r="C72" s="11" t="n">
        <x:v>119475</x:v>
      </x:c>
      <x:c r="D72" s="11" t="n">
        <x:v>114798</x:v>
      </x:c>
      <x:c r="E72" s="11" t="n">
        <x:v>4461.666666671634</x:v>
      </x:c>
      <x:c r="F72" s="11" t="n">
        <x:v>40260</x:v>
      </x:c>
      <x:c r="G72" s="11" t="n">
        <x:v>70315</x:v>
      </x:c>
      <x:c r="H72" s="11" t="n">
        <x:v>4677</x:v>
      </x:c>
      <x:c r="I72" s="11" t="n">
        <x:v>4117</x:v>
      </x:c>
      <x:c r="J72" s="11" t="n">
        <x:v>106</x:v>
      </x:c>
      <x:c r="K72" s="2" t="n">
        <x:v>367</x:v>
      </x:c>
      <x:c r="L72" s="2" t="n">
        <x:v>911</x:v>
      </x:c>
    </x:row>
    <x:row r="73" ht="24" customHeight="1">
      <x:c r="A73" s="2" t="n">
        <x:v>72</x:v>
      </x:c>
      <x:c r="B73" s="2" t="n">
        <x:v>2</x:v>
      </x:c>
      <x:c r="C73" s="11" t="n">
        <x:v>119470</x:v>
      </x:c>
      <x:c r="D73" s="11" t="n">
        <x:v>73243</x:v>
      </x:c>
      <x:c r="E73" s="11" t="n">
        <x:v>46013.666666671634</x:v>
      </x:c>
      <x:c r="F73" s="11" t="n">
        <x:v>35301</x:v>
      </x:c>
      <x:c r="G73" s="11" t="n">
        <x:v>33719</x:v>
      </x:c>
      <x:c r="H73" s="11" t="n">
        <x:v>46227</x:v>
      </x:c>
      <x:c r="I73" s="11" t="n">
        <x:v>4117</x:v>
      </x:c>
      <x:c r="J73" s="11" t="n">
        <x:v>106</x:v>
      </x:c>
      <x:c r="K73" s="2" t="n">
        <x:v>367</x:v>
      </x:c>
      <x:c r="L73" s="2" t="n">
        <x:v>907</x:v>
      </x:c>
    </x:row>
    <x:row r="74" ht="24" customHeight="1">
      <x:c r="A74" s="2" t="n">
        <x:v>73</x:v>
      </x:c>
      <x:c r="B74" s="2" t="n">
        <x:v>2</x:v>
      </x:c>
      <x:c r="C74" s="11" t="n">
        <x:v>119471</x:v>
      </x:c>
      <x:c r="D74" s="11" t="n">
        <x:v>83389</x:v>
      </x:c>
      <x:c r="E74" s="11" t="n">
        <x:v>35869.666666671634</x:v>
      </x:c>
      <x:c r="F74" s="11" t="n">
        <x:v>34893</x:v>
      </x:c>
      <x:c r="G74" s="11" t="n">
        <x:v>44273</x:v>
      </x:c>
      <x:c r="H74" s="11" t="n">
        <x:v>36082</x:v>
      </x:c>
      <x:c r="I74" s="11" t="n">
        <x:v>4117.000000014901</x:v>
      </x:c>
      <x:c r="J74" s="11" t="n">
        <x:v>105.99999998509884</x:v>
      </x:c>
      <x:c r="K74" s="2" t="n">
        <x:v>367</x:v>
      </x:c>
      <x:c r="L74" s="2" t="n">
        <x:v>903</x:v>
      </x:c>
    </x:row>
    <x:row r="75" ht="24" customHeight="1">
      <x:c r="A75" s="2" t="n">
        <x:v>74</x:v>
      </x:c>
      <x:c r="B75" s="2" t="n">
        <x:v>2</x:v>
      </x:c>
      <x:c r="C75" s="11" t="n">
        <x:v>119476</x:v>
      </x:c>
      <x:c r="D75" s="11" t="n">
        <x:v>67889</x:v>
      </x:c>
      <x:c r="E75" s="11" t="n">
        <x:v>51370.666666671634</x:v>
      </x:c>
      <x:c r="F75" s="11" t="n">
        <x:v>36601</x:v>
      </x:c>
      <x:c r="G75" s="11" t="n">
        <x:v>27065</x:v>
      </x:c>
      <x:c r="H75" s="11" t="n">
        <x:v>51587</x:v>
      </x:c>
      <x:c r="I75" s="11" t="n">
        <x:v>4117</x:v>
      </x:c>
      <x:c r="J75" s="11" t="n">
        <x:v>106</x:v>
      </x:c>
      <x:c r="K75" s="2" t="n">
        <x:v>367</x:v>
      </x:c>
      <x:c r="L75" s="2" t="n">
        <x:v>899</x:v>
      </x:c>
    </x:row>
    <x:row r="76" ht="24" customHeight="1">
      <x:c r="A76" s="2" t="n">
        <x:v>75</x:v>
      </x:c>
      <x:c r="B76" s="2" t="n">
        <x:v>2</x:v>
      </x:c>
      <x:c r="C76" s="11" t="n">
        <x:v>119472</x:v>
      </x:c>
      <x:c r="D76" s="11" t="n">
        <x:v>83505</x:v>
      </x:c>
      <x:c r="E76" s="11" t="n">
        <x:v>35750.666666671634</x:v>
      </x:c>
      <x:c r="F76" s="11" t="n">
        <x:v>39994.9999999851</x:v>
      </x:c>
      <x:c r="G76" s="11" t="n">
        <x:v>39286.9999999851</x:v>
      </x:c>
      <x:c r="H76" s="11" t="n">
        <x:v>35967</x:v>
      </x:c>
      <x:c r="I76" s="11" t="n">
        <x:v>4117</x:v>
      </x:c>
      <x:c r="J76" s="11" t="n">
        <x:v>106.00000002980232</x:v>
      </x:c>
      <x:c r="K76" s="2" t="n">
        <x:v>367</x:v>
      </x:c>
      <x:c r="L76" s="2" t="n">
        <x:v>895</x:v>
      </x:c>
    </x:row>
    <x:row r="77" ht="24" customHeight="1">
      <x:c r="A77" s="2" t="n">
        <x:v>76</x:v>
      </x:c>
      <x:c r="B77" s="2" t="n">
        <x:v>3</x:v>
      </x:c>
      <x:c r="C77" s="11" t="n">
        <x:v>179204.9999999851</x:v>
      </x:c>
      <x:c r="D77" s="11" t="n">
        <x:v>125432.9999999851</x:v>
      </x:c>
      <x:c r="E77" s="11" t="n">
        <x:v>-6177.333333328366</x:v>
      </x:c>
      <x:c r="F77" s="11" t="n">
        <x:v>37512</x:v>
      </x:c>
      <x:c r="G77" s="11" t="n">
        <x:v>83698</x:v>
      </x:c>
      <x:c r="H77" s="11" t="n">
        <x:v>53772</x:v>
      </x:c>
      <x:c r="I77" s="11" t="n">
        <x:v>4117</x:v>
      </x:c>
      <x:c r="J77" s="11" t="n">
        <x:v>105.99999998509884</x:v>
      </x:c>
      <x:c r="K77" s="2" t="n">
        <x:v>371</x:v>
      </x:c>
      <x:c r="L77" s="2" t="n">
        <x:v>894</x:v>
      </x:c>
    </x:row>
    <x:row r="78" ht="24" customHeight="1">
      <x:c r="A78" s="2" t="n">
        <x:v>77</x:v>
      </x:c>
      <x:c r="B78" s="2" t="n">
        <x:v>3</x:v>
      </x:c>
      <x:c r="C78" s="11" t="n">
        <x:v>179210.0000000149</x:v>
      </x:c>
      <x:c r="D78" s="11" t="n">
        <x:v>152108.0000000149</x:v>
      </x:c>
      <x:c r="E78" s="11" t="n">
        <x:v>-32849.333333328366</x:v>
      </x:c>
      <x:c r="F78" s="11" t="n">
        <x:v>63197</x:v>
      </x:c>
      <x:c r="G78" s="11" t="n">
        <x:v>84688</x:v>
      </x:c>
      <x:c r="H78" s="11" t="n">
        <x:v>27102</x:v>
      </x:c>
      <x:c r="I78" s="11" t="n">
        <x:v>4117</x:v>
      </x:c>
      <x:c r="J78" s="11" t="n">
        <x:v>106.00000001490116</x:v>
      </x:c>
      <x:c r="K78" s="2" t="n">
        <x:v>379</x:v>
      </x:c>
      <x:c r="L78" s="2" t="n">
        <x:v>893</x:v>
      </x:c>
    </x:row>
    <x:row r="79" ht="24" customHeight="1">
      <x:c r="A79" s="2" t="n">
        <x:v>78</x:v>
      </x:c>
      <x:c r="B79" s="2" t="n">
        <x:v>2</x:v>
      </x:c>
      <x:c r="C79" s="11" t="n">
        <x:v>117920</x:v>
      </x:c>
      <x:c r="D79" s="11" t="n">
        <x:v>89438</x:v>
      </x:c>
      <x:c r="E79" s="11" t="n">
        <x:v>28266.666666671634</x:v>
      </x:c>
      <x:c r="F79" s="11" t="n">
        <x:v>43584.0000000149</x:v>
      </x:c>
      <x:c r="G79" s="11" t="n">
        <x:v>43183</x:v>
      </x:c>
      <x:c r="H79" s="11" t="n">
        <x:v>28482</x:v>
      </x:c>
      <x:c r="I79" s="11" t="n">
        <x:v>2565</x:v>
      </x:c>
      <x:c r="J79" s="11" t="n">
        <x:v>105.99999998509884</x:v>
      </x:c>
      <x:c r="K79" s="2" t="n">
        <x:v>383</x:v>
      </x:c>
      <x:c r="L79" s="2" t="n">
        <x:v>893</x:v>
      </x:c>
    </x:row>
    <x:row r="80" ht="24" customHeight="1">
      <x:c r="A80" s="2" t="n">
        <x:v>79</x:v>
      </x:c>
      <x:c r="B80" s="2" t="n">
        <x:v>2</x:v>
      </x:c>
      <x:c r="C80" s="11" t="n">
        <x:v>121025</x:v>
      </x:c>
      <x:c r="D80" s="11" t="n">
        <x:v>120263</x:v>
      </x:c>
      <x:c r="E80" s="11" t="n">
        <x:v>545.6666666716337</x:v>
      </x:c>
      <x:c r="F80" s="11" t="n">
        <x:v>37659</x:v>
      </x:c>
      <x:c r="G80" s="11" t="n">
        <x:v>78381</x:v>
      </x:c>
      <x:c r="H80" s="11" t="n">
        <x:v>762</x:v>
      </x:c>
      <x:c r="I80" s="11" t="n">
        <x:v>4117</x:v>
      </x:c>
      <x:c r="J80" s="11" t="n">
        <x:v>106</x:v>
      </x:c>
      <x:c r="K80" s="2" t="n">
        <x:v>387</x:v>
      </x:c>
      <x:c r="L80" s="2" t="n">
        <x:v>892</x:v>
      </x:c>
    </x:row>
    <x:row r="81" ht="24" customHeight="1">
      <x:c r="A81" s="2" t="n">
        <x:v>80</x:v>
      </x:c>
      <x:c r="B81" s="2" t="n">
        <x:v>2</x:v>
      </x:c>
      <x:c r="C81" s="11" t="n">
        <x:v>117919.9999999851</x:v>
      </x:c>
      <x:c r="D81" s="11" t="n">
        <x:v>99202.9999999851</x:v>
      </x:c>
      <x:c r="E81" s="11" t="n">
        <x:v>18500.666666671634</x:v>
      </x:c>
      <x:c r="F81" s="11" t="n">
        <x:v>37786.0000000149</x:v>
      </x:c>
      <x:c r="G81" s="11" t="n">
        <x:v>58746.0000000149</x:v>
      </x:c>
      <x:c r="H81" s="11" t="n">
        <x:v>18717</x:v>
      </x:c>
      <x:c r="I81" s="11" t="n">
        <x:v>2565</x:v>
      </x:c>
      <x:c r="J81" s="11" t="n">
        <x:v>105.99999995529652</x:v>
      </x:c>
      <x:c r="K81" s="2" t="n">
        <x:v>391</x:v>
      </x:c>
      <x:c r="L81" s="2" t="n">
        <x:v>892</x:v>
      </x:c>
    </x:row>
    <x:row r="82" ht="24" customHeight="1">
      <x:c r="A82" s="2" t="n">
        <x:v>81</x:v>
      </x:c>
      <x:c r="B82" s="2" t="n">
        <x:v>2</x:v>
      </x:c>
      <x:c r="C82" s="11" t="n">
        <x:v>123844.0000000149</x:v>
      </x:c>
      <x:c r="D82" s="11" t="n">
        <x:v>111327.0000000149</x:v>
      </x:c>
      <x:c r="E82" s="11" t="n">
        <x:v>12301.666666671634</x:v>
      </x:c>
      <x:c r="F82" s="11" t="n">
        <x:v>40310</x:v>
      </x:c>
      <x:c r="G82" s="11" t="n">
        <x:v>63973</x:v>
      </x:c>
      <x:c r="H82" s="11" t="n">
        <x:v>12517</x:v>
      </x:c>
      <x:c r="I82" s="11" t="n">
        <x:v>6938</x:v>
      </x:c>
      <x:c r="J82" s="11" t="n">
        <x:v>106.00000001490116</x:v>
      </x:c>
      <x:c r="K82" s="2" t="n">
        <x:v>395</x:v>
      </x:c>
      <x:c r="L82" s="2" t="n">
        <x:v>891</x:v>
      </x:c>
    </x:row>
    <x:row r="83" ht="24" customHeight="1">
      <x:c r="A83" s="2" t="n">
        <x:v>82</x:v>
      </x:c>
      <x:c r="B83" s="2" t="n">
        <x:v>2</x:v>
      </x:c>
      <x:c r="C83" s="11" t="n">
        <x:v>115095.9999999851</x:v>
      </x:c>
      <x:c r="D83" s="11" t="n">
        <x:v>88009</x:v>
      </x:c>
      <x:c r="E83" s="11" t="n">
        <x:v>26874.666666671634</x:v>
      </x:c>
      <x:c r="F83" s="11" t="n">
        <x:v>41036</x:v>
      </x:c>
      <x:c r="G83" s="11" t="n">
        <x:v>44302</x:v>
      </x:c>
      <x:c r="H83" s="11" t="n">
        <x:v>27086.9999999851</x:v>
      </x:c>
      <x:c r="I83" s="11" t="n">
        <x:v>2565</x:v>
      </x:c>
      <x:c r="J83" s="11" t="n">
        <x:v>106</x:v>
      </x:c>
      <x:c r="K83" s="2" t="n">
        <x:v>399</x:v>
      </x:c>
      <x:c r="L83" s="2" t="n">
        <x:v>891</x:v>
      </x:c>
    </x:row>
    <x:row r="84" ht="24" customHeight="1">
      <x:c r="A84" s="2" t="n">
        <x:v>83</x:v>
      </x:c>
      <x:c r="B84" s="2" t="n">
        <x:v>2</x:v>
      </x:c>
      <x:c r="C84" s="11" t="n">
        <x:v>119475.0000000149</x:v>
      </x:c>
      <x:c r="D84" s="11" t="n">
        <x:v>86668.0000000298</x:v>
      </x:c>
      <x:c r="E84" s="11" t="n">
        <x:v>32591.666666671634</x:v>
      </x:c>
      <x:c r="F84" s="11" t="n">
        <x:v>36853</x:v>
      </x:c>
      <x:c r="G84" s="11" t="n">
        <x:v>47144.0000000149</x:v>
      </x:c>
      <x:c r="H84" s="11" t="n">
        <x:v>32806.9999999851</x:v>
      </x:c>
      <x:c r="I84" s="11" t="n">
        <x:v>2565</x:v>
      </x:c>
      <x:c r="J84" s="11" t="n">
        <x:v>106.00000001490116</x:v>
      </x:c>
      <x:c r="K84" s="2" t="n">
        <x:v>403</x:v>
      </x:c>
      <x:c r="L84" s="2" t="n">
        <x:v>891</x:v>
      </x:c>
    </x:row>
    <x:row r="85" ht="24" customHeight="1">
      <x:c r="A85" s="2" t="n">
        <x:v>84</x:v>
      </x:c>
      <x:c r="B85" s="2" t="n">
        <x:v>2</x:v>
      </x:c>
      <x:c r="C85" s="11" t="n">
        <x:v>119471</x:v>
      </x:c>
      <x:c r="D85" s="11" t="n">
        <x:v>66584</x:v>
      </x:c>
      <x:c r="E85" s="11" t="n">
        <x:v>52672.666666671634</x:v>
      </x:c>
      <x:c r="F85" s="11" t="n">
        <x:v>34096</x:v>
      </x:c>
      <x:c r="G85" s="11" t="n">
        <x:v>29817.0000000149</x:v>
      </x:c>
      <x:c r="H85" s="11" t="n">
        <x:v>52887</x:v>
      </x:c>
      <x:c r="I85" s="11" t="n">
        <x:v>2565</x:v>
      </x:c>
      <x:c r="J85" s="11" t="n">
        <x:v>105.99999998509884</x:v>
      </x:c>
      <x:c r="K85" s="2" t="n">
        <x:v>407</x:v>
      </x:c>
      <x:c r="L85" s="2" t="n">
        <x:v>891</x:v>
      </x:c>
    </x:row>
    <x:row r="86" ht="24" customHeight="1">
      <x:c r="A86" s="2" t="n">
        <x:v>85</x:v>
      </x:c>
      <x:c r="B86" s="2" t="n">
        <x:v>2</x:v>
      </x:c>
      <x:c r="C86" s="11" t="n">
        <x:v>119474</x:v>
      </x:c>
      <x:c r="D86" s="11" t="n">
        <x:v>85637</x:v>
      </x:c>
      <x:c r="E86" s="11" t="n">
        <x:v>33620.666666671634</x:v>
      </x:c>
      <x:c r="F86" s="11" t="n">
        <x:v>35822</x:v>
      </x:c>
      <x:c r="G86" s="11" t="n">
        <x:v>47144.0000000149</x:v>
      </x:c>
      <x:c r="H86" s="11" t="n">
        <x:v>33837</x:v>
      </x:c>
      <x:c r="I86" s="11" t="n">
        <x:v>2565</x:v>
      </x:c>
      <x:c r="J86" s="11" t="n">
        <x:v>105.99999998509884</x:v>
      </x:c>
      <x:c r="K86" s="2" t="n">
        <x:v>411</x:v>
      </x:c>
      <x:c r="L86" s="2" t="n">
        <x:v>891</x:v>
      </x:c>
    </x:row>
    <x:row r="87" ht="24" customHeight="1">
      <x:c r="A87" s="2" t="n">
        <x:v>86</x:v>
      </x:c>
      <x:c r="B87" s="2" t="n">
        <x:v>2</x:v>
      </x:c>
      <x:c r="C87" s="11" t="n">
        <x:v>119471</x:v>
      </x:c>
      <x:c r="D87" s="11" t="n">
        <x:v>68344</x:v>
      </x:c>
      <x:c r="E87" s="11" t="n">
        <x:v>50911.666666671634</x:v>
      </x:c>
      <x:c r="F87" s="11" t="n">
        <x:v>35856</x:v>
      </x:c>
      <x:c r="G87" s="11" t="n">
        <x:v>29817</x:v>
      </x:c>
      <x:c r="H87" s="11" t="n">
        <x:v>51127</x:v>
      </x:c>
      <x:c r="I87" s="11" t="n">
        <x:v>2565</x:v>
      </x:c>
      <x:c r="J87" s="11" t="n">
        <x:v>106</x:v>
      </x:c>
      <x:c r="K87" s="2" t="n">
        <x:v>415</x:v>
      </x:c>
      <x:c r="L87" s="2" t="n">
        <x:v>891</x:v>
      </x:c>
    </x:row>
    <x:row r="88" ht="24" customHeight="1">
      <x:c r="A88" s="2" t="n">
        <x:v>87</x:v>
      </x:c>
      <x:c r="B88" s="2" t="n">
        <x:v>2</x:v>
      </x:c>
      <x:c r="C88" s="11" t="n">
        <x:v>119471</x:v>
      </x:c>
      <x:c r="D88" s="11" t="n">
        <x:v>86663.9999999851</x:v>
      </x:c>
      <x:c r="E88" s="11" t="n">
        <x:v>32592.666666671634</x:v>
      </x:c>
      <x:c r="F88" s="11" t="n">
        <x:v>32138</x:v>
      </x:c>
      <x:c r="G88" s="11" t="n">
        <x:v>51855</x:v>
      </x:c>
      <x:c r="H88" s="11" t="n">
        <x:v>32807.0000000149</x:v>
      </x:c>
      <x:c r="I88" s="11" t="n">
        <x:v>2565</x:v>
      </x:c>
      <x:c r="J88" s="11" t="n">
        <x:v>105.99999998509884</x:v>
      </x:c>
      <x:c r="K88" s="2" t="n">
        <x:v>419</x:v>
      </x:c>
      <x:c r="L88" s="2" t="n">
        <x:v>891</x:v>
      </x:c>
    </x:row>
    <x:row r="89" ht="24" customHeight="1">
      <x:c r="A89" s="2" t="n">
        <x:v>88</x:v>
      </x:c>
      <x:c r="B89" s="2" t="n">
        <x:v>2</x:v>
      </x:c>
      <x:c r="C89" s="11" t="n">
        <x:v>119473</x:v>
      </x:c>
      <x:c r="D89" s="11" t="n">
        <x:v>78966</x:v>
      </x:c>
      <x:c r="E89" s="11" t="n">
        <x:v>40291.666666671634</x:v>
      </x:c>
      <x:c r="F89" s="11" t="n">
        <x:v>41454</x:v>
      </x:c>
      <x:c r="G89" s="11" t="n">
        <x:v>34841</x:v>
      </x:c>
      <x:c r="H89" s="11" t="n">
        <x:v>40507</x:v>
      </x:c>
      <x:c r="I89" s="11" t="n">
        <x:v>2565</x:v>
      </x:c>
      <x:c r="J89" s="11" t="n">
        <x:v>106</x:v>
      </x:c>
      <x:c r="K89" s="2" t="n">
        <x:v>423</x:v>
      </x:c>
      <x:c r="L89" s="2" t="n">
        <x:v>891</x:v>
      </x:c>
    </x:row>
    <x:row r="90" ht="24" customHeight="1">
      <x:c r="A90" s="2" t="n">
        <x:v>89</x:v>
      </x:c>
      <x:c r="B90" s="2" t="n">
        <x:v>2</x:v>
      </x:c>
      <x:c r="C90" s="11" t="n">
        <x:v>119472</x:v>
      </x:c>
      <x:c r="D90" s="11" t="n">
        <x:v>88039.9999999851</x:v>
      </x:c>
      <x:c r="E90" s="11" t="n">
        <x:v>31216.666666671634</x:v>
      </x:c>
      <x:c r="F90" s="11" t="n">
        <x:v>38210</x:v>
      </x:c>
      <x:c r="G90" s="11" t="n">
        <x:v>47159</x:v>
      </x:c>
      <x:c r="H90" s="11" t="n">
        <x:v>31432.0000000149</x:v>
      </x:c>
      <x:c r="I90" s="11" t="n">
        <x:v>2565</x:v>
      </x:c>
      <x:c r="J90" s="11" t="n">
        <x:v>105.99999998509884</x:v>
      </x:c>
      <x:c r="K90" s="2" t="n">
        <x:v>427</x:v>
      </x:c>
      <x:c r="L90" s="2" t="n">
        <x:v>891</x:v>
      </x:c>
    </x:row>
    <x:row r="91" ht="24" customHeight="1">
      <x:c r="A91" s="2" t="n">
        <x:v>90</x:v>
      </x:c>
      <x:c r="B91" s="2" t="n">
        <x:v>2</x:v>
      </x:c>
      <x:c r="C91" s="11" t="n">
        <x:v>119470.9999999851</x:v>
      </x:c>
      <x:c r="D91" s="11" t="n">
        <x:v>68944</x:v>
      </x:c>
      <x:c r="E91" s="11" t="n">
        <x:v>50312.666666671634</x:v>
      </x:c>
      <x:c r="F91" s="11" t="n">
        <x:v>36444</x:v>
      </x:c>
      <x:c r="G91" s="11" t="n">
        <x:v>29829</x:v>
      </x:c>
      <x:c r="H91" s="11" t="n">
        <x:v>50526.9999999851</x:v>
      </x:c>
      <x:c r="I91" s="11" t="n">
        <x:v>2565</x:v>
      </x:c>
      <x:c r="J91" s="11" t="n">
        <x:v>106</x:v>
      </x:c>
      <x:c r="K91" s="2" t="n">
        <x:v>431</x:v>
      </x:c>
      <x:c r="L91" s="2" t="n">
        <x:v>891</x:v>
      </x:c>
    </x:row>
    <x:row r="92" ht="24" customHeight="1">
      <x:c r="A92" s="2" t="n">
        <x:v>91</x:v>
      </x:c>
      <x:c r="B92" s="2" t="n">
        <x:v>2</x:v>
      </x:c>
      <x:c r="C92" s="11" t="n">
        <x:v>119474.0000000149</x:v>
      </x:c>
      <x:c r="D92" s="11" t="n">
        <x:v>81782.0000000149</x:v>
      </x:c>
      <x:c r="E92" s="11" t="n">
        <x:v>37475.666666671634</x:v>
      </x:c>
      <x:c r="F92" s="11" t="n">
        <x:v>31952</x:v>
      </x:c>
      <x:c r="G92" s="11" t="n">
        <x:v>47159</x:v>
      </x:c>
      <x:c r="H92" s="11" t="n">
        <x:v>37692</x:v>
      </x:c>
      <x:c r="I92" s="11" t="n">
        <x:v>2565</x:v>
      </x:c>
      <x:c r="J92" s="11" t="n">
        <x:v>106.00000001490116</x:v>
      </x:c>
      <x:c r="K92" s="2" t="n">
        <x:v>435</x:v>
      </x:c>
      <x:c r="L92" s="2" t="n">
        <x:v>891</x:v>
      </x:c>
    </x:row>
    <x:row r="93" ht="24" customHeight="1">
      <x:c r="A93" s="2" t="n">
        <x:v>92</x:v>
      </x:c>
      <x:c r="B93" s="2" t="n">
        <x:v>2</x:v>
      </x:c>
      <x:c r="C93" s="11" t="n">
        <x:v>119472</x:v>
      </x:c>
      <x:c r="D93" s="11" t="n">
        <x:v>74689.9999999851</x:v>
      </x:c>
      <x:c r="E93" s="11" t="n">
        <x:v>44565.666666671634</x:v>
      </x:c>
      <x:c r="F93" s="11" t="n">
        <x:v>42190</x:v>
      </x:c>
      <x:c r="G93" s="11" t="n">
        <x:v>29829</x:v>
      </x:c>
      <x:c r="H93" s="11" t="n">
        <x:v>44782.0000000149</x:v>
      </x:c>
      <x:c r="I93" s="11" t="n">
        <x:v>2565</x:v>
      </x:c>
      <x:c r="J93" s="11" t="n">
        <x:v>105.99999998509884</x:v>
      </x:c>
      <x:c r="K93" s="2" t="n">
        <x:v>439</x:v>
      </x:c>
      <x:c r="L93" s="2" t="n">
        <x:v>891</x:v>
      </x:c>
    </x:row>
    <x:row r="94" ht="24" customHeight="1">
      <x:c r="A94" s="2" t="n">
        <x:v>93</x:v>
      </x:c>
      <x:c r="B94" s="2" t="n">
        <x:v>2</x:v>
      </x:c>
      <x:c r="C94" s="11" t="n">
        <x:v>121023</x:v>
      </x:c>
      <x:c r="D94" s="11" t="n">
        <x:v>102571</x:v>
      </x:c>
      <x:c r="E94" s="11" t="n">
        <x:v>18236.666666671634</x:v>
      </x:c>
      <x:c r="F94" s="11" t="n">
        <x:v>40451</x:v>
      </x:c>
      <x:c r="G94" s="11" t="n">
        <x:v>57897.0000000149</x:v>
      </x:c>
      <x:c r="H94" s="11" t="n">
        <x:v>18452</x:v>
      </x:c>
      <x:c r="I94" s="11" t="n">
        <x:v>4117</x:v>
      </x:c>
      <x:c r="J94" s="11" t="n">
        <x:v>105.99999998509884</x:v>
      </x:c>
      <x:c r="K94" s="2" t="n">
        <x:v>439</x:v>
      </x:c>
      <x:c r="L94" s="2" t="n">
        <x:v>895</x:v>
      </x:c>
    </x:row>
    <x:row r="95" ht="24" customHeight="1">
      <x:c r="A95" s="2" t="n">
        <x:v>94</x:v>
      </x:c>
      <x:c r="B95" s="2" t="n">
        <x:v>2</x:v>
      </x:c>
      <x:c r="C95" s="11" t="n">
        <x:v>119470</x:v>
      </x:c>
      <x:c r="D95" s="11" t="n">
        <x:v>83477.9999999851</x:v>
      </x:c>
      <x:c r="E95" s="11" t="n">
        <x:v>35778.666666671634</x:v>
      </x:c>
      <x:c r="F95" s="11" t="n">
        <x:v>39992</x:v>
      </x:c>
      <x:c r="G95" s="11" t="n">
        <x:v>39263</x:v>
      </x:c>
      <x:c r="H95" s="11" t="n">
        <x:v>35992.0000000149</x:v>
      </x:c>
      <x:c r="I95" s="11" t="n">
        <x:v>4117.000000014901</x:v>
      </x:c>
      <x:c r="J95" s="11" t="n">
        <x:v>105.99999997019768</x:v>
      </x:c>
      <x:c r="K95" s="2" t="n">
        <x:v>439</x:v>
      </x:c>
      <x:c r="L95" s="2" t="n">
        <x:v>899</x:v>
      </x:c>
    </x:row>
    <x:row r="96" ht="24" customHeight="1">
      <x:c r="A96" s="2" t="n">
        <x:v>95</x:v>
      </x:c>
      <x:c r="B96" s="2" t="n">
        <x:v>2</x:v>
      </x:c>
      <x:c r="C96" s="11" t="n">
        <x:v>119470.9999999851</x:v>
      </x:c>
      <x:c r="D96" s="11" t="n">
        <x:v>80408.9999999851</x:v>
      </x:c>
      <x:c r="E96" s="11" t="n">
        <x:v>38849.666666671634</x:v>
      </x:c>
      <x:c r="F96" s="11" t="n">
        <x:v>42482</x:v>
      </x:c>
      <x:c r="G96" s="11" t="n">
        <x:v>33704</x:v>
      </x:c>
      <x:c r="H96" s="11" t="n">
        <x:v>39062</x:v>
      </x:c>
      <x:c r="I96" s="11" t="n">
        <x:v>4117</x:v>
      </x:c>
      <x:c r="J96" s="11" t="n">
        <x:v>105.99999998509884</x:v>
      </x:c>
      <x:c r="K96" s="2" t="n">
        <x:v>439</x:v>
      </x:c>
      <x:c r="L96" s="2" t="n">
        <x:v>903</x:v>
      </x:c>
    </x:row>
    <x:row r="97" ht="24" customHeight="1">
      <x:c r="A97" s="2" t="n">
        <x:v>96</x:v>
      </x:c>
      <x:c r="B97" s="2" t="n">
        <x:v>2</x:v>
      </x:c>
      <x:c r="C97" s="11" t="n">
        <x:v>119474.0000000149</x:v>
      </x:c>
      <x:c r="D97" s="11" t="n">
        <x:v>85932.0000000149</x:v>
      </x:c>
      <x:c r="E97" s="11" t="n">
        <x:v>33327.666666671634</x:v>
      </x:c>
      <x:c r="F97" s="11" t="n">
        <x:v>37458</x:v>
      </x:c>
      <x:c r="G97" s="11" t="n">
        <x:v>44251</x:v>
      </x:c>
      <x:c r="H97" s="11" t="n">
        <x:v>33542</x:v>
      </x:c>
      <x:c r="I97" s="11" t="n">
        <x:v>4117</x:v>
      </x:c>
      <x:c r="J97" s="11" t="n">
        <x:v>106.00000001490116</x:v>
      </x:c>
      <x:c r="K97" s="2" t="n">
        <x:v>439</x:v>
      </x:c>
      <x:c r="L97" s="2" t="n">
        <x:v>907</x:v>
      </x:c>
    </x:row>
    <x:row r="98" ht="24" customHeight="1">
      <x:c r="A98" s="2" t="n">
        <x:v>97</x:v>
      </x:c>
      <x:c r="B98" s="2" t="n">
        <x:v>2</x:v>
      </x:c>
      <x:c r="C98" s="11" t="n">
        <x:v>119470.9999999851</x:v>
      </x:c>
      <x:c r="D98" s="11" t="n">
        <x:v>104248.9999999851</x:v>
      </x:c>
      <x:c r="E98" s="11" t="n">
        <x:v>15008.666666671634</x:v>
      </x:c>
      <x:c r="F98" s="11" t="n">
        <x:v>38712</x:v>
      </x:c>
      <x:c r="G98" s="11" t="n">
        <x:v>61313.9999999851</x:v>
      </x:c>
      <x:c r="H98" s="11" t="n">
        <x:v>15222</x:v>
      </x:c>
      <x:c r="I98" s="11" t="n">
        <x:v>4117</x:v>
      </x:c>
      <x:c r="J98" s="11" t="n">
        <x:v>106</x:v>
      </x:c>
      <x:c r="K98" s="2" t="n">
        <x:v>438</x:v>
      </x:c>
      <x:c r="L98" s="2" t="n">
        <x:v>911</x:v>
      </x:c>
    </x:row>
    <x:row r="99" ht="24" customHeight="1">
      <x:c r="A99" s="2" t="n">
        <x:v>98</x:v>
      </x:c>
      <x:c r="B99" s="2" t="n">
        <x:v>2</x:v>
      </x:c>
      <x:c r="C99" s="11" t="n">
        <x:v>119472.0000000149</x:v>
      </x:c>
      <x:c r="D99" s="11" t="n">
        <x:v>111550.0000000149</x:v>
      </x:c>
      <x:c r="E99" s="11" t="n">
        <x:v>7708.666666671634</x:v>
      </x:c>
      <x:c r="F99" s="11" t="n">
        <x:v>37110</x:v>
      </x:c>
      <x:c r="G99" s="11" t="n">
        <x:v>70216.9999999851</x:v>
      </x:c>
      <x:c r="H99" s="11" t="n">
        <x:v>7922</x:v>
      </x:c>
      <x:c r="I99" s="11" t="n">
        <x:v>4117</x:v>
      </x:c>
      <x:c r="J99" s="11" t="n">
        <x:v>106.00000002980232</x:v>
      </x:c>
      <x:c r="K99" s="2" t="n">
        <x:v>438</x:v>
      </x:c>
      <x:c r="L99" s="2" t="n">
        <x:v>915</x:v>
      </x:c>
    </x:row>
    <x:row r="100" ht="24" customHeight="1">
      <x:c r="A100" s="2" t="n">
        <x:v>99</x:v>
      </x:c>
      <x:c r="B100" s="2" t="n">
        <x:v>2</x:v>
      </x:c>
      <x:c r="C100" s="11" t="n">
        <x:v>119472</x:v>
      </x:c>
      <x:c r="D100" s="11" t="n">
        <x:v>99510</x:v>
      </x:c>
      <x:c r="E100" s="11" t="n">
        <x:v>19748.666666671634</x:v>
      </x:c>
      <x:c r="F100" s="11" t="n">
        <x:v>35200.0000000149</x:v>
      </x:c>
      <x:c r="G100" s="11" t="n">
        <x:v>60087</x:v>
      </x:c>
      <x:c r="H100" s="11" t="n">
        <x:v>19962</x:v>
      </x:c>
      <x:c r="I100" s="11" t="n">
        <x:v>4117</x:v>
      </x:c>
      <x:c r="J100" s="11" t="n">
        <x:v>105.99999998509884</x:v>
      </x:c>
      <x:c r="K100" s="2" t="n">
        <x:v>437</x:v>
      </x:c>
      <x:c r="L100" s="2" t="n">
        <x:v>919</x:v>
      </x:c>
    </x:row>
    <x:row r="101" ht="24" customHeight="1">
      <x:c r="A101" s="2" t="n">
        <x:v>100</x:v>
      </x:c>
      <x:c r="B101" s="2" t="n">
        <x:v>2</x:v>
      </x:c>
      <x:c r="C101" s="11" t="n">
        <x:v>119473</x:v>
      </x:c>
      <x:c r="D101" s="11" t="n">
        <x:v>112616</x:v>
      </x:c>
      <x:c r="E101" s="11" t="n">
        <x:v>6642.666666671634</x:v>
      </x:c>
      <x:c r="F101" s="11" t="n">
        <x:v>36690.9999999851</x:v>
      </x:c>
      <x:c r="G101" s="11" t="n">
        <x:v>71701.9999999851</x:v>
      </x:c>
      <x:c r="H101" s="11" t="n">
        <x:v>6857</x:v>
      </x:c>
      <x:c r="I101" s="11" t="n">
        <x:v>4116.999999985099</x:v>
      </x:c>
      <x:c r="J101" s="11" t="n">
        <x:v>106.00000004470348</x:v>
      </x:c>
      <x:c r="K101" s="2" t="n">
        <x:v>437</x:v>
      </x:c>
      <x:c r="L101" s="2" t="n">
        <x:v>923</x:v>
      </x:c>
    </x:row>
    <x:row r="102" ht="24" customHeight="1">
      <x:c r="A102" s="2" t="n">
        <x:v>101</x:v>
      </x:c>
      <x:c r="B102" s="2" t="n">
        <x:v>2</x:v>
      </x:c>
      <x:c r="C102" s="11" t="n">
        <x:v>119471</x:v>
      </x:c>
      <x:c r="D102" s="11" t="n">
        <x:v>103799</x:v>
      </x:c>
      <x:c r="E102" s="11" t="n">
        <x:v>15458.666666671634</x:v>
      </x:c>
      <x:c r="F102" s="11" t="n">
        <x:v>42167.0000000149</x:v>
      </x:c>
      <x:c r="G102" s="11" t="n">
        <x:v>57409.0000000149</x:v>
      </x:c>
      <x:c r="H102" s="11" t="n">
        <x:v>15672</x:v>
      </x:c>
      <x:c r="I102" s="11" t="n">
        <x:v>4117</x:v>
      </x:c>
      <x:c r="J102" s="11" t="n">
        <x:v>105.99999997019768</x:v>
      </x:c>
      <x:c r="K102" s="2" t="n">
        <x:v>436</x:v>
      </x:c>
      <x:c r="L102" s="2" t="n">
        <x:v>927</x:v>
      </x:c>
    </x:row>
    <x:row r="103" ht="24" customHeight="1">
      <x:c r="A103" s="2" t="n">
        <x:v>102</x:v>
      </x:c>
      <x:c r="B103" s="2" t="n">
        <x:v>2</x:v>
      </x:c>
      <x:c r="C103" s="11" t="n">
        <x:v>119470.9999999851</x:v>
      </x:c>
      <x:c r="D103" s="11" t="n">
        <x:v>113574</x:v>
      </x:c>
      <x:c r="E103" s="11" t="n">
        <x:v>5684.666666671634</x:v>
      </x:c>
      <x:c r="F103" s="11" t="n">
        <x:v>39242</x:v>
      </x:c>
      <x:c r="G103" s="11" t="n">
        <x:v>70109</x:v>
      </x:c>
      <x:c r="H103" s="11" t="n">
        <x:v>5896.999999985099</x:v>
      </x:c>
      <x:c r="I103" s="11" t="n">
        <x:v>4117</x:v>
      </x:c>
      <x:c r="J103" s="11" t="n">
        <x:v>106</x:v>
      </x:c>
      <x:c r="K103" s="2" t="n">
        <x:v>436</x:v>
      </x:c>
      <x:c r="L103" s="2" t="n">
        <x:v>931</x:v>
      </x:c>
    </x:row>
    <x:row r="104" ht="24" customHeight="1">
      <x:c r="A104" s="2" t="n">
        <x:v>103</x:v>
      </x:c>
      <x:c r="B104" s="2" t="n">
        <x:v>2</x:v>
      </x:c>
      <x:c r="C104" s="11" t="n">
        <x:v>119476.0000000149</x:v>
      </x:c>
      <x:c r="D104" s="11" t="n">
        <x:v>70804.0000000149</x:v>
      </x:c>
      <x:c r="E104" s="11" t="n">
        <x:v>48455.666666671634</x:v>
      </x:c>
      <x:c r="F104" s="11" t="n">
        <x:v>33646</x:v>
      </x:c>
      <x:c r="G104" s="11" t="n">
        <x:v>32935</x:v>
      </x:c>
      <x:c r="H104" s="11" t="n">
        <x:v>48672</x:v>
      </x:c>
      <x:c r="I104" s="11" t="n">
        <x:v>4117</x:v>
      </x:c>
      <x:c r="J104" s="11" t="n">
        <x:v>106.00000001490116</x:v>
      </x:c>
      <x:c r="K104" s="2" t="n">
        <x:v>436</x:v>
      </x:c>
      <x:c r="L104" s="2" t="n">
        <x:v>935</x:v>
      </x:c>
    </x:row>
    <x:row r="105" ht="24" customHeight="1">
      <x:c r="A105" s="2" t="n">
        <x:v>104</x:v>
      </x:c>
      <x:c r="B105" s="2" t="n">
        <x:v>2</x:v>
      </x:c>
      <x:c r="C105" s="11" t="n">
        <x:v>119467.9999999851</x:v>
      </x:c>
      <x:c r="D105" s="11" t="n">
        <x:v>94105.9999999851</x:v>
      </x:c>
      <x:c r="E105" s="11" t="n">
        <x:v>25149.666666671634</x:v>
      </x:c>
      <x:c r="F105" s="11" t="n">
        <x:v>46043</x:v>
      </x:c>
      <x:c r="G105" s="11" t="n">
        <x:v>43840</x:v>
      </x:c>
      <x:c r="H105" s="11" t="n">
        <x:v>25362</x:v>
      </x:c>
      <x:c r="I105" s="11" t="n">
        <x:v>4117</x:v>
      </x:c>
      <x:c r="J105" s="11" t="n">
        <x:v>105.99999998509884</x:v>
      </x:c>
      <x:c r="K105" s="2" t="n">
        <x:v>436</x:v>
      </x:c>
      <x:c r="L105" s="2" t="n">
        <x:v>939</x:v>
      </x:c>
    </x:row>
    <x:row r="106" ht="24" customHeight="1">
      <x:c r="A106" s="2" t="n">
        <x:v>105</x:v>
      </x:c>
      <x:c r="B106" s="2" t="n">
        <x:v>2</x:v>
      </x:c>
      <x:c r="C106" s="11" t="n">
        <x:v>119474.0000000149</x:v>
      </x:c>
      <x:c r="D106" s="11" t="n">
        <x:v>78562.0000000149</x:v>
      </x:c>
      <x:c r="E106" s="11" t="n">
        <x:v>40697.666666671634</x:v>
      </x:c>
      <x:c r="F106" s="11" t="n">
        <x:v>48057.9999999851</x:v>
      </x:c>
      <x:c r="G106" s="11" t="n">
        <x:v>26281</x:v>
      </x:c>
      <x:c r="H106" s="11" t="n">
        <x:v>40912</x:v>
      </x:c>
      <x:c r="I106" s="11" t="n">
        <x:v>4117</x:v>
      </x:c>
      <x:c r="J106" s="11" t="n">
        <x:v>106.00000002980232</x:v>
      </x:c>
      <x:c r="K106" s="2" t="n">
        <x:v>436</x:v>
      </x:c>
      <x:c r="L106" s="2" t="n">
        <x:v>943</x:v>
      </x:c>
    </x:row>
    <x:row r="107" ht="24" customHeight="1">
      <x:c r="A107" s="2" t="n">
        <x:v>106</x:v>
      </x:c>
      <x:c r="B107" s="2" t="n">
        <x:v>2</x:v>
      </x:c>
      <x:c r="C107" s="11" t="n">
        <x:v>119470</x:v>
      </x:c>
      <x:c r="D107" s="11" t="n">
        <x:v>92153</x:v>
      </x:c>
      <x:c r="E107" s="11" t="n">
        <x:v>27104.666666671634</x:v>
      </x:c>
      <x:c r="F107" s="11" t="n">
        <x:v>48718</x:v>
      </x:c>
      <x:c r="G107" s="11" t="n">
        <x:v>39212.0000000149</x:v>
      </x:c>
      <x:c r="H107" s="11" t="n">
        <x:v>27317</x:v>
      </x:c>
      <x:c r="I107" s="11" t="n">
        <x:v>4117</x:v>
      </x:c>
      <x:c r="J107" s="11" t="n">
        <x:v>105.99999998509884</x:v>
      </x:c>
      <x:c r="K107" s="2" t="n">
        <x:v>436</x:v>
      </x:c>
      <x:c r="L107" s="2" t="n">
        <x:v>947</x:v>
      </x:c>
    </x:row>
    <x:row r="108" ht="24" customHeight="1">
      <x:c r="A108" s="2" t="n">
        <x:v>107</x:v>
      </x:c>
      <x:c r="B108" s="2" t="n">
        <x:v>2</x:v>
      </x:c>
      <x:c r="C108" s="11" t="n">
        <x:v>119472</x:v>
      </x:c>
      <x:c r="D108" s="11" t="n">
        <x:v>78085</x:v>
      </x:c>
      <x:c r="E108" s="11" t="n">
        <x:v>41174.666666671634</x:v>
      </x:c>
      <x:c r="F108" s="11" t="n">
        <x:v>47581</x:v>
      </x:c>
      <x:c r="G108" s="11" t="n">
        <x:v>26280.9999999851</x:v>
      </x:c>
      <x:c r="H108" s="11" t="n">
        <x:v>41387</x:v>
      </x:c>
      <x:c r="I108" s="11" t="n">
        <x:v>4117</x:v>
      </x:c>
      <x:c r="J108" s="11" t="n">
        <x:v>106.00000001490116</x:v>
      </x:c>
      <x:c r="K108" s="2" t="n">
        <x:v>436</x:v>
      </x:c>
      <x:c r="L108" s="2" t="n">
        <x:v>951</x:v>
      </x:c>
    </x:row>
    <x:row r="109" ht="24" customHeight="1">
      <x:c r="A109" s="2" t="n">
        <x:v>108</x:v>
      </x:c>
      <x:c r="B109" s="2" t="n">
        <x:v>2</x:v>
      </x:c>
      <x:c r="C109" s="11" t="n">
        <x:v>119472</x:v>
      </x:c>
      <x:c r="D109" s="11" t="n">
        <x:v>94155</x:v>
      </x:c>
      <x:c r="E109" s="11" t="n">
        <x:v>25104.666666671634</x:v>
      </x:c>
      <x:c r="F109" s="11" t="n">
        <x:v>50703.9999999851</x:v>
      </x:c>
      <x:c r="G109" s="11" t="n">
        <x:v>39228</x:v>
      </x:c>
      <x:c r="H109" s="11" t="n">
        <x:v>25317</x:v>
      </x:c>
      <x:c r="I109" s="11" t="n">
        <x:v>4117</x:v>
      </x:c>
      <x:c r="J109" s="11" t="n">
        <x:v>106.00000001490116</x:v>
      </x:c>
      <x:c r="K109" s="2" t="n">
        <x:v>436</x:v>
      </x:c>
      <x:c r="L109" s="2" t="n">
        <x:v>955</x:v>
      </x:c>
    </x:row>
    <x:row r="110" ht="24" customHeight="1">
      <x:c r="A110" s="2" t="n">
        <x:v>109</x:v>
      </x:c>
      <x:c r="B110" s="2" t="n">
        <x:v>2</x:v>
      </x:c>
      <x:c r="C110" s="11" t="n">
        <x:v>119473</x:v>
      </x:c>
      <x:c r="D110" s="11" t="n">
        <x:v>79261</x:v>
      </x:c>
      <x:c r="E110" s="11" t="n">
        <x:v>39998.666666671634</x:v>
      </x:c>
      <x:c r="F110" s="11" t="n">
        <x:v>48741</x:v>
      </x:c>
      <x:c r="G110" s="11" t="n">
        <x:v>26297</x:v>
      </x:c>
      <x:c r="H110" s="11" t="n">
        <x:v>40212</x:v>
      </x:c>
      <x:c r="I110" s="11" t="n">
        <x:v>4117</x:v>
      </x:c>
      <x:c r="J110" s="11" t="n">
        <x:v>106</x:v>
      </x:c>
      <x:c r="K110" s="2" t="n">
        <x:v>436</x:v>
      </x:c>
      <x:c r="L110" s="2" t="n">
        <x:v>959</x:v>
      </x:c>
    </x:row>
    <x:row r="111" ht="24" customHeight="1">
      <x:c r="A111" s="2" t="n">
        <x:v>110</x:v>
      </x:c>
      <x:c r="B111" s="2" t="n">
        <x:v>2</x:v>
      </x:c>
      <x:c r="C111" s="11" t="n">
        <x:v>119474</x:v>
      </x:c>
      <x:c r="D111" s="11" t="n">
        <x:v>84162</x:v>
      </x:c>
      <x:c r="E111" s="11" t="n">
        <x:v>35096.666666671634</x:v>
      </x:c>
      <x:c r="F111" s="11" t="n">
        <x:v>40737</x:v>
      </x:c>
      <x:c r="G111" s="11" t="n">
        <x:v>39202</x:v>
      </x:c>
      <x:c r="H111" s="11" t="n">
        <x:v>35312</x:v>
      </x:c>
      <x:c r="I111" s="11" t="n">
        <x:v>4117</x:v>
      </x:c>
      <x:c r="J111" s="11" t="n">
        <x:v>106</x:v>
      </x:c>
      <x:c r="K111" s="2" t="n">
        <x:v>436</x:v>
      </x:c>
      <x:c r="L111" s="2" t="n">
        <x:v>963</x:v>
      </x:c>
    </x:row>
    <x:row r="112" ht="24" customHeight="1">
      <x:c r="A112" s="2" t="n">
        <x:v>111</x:v>
      </x:c>
      <x:c r="B112" s="2" t="n">
        <x:v>2</x:v>
      </x:c>
      <x:c r="C112" s="11" t="n">
        <x:v>119468.9999999851</x:v>
      </x:c>
      <x:c r="D112" s="11" t="n">
        <x:v>76042</x:v>
      </x:c>
      <x:c r="E112" s="11" t="n">
        <x:v>43214.666666671634</x:v>
      </x:c>
      <x:c r="F112" s="11" t="n">
        <x:v>38891.9999999851</x:v>
      </x:c>
      <x:c r="G112" s="11" t="n">
        <x:v>32927</x:v>
      </x:c>
      <x:c r="H112" s="11" t="n">
        <x:v>43426.9999999851</x:v>
      </x:c>
      <x:c r="I112" s="11" t="n">
        <x:v>4117</x:v>
      </x:c>
      <x:c r="J112" s="11" t="n">
        <x:v>106.00000001490116</x:v>
      </x:c>
      <x:c r="K112" s="2" t="n">
        <x:v>436</x:v>
      </x:c>
      <x:c r="L112" s="2" t="n">
        <x:v>967</x:v>
      </x:c>
    </x:row>
    <x:row r="113" ht="24" customHeight="1">
      <x:c r="A113" s="2" t="n">
        <x:v>112</x:v>
      </x:c>
      <x:c r="B113" s="2" t="n">
        <x:v>2</x:v>
      </x:c>
      <x:c r="C113" s="11" t="n">
        <x:v>121372.0000000149</x:v>
      </x:c>
      <x:c r="D113" s="11" t="n">
        <x:v>96360.0000000149</x:v>
      </x:c>
      <x:c r="E113" s="11" t="n">
        <x:v>24795.666666671634</x:v>
      </x:c>
      <x:c r="F113" s="11" t="n">
        <x:v>46444</x:v>
      </x:c>
      <x:c r="G113" s="11" t="n">
        <x:v>43797</x:v>
      </x:c>
      <x:c r="H113" s="11" t="n">
        <x:v>25012</x:v>
      </x:c>
      <x:c r="I113" s="11" t="n">
        <x:v>6013</x:v>
      </x:c>
      <x:c r="J113" s="11" t="n">
        <x:v>106.00000001490116</x:v>
      </x:c>
      <x:c r="K113" s="2" t="n">
        <x:v>436</x:v>
      </x:c>
      <x:c r="L113" s="2" t="n">
        <x:v>971</x:v>
      </x:c>
    </x:row>
    <x:row r="114" ht="24" customHeight="1">
      <x:c r="A114" s="2" t="n">
        <x:v>113</x:v>
      </x:c>
      <x:c r="B114" s="2" t="n">
        <x:v>2</x:v>
      </x:c>
      <x:c r="C114" s="11" t="n">
        <x:v>117573</x:v>
      </x:c>
      <x:c r="D114" s="11" t="n">
        <x:v>76121.0000000149</x:v>
      </x:c>
      <x:c r="E114" s="11" t="n">
        <x:v>41238.666666671634</x:v>
      </x:c>
      <x:c r="F114" s="11" t="n">
        <x:v>45613</x:v>
      </x:c>
      <x:c r="G114" s="11" t="n">
        <x:v>26285</x:v>
      </x:c>
      <x:c r="H114" s="11" t="n">
        <x:v>41451.9999999851</x:v>
      </x:c>
      <x:c r="I114" s="11" t="n">
        <x:v>4117</x:v>
      </x:c>
      <x:c r="J114" s="11" t="n">
        <x:v>106.00000001490116</x:v>
      </x:c>
      <x:c r="K114" s="2" t="n">
        <x:v>436</x:v>
      </x:c>
      <x:c r="L114" s="2" t="n">
        <x:v>975</x:v>
      </x:c>
    </x:row>
    <x:row r="115" ht="24" customHeight="1">
      <x:c r="A115" s="2" t="n">
        <x:v>114</x:v>
      </x:c>
      <x:c r="B115" s="2" t="n">
        <x:v>2</x:v>
      </x:c>
      <x:c r="C115" s="11" t="n">
        <x:v>121371</x:v>
      </x:c>
      <x:c r="D115" s="11" t="n">
        <x:v>96944.0000000149</x:v>
      </x:c>
      <x:c r="E115" s="11" t="n">
        <x:v>24210.666666671634</x:v>
      </x:c>
      <x:c r="F115" s="11" t="n">
        <x:v>50784</x:v>
      </x:c>
      <x:c r="G115" s="11" t="n">
        <x:v>40041</x:v>
      </x:c>
      <x:c r="H115" s="11" t="n">
        <x:v>24426.9999999851</x:v>
      </x:c>
      <x:c r="I115" s="11" t="n">
        <x:v>6013</x:v>
      </x:c>
      <x:c r="J115" s="11" t="n">
        <x:v>106.00000001490116</x:v>
      </x:c>
      <x:c r="K115" s="2" t="n">
        <x:v>436</x:v>
      </x:c>
      <x:c r="L115" s="2" t="n">
        <x:v>979</x:v>
      </x:c>
    </x:row>
    <x:row r="116" ht="24" customHeight="1">
      <x:c r="A116" s="2" t="n">
        <x:v>115</x:v>
      </x:c>
      <x:c r="B116" s="2" t="n">
        <x:v>2</x:v>
      </x:c>
      <x:c r="C116" s="11" t="n">
        <x:v>117572</x:v>
      </x:c>
      <x:c r="D116" s="11" t="n">
        <x:v>74684.9999999851</x:v>
      </x:c>
      <x:c r="E116" s="11" t="n">
        <x:v>42674.666666671634</x:v>
      </x:c>
      <x:c r="F116" s="11" t="n">
        <x:v>44177</x:v>
      </x:c>
      <x:c r="G116" s="11" t="n">
        <x:v>26285.0000000149</x:v>
      </x:c>
      <x:c r="H116" s="11" t="n">
        <x:v>42887.0000000149</x:v>
      </x:c>
      <x:c r="I116" s="11" t="n">
        <x:v>4117</x:v>
      </x:c>
      <x:c r="J116" s="11" t="n">
        <x:v>105.99999997019768</x:v>
      </x:c>
      <x:c r="K116" s="2" t="n">
        <x:v>436</x:v>
      </x:c>
      <x:c r="L116" s="2" t="n">
        <x:v>983</x:v>
      </x:c>
    </x:row>
    <x:row r="117" ht="24" customHeight="1">
      <x:c r="A117" s="2" t="n">
        <x:v>116</x:v>
      </x:c>
      <x:c r="B117" s="2" t="n">
        <x:v>2</x:v>
      </x:c>
      <x:c r="C117" s="11" t="n">
        <x:v>119475.9999999851</x:v>
      </x:c>
      <x:c r="D117" s="11" t="n">
        <x:v>90844</x:v>
      </x:c>
      <x:c r="E117" s="11" t="n">
        <x:v>28415.666666671634</x:v>
      </x:c>
      <x:c r="F117" s="11" t="n">
        <x:v>46596</x:v>
      </x:c>
      <x:c r="G117" s="11" t="n">
        <x:v>40025</x:v>
      </x:c>
      <x:c r="H117" s="11" t="n">
        <x:v>28631.9999999851</x:v>
      </x:c>
      <x:c r="I117" s="11" t="n">
        <x:v>4117</x:v>
      </x:c>
      <x:c r="J117" s="11" t="n">
        <x:v>106</x:v>
      </x:c>
      <x:c r="K117" s="2" t="n">
        <x:v>436</x:v>
      </x:c>
      <x:c r="L117" s="2" t="n">
        <x:v>987</x:v>
      </x:c>
    </x:row>
    <x:row r="118" ht="24" customHeight="1">
      <x:c r="A118" s="2" t="n">
        <x:v>117</x:v>
      </x:c>
      <x:c r="B118" s="2" t="n">
        <x:v>2</x:v>
      </x:c>
      <x:c r="C118" s="11" t="n">
        <x:v>119471.0000000149</x:v>
      </x:c>
      <x:c r="D118" s="11" t="n">
        <x:v>104009.0000000149</x:v>
      </x:c>
      <x:c r="E118" s="11" t="n">
        <x:v>15246.666666671634</x:v>
      </x:c>
      <x:c r="F118" s="11" t="n">
        <x:v>45412</x:v>
      </x:c>
      <x:c r="G118" s="11" t="n">
        <x:v>54374</x:v>
      </x:c>
      <x:c r="H118" s="11" t="n">
        <x:v>15462</x:v>
      </x:c>
      <x:c r="I118" s="11" t="n">
        <x:v>4117</x:v>
      </x:c>
      <x:c r="J118" s="11" t="n">
        <x:v>106.00000001490116</x:v>
      </x:c>
      <x:c r="K118" s="2" t="n">
        <x:v>432</x:v>
      </x:c>
      <x:c r="L118" s="2" t="n">
        <x:v>988</x:v>
      </x:c>
    </x:row>
    <x:row r="119" ht="24" customHeight="1">
      <x:c r="A119" s="2" t="n">
        <x:v>118</x:v>
      </x:c>
      <x:c r="B119" s="2" t="n">
        <x:v>3</x:v>
      </x:c>
      <x:c r="C119" s="11" t="n">
        <x:v>177655</x:v>
      </x:c>
      <x:c r="D119" s="11" t="n">
        <x:v>122998</x:v>
      </x:c>
      <x:c r="E119" s="11" t="n">
        <x:v>-5293.333333328366</x:v>
      </x:c>
      <x:c r="F119" s="11" t="n">
        <x:v>42014.9999999851</x:v>
      </x:c>
      <x:c r="G119" s="11" t="n">
        <x:v>78311.9999999851</x:v>
      </x:c>
      <x:c r="H119" s="11" t="n">
        <x:v>54657</x:v>
      </x:c>
      <x:c r="I119" s="11" t="n">
        <x:v>2565</x:v>
      </x:c>
      <x:c r="J119" s="11" t="n">
        <x:v>106.00000002980232</x:v>
      </x:c>
      <x:c r="K119" s="2" t="n">
        <x:v>428</x:v>
      </x:c>
      <x:c r="L119" s="2" t="n">
        <x:v>988</x:v>
      </x:c>
    </x:row>
    <x:row r="120" ht="24" customHeight="1">
      <x:c r="A120" s="2" t="n">
        <x:v>119</x:v>
      </x:c>
      <x:c r="B120" s="2" t="n">
        <x:v>3</x:v>
      </x:c>
      <x:c r="C120" s="11" t="n">
        <x:v>180759</x:v>
      </x:c>
      <x:c r="D120" s="11" t="n">
        <x:v>132511.9999999851</x:v>
      </x:c>
      <x:c r="E120" s="11" t="n">
        <x:v>-11702.333333328366</x:v>
      </x:c>
      <x:c r="F120" s="11" t="n">
        <x:v>59707.9999999851</x:v>
      </x:c>
      <x:c r="G120" s="11" t="n">
        <x:v>68581</x:v>
      </x:c>
      <x:c r="H120" s="11" t="n">
        <x:v>48247.0000000149</x:v>
      </x:c>
      <x:c r="I120" s="11" t="n">
        <x:v>4117</x:v>
      </x:c>
      <x:c r="J120" s="11" t="n">
        <x:v>106</x:v>
      </x:c>
      <x:c r="K120" s="2" t="n">
        <x:v>420</x:v>
      </x:c>
      <x:c r="L120" s="2" t="n">
        <x:v>989</x:v>
      </x:c>
    </x:row>
    <x:row r="121" ht="24" customHeight="1">
      <x:c r="A121" s="2" t="n">
        <x:v>120</x:v>
      </x:c>
      <x:c r="B121" s="2" t="n">
        <x:v>2</x:v>
      </x:c>
      <x:c r="C121" s="11" t="n">
        <x:v>122291.9999999851</x:v>
      </x:c>
      <x:c r="D121" s="11" t="n">
        <x:v>120044.9999999851</x:v>
      </x:c>
      <x:c r="E121" s="11" t="n">
        <x:v>2034.6666666716337</x:v>
      </x:c>
      <x:c r="F121" s="11" t="n">
        <x:v>54830.9999999851</x:v>
      </x:c>
      <x:c r="G121" s="11" t="n">
        <x:v>58170</x:v>
      </x:c>
      <x:c r="H121" s="11" t="n">
        <x:v>2247</x:v>
      </x:c>
      <x:c r="I121" s="11" t="n">
        <x:v>6938</x:v>
      </x:c>
      <x:c r="J121" s="11" t="n">
        <x:v>106</x:v>
      </x:c>
      <x:c r="K121" s="2" t="n">
        <x:v>416</x:v>
      </x:c>
      <x:c r="L121" s="2" t="n">
        <x:v>990</x:v>
      </x:c>
    </x:row>
    <x:row r="122" ht="24" customHeight="1">
      <x:c r="A122" s="2" t="n">
        <x:v>121</x:v>
      </x:c>
      <x:c r="B122" s="2" t="n">
        <x:v>3</x:v>
      </x:c>
      <x:c r="C122" s="11" t="n">
        <x:v>174838.0000000149</x:v>
      </x:c>
      <x:c r="D122" s="11" t="n">
        <x:v>132181.0000000149</x:v>
      </x:c>
      <x:c r="E122" s="11" t="n">
        <x:v>-17294.333333328366</x:v>
      </x:c>
      <x:c r="F122" s="11" t="n">
        <x:v>45086</x:v>
      </x:c>
      <x:c r="G122" s="11" t="n">
        <x:v>84424</x:v>
      </x:c>
      <x:c r="H122" s="11" t="n">
        <x:v>42657</x:v>
      </x:c>
      <x:c r="I122" s="11" t="n">
        <x:v>2565</x:v>
      </x:c>
      <x:c r="J122" s="11" t="n">
        <x:v>106.00000001490116</x:v>
      </x:c>
      <x:c r="K122" s="2" t="n">
        <x:v>412</x:v>
      </x:c>
      <x:c r="L122" s="2" t="n">
        <x:v>990</x:v>
      </x:c>
    </x:row>
    <x:row r="123" ht="24" customHeight="1">
      <x:c r="A123" s="2" t="n">
        <x:v>226</x:v>
      </x:c>
      <x:c r="B123" s="2" t="n">
        <x:v>3</x:v>
      </x:c>
      <x:c r="C123" s="11" t="n">
        <x:v>176388</x:v>
      </x:c>
      <x:c r="D123" s="11" t="n">
        <x:v>170966</x:v>
      </x:c>
      <x:c r="E123" s="11" t="n">
        <x:v>-54527.333333328366</x:v>
      </x:c>
      <x:c r="F123" s="11" t="n">
        <x:v>67838.0000000149</x:v>
      </x:c>
      <x:c r="G123" s="11" t="n">
        <x:v>98905</x:v>
      </x:c>
      <x:c r="H123" s="11" t="n">
        <x:v>5422</x:v>
      </x:c>
      <x:c r="I123" s="11" t="n">
        <x:v>4117</x:v>
      </x:c>
      <x:c r="J123" s="11" t="n">
        <x:v>105.99999998509884</x:v>
      </x:c>
      <x:c r="K123" s="2" t="n">
        <x:v>291</x:v>
      </x:c>
      <x:c r="L123" s="2" t="n">
        <x:v>1123</x:v>
      </x:c>
    </x:row>
    <x:row r="124" ht="24" customHeight="1">
      <x:c r="A124" s="2" t="n">
        <x:v>227</x:v>
      </x:c>
      <x:c r="B124" s="2" t="n">
        <x:v>3</x:v>
      </x:c>
      <x:c r="C124" s="11" t="n">
        <x:v>179209.9999999851</x:v>
      </x:c>
      <x:c r="D124" s="11" t="n">
        <x:v>131737.9999999851</x:v>
      </x:c>
      <x:c r="E124" s="11" t="n">
        <x:v>-12479.333333328366</x:v>
      </x:c>
      <x:c r="F124" s="11" t="n">
        <x:v>52289</x:v>
      </x:c>
      <x:c r="G124" s="11" t="n">
        <x:v>75225.9999999851</x:v>
      </x:c>
      <x:c r="H124" s="11" t="n">
        <x:v>47472</x:v>
      </x:c>
      <x:c r="I124" s="11" t="n">
        <x:v>4117</x:v>
      </x:c>
      <x:c r="J124" s="11" t="n">
        <x:v>106</x:v>
      </x:c>
      <x:c r="K124" s="2" t="n">
        <x:v>290</x:v>
      </x:c>
      <x:c r="L124" s="2" t="n">
        <x:v>1115</x:v>
      </x:c>
    </x:row>
    <x:row r="125" ht="24" customHeight="1">
      <x:c r="A125" s="2" t="n">
        <x:v>228</x:v>
      </x:c>
      <x:c r="B125" s="2" t="n">
        <x:v>3</x:v>
      </x:c>
      <x:c r="C125" s="11" t="n">
        <x:v>182029.0000000149</x:v>
      </x:c>
      <x:c r="D125" s="11" t="n">
        <x:v>130442.0000000149</x:v>
      </x:c>
      <x:c r="E125" s="11" t="n">
        <x:v>-8364.333333328366</x:v>
      </x:c>
      <x:c r="F125" s="11" t="n">
        <x:v>48912</x:v>
      </x:c>
      <x:c r="G125" s="11" t="n">
        <x:v>74486</x:v>
      </x:c>
      <x:c r="H125" s="11" t="n">
        <x:v>51587</x:v>
      </x:c>
      <x:c r="I125" s="11" t="n">
        <x:v>6937.999999985099</x:v>
      </x:c>
      <x:c r="J125" s="11" t="n">
        <x:v>106.00000002980232</x:v>
      </x:c>
      <x:c r="K125" s="2" t="n">
        <x:v>290</x:v>
      </x:c>
      <x:c r="L125" s="2" t="n">
        <x:v>1111</x:v>
      </x:c>
    </x:row>
    <x:row r="126" ht="24" customHeight="1">
      <x:c r="A126" s="2" t="n">
        <x:v>229</x:v>
      </x:c>
      <x:c r="B126" s="2" t="n">
        <x:v>3</x:v>
      </x:c>
      <x:c r="C126" s="11" t="n">
        <x:v>176385</x:v>
      </x:c>
      <x:c r="D126" s="11" t="n">
        <x:v>133563</x:v>
      </x:c>
      <x:c r="E126" s="11" t="n">
        <x:v>-17127.333333328366</x:v>
      </x:c>
      <x:c r="F126" s="11" t="n">
        <x:v>55020.0000000149</x:v>
      </x:c>
      <x:c r="G126" s="11" t="n">
        <x:v>74320</x:v>
      </x:c>
      <x:c r="H126" s="11" t="n">
        <x:v>42822</x:v>
      </x:c>
      <x:c r="I126" s="11" t="n">
        <x:v>4117</x:v>
      </x:c>
      <x:c r="J126" s="11" t="n">
        <x:v>105.99999998509884</x:v>
      </x:c>
      <x:c r="K126" s="2" t="n">
        <x:v>289</x:v>
      </x:c>
      <x:c r="L126" s="2" t="n">
        <x:v>1103</x:v>
      </x:c>
    </x:row>
    <x:row r="127" ht="24" customHeight="1">
      <x:c r="A127" s="2" t="n">
        <x:v>230</x:v>
      </x:c>
      <x:c r="B127" s="2" t="n">
        <x:v>2</x:v>
      </x:c>
      <x:c r="C127" s="11" t="n">
        <x:v>119474.9999999851</x:v>
      </x:c>
      <x:c r="D127" s="11" t="n">
        <x:v>112487.9999999851</x:v>
      </x:c>
      <x:c r="E127" s="11" t="n">
        <x:v>6770.666666671634</x:v>
      </x:c>
      <x:c r="F127" s="11" t="n">
        <x:v>46016</x:v>
      </x:c>
      <x:c r="G127" s="11" t="n">
        <x:v>62249</x:v>
      </x:c>
      <x:c r="H127" s="11" t="n">
        <x:v>6987</x:v>
      </x:c>
      <x:c r="I127" s="11" t="n">
        <x:v>4117</x:v>
      </x:c>
      <x:c r="J127" s="11" t="n">
        <x:v>105.99999998509884</x:v>
      </x:c>
      <x:c r="K127" s="2" t="n">
        <x:v>289</x:v>
      </x:c>
      <x:c r="L127" s="2" t="n">
        <x:v>1099</x:v>
      </x:c>
    </x:row>
    <x:row r="128" ht="24" customHeight="1">
      <x:c r="A128" s="2" t="n">
        <x:v>231</x:v>
      </x:c>
      <x:c r="B128" s="2" t="n">
        <x:v>2</x:v>
      </x:c>
      <x:c r="C128" s="11" t="n">
        <x:v>119469.0000000149</x:v>
      </x:c>
      <x:c r="D128" s="11" t="n">
        <x:v>85602</x:v>
      </x:c>
      <x:c r="E128" s="11" t="n">
        <x:v>33653.666666671634</x:v>
      </x:c>
      <x:c r="F128" s="11" t="n">
        <x:v>35332</x:v>
      </x:c>
      <x:c r="G128" s="11" t="n">
        <x:v>46047</x:v>
      </x:c>
      <x:c r="H128" s="11" t="n">
        <x:v>33867.0000000149</x:v>
      </x:c>
      <x:c r="I128" s="11" t="n">
        <x:v>4117</x:v>
      </x:c>
      <x:c r="J128" s="11" t="n">
        <x:v>106</x:v>
      </x:c>
      <x:c r="K128" s="2" t="n">
        <x:v>289</x:v>
      </x:c>
      <x:c r="L128" s="2" t="n">
        <x:v>1095</x:v>
      </x:c>
    </x:row>
    <x:row r="129" ht="24" customHeight="1">
      <x:c r="A129" s="2" t="n">
        <x:v>232</x:v>
      </x:c>
      <x:c r="B129" s="2" t="n">
        <x:v>2</x:v>
      </x:c>
      <x:c r="C129" s="11" t="n">
        <x:v>119470.9999999851</x:v>
      </x:c>
      <x:c r="D129" s="11" t="n">
        <x:v>70389</x:v>
      </x:c>
      <x:c r="E129" s="11" t="n">
        <x:v>48869.666666671634</x:v>
      </x:c>
      <x:c r="F129" s="11" t="n">
        <x:v>36648</x:v>
      </x:c>
      <x:c r="G129" s="11" t="n">
        <x:v>29518</x:v>
      </x:c>
      <x:c r="H129" s="11" t="n">
        <x:v>49081.9999999851</x:v>
      </x:c>
      <x:c r="I129" s="11" t="n">
        <x:v>4117</x:v>
      </x:c>
      <x:c r="J129" s="11" t="n">
        <x:v>106</x:v>
      </x:c>
      <x:c r="K129" s="2" t="n">
        <x:v>289</x:v>
      </x:c>
      <x:c r="L129" s="2" t="n">
        <x:v>1091</x:v>
      </x:c>
    </x:row>
    <x:row r="130" ht="24" customHeight="1">
      <x:c r="A130" s="2" t="n">
        <x:v>233</x:v>
      </x:c>
      <x:c r="B130" s="2" t="n">
        <x:v>2</x:v>
      </x:c>
      <x:c r="C130" s="11" t="n">
        <x:v>119474.0000000149</x:v>
      </x:c>
      <x:c r="D130" s="11" t="n">
        <x:v>83597.0000000149</x:v>
      </x:c>
      <x:c r="E130" s="11" t="n">
        <x:v>35662.666666671634</x:v>
      </x:c>
      <x:c r="F130" s="11" t="n">
        <x:v>38303.9999999851</x:v>
      </x:c>
      <x:c r="G130" s="11" t="n">
        <x:v>41069.9999999851</x:v>
      </x:c>
      <x:c r="H130" s="11" t="n">
        <x:v>35877</x:v>
      </x:c>
      <x:c r="I130" s="11" t="n">
        <x:v>4117</x:v>
      </x:c>
      <x:c r="J130" s="11" t="n">
        <x:v>106.00000004470348</x:v>
      </x:c>
      <x:c r="K130" s="2" t="n">
        <x:v>289</x:v>
      </x:c>
      <x:c r="L130" s="2" t="n">
        <x:v>1087</x:v>
      </x:c>
    </x:row>
    <x:row r="131" ht="24" customHeight="1">
      <x:c r="A131" s="2" t="n">
        <x:v>234</x:v>
      </x:c>
      <x:c r="B131" s="2" t="n">
        <x:v>2</x:v>
      </x:c>
      <x:c r="C131" s="11" t="n">
        <x:v>119473</x:v>
      </x:c>
      <x:c r="D131" s="11" t="n">
        <x:v>74906</x:v>
      </x:c>
      <x:c r="E131" s="11" t="n">
        <x:v>44351.666666671634</x:v>
      </x:c>
      <x:c r="F131" s="11" t="n">
        <x:v>41165</x:v>
      </x:c>
      <x:c r="G131" s="11" t="n">
        <x:v>29518</x:v>
      </x:c>
      <x:c r="H131" s="11" t="n">
        <x:v>44567</x:v>
      </x:c>
      <x:c r="I131" s="11" t="n">
        <x:v>4116.999999985099</x:v>
      </x:c>
      <x:c r="J131" s="11" t="n">
        <x:v>106.00000001490116</x:v>
      </x:c>
      <x:c r="K131" s="2" t="n">
        <x:v>289</x:v>
      </x:c>
      <x:c r="L131" s="2" t="n">
        <x:v>1083</x:v>
      </x:c>
    </x:row>
    <x:row r="132" ht="24" customHeight="1">
      <x:c r="A132" s="2" t="n">
        <x:v>235</x:v>
      </x:c>
      <x:c r="B132" s="2" t="n">
        <x:v>2</x:v>
      </x:c>
      <x:c r="C132" s="11" t="n">
        <x:v>119470</x:v>
      </x:c>
      <x:c r="D132" s="11" t="n">
        <x:v>114733</x:v>
      </x:c>
      <x:c r="E132" s="11" t="n">
        <x:v>4523.666666671634</x:v>
      </x:c>
      <x:c r="F132" s="11" t="n">
        <x:v>68778.0000000149</x:v>
      </x:c>
      <x:c r="G132" s="11" t="n">
        <x:v>41731.9999999851</x:v>
      </x:c>
      <x:c r="H132" s="11" t="n">
        <x:v>4737</x:v>
      </x:c>
      <x:c r="I132" s="11" t="n">
        <x:v>4117</x:v>
      </x:c>
      <x:c r="J132" s="11" t="n">
        <x:v>106</x:v>
      </x:c>
      <x:c r="K132" s="2" t="n">
        <x:v>289</x:v>
      </x:c>
      <x:c r="L132" s="2" t="n">
        <x:v>1079</x:v>
      </x:c>
    </x:row>
    <x:row r="133" ht="24" customHeight="1">
      <x:c r="A133" s="2" t="n">
        <x:v>236</x:v>
      </x:c>
      <x:c r="B133" s="2" t="n">
        <x:v>2</x:v>
      </x:c>
      <x:c r="C133" s="11" t="n">
        <x:v>119475</x:v>
      </x:c>
      <x:c r="D133" s="11" t="n">
        <x:v>99723</x:v>
      </x:c>
      <x:c r="E133" s="11" t="n">
        <x:v>19535.666666671634</x:v>
      </x:c>
      <x:c r="F133" s="11" t="n">
        <x:v>66183.0000000149</x:v>
      </x:c>
      <x:c r="G133" s="11" t="n">
        <x:v>29317</x:v>
      </x:c>
      <x:c r="H133" s="11" t="n">
        <x:v>19752</x:v>
      </x:c>
      <x:c r="I133" s="11" t="n">
        <x:v>4117</x:v>
      </x:c>
      <x:c r="J133" s="11" t="n">
        <x:v>105.99999998509884</x:v>
      </x:c>
      <x:c r="K133" s="2" t="n">
        <x:v>289</x:v>
      </x:c>
      <x:c r="L133" s="2" t="n">
        <x:v>1075</x:v>
      </x:c>
    </x:row>
    <x:row r="134" ht="24" customHeight="1">
      <x:c r="A134" s="2" t="n">
        <x:v>237</x:v>
      </x:c>
      <x:c r="B134" s="2" t="n">
        <x:v>2</x:v>
      </x:c>
      <x:c r="C134" s="11" t="n">
        <x:v>119470</x:v>
      </x:c>
      <x:c r="D134" s="11" t="n">
        <x:v>112278</x:v>
      </x:c>
      <x:c r="E134" s="11" t="n">
        <x:v>6977.666666671634</x:v>
      </x:c>
      <x:c r="F134" s="11" t="n">
        <x:v>61280.0000000149</x:v>
      </x:c>
      <x:c r="G134" s="11" t="n">
        <x:v>46775</x:v>
      </x:c>
      <x:c r="H134" s="11" t="n">
        <x:v>7192</x:v>
      </x:c>
      <x:c r="I134" s="11" t="n">
        <x:v>4117</x:v>
      </x:c>
      <x:c r="J134" s="11" t="n">
        <x:v>105.99999998509884</x:v>
      </x:c>
      <x:c r="K134" s="2" t="n">
        <x:v>289</x:v>
      </x:c>
      <x:c r="L134" s="2" t="n">
        <x:v>1071</x:v>
      </x:c>
    </x:row>
    <x:row r="135" ht="24" customHeight="1">
      <x:c r="A135" s="2" t="n">
        <x:v>238</x:v>
      </x:c>
      <x:c r="B135" s="2" t="n">
        <x:v>2</x:v>
      </x:c>
      <x:c r="C135" s="11" t="n">
        <x:v>119470</x:v>
      </x:c>
      <x:c r="D135" s="11" t="n">
        <x:v>99643</x:v>
      </x:c>
      <x:c r="E135" s="11" t="n">
        <x:v>19614.666666671634</x:v>
      </x:c>
      <x:c r="F135" s="11" t="n">
        <x:v>61463</x:v>
      </x:c>
      <x:c r="G135" s="11" t="n">
        <x:v>33957</x:v>
      </x:c>
      <x:c r="H135" s="11" t="n">
        <x:v>19827</x:v>
      </x:c>
      <x:c r="I135" s="11" t="n">
        <x:v>4117.000000014901</x:v>
      </x:c>
      <x:c r="J135" s="11" t="n">
        <x:v>105.99999998509884</x:v>
      </x:c>
      <x:c r="K135" s="2" t="n">
        <x:v>289</x:v>
      </x:c>
      <x:c r="L135" s="2" t="n">
        <x:v>1067</x:v>
      </x:c>
    </x:row>
    <x:row r="136" ht="24" customHeight="1">
      <x:c r="A136" s="2" t="n">
        <x:v>239</x:v>
      </x:c>
      <x:c r="B136" s="2" t="n">
        <x:v>2</x:v>
      </x:c>
      <x:c r="C136" s="11" t="n">
        <x:v>119474</x:v>
      </x:c>
      <x:c r="D136" s="11" t="n">
        <x:v>80492</x:v>
      </x:c>
      <x:c r="E136" s="11" t="n">
        <x:v>38767.666666671634</x:v>
      </x:c>
      <x:c r="F136" s="11" t="n">
        <x:v>34321</x:v>
      </x:c>
      <x:c r="G136" s="11" t="n">
        <x:v>41948.0000000149</x:v>
      </x:c>
      <x:c r="H136" s="11" t="n">
        <x:v>38982</x:v>
      </x:c>
      <x:c r="I136" s="11" t="n">
        <x:v>4116.999999985099</x:v>
      </x:c>
      <x:c r="J136" s="11" t="n">
        <x:v>106</x:v>
      </x:c>
      <x:c r="K136" s="2" t="n">
        <x:v>289</x:v>
      </x:c>
      <x:c r="L136" s="2" t="n">
        <x:v>1063</x:v>
      </x:c>
    </x:row>
    <x:row r="137" ht="24" customHeight="1">
      <x:c r="A137" s="2" t="n">
        <x:v>240</x:v>
      </x:c>
      <x:c r="B137" s="2" t="n">
        <x:v>3</x:v>
      </x:c>
      <x:c r="C137" s="11" t="n">
        <x:v>177655</x:v>
      </x:c>
      <x:c r="D137" s="11" t="n">
        <x:v>123843</x:v>
      </x:c>
      <x:c r="E137" s="11" t="n">
        <x:v>-6137.333333328366</x:v>
      </x:c>
      <x:c r="F137" s="11" t="n">
        <x:v>37051.0000000149</x:v>
      </x:c>
      <x:c r="G137" s="11" t="n">
        <x:v>84121</x:v>
      </x:c>
      <x:c r="H137" s="11" t="n">
        <x:v>53812</x:v>
      </x:c>
      <x:c r="I137" s="11" t="n">
        <x:v>2565</x:v>
      </x:c>
      <x:c r="J137" s="11" t="n">
        <x:v>105.99999998509884</x:v>
      </x:c>
      <x:c r="K137" s="2" t="n">
        <x:v>285</x:v>
      </x:c>
      <x:c r="L137" s="2" t="n">
        <x:v>1063</x:v>
      </x:c>
    </x:row>
    <x:row r="138" ht="24" customHeight="1">
      <x:c r="A138" s="2" t="n">
        <x:v>241</x:v>
      </x:c>
      <x:c r="B138" s="2" t="n">
        <x:v>3</x:v>
      </x:c>
      <x:c r="C138" s="11" t="n">
        <x:v>180761.9999999851</x:v>
      </x:c>
      <x:c r="D138" s="11" t="n">
        <x:v>144890</x:v>
      </x:c>
      <x:c r="E138" s="11" t="n">
        <x:v>-24079.333333328366</x:v>
      </x:c>
      <x:c r="F138" s="11" t="n">
        <x:v>53830</x:v>
      </x:c>
      <x:c r="G138" s="11" t="n">
        <x:v>86837</x:v>
      </x:c>
      <x:c r="H138" s="11" t="n">
        <x:v>35871.9999999851</x:v>
      </x:c>
      <x:c r="I138" s="11" t="n">
        <x:v>4117</x:v>
      </x:c>
      <x:c r="J138" s="11" t="n">
        <x:v>106</x:v>
      </x:c>
      <x:c r="K138" s="2" t="n">
        <x:v>277</x:v>
      </x:c>
      <x:c r="L138" s="2" t="n">
        <x:v>1062</x:v>
      </x:c>
    </x:row>
    <x:row r="139" ht="24" customHeight="1">
      <x:c r="A139" s="2" t="n">
        <x:v>242</x:v>
      </x:c>
      <x:c r="B139" s="2" t="n">
        <x:v>2</x:v>
      </x:c>
      <x:c r="C139" s="11" t="n">
        <x:v>119473.0000000149</x:v>
      </x:c>
      <x:c r="D139" s="11" t="n">
        <x:v>95571.0000000149</x:v>
      </x:c>
      <x:c r="E139" s="11" t="n">
        <x:v>23685.666666671634</x:v>
      </x:c>
      <x:c r="F139" s="11" t="n">
        <x:v>43735</x:v>
      </x:c>
      <x:c r="G139" s="11" t="n">
        <x:v>47613</x:v>
      </x:c>
      <x:c r="H139" s="11" t="n">
        <x:v>23902</x:v>
      </x:c>
      <x:c r="I139" s="11" t="n">
        <x:v>4117.000000014901</x:v>
      </x:c>
      <x:c r="J139" s="11" t="n">
        <x:v>106</x:v>
      </x:c>
      <x:c r="K139" s="2" t="n">
        <x:v>273</x:v>
      </x:c>
      <x:c r="L139" s="2" t="n">
        <x:v>1061</x:v>
      </x:c>
    </x:row>
    <x:row r="140" ht="24" customHeight="1">
      <x:c r="A140" s="2" t="n">
        <x:v>243</x:v>
      </x:c>
      <x:c r="B140" s="2" t="n">
        <x:v>3</x:v>
      </x:c>
      <x:c r="C140" s="11" t="n">
        <x:v>177654</x:v>
      </x:c>
      <x:c r="D140" s="11" t="n">
        <x:v>121562</x:v>
      </x:c>
      <x:c r="E140" s="11" t="n">
        <x:v>-3858.3333333283663</x:v>
      </x:c>
      <x:c r="F140" s="11" t="n">
        <x:v>37046</x:v>
      </x:c>
      <x:c r="G140" s="11" t="n">
        <x:v>81845.0000000149</x:v>
      </x:c>
      <x:c r="H140" s="11" t="n">
        <x:v>56092</x:v>
      </x:c>
      <x:c r="I140" s="11" t="n">
        <x:v>2565</x:v>
      </x:c>
      <x:c r="J140" s="11" t="n">
        <x:v>105.99999998509884</x:v>
      </x:c>
      <x:c r="K140" s="2" t="n">
        <x:v>269</x:v>
      </x:c>
      <x:c r="L140" s="2" t="n">
        <x:v>1061</x:v>
      </x:c>
    </x:row>
    <x:row r="141" ht="24" customHeight="1">
      <x:c r="A141" s="2" t="n">
        <x:v>244</x:v>
      </x:c>
      <x:c r="B141" s="2" t="n">
        <x:v>3</x:v>
      </x:c>
      <x:c r="C141" s="11" t="n">
        <x:v>180759</x:v>
      </x:c>
      <x:c r="D141" s="11" t="n">
        <x:v>122141.9999999851</x:v>
      </x:c>
      <x:c r="E141" s="11" t="n">
        <x:v>-1332.3333333283663</x:v>
      </x:c>
      <x:c r="F141" s="11" t="n">
        <x:v>52987</x:v>
      </x:c>
      <x:c r="G141" s="11" t="n">
        <x:v>64932.0000000149</x:v>
      </x:c>
      <x:c r="H141" s="11" t="n">
        <x:v>58617.0000000149</x:v>
      </x:c>
      <x:c r="I141" s="11" t="n">
        <x:v>4117</x:v>
      </x:c>
      <x:c r="J141" s="11" t="n">
        <x:v>105.99999997019768</x:v>
      </x:c>
      <x:c r="K141" s="2" t="n">
        <x:v>261</x:v>
      </x:c>
      <x:c r="L141" s="2" t="n">
        <x:v>1060</x:v>
      </x:c>
    </x:row>
    <x:row r="142" ht="24" customHeight="1">
      <x:c r="A142" s="2" t="n">
        <x:v>245</x:v>
      </x:c>
      <x:c r="B142" s="2" t="n">
        <x:v>2</x:v>
      </x:c>
      <x:c r="C142" s="11" t="n">
        <x:v>119475</x:v>
      </x:c>
      <x:c r="D142" s="11" t="n">
        <x:v>108373</x:v>
      </x:c>
      <x:c r="E142" s="11" t="n">
        <x:v>10885.666666671634</x:v>
      </x:c>
      <x:c r="F142" s="11" t="n">
        <x:v>41438.0000000149</x:v>
      </x:c>
      <x:c r="G142" s="11" t="n">
        <x:v>62712.0000000149</x:v>
      </x:c>
      <x:c r="H142" s="11" t="n">
        <x:v>11102</x:v>
      </x:c>
      <x:c r="I142" s="11" t="n">
        <x:v>4116.999999985099</x:v>
      </x:c>
      <x:c r="J142" s="11" t="n">
        <x:v>105.99999998509884</x:v>
      </x:c>
      <x:c r="K142" s="2" t="n">
        <x:v>257</x:v>
      </x:c>
      <x:c r="L142" s="2" t="n">
        <x:v>1059</x:v>
      </x:c>
    </x:row>
    <x:row r="143" ht="24" customHeight="1">
      <x:c r="A143" s="2" t="n">
        <x:v>246</x:v>
      </x:c>
      <x:c r="B143" s="2" t="n">
        <x:v>3</x:v>
      </x:c>
      <x:c r="C143" s="11" t="n">
        <x:v>177655</x:v>
      </x:c>
      <x:c r="D143" s="11" t="n">
        <x:v>118882.9999999851</x:v>
      </x:c>
      <x:c r="E143" s="11" t="n">
        <x:v>-1179.3333333283663</x:v>
      </x:c>
      <x:c r="F143" s="11" t="n">
        <x:v>34258.0000000149</x:v>
      </x:c>
      <x:c r="G143" s="11" t="n">
        <x:v>81954</x:v>
      </x:c>
      <x:c r="H143" s="11" t="n">
        <x:v>58772.0000000149</x:v>
      </x:c>
      <x:c r="I143" s="11" t="n">
        <x:v>2565</x:v>
      </x:c>
      <x:c r="J143" s="11" t="n">
        <x:v>105.99999997019768</x:v>
      </x:c>
      <x:c r="K143" s="2" t="n">
        <x:v>253</x:v>
      </x:c>
      <x:c r="L143" s="2" t="n">
        <x:v>1059</x:v>
      </x:c>
    </x:row>
    <x:row r="144" ht="24" customHeight="1">
      <x:c r="A144" s="2" t="n">
        <x:v>247</x:v>
      </x:c>
      <x:c r="B144" s="2" t="n">
        <x:v>2</x:v>
      </x:c>
      <x:c r="C144" s="11" t="n">
        <x:v>119471</x:v>
      </x:c>
      <x:c r="D144" s="11" t="n">
        <x:v>115934</x:v>
      </x:c>
      <x:c r="E144" s="11" t="n">
        <x:v>3322.6666666716337</x:v>
      </x:c>
      <x:c r="F144" s="11" t="n">
        <x:v>45838</x:v>
      </x:c>
      <x:c r="G144" s="11" t="n">
        <x:v>67425</x:v>
      </x:c>
      <x:c r="H144" s="11" t="n">
        <x:v>3537</x:v>
      </x:c>
      <x:c r="I144" s="11" t="n">
        <x:v>2565</x:v>
      </x:c>
      <x:c r="J144" s="11" t="n">
        <x:v>106</x:v>
      </x:c>
      <x:c r="K144" s="2" t="n">
        <x:v>245</x:v>
      </x:c>
      <x:c r="L144" s="2" t="n">
        <x:v>1059</x:v>
      </x:c>
    </x:row>
    <x:row r="145" ht="24" customHeight="1">
      <x:c r="A145" s="2" t="n">
        <x:v>248</x:v>
      </x:c>
      <x:c r="B145" s="2" t="n">
        <x:v>2</x:v>
      </x:c>
      <x:c r="C145" s="11" t="n">
        <x:v>119471</x:v>
      </x:c>
      <x:c r="D145" s="11" t="n">
        <x:v>67004</x:v>
      </x:c>
      <x:c r="E145" s="11" t="n">
        <x:v>52253.666666671634</x:v>
      </x:c>
      <x:c r="F145" s="11" t="n">
        <x:v>34462.9999999851</x:v>
      </x:c>
      <x:c r="G145" s="11" t="n">
        <x:v>29870</x:v>
      </x:c>
      <x:c r="H145" s="11" t="n">
        <x:v>52467</x:v>
      </x:c>
      <x:c r="I145" s="11" t="n">
        <x:v>2565</x:v>
      </x:c>
      <x:c r="J145" s="11" t="n">
        <x:v>106.00000001490116</x:v>
      </x:c>
      <x:c r="K145" s="2" t="n">
        <x:v>241</x:v>
      </x:c>
      <x:c r="L145" s="2" t="n">
        <x:v>1059</x:v>
      </x:c>
    </x:row>
    <x:row r="146" ht="24" customHeight="1">
      <x:c r="A146" s="2" t="n">
        <x:v>249</x:v>
      </x:c>
      <x:c r="B146" s="2" t="n">
        <x:v>2</x:v>
      </x:c>
      <x:c r="C146" s="11" t="n">
        <x:v>119471</x:v>
      </x:c>
      <x:c r="D146" s="11" t="n">
        <x:v>83103.9999999851</x:v>
      </x:c>
      <x:c r="E146" s="11" t="n">
        <x:v>36154.666666671634</x:v>
      </x:c>
      <x:c r="F146" s="11" t="n">
        <x:v>34161</x:v>
      </x:c>
      <x:c r="G146" s="11" t="n">
        <x:v>46272</x:v>
      </x:c>
      <x:c r="H146" s="11" t="n">
        <x:v>36367.0000000149</x:v>
      </x:c>
      <x:c r="I146" s="11" t="n">
        <x:v>2565</x:v>
      </x:c>
      <x:c r="J146" s="11" t="n">
        <x:v>105.99999998509884</x:v>
      </x:c>
      <x:c r="K146" s="2" t="n">
        <x:v>237</x:v>
      </x:c>
      <x:c r="L146" s="2" t="n">
        <x:v>1059</x:v>
      </x:c>
    </x:row>
    <x:row r="147" ht="24" customHeight="1">
      <x:c r="A147" s="2" t="n">
        <x:v>250</x:v>
      </x:c>
      <x:c r="B147" s="2" t="n">
        <x:v>2</x:v>
      </x:c>
      <x:c r="C147" s="11" t="n">
        <x:v>119476</x:v>
      </x:c>
      <x:c r="D147" s="11" t="n">
        <x:v>65449</x:v>
      </x:c>
      <x:c r="E147" s="11" t="n">
        <x:v>53810.666666671634</x:v>
      </x:c>
      <x:c r="F147" s="11" t="n">
        <x:v>32908</x:v>
      </x:c>
      <x:c r="G147" s="11" t="n">
        <x:v>29869.9999999851</x:v>
      </x:c>
      <x:c r="H147" s="11" t="n">
        <x:v>54027</x:v>
      </x:c>
      <x:c r="I147" s="11" t="n">
        <x:v>2565</x:v>
      </x:c>
      <x:c r="J147" s="11" t="n">
        <x:v>106.00000001490116</x:v>
      </x:c>
      <x:c r="K147" s="2" t="n">
        <x:v>233</x:v>
      </x:c>
      <x:c r="L147" s="2" t="n">
        <x:v>1059</x:v>
      </x:c>
    </x:row>
    <x:row r="148" ht="24" customHeight="1">
      <x:c r="A148" s="2" t="n">
        <x:v>251</x:v>
      </x:c>
      <x:c r="B148" s="2" t="n">
        <x:v>2</x:v>
      </x:c>
      <x:c r="C148" s="11" t="n">
        <x:v>119469</x:v>
      </x:c>
      <x:c r="D148" s="11" t="n">
        <x:v>88017</x:v>
      </x:c>
      <x:c r="E148" s="11" t="n">
        <x:v>31238.666666671634</x:v>
      </x:c>
      <x:c r="F148" s="11" t="n">
        <x:v>34363</x:v>
      </x:c>
      <x:c r="G148" s="11" t="n">
        <x:v>50982.9999999851</x:v>
      </x:c>
      <x:c r="H148" s="11" t="n">
        <x:v>31452</x:v>
      </x:c>
      <x:c r="I148" s="11" t="n">
        <x:v>2565</x:v>
      </x:c>
      <x:c r="J148" s="11" t="n">
        <x:v>106.00000001490116</x:v>
      </x:c>
      <x:c r="K148" s="2" t="n">
        <x:v>229</x:v>
      </x:c>
      <x:c r="L148" s="2" t="n">
        <x:v>1059</x:v>
      </x:c>
    </x:row>
    <x:row r="149" ht="24" customHeight="1">
      <x:c r="A149" s="2" t="n">
        <x:v>252</x:v>
      </x:c>
      <x:c r="B149" s="2" t="n">
        <x:v>2</x:v>
      </x:c>
      <x:c r="C149" s="11" t="n">
        <x:v>119471</x:v>
      </x:c>
      <x:c r="D149" s="11" t="n">
        <x:v>69679</x:v>
      </x:c>
      <x:c r="E149" s="11" t="n">
        <x:v>49579.666666671634</x:v>
      </x:c>
      <x:c r="F149" s="11" t="n">
        <x:v>32498</x:v>
      </x:c>
      <x:c r="G149" s="11" t="n">
        <x:v>34510</x:v>
      </x:c>
      <x:c r="H149" s="11" t="n">
        <x:v>49792</x:v>
      </x:c>
      <x:c r="I149" s="11" t="n">
        <x:v>2565.000000014901</x:v>
      </x:c>
      <x:c r="J149" s="11" t="n">
        <x:v>105.99999998509884</x:v>
      </x:c>
      <x:c r="K149" s="2" t="n">
        <x:v>225</x:v>
      </x:c>
      <x:c r="L149" s="2" t="n">
        <x:v>1059</x:v>
      </x:c>
    </x:row>
    <x:row r="150" ht="24" customHeight="1">
      <x:c r="A150" s="2" t="n">
        <x:v>253</x:v>
      </x:c>
      <x:c r="B150" s="2" t="n">
        <x:v>2</x:v>
      </x:c>
      <x:c r="C150" s="11" t="n">
        <x:v>119471.9999999851</x:v>
      </x:c>
      <x:c r="D150" s="11" t="n">
        <x:v>81269.9999999702</x:v>
      </x:c>
      <x:c r="E150" s="11" t="n">
        <x:v>37989.666666671634</x:v>
      </x:c>
      <x:c r="F150" s="11" t="n">
        <x:v>32312.0000000149</x:v>
      </x:c>
      <x:c r="G150" s="11" t="n">
        <x:v>46287</x:v>
      </x:c>
      <x:c r="H150" s="11" t="n">
        <x:v>38202.0000000149</x:v>
      </x:c>
      <x:c r="I150" s="11" t="n">
        <x:v>2565</x:v>
      </x:c>
      <x:c r="J150" s="11" t="n">
        <x:v>105.99999995529652</x:v>
      </x:c>
      <x:c r="K150" s="2" t="n">
        <x:v>221</x:v>
      </x:c>
      <x:c r="L150" s="2" t="n">
        <x:v>1059</x:v>
      </x:c>
    </x:row>
    <x:row r="151" ht="24" customHeight="1">
      <x:c r="A151" s="2" t="n">
        <x:v>254</x:v>
      </x:c>
      <x:c r="B151" s="2" t="n">
        <x:v>2</x:v>
      </x:c>
      <x:c r="C151" s="11" t="n">
        <x:v>119475</x:v>
      </x:c>
      <x:c r="D151" s="11" t="n">
        <x:v>65248</x:v>
      </x:c>
      <x:c r="E151" s="11" t="n">
        <x:v>54011.666666671634</x:v>
      </x:c>
      <x:c r="F151" s="11" t="n">
        <x:v>32695</x:v>
      </x:c>
      <x:c r="G151" s="11" t="n">
        <x:v>29881.9999999851</x:v>
      </x:c>
      <x:c r="H151" s="11" t="n">
        <x:v>54227</x:v>
      </x:c>
      <x:c r="I151" s="11" t="n">
        <x:v>2565</x:v>
      </x:c>
      <x:c r="J151" s="11" t="n">
        <x:v>106.00000001490116</x:v>
      </x:c>
      <x:c r="K151" s="2" t="n">
        <x:v>217</x:v>
      </x:c>
      <x:c r="L151" s="2" t="n">
        <x:v>1059</x:v>
      </x:c>
    </x:row>
    <x:row r="152" ht="24" customHeight="1">
      <x:c r="A152" s="2" t="n">
        <x:v>255</x:v>
      </x:c>
      <x:c r="B152" s="2" t="n">
        <x:v>2</x:v>
      </x:c>
      <x:c r="C152" s="11" t="n">
        <x:v>119469.0000000149</x:v>
      </x:c>
      <x:c r="D152" s="11" t="n">
        <x:v>81222.0000000149</x:v>
      </x:c>
      <x:c r="E152" s="11" t="n">
        <x:v>38034.666666671634</x:v>
      </x:c>
      <x:c r="F152" s="11" t="n">
        <x:v>32263.9999999851</x:v>
      </x:c>
      <x:c r="G152" s="11" t="n">
        <x:v>46287</x:v>
      </x:c>
      <x:c r="H152" s="11" t="n">
        <x:v>38247</x:v>
      </x:c>
      <x:c r="I152" s="11" t="n">
        <x:v>2565</x:v>
      </x:c>
      <x:c r="J152" s="11" t="n">
        <x:v>106.00000002980232</x:v>
      </x:c>
      <x:c r="K152" s="2" t="n">
        <x:v>213</x:v>
      </x:c>
      <x:c r="L152" s="2" t="n">
        <x:v>1059</x:v>
      </x:c>
    </x:row>
    <x:row r="153" ht="24" customHeight="1">
      <x:c r="A153" s="2" t="n">
        <x:v>256</x:v>
      </x:c>
      <x:c r="B153" s="2" t="n">
        <x:v>2</x:v>
      </x:c>
      <x:c r="C153" s="11" t="n">
        <x:v>119473</x:v>
      </x:c>
      <x:c r="D153" s="11" t="n">
        <x:v>66730.9999999851</x:v>
      </x:c>
      <x:c r="E153" s="11" t="n">
        <x:v>52528.666666671634</x:v>
      </x:c>
      <x:c r="F153" s="11" t="n">
        <x:v>34177.9999999851</x:v>
      </x:c>
      <x:c r="G153" s="11" t="n">
        <x:v>29882</x:v>
      </x:c>
      <x:c r="H153" s="11" t="n">
        <x:v>52742.0000000149</x:v>
      </x:c>
      <x:c r="I153" s="11" t="n">
        <x:v>2565</x:v>
      </x:c>
      <x:c r="J153" s="11" t="n">
        <x:v>106</x:v>
      </x:c>
      <x:c r="K153" s="2" t="n">
        <x:v>209</x:v>
      </x:c>
      <x:c r="L153" s="2" t="n">
        <x:v>1059</x:v>
      </x:c>
    </x:row>
    <x:row r="154" ht="24" customHeight="1">
      <x:c r="A154" s="2" t="n">
        <x:v>257</x:v>
      </x:c>
      <x:c r="B154" s="2" t="n">
        <x:v>2</x:v>
      </x:c>
      <x:c r="C154" s="11" t="n">
        <x:v>119472.9999999851</x:v>
      </x:c>
      <x:c r="D154" s="11" t="n">
        <x:v>82881</x:v>
      </x:c>
      <x:c r="E154" s="11" t="n">
        <x:v>36377.666666671634</x:v>
      </x:c>
      <x:c r="F154" s="11" t="n">
        <x:v>33923.0000000149</x:v>
      </x:c>
      <x:c r="G154" s="11" t="n">
        <x:v>46286.9999999851</x:v>
      </x:c>
      <x:c r="H154" s="11" t="n">
        <x:v>36591.9999999851</x:v>
      </x:c>
      <x:c r="I154" s="11" t="n">
        <x:v>2565</x:v>
      </x:c>
      <x:c r="J154" s="11" t="n">
        <x:v>106</x:v>
      </x:c>
      <x:c r="K154" s="2" t="n">
        <x:v>205</x:v>
      </x:c>
      <x:c r="L154" s="2" t="n">
        <x:v>1059</x:v>
      </x:c>
    </x:row>
    <x:row r="155" ht="24" customHeight="1">
      <x:c r="A155" s="2" t="n">
        <x:v>258</x:v>
      </x:c>
      <x:c r="B155" s="2" t="n">
        <x:v>2</x:v>
      </x:c>
      <x:c r="C155" s="11" t="n">
        <x:v>119472.0000000149</x:v>
      </x:c>
      <x:c r="D155" s="11" t="n">
        <x:v>63365.0000000149</x:v>
      </x:c>
      <x:c r="E155" s="11" t="n">
        <x:v>55892.666666671634</x:v>
      </x:c>
      <x:c r="F155" s="11" t="n">
        <x:v>30812</x:v>
      </x:c>
      <x:c r="G155" s="11" t="n">
        <x:v>29882</x:v>
      </x:c>
      <x:c r="H155" s="11" t="n">
        <x:v>56107</x:v>
      </x:c>
      <x:c r="I155" s="11" t="n">
        <x:v>2565</x:v>
      </x:c>
      <x:c r="J155" s="11" t="n">
        <x:v>106.00000001490116</x:v>
      </x:c>
      <x:c r="K155" s="2" t="n">
        <x:v>201</x:v>
      </x:c>
      <x:c r="L155" s="2" t="n">
        <x:v>1059</x:v>
      </x:c>
    </x:row>
    <x:row r="156" ht="24" customHeight="1">
      <x:c r="A156" s="2" t="n">
        <x:v>259</x:v>
      </x:c>
      <x:c r="B156" s="2" t="n">
        <x:v>2</x:v>
      </x:c>
      <x:c r="C156" s="11" t="n">
        <x:v>119471.9999999851</x:v>
      </x:c>
      <x:c r="D156" s="11" t="n">
        <x:v>85939.9999999851</x:v>
      </x:c>
      <x:c r="E156" s="11" t="n">
        <x:v>33317.666666671634</x:v>
      </x:c>
      <x:c r="F156" s="11" t="n">
        <x:v>32310.0000000149</x:v>
      </x:c>
      <x:c r="G156" s="11" t="n">
        <x:v>50959.0000000149</x:v>
      </x:c>
      <x:c r="H156" s="11" t="n">
        <x:v>33532</x:v>
      </x:c>
      <x:c r="I156" s="11" t="n">
        <x:v>2565</x:v>
      </x:c>
      <x:c r="J156" s="11" t="n">
        <x:v>105.99999995529652</x:v>
      </x:c>
      <x:c r="K156" s="2" t="n">
        <x:v>197</x:v>
      </x:c>
      <x:c r="L156" s="2" t="n">
        <x:v>1059</x:v>
      </x:c>
    </x:row>
    <x:row r="157" ht="24" customHeight="1">
      <x:c r="A157" s="2" t="n">
        <x:v>260</x:v>
      </x:c>
      <x:c r="B157" s="2" t="n">
        <x:v>2</x:v>
      </x:c>
      <x:c r="C157" s="11" t="n">
        <x:v>119470</x:v>
      </x:c>
      <x:c r="D157" s="11" t="n">
        <x:v>71373.0000000149</x:v>
      </x:c>
      <x:c r="E157" s="11" t="n">
        <x:v>47884.666666671634</x:v>
      </x:c>
      <x:c r="F157" s="11" t="n">
        <x:v>34212.9999999851</x:v>
      </x:c>
      <x:c r="G157" s="11" t="n">
        <x:v>34489</x:v>
      </x:c>
      <x:c r="H157" s="11" t="n">
        <x:v>48096.9999999851</x:v>
      </x:c>
      <x:c r="I157" s="11" t="n">
        <x:v>2565</x:v>
      </x:c>
      <x:c r="J157" s="11" t="n">
        <x:v>106.00000002980232</x:v>
      </x:c>
      <x:c r="K157" s="2" t="n">
        <x:v>193</x:v>
      </x:c>
      <x:c r="L157" s="2" t="n">
        <x:v>1059</x:v>
      </x:c>
    </x:row>
    <x:row r="158" ht="24" customHeight="1">
      <x:c r="A158" s="2" t="n">
        <x:v>261</x:v>
      </x:c>
      <x:c r="B158" s="2" t="n">
        <x:v>2</x:v>
      </x:c>
      <x:c r="C158" s="11" t="n">
        <x:v>121026</x:v>
      </x:c>
      <x:c r="D158" s="11" t="n">
        <x:v>112488.9999999851</x:v>
      </x:c>
      <x:c r="E158" s="11" t="n">
        <x:v>8322.666666671634</x:v>
      </x:c>
      <x:c r="F158" s="11" t="n">
        <x:v>35696.9999999851</x:v>
      </x:c>
      <x:c r="G158" s="11" t="n">
        <x:v>72569</x:v>
      </x:c>
      <x:c r="H158" s="11" t="n">
        <x:v>8537.000000014901</x:v>
      </x:c>
      <x:c r="I158" s="11" t="n">
        <x:v>4117</x:v>
      </x:c>
      <x:c r="J158" s="11" t="n">
        <x:v>106</x:v>
      </x:c>
      <x:c r="K158" s="2" t="n">
        <x:v>194</x:v>
      </x:c>
      <x:c r="L158" s="2" t="n">
        <x:v>1055</x:v>
      </x:c>
    </x:row>
    <x:row r="159" ht="24" customHeight="1">
      <x:c r="A159" s="2" t="n">
        <x:v>262</x:v>
      </x:c>
      <x:c r="B159" s="2" t="n">
        <x:v>2</x:v>
      </x:c>
      <x:c r="C159" s="11" t="n">
        <x:v>119471.0000000149</x:v>
      </x:c>
      <x:c r="D159" s="11" t="n">
        <x:v>95774.0000000149</x:v>
      </x:c>
      <x:c r="E159" s="11" t="n">
        <x:v>23483.666666671634</x:v>
      </x:c>
      <x:c r="F159" s="11" t="n">
        <x:v>35773</x:v>
      </x:c>
      <x:c r="G159" s="11" t="n">
        <x:v>55778.0000000149</x:v>
      </x:c>
      <x:c r="H159" s="11" t="n">
        <x:v>23697</x:v>
      </x:c>
      <x:c r="I159" s="11" t="n">
        <x:v>4117</x:v>
      </x:c>
      <x:c r="J159" s="11" t="n">
        <x:v>106</x:v>
      </x:c>
      <x:c r="K159" s="2" t="n">
        <x:v>194</x:v>
      </x:c>
      <x:c r="L159" s="2" t="n">
        <x:v>1051</x:v>
      </x:c>
    </x:row>
    <x:row r="160" ht="24" customHeight="1">
      <x:c r="A160" s="2" t="n">
        <x:v>263</x:v>
      </x:c>
      <x:c r="B160" s="2" t="n">
        <x:v>2</x:v>
      </x:c>
      <x:c r="C160" s="11" t="n">
        <x:v>119472</x:v>
      </x:c>
      <x:c r="D160" s="11" t="n">
        <x:v>112259.9999999851</x:v>
      </x:c>
      <x:c r="E160" s="11" t="n">
        <x:v>6998.666666671634</x:v>
      </x:c>
      <x:c r="F160" s="11" t="n">
        <x:v>37581</x:v>
      </x:c>
      <x:c r="G160" s="11" t="n">
        <x:v>70456.0000000149</x:v>
      </x:c>
      <x:c r="H160" s="11" t="n">
        <x:v>7212.000000014901</x:v>
      </x:c>
      <x:c r="I160" s="11" t="n">
        <x:v>4117</x:v>
      </x:c>
      <x:c r="J160" s="11" t="n">
        <x:v>105.99999997019768</x:v>
      </x:c>
      <x:c r="K160" s="2" t="n">
        <x:v>195</x:v>
      </x:c>
      <x:c r="L160" s="2" t="n">
        <x:v>1047</x:v>
      </x:c>
    </x:row>
    <x:row r="161" ht="24" customHeight="1">
      <x:c r="A161" s="2" t="n">
        <x:v>264</x:v>
      </x:c>
      <x:c r="B161" s="2" t="n">
        <x:v>2</x:v>
      </x:c>
      <x:c r="C161" s="11" t="n">
        <x:v>122296</x:v>
      </x:c>
      <x:c r="D161" s="11" t="n">
        <x:v>102374</x:v>
      </x:c>
      <x:c r="E161" s="11" t="n">
        <x:v>19705.666666671634</x:v>
      </x:c>
      <x:c r="F161" s="11" t="n">
        <x:v>38806</x:v>
      </x:c>
      <x:c r="G161" s="11" t="n">
        <x:v>56524</x:v>
      </x:c>
      <x:c r="H161" s="11" t="n">
        <x:v>19922</x:v>
      </x:c>
      <x:c r="I161" s="11" t="n">
        <x:v>6938.000000014901</x:v>
      </x:c>
      <x:c r="J161" s="11" t="n">
        <x:v>105.99999998509884</x:v>
      </x:c>
      <x:c r="K161" s="2" t="n">
        <x:v>195</x:v>
      </x:c>
      <x:c r="L161" s="2" t="n">
        <x:v>1043</x:v>
      </x:c>
    </x:row>
    <x:row r="162" ht="24" customHeight="1">
      <x:c r="A162" s="2" t="n">
        <x:v>265</x:v>
      </x:c>
      <x:c r="B162" s="2" t="n">
        <x:v>2</x:v>
      </x:c>
      <x:c r="C162" s="11" t="n">
        <x:v>116648</x:v>
      </x:c>
      <x:c r="D162" s="11" t="n">
        <x:v>108546</x:v>
      </x:c>
      <x:c r="E162" s="11" t="n">
        <x:v>7888.666666671634</x:v>
      </x:c>
      <x:c r="F162" s="11" t="n">
        <x:v>35692</x:v>
      </x:c>
      <x:c r="G162" s="11" t="n">
        <x:v>68631</x:v>
      </x:c>
      <x:c r="H162" s="11" t="n">
        <x:v>8102</x:v>
      </x:c>
      <x:c r="I162" s="11" t="n">
        <x:v>4116.999999985099</x:v>
      </x:c>
      <x:c r="J162" s="11" t="n">
        <x:v>106.00000001490116</x:v>
      </x:c>
      <x:c r="K162" s="2" t="n">
        <x:v>196</x:v>
      </x:c>
      <x:c r="L162" s="2" t="n">
        <x:v>1039</x:v>
      </x:c>
    </x:row>
    <x:row r="163" ht="24" customHeight="1">
      <x:c r="A163" s="2" t="n">
        <x:v>266</x:v>
      </x:c>
      <x:c r="B163" s="2" t="n">
        <x:v>2</x:v>
      </x:c>
      <x:c r="C163" s="11" t="n">
        <x:v>119471.9999999851</x:v>
      </x:c>
      <x:c r="D163" s="11" t="n">
        <x:v>97269.9999999851</x:v>
      </x:c>
      <x:c r="E163" s="11" t="n">
        <x:v>21988.666666671634</x:v>
      </x:c>
      <x:c r="F163" s="11" t="n">
        <x:v>35740.0000000149</x:v>
      </x:c>
      <x:c r="G163" s="11" t="n">
        <x:v>57307</x:v>
      </x:c>
      <x:c r="H163" s="11" t="n">
        <x:v>22202</x:v>
      </x:c>
      <x:c r="I163" s="11" t="n">
        <x:v>4117</x:v>
      </x:c>
      <x:c r="J163" s="11" t="n">
        <x:v>105.99999997019768</x:v>
      </x:c>
      <x:c r="K163" s="2" t="n">
        <x:v>196</x:v>
      </x:c>
      <x:c r="L163" s="2" t="n">
        <x:v>1035</x:v>
      </x:c>
    </x:row>
    <x:row r="164" ht="24" customHeight="1">
      <x:c r="A164" s="2" t="n">
        <x:v>267</x:v>
      </x:c>
      <x:c r="B164" s="2" t="n">
        <x:v>2</x:v>
      </x:c>
      <x:c r="C164" s="11" t="n">
        <x:v>119475</x:v>
      </x:c>
      <x:c r="D164" s="11" t="n">
        <x:v>82598</x:v>
      </x:c>
      <x:c r="E164" s="11" t="n">
        <x:v>36660.666666671634</x:v>
      </x:c>
      <x:c r="F164" s="11" t="n">
        <x:v>35033</x:v>
      </x:c>
      <x:c r="G164" s="11" t="n">
        <x:v>43342.0000000149</x:v>
      </x:c>
      <x:c r="H164" s="11" t="n">
        <x:v>36877</x:v>
      </x:c>
      <x:c r="I164" s="11" t="n">
        <x:v>4117</x:v>
      </x:c>
      <x:c r="J164" s="11" t="n">
        <x:v>105.99999998509884</x:v>
      </x:c>
      <x:c r="K164" s="2" t="n">
        <x:v>196</x:v>
      </x:c>
      <x:c r="L164" s="2" t="n">
        <x:v>1031</x:v>
      </x:c>
    </x:row>
    <x:row r="165" ht="24" customHeight="1">
      <x:c r="A165" s="2" t="n">
        <x:v>268</x:v>
      </x:c>
      <x:c r="B165" s="2" t="n">
        <x:v>2</x:v>
      </x:c>
      <x:c r="C165" s="11" t="n">
        <x:v>119472.0000000149</x:v>
      </x:c>
      <x:c r="D165" s="11" t="n">
        <x:v>70200</x:v>
      </x:c>
      <x:c r="E165" s="11" t="n">
        <x:v>49055.666666671634</x:v>
      </x:c>
      <x:c r="F165" s="11" t="n">
        <x:v>35115</x:v>
      </x:c>
      <x:c r="G165" s="11" t="n">
        <x:v>30862.0000000149</x:v>
      </x:c>
      <x:c r="H165" s="11" t="n">
        <x:v>49272.0000000149</x:v>
      </x:c>
      <x:c r="I165" s="11" t="n">
        <x:v>4117</x:v>
      </x:c>
      <x:c r="J165" s="11" t="n">
        <x:v>105.99999998509884</x:v>
      </x:c>
      <x:c r="K165" s="2" t="n">
        <x:v>196</x:v>
      </x:c>
      <x:c r="L165" s="2" t="n">
        <x:v>1027</x:v>
      </x:c>
    </x:row>
    <x:row r="166" ht="24" customHeight="1">
      <x:c r="A166" s="2" t="n">
        <x:v>269</x:v>
      </x:c>
      <x:c r="B166" s="2" t="n">
        <x:v>2</x:v>
      </x:c>
      <x:c r="C166" s="11" t="n">
        <x:v>119470</x:v>
      </x:c>
      <x:c r="D166" s="11" t="n">
        <x:v>77378</x:v>
      </x:c>
      <x:c r="E166" s="11" t="n">
        <x:v>41877.666666671634</x:v>
      </x:c>
      <x:c r="F166" s="11" t="n">
        <x:v>34817.0000000149</x:v>
      </x:c>
      <x:c r="G166" s="11" t="n">
        <x:v>38338</x:v>
      </x:c>
      <x:c r="H166" s="11" t="n">
        <x:v>42092</x:v>
      </x:c>
      <x:c r="I166" s="11" t="n">
        <x:v>4116.999999985099</x:v>
      </x:c>
      <x:c r="J166" s="11" t="n">
        <x:v>106</x:v>
      </x:c>
      <x:c r="K166" s="2" t="n">
        <x:v>196</x:v>
      </x:c>
      <x:c r="L166" s="2" t="n">
        <x:v>1023</x:v>
      </x:c>
    </x:row>
    <x:row r="167" ht="24" customHeight="1">
      <x:c r="A167" s="2" t="n">
        <x:v>270</x:v>
      </x:c>
      <x:c r="B167" s="2" t="n">
        <x:v>2</x:v>
      </x:c>
      <x:c r="C167" s="11" t="n">
        <x:v>119471</x:v>
      </x:c>
      <x:c r="D167" s="11" t="n">
        <x:v>62169</x:v>
      </x:c>
      <x:c r="E167" s="11" t="n">
        <x:v>57088.666666671634</x:v>
      </x:c>
      <x:c r="F167" s="11" t="n">
        <x:v>31712</x:v>
      </x:c>
      <x:c r="G167" s="11" t="n">
        <x:v>26233.9999999851</x:v>
      </x:c>
      <x:c r="H167" s="11" t="n">
        <x:v>57302</x:v>
      </x:c>
      <x:c r="I167" s="11" t="n">
        <x:v>4117</x:v>
      </x:c>
      <x:c r="J167" s="11" t="n">
        <x:v>106.00000001490116</x:v>
      </x:c>
      <x:c r="K167" s="2" t="n">
        <x:v>196</x:v>
      </x:c>
      <x:c r="L167" s="2" t="n">
        <x:v>1019</x:v>
      </x:c>
    </x:row>
    <x:row r="168" ht="24" customHeight="1">
      <x:c r="A168" s="2" t="n">
        <x:v>271</x:v>
      </x:c>
      <x:c r="B168" s="2" t="n">
        <x:v>2</x:v>
      </x:c>
      <x:c r="C168" s="11" t="n">
        <x:v>119475</x:v>
      </x:c>
      <x:c r="D168" s="11" t="n">
        <x:v>75693</x:v>
      </x:c>
      <x:c r="E168" s="11" t="n">
        <x:v>43565.666666671634</x:v>
      </x:c>
      <x:c r="F168" s="11" t="n">
        <x:v>33132</x:v>
      </x:c>
      <x:c r="G168" s="11" t="n">
        <x:v>38338</x:v>
      </x:c>
      <x:c r="H168" s="11" t="n">
        <x:v>43782</x:v>
      </x:c>
      <x:c r="I168" s="11" t="n">
        <x:v>4117</x:v>
      </x:c>
      <x:c r="J168" s="11" t="n">
        <x:v>106</x:v>
      </x:c>
      <x:c r="K168" s="2" t="n">
        <x:v>196</x:v>
      </x:c>
      <x:c r="L168" s="2" t="n">
        <x:v>1015</x:v>
      </x:c>
    </x:row>
    <x:row r="169" ht="24" customHeight="1">
      <x:c r="A169" s="2" t="n">
        <x:v>272</x:v>
      </x:c>
      <x:c r="B169" s="2" t="n">
        <x:v>2</x:v>
      </x:c>
      <x:c r="C169" s="11" t="n">
        <x:v>119470.9999999851</x:v>
      </x:c>
      <x:c r="D169" s="11" t="n">
        <x:v>65724</x:v>
      </x:c>
      <x:c r="E169" s="11" t="n">
        <x:v>53531.666666671634</x:v>
      </x:c>
      <x:c r="F169" s="11" t="n">
        <x:v>35267</x:v>
      </x:c>
      <x:c r="G169" s="11" t="n">
        <x:v>26234.0000000149</x:v>
      </x:c>
      <x:c r="H169" s="11" t="n">
        <x:v>53746.9999999851</x:v>
      </x:c>
      <x:c r="I169" s="11" t="n">
        <x:v>4117</x:v>
      </x:c>
      <x:c r="J169" s="11" t="n">
        <x:v>105.99999998509884</x:v>
      </x:c>
      <x:c r="K169" s="2" t="n">
        <x:v>196</x:v>
      </x:c>
      <x:c r="L169" s="2" t="n">
        <x:v>1011</x:v>
      </x:c>
    </x:row>
    <x:row r="170" ht="24" customHeight="1">
      <x:c r="A170" s="2" t="n">
        <x:v>273</x:v>
      </x:c>
      <x:c r="B170" s="2" t="n">
        <x:v>2</x:v>
      </x:c>
      <x:c r="C170" s="11" t="n">
        <x:v>119470.0000000149</x:v>
      </x:c>
      <x:c r="D170" s="11" t="n">
        <x:v>77418.0000000298</x:v>
      </x:c>
      <x:c r="E170" s="11" t="n">
        <x:v>41838.666666671634</x:v>
      </x:c>
      <x:c r="F170" s="11" t="n">
        <x:v>34857</x:v>
      </x:c>
      <x:c r="G170" s="11" t="n">
        <x:v>38338.0000000149</x:v>
      </x:c>
      <x:c r="H170" s="11" t="n">
        <x:v>42051.9999999851</x:v>
      </x:c>
      <x:c r="I170" s="11" t="n">
        <x:v>4117</x:v>
      </x:c>
      <x:c r="J170" s="11" t="n">
        <x:v>106.00000001490116</x:v>
      </x:c>
      <x:c r="K170" s="2" t="n">
        <x:v>196</x:v>
      </x:c>
      <x:c r="L170" s="2" t="n">
        <x:v>1007</x:v>
      </x:c>
    </x:row>
    <x:row r="171" ht="24" customHeight="1">
      <x:c r="A171" s="2" t="n">
        <x:v>274</x:v>
      </x:c>
      <x:c r="B171" s="2" t="n">
        <x:v>2</x:v>
      </x:c>
      <x:c r="C171" s="11" t="n">
        <x:v>119475</x:v>
      </x:c>
      <x:c r="D171" s="11" t="n">
        <x:v>64113</x:v>
      </x:c>
      <x:c r="E171" s="11" t="n">
        <x:v>55145.666666671634</x:v>
      </x:c>
      <x:c r="F171" s="11" t="n">
        <x:v>33656</x:v>
      </x:c>
      <x:c r="G171" s="11" t="n">
        <x:v>26234</x:v>
      </x:c>
      <x:c r="H171" s="11" t="n">
        <x:v>55362</x:v>
      </x:c>
      <x:c r="I171" s="11" t="n">
        <x:v>4117</x:v>
      </x:c>
      <x:c r="J171" s="11" t="n">
        <x:v>106</x:v>
      </x:c>
      <x:c r="K171" s="2" t="n">
        <x:v>196</x:v>
      </x:c>
      <x:c r="L171" s="2" t="n">
        <x:v>1003</x:v>
      </x:c>
    </x:row>
    <x:row r="172" ht="24" customHeight="1">
      <x:c r="A172" s="2" t="n">
        <x:v>275</x:v>
      </x:c>
      <x:c r="B172" s="2" t="n">
        <x:v>2</x:v>
      </x:c>
      <x:c r="C172" s="11" t="n">
        <x:v>119468</x:v>
      </x:c>
      <x:c r="D172" s="11" t="n">
        <x:v>82546</x:v>
      </x:c>
      <x:c r="E172" s="11" t="n">
        <x:v>36709.666666671634</x:v>
      </x:c>
      <x:c r="F172" s="11" t="n">
        <x:v>34981</x:v>
      </x:c>
      <x:c r="G172" s="11" t="n">
        <x:v>43342</x:v>
      </x:c>
      <x:c r="H172" s="11" t="n">
        <x:v>36922</x:v>
      </x:c>
      <x:c r="I172" s="11" t="n">
        <x:v>4117</x:v>
      </x:c>
      <x:c r="J172" s="11" t="n">
        <x:v>106</x:v>
      </x:c>
      <x:c r="K172" s="2" t="n">
        <x:v>196</x:v>
      </x:c>
      <x:c r="L172" s="2" t="n">
        <x:v>999</x:v>
      </x:c>
    </x:row>
    <x:row r="173" ht="24" customHeight="1">
      <x:c r="A173" s="2" t="n">
        <x:v>276</x:v>
      </x:c>
      <x:c r="B173" s="2" t="n">
        <x:v>2</x:v>
      </x:c>
      <x:c r="C173" s="11" t="n">
        <x:v>119475</x:v>
      </x:c>
      <x:c r="D173" s="11" t="n">
        <x:v>68263</x:v>
      </x:c>
      <x:c r="E173" s="11" t="n">
        <x:v>50996.666666671634</x:v>
      </x:c>
      <x:c r="F173" s="11" t="n">
        <x:v>33199</x:v>
      </x:c>
      <x:c r="G173" s="11" t="n">
        <x:v>30841</x:v>
      </x:c>
      <x:c r="H173" s="11" t="n">
        <x:v>51212</x:v>
      </x:c>
      <x:c r="I173" s="11" t="n">
        <x:v>4117</x:v>
      </x:c>
      <x:c r="J173" s="11" t="n">
        <x:v>106</x:v>
      </x:c>
      <x:c r="K173" s="2" t="n">
        <x:v>196</x:v>
      </x:c>
      <x:c r="L173" s="2" t="n">
        <x:v>995</x:v>
      </x:c>
    </x:row>
    <x:row r="174" ht="24" customHeight="1">
      <x:c r="A174" s="2" t="n">
        <x:v>277</x:v>
      </x:c>
      <x:c r="B174" s="2" t="n">
        <x:v>2</x:v>
      </x:c>
      <x:c r="C174" s="11" t="n">
        <x:v>119473</x:v>
      </x:c>
      <x:c r="D174" s="11" t="n">
        <x:v>75541</x:v>
      </x:c>
      <x:c r="E174" s="11" t="n">
        <x:v>43715.666666671634</x:v>
      </x:c>
      <x:c r="F174" s="11" t="n">
        <x:v>33021</x:v>
      </x:c>
      <x:c r="G174" s="11" t="n">
        <x:v>38296.9999999851</x:v>
      </x:c>
      <x:c r="H174" s="11" t="n">
        <x:v>43932</x:v>
      </x:c>
      <x:c r="I174" s="11" t="n">
        <x:v>4117</x:v>
      </x:c>
      <x:c r="J174" s="11" t="n">
        <x:v>106.00000001490116</x:v>
      </x:c>
      <x:c r="K174" s="2" t="n">
        <x:v>196</x:v>
      </x:c>
      <x:c r="L174" s="2" t="n">
        <x:v>991</x:v>
      </x:c>
    </x:row>
    <x:row r="175" ht="24" customHeight="1">
      <x:c r="A175" s="2" t="n">
        <x:v>278</x:v>
      </x:c>
      <x:c r="B175" s="2" t="n">
        <x:v>2</x:v>
      </x:c>
      <x:c r="C175" s="11" t="n">
        <x:v>119471</x:v>
      </x:c>
      <x:c r="D175" s="11" t="n">
        <x:v>64048.9999999851</x:v>
      </x:c>
      <x:c r="E175" s="11" t="n">
        <x:v>55206.666666671634</x:v>
      </x:c>
      <x:c r="F175" s="11" t="n">
        <x:v>33604.0000000149</x:v>
      </x:c>
      <x:c r="G175" s="11" t="n">
        <x:v>26222</x:v>
      </x:c>
      <x:c r="H175" s="11" t="n">
        <x:v>55422.0000000149</x:v>
      </x:c>
      <x:c r="I175" s="11" t="n">
        <x:v>4117.000000014901</x:v>
      </x:c>
      <x:c r="J175" s="11" t="n">
        <x:v>105.99999995529652</x:v>
      </x:c>
      <x:c r="K175" s="2" t="n">
        <x:v>196</x:v>
      </x:c>
      <x:c r="L175" s="2" t="n">
        <x:v>987</x:v>
      </x:c>
    </x:row>
    <x:row r="176" ht="24" customHeight="1">
      <x:c r="A176" s="2" t="n">
        <x:v>279</x:v>
      </x:c>
      <x:c r="B176" s="2" t="n">
        <x:v>2</x:v>
      </x:c>
      <x:c r="C176" s="11" t="n">
        <x:v>119470</x:v>
      </x:c>
      <x:c r="D176" s="11" t="n">
        <x:v>82383</x:v>
      </x:c>
      <x:c r="E176" s="11" t="n">
        <x:v>36873.666666671634</x:v>
      </x:c>
      <x:c r="F176" s="11" t="n">
        <x:v>39863</x:v>
      </x:c>
      <x:c r="G176" s="11" t="n">
        <x:v>38296.9999999851</x:v>
      </x:c>
      <x:c r="H176" s="11" t="n">
        <x:v>37087</x:v>
      </x:c>
      <x:c r="I176" s="11" t="n">
        <x:v>4117</x:v>
      </x:c>
      <x:c r="J176" s="11" t="n">
        <x:v>106.00000001490116</x:v>
      </x:c>
      <x:c r="K176" s="2" t="n">
        <x:v>196</x:v>
      </x:c>
      <x:c r="L176" s="2" t="n">
        <x:v>983</x:v>
      </x:c>
    </x:row>
    <x:row r="177" ht="24" customHeight="1">
      <x:c r="A177" s="2" t="n">
        <x:v>280</x:v>
      </x:c>
      <x:c r="B177" s="2" t="n">
        <x:v>2</x:v>
      </x:c>
      <x:c r="C177" s="11" t="n">
        <x:v>119470.9999999851</x:v>
      </x:c>
      <x:c r="D177" s="11" t="n">
        <x:v>69714</x:v>
      </x:c>
      <x:c r="E177" s="11" t="n">
        <x:v>49544.666666671634</x:v>
      </x:c>
      <x:c r="F177" s="11" t="n">
        <x:v>39269</x:v>
      </x:c>
      <x:c r="G177" s="11" t="n">
        <x:v>26222.0000000149</x:v>
      </x:c>
      <x:c r="H177" s="11" t="n">
        <x:v>49756.9999999851</x:v>
      </x:c>
      <x:c r="I177" s="11" t="n">
        <x:v>4117</x:v>
      </x:c>
      <x:c r="J177" s="11" t="n">
        <x:v>105.99999998509884</x:v>
      </x:c>
      <x:c r="K177" s="2" t="n">
        <x:v>196</x:v>
      </x:c>
      <x:c r="L177" s="2" t="n">
        <x:v>979</x:v>
      </x:c>
    </x:row>
    <x:row r="178" ht="24" customHeight="1">
      <x:c r="A178" s="2" t="n">
        <x:v>281</x:v>
      </x:c>
      <x:c r="B178" s="2" t="n">
        <x:v>2</x:v>
      </x:c>
      <x:c r="C178" s="11" t="n">
        <x:v>119473.0000000149</x:v>
      </x:c>
      <x:c r="D178" s="11" t="n">
        <x:v>79046.0000000149</x:v>
      </x:c>
      <x:c r="E178" s="11" t="n">
        <x:v>40213.666666671634</x:v>
      </x:c>
      <x:c r="F178" s="11" t="n">
        <x:v>36526</x:v>
      </x:c>
      <x:c r="G178" s="11" t="n">
        <x:v>38296.9999999851</x:v>
      </x:c>
      <x:c r="H178" s="11" t="n">
        <x:v>40427</x:v>
      </x:c>
      <x:c r="I178" s="11" t="n">
        <x:v>4117</x:v>
      </x:c>
      <x:c r="J178" s="11" t="n">
        <x:v>106.00000002980232</x:v>
      </x:c>
      <x:c r="K178" s="2" t="n">
        <x:v>196</x:v>
      </x:c>
      <x:c r="L178" s="2" t="n">
        <x:v>975</x:v>
      </x:c>
    </x:row>
    <x:row r="179" ht="24" customHeight="1">
      <x:c r="A179" s="2" t="n">
        <x:v>282</x:v>
      </x:c>
      <x:c r="B179" s="2" t="n">
        <x:v>2</x:v>
      </x:c>
      <x:c r="C179" s="11" t="n">
        <x:v>119474</x:v>
      </x:c>
      <x:c r="D179" s="11" t="n">
        <x:v>63892</x:v>
      </x:c>
      <x:c r="E179" s="11" t="n">
        <x:v>55366.666666671634</x:v>
      </x:c>
      <x:c r="F179" s="11" t="n">
        <x:v>33447</x:v>
      </x:c>
      <x:c r="G179" s="11" t="n">
        <x:v>26222.0000000149</x:v>
      </x:c>
      <x:c r="H179" s="11" t="n">
        <x:v>55582</x:v>
      </x:c>
      <x:c r="I179" s="11" t="n">
        <x:v>4116.999999985099</x:v>
      </x:c>
      <x:c r="J179" s="11" t="n">
        <x:v>106</x:v>
      </x:c>
      <x:c r="K179" s="2" t="n">
        <x:v>196</x:v>
      </x:c>
      <x:c r="L179" s="2" t="n">
        <x:v>971</x:v>
      </x:c>
    </x:row>
    <x:row r="180" ht="24" customHeight="1">
      <x:c r="A180" s="2" t="n">
        <x:v>283</x:v>
      </x:c>
      <x:c r="B180" s="2" t="n">
        <x:v>2</x:v>
      </x:c>
      <x:c r="C180" s="11" t="n">
        <x:v>119471</x:v>
      </x:c>
      <x:c r="D180" s="11" t="n">
        <x:v>82539</x:v>
      </x:c>
      <x:c r="E180" s="11" t="n">
        <x:v>36717.666666671634</x:v>
      </x:c>
      <x:c r="F180" s="11" t="n">
        <x:v>34976</x:v>
      </x:c>
      <x:c r="G180" s="11" t="n">
        <x:v>43340</x:v>
      </x:c>
      <x:c r="H180" s="11" t="n">
        <x:v>36932</x:v>
      </x:c>
      <x:c r="I180" s="11" t="n">
        <x:v>4117</x:v>
      </x:c>
      <x:c r="J180" s="11" t="n">
        <x:v>106</x:v>
      </x:c>
      <x:c r="K180" s="2" t="n">
        <x:v>196</x:v>
      </x:c>
      <x:c r="L180" s="2" t="n">
        <x:v>967</x:v>
      </x:c>
    </x:row>
    <x:row r="181" ht="24" customHeight="1">
      <x:c r="A181" s="2" t="n">
        <x:v>284</x:v>
      </x:c>
      <x:c r="B181" s="2" t="n">
        <x:v>2</x:v>
      </x:c>
      <x:c r="C181" s="11" t="n">
        <x:v>119470</x:v>
      </x:c>
      <x:c r="D181" s="11" t="n">
        <x:v>71892.9999999851</x:v>
      </x:c>
      <x:c r="E181" s="11" t="n">
        <x:v>47364.666666671634</x:v>
      </x:c>
      <x:c r="F181" s="11" t="n">
        <x:v>36808</x:v>
      </x:c>
      <x:c r="G181" s="11" t="n">
        <x:v>30862.0000000149</x:v>
      </x:c>
      <x:c r="H181" s="11" t="n">
        <x:v>47577.0000000149</x:v>
      </x:c>
      <x:c r="I181" s="11" t="n">
        <x:v>4117</x:v>
      </x:c>
      <x:c r="J181" s="11" t="n">
        <x:v>105.99999997019768</x:v>
      </x:c>
      <x:c r="K181" s="2" t="n">
        <x:v>196</x:v>
      </x:c>
      <x:c r="L181" s="2" t="n">
        <x:v>963</x:v>
      </x:c>
    </x:row>
    <x:row r="182" ht="24" customHeight="1">
      <x:c r="A182" s="2" t="n">
        <x:v>285</x:v>
      </x:c>
      <x:c r="B182" s="2" t="n">
        <x:v>2</x:v>
      </x:c>
      <x:c r="C182" s="11" t="n">
        <x:v>119475</x:v>
      </x:c>
      <x:c r="D182" s="11" t="n">
        <x:v>80023</x:v>
      </x:c>
      <x:c r="E182" s="11" t="n">
        <x:v>39236.666666671634</x:v>
      </x:c>
      <x:c r="F182" s="11" t="n">
        <x:v>36551.9999999851</x:v>
      </x:c>
      <x:c r="G182" s="11" t="n">
        <x:v>39248</x:v>
      </x:c>
      <x:c r="H182" s="11" t="n">
        <x:v>39452</x:v>
      </x:c>
      <x:c r="I182" s="11" t="n">
        <x:v>4117</x:v>
      </x:c>
      <x:c r="J182" s="11" t="n">
        <x:v>106.00000001490116</x:v>
      </x:c>
      <x:c r="K182" s="2" t="n">
        <x:v>196</x:v>
      </x:c>
      <x:c r="L182" s="2" t="n">
        <x:v>959</x:v>
      </x:c>
    </x:row>
    <x:row r="183" ht="24" customHeight="1">
      <x:c r="A183" s="2" t="n">
        <x:v>286</x:v>
      </x:c>
      <x:c r="B183" s="2" t="n">
        <x:v>2</x:v>
      </x:c>
      <x:c r="C183" s="11" t="n">
        <x:v>119472</x:v>
      </x:c>
      <x:c r="D183" s="11" t="n">
        <x:v>70575</x:v>
      </x:c>
      <x:c r="E183" s="11" t="n">
        <x:v>48681.666666671634</x:v>
      </x:c>
      <x:c r="F183" s="11" t="n">
        <x:v>40118</x:v>
      </x:c>
      <x:c r="G183" s="11" t="n">
        <x:v>26234</x:v>
      </x:c>
      <x:c r="H183" s="11" t="n">
        <x:v>48897</x:v>
      </x:c>
      <x:c r="I183" s="11" t="n">
        <x:v>4117</x:v>
      </x:c>
      <x:c r="J183" s="11" t="n">
        <x:v>106</x:v>
      </x:c>
      <x:c r="K183" s="2" t="n">
        <x:v>196</x:v>
      </x:c>
      <x:c r="L183" s="2" t="n">
        <x:v>955</x:v>
      </x:c>
    </x:row>
    <x:row r="184" ht="24" customHeight="1">
      <x:c r="A184" s="2" t="n">
        <x:v>287</x:v>
      </x:c>
      <x:c r="B184" s="2" t="n">
        <x:v>2</x:v>
      </x:c>
      <x:c r="C184" s="11" t="n">
        <x:v>119471</x:v>
      </x:c>
      <x:c r="D184" s="11" t="n">
        <x:v>80143.9999999851</x:v>
      </x:c>
      <x:c r="E184" s="11" t="n">
        <x:v>39112.666666671634</x:v>
      </x:c>
      <x:c r="F184" s="11" t="n">
        <x:v>36672.9999999851</x:v>
      </x:c>
      <x:c r="G184" s="11" t="n">
        <x:v>39248</x:v>
      </x:c>
      <x:c r="H184" s="11" t="n">
        <x:v>39327.0000000149</x:v>
      </x:c>
      <x:c r="I184" s="11" t="n">
        <x:v>4116.999999985099</x:v>
      </x:c>
      <x:c r="J184" s="11" t="n">
        <x:v>106.00000001490116</x:v>
      </x:c>
      <x:c r="K184" s="2" t="n">
        <x:v>196</x:v>
      </x:c>
      <x:c r="L184" s="2" t="n">
        <x:v>951</x:v>
      </x:c>
    </x:row>
    <x:row r="185" ht="24" customHeight="1">
      <x:c r="A185" s="2" t="n">
        <x:v>288</x:v>
      </x:c>
      <x:c r="B185" s="2" t="n">
        <x:v>2</x:v>
      </x:c>
      <x:c r="C185" s="11" t="n">
        <x:v>119470</x:v>
      </x:c>
      <x:c r="D185" s="11" t="n">
        <x:v>65373</x:v>
      </x:c>
      <x:c r="E185" s="11" t="n">
        <x:v>53884.666666671634</x:v>
      </x:c>
      <x:c r="F185" s="11" t="n">
        <x:v>34916.0000000149</x:v>
      </x:c>
      <x:c r="G185" s="11" t="n">
        <x:v>26234.0000000149</x:v>
      </x:c>
      <x:c r="H185" s="11" t="n">
        <x:v>54097</x:v>
      </x:c>
      <x:c r="I185" s="11" t="n">
        <x:v>4117</x:v>
      </x:c>
      <x:c r="J185" s="11" t="n">
        <x:v>105.99999997019768</x:v>
      </x:c>
      <x:c r="K185" s="2" t="n">
        <x:v>196</x:v>
      </x:c>
      <x:c r="L185" s="2" t="n">
        <x:v>947</x:v>
      </x:c>
    </x:row>
    <x:row r="186" ht="24" customHeight="1">
      <x:c r="A186" s="2" t="n">
        <x:v>289</x:v>
      </x:c>
      <x:c r="B186" s="2" t="n">
        <x:v>2</x:v>
      </x:c>
      <x:c r="C186" s="11" t="n">
        <x:v>119476</x:v>
      </x:c>
      <x:c r="D186" s="11" t="n">
        <x:v>78209</x:v>
      </x:c>
      <x:c r="E186" s="11" t="n">
        <x:v>41050.666666671634</x:v>
      </x:c>
      <x:c r="F186" s="11" t="n">
        <x:v>34738.0000000149</x:v>
      </x:c>
      <x:c r="G186" s="11" t="n">
        <x:v>39248</x:v>
      </x:c>
      <x:c r="H186" s="11" t="n">
        <x:v>41267</x:v>
      </x:c>
      <x:c r="I186" s="11" t="n">
        <x:v>4117</x:v>
      </x:c>
      <x:c r="J186" s="11" t="n">
        <x:v>105.99999998509884</x:v>
      </x:c>
      <x:c r="K186" s="2" t="n">
        <x:v>196</x:v>
      </x:c>
      <x:c r="L186" s="2" t="n">
        <x:v>943</x:v>
      </x:c>
    </x:row>
    <x:row r="187" ht="24" customHeight="1">
      <x:c r="A187" s="2" t="n">
        <x:v>290</x:v>
      </x:c>
      <x:c r="B187" s="2" t="n">
        <x:v>2</x:v>
      </x:c>
      <x:c r="C187" s="11" t="n">
        <x:v>119468</x:v>
      </x:c>
      <x:c r="D187" s="11" t="n">
        <x:v>65796</x:v>
      </x:c>
      <x:c r="E187" s="11" t="n">
        <x:v>53459.666666671634</x:v>
      </x:c>
      <x:c r="F187" s="11" t="n">
        <x:v>35339</x:v>
      </x:c>
      <x:c r="G187" s="11" t="n">
        <x:v>26234.0000000149</x:v>
      </x:c>
      <x:c r="H187" s="11" t="n">
        <x:v>53672</x:v>
      </x:c>
      <x:c r="I187" s="11" t="n">
        <x:v>4116.999999985099</x:v>
      </x:c>
      <x:c r="J187" s="11" t="n">
        <x:v>106</x:v>
      </x:c>
      <x:c r="K187" s="2" t="n">
        <x:v>196</x:v>
      </x:c>
      <x:c r="L187" s="2" t="n">
        <x:v>939</x:v>
      </x:c>
    </x:row>
    <x:row r="188" ht="24" customHeight="1">
      <x:c r="A188" s="2" t="n">
        <x:v>291</x:v>
      </x:c>
      <x:c r="B188" s="2" t="n">
        <x:v>2</x:v>
      </x:c>
      <x:c r="C188" s="11" t="n">
        <x:v>119475</x:v>
      </x:c>
      <x:c r="D188" s="11" t="n">
        <x:v>85208</x:v>
      </x:c>
      <x:c r="E188" s="11" t="n">
        <x:v>34051.666666671634</x:v>
      </x:c>
      <x:c r="F188" s="11" t="n">
        <x:v>36742.0000000149</x:v>
      </x:c>
      <x:c r="G188" s="11" t="n">
        <x:v>44243</x:v>
      </x:c>
      <x:c r="H188" s="11" t="n">
        <x:v>34267</x:v>
      </x:c>
      <x:c r="I188" s="11" t="n">
        <x:v>4116.999999985099</x:v>
      </x:c>
      <x:c r="J188" s="11" t="n">
        <x:v>106</x:v>
      </x:c>
      <x:c r="K188" s="2" t="n">
        <x:v>196</x:v>
      </x:c>
      <x:c r="L188" s="2" t="n">
        <x:v>935</x:v>
      </x:c>
    </x:row>
    <x:row r="189" ht="24" customHeight="1">
      <x:c r="A189" s="2" t="n">
        <x:v>292</x:v>
      </x:c>
      <x:c r="B189" s="2" t="n">
        <x:v>2</x:v>
      </x:c>
      <x:c r="C189" s="11" t="n">
        <x:v>119471.9999999851</x:v>
      </x:c>
      <x:c r="D189" s="11" t="n">
        <x:v>76784.9999999851</x:v>
      </x:c>
      <x:c r="E189" s="11" t="n">
        <x:v>42471.666666671634</x:v>
      </x:c>
      <x:c r="F189" s="11" t="n">
        <x:v>41721.0000000149</x:v>
      </x:c>
      <x:c r="G189" s="11" t="n">
        <x:v>30841</x:v>
      </x:c>
      <x:c r="H189" s="11" t="n">
        <x:v>42687</x:v>
      </x:c>
      <x:c r="I189" s="11" t="n">
        <x:v>4117</x:v>
      </x:c>
      <x:c r="J189" s="11" t="n">
        <x:v>105.99999997019768</x:v>
      </x:c>
      <x:c r="K189" s="2" t="n">
        <x:v>196</x:v>
      </x:c>
      <x:c r="L189" s="2" t="n">
        <x:v>931</x:v>
      </x:c>
    </x:row>
    <x:row r="190" ht="24" customHeight="1">
      <x:c r="A190" s="2" t="n">
        <x:v>293</x:v>
      </x:c>
      <x:c r="B190" s="2" t="n">
        <x:v>2</x:v>
      </x:c>
      <x:c r="C190" s="11" t="n">
        <x:v>119470</x:v>
      </x:c>
      <x:c r="D190" s="11" t="n">
        <x:v>82408</x:v>
      </x:c>
      <x:c r="E190" s="11" t="n">
        <x:v>36848.666666671634</x:v>
      </x:c>
      <x:c r="F190" s="11" t="n">
        <x:v>38986.9999999851</x:v>
      </x:c>
      <x:c r="G190" s="11" t="n">
        <x:v>39197.9999999851</x:v>
      </x:c>
      <x:c r="H190" s="11" t="n">
        <x:v>37062</x:v>
      </x:c>
      <x:c r="I190" s="11" t="n">
        <x:v>4117</x:v>
      </x:c>
      <x:c r="J190" s="11" t="n">
        <x:v>106.00000002980232</x:v>
      </x:c>
      <x:c r="K190" s="2" t="n">
        <x:v>196</x:v>
      </x:c>
      <x:c r="L190" s="2" t="n">
        <x:v>927</x:v>
      </x:c>
    </x:row>
    <x:row r="191" ht="24" customHeight="1">
      <x:c r="A191" s="2" t="n">
        <x:v>294</x:v>
      </x:c>
      <x:c r="B191" s="2" t="n">
        <x:v>2</x:v>
      </x:c>
      <x:c r="C191" s="11" t="n">
        <x:v>119471.0000000149</x:v>
      </x:c>
      <x:c r="D191" s="11" t="n">
        <x:v>64004.0000000149</x:v>
      </x:c>
      <x:c r="E191" s="11" t="n">
        <x:v>55254.666666671634</x:v>
      </x:c>
      <x:c r="F191" s="11" t="n">
        <x:v>33559</x:v>
      </x:c>
      <x:c r="G191" s="11" t="n">
        <x:v>26222.0000000149</x:v>
      </x:c>
      <x:c r="H191" s="11" t="n">
        <x:v>55467</x:v>
      </x:c>
      <x:c r="I191" s="11" t="n">
        <x:v>4117</x:v>
      </x:c>
      <x:c r="J191" s="11" t="n">
        <x:v>106</x:v>
      </x:c>
      <x:c r="K191" s="2" t="n">
        <x:v>196</x:v>
      </x:c>
      <x:c r="L191" s="2" t="n">
        <x:v>923</x:v>
      </x:c>
    </x:row>
    <x:row r="192" ht="24" customHeight="1">
      <x:c r="A192" s="2" t="n">
        <x:v>295</x:v>
      </x:c>
      <x:c r="B192" s="2" t="n">
        <x:v>2</x:v>
      </x:c>
      <x:c r="C192" s="11" t="n">
        <x:v>119472</x:v>
      </x:c>
      <x:c r="D192" s="11" t="n">
        <x:v>78400</x:v>
      </x:c>
      <x:c r="E192" s="11" t="n">
        <x:v>40859.666666671634</x:v>
      </x:c>
      <x:c r="F192" s="11" t="n">
        <x:v>34979</x:v>
      </x:c>
      <x:c r="G192" s="11" t="n">
        <x:v>39198</x:v>
      </x:c>
      <x:c r="H192" s="11" t="n">
        <x:v>41072</x:v>
      </x:c>
      <x:c r="I192" s="11" t="n">
        <x:v>4117.000000014901</x:v>
      </x:c>
      <x:c r="J192" s="11" t="n">
        <x:v>105.99999998509884</x:v>
      </x:c>
      <x:c r="K192" s="2" t="n">
        <x:v>196</x:v>
      </x:c>
      <x:c r="L192" s="2" t="n">
        <x:v>919</x:v>
      </x:c>
    </x:row>
    <x:row r="193" ht="24" customHeight="1">
      <x:c r="A193" s="2" t="n">
        <x:v>296</x:v>
      </x:c>
      <x:c r="B193" s="2" t="n">
        <x:v>2</x:v>
      </x:c>
      <x:c r="C193" s="11" t="n">
        <x:v>119474</x:v>
      </x:c>
      <x:c r="D193" s="11" t="n">
        <x:v>68232</x:v>
      </x:c>
      <x:c r="E193" s="11" t="n">
        <x:v>51027.666666671634</x:v>
      </x:c>
      <x:c r="F193" s="11" t="n">
        <x:v>36902</x:v>
      </x:c>
      <x:c r="G193" s="11" t="n">
        <x:v>27107</x:v>
      </x:c>
      <x:c r="H193" s="11" t="n">
        <x:v>51242</x:v>
      </x:c>
      <x:c r="I193" s="11" t="n">
        <x:v>4117</x:v>
      </x:c>
      <x:c r="J193" s="11" t="n">
        <x:v>106</x:v>
      </x:c>
      <x:c r="K193" s="2" t="n">
        <x:v>196</x:v>
      </x:c>
      <x:c r="L193" s="2" t="n">
        <x:v>915</x:v>
      </x:c>
    </x:row>
    <x:row r="194" ht="24" customHeight="1">
      <x:c r="A194" s="2" t="n">
        <x:v>297</x:v>
      </x:c>
      <x:c r="B194" s="2" t="n">
        <x:v>2</x:v>
      </x:c>
      <x:c r="C194" s="11" t="n">
        <x:v>119473</x:v>
      </x:c>
      <x:c r="D194" s="11" t="n">
        <x:v>80051.0000000149</x:v>
      </x:c>
      <x:c r="E194" s="11" t="n">
        <x:v>39206.666666671634</x:v>
      </x:c>
      <x:c r="F194" s="11" t="n">
        <x:v>36646</x:v>
      </x:c>
      <x:c r="G194" s="11" t="n">
        <x:v>39182</x:v>
      </x:c>
      <x:c r="H194" s="11" t="n">
        <x:v>39421.9999999851</x:v>
      </x:c>
      <x:c r="I194" s="11" t="n">
        <x:v>4117</x:v>
      </x:c>
      <x:c r="J194" s="11" t="n">
        <x:v>106.00000001490116</x:v>
      </x:c>
      <x:c r="K194" s="2" t="n">
        <x:v>196</x:v>
      </x:c>
      <x:c r="L194" s="2" t="n">
        <x:v>911</x:v>
      </x:c>
    </x:row>
    <x:row r="195" ht="24" customHeight="1">
      <x:c r="A195" s="2" t="n">
        <x:v>298</x:v>
      </x:c>
      <x:c r="B195" s="2" t="n">
        <x:v>2</x:v>
      </x:c>
      <x:c r="C195" s="11" t="n">
        <x:v>119471</x:v>
      </x:c>
      <x:c r="D195" s="11" t="n">
        <x:v>66779</x:v>
      </x:c>
      <x:c r="E195" s="11" t="n">
        <x:v>52477.666666671634</x:v>
      </x:c>
      <x:c r="F195" s="11" t="n">
        <x:v>35449</x:v>
      </x:c>
      <x:c r="G195" s="11" t="n">
        <x:v>27107</x:v>
      </x:c>
      <x:c r="H195" s="11" t="n">
        <x:v>52692</x:v>
      </x:c>
      <x:c r="I195" s="11" t="n">
        <x:v>4117</x:v>
      </x:c>
      <x:c r="J195" s="11" t="n">
        <x:v>106</x:v>
      </x:c>
      <x:c r="K195" s="2" t="n">
        <x:v>196</x:v>
      </x:c>
      <x:c r="L195" s="2" t="n">
        <x:v>907</x:v>
      </x:c>
    </x:row>
    <x:row r="196" ht="24" customHeight="1">
      <x:c r="A196" s="2" t="n">
        <x:v>299</x:v>
      </x:c>
      <x:c r="B196" s="2" t="n">
        <x:v>2</x:v>
      </x:c>
      <x:c r="C196" s="11" t="n">
        <x:v>119470</x:v>
      </x:c>
      <x:c r="D196" s="11" t="n">
        <x:v>90008</x:v>
      </x:c>
      <x:c r="E196" s="11" t="n">
        <x:v>29249.666666671634</x:v>
      </x:c>
      <x:c r="F196" s="11" t="n">
        <x:v>41551.0000000149</x:v>
      </x:c>
      <x:c r="G196" s="11" t="n">
        <x:v>44233.9999999851</x:v>
      </x:c>
      <x:c r="H196" s="11" t="n">
        <x:v>29462</x:v>
      </x:c>
      <x:c r="I196" s="11" t="n">
        <x:v>4116.999999985099</x:v>
      </x:c>
      <x:c r="J196" s="11" t="n">
        <x:v>106.00000001490116</x:v>
      </x:c>
      <x:c r="K196" s="2" t="n">
        <x:v>196</x:v>
      </x:c>
      <x:c r="L196" s="2" t="n">
        <x:v>903</x:v>
      </x:c>
    </x:row>
    <x:row r="197" ht="24" customHeight="1">
      <x:c r="A197" s="2" t="n">
        <x:v>300</x:v>
      </x:c>
      <x:c r="B197" s="2" t="n">
        <x:v>2</x:v>
      </x:c>
      <x:c r="C197" s="11" t="n">
        <x:v>119474</x:v>
      </x:c>
      <x:c r="D197" s="11" t="n">
        <x:v>71027</x:v>
      </x:c>
      <x:c r="E197" s="11" t="n">
        <x:v>48232.666666671634</x:v>
      </x:c>
      <x:c r="F197" s="11" t="n">
        <x:v>35048</x:v>
      </x:c>
      <x:c r="G197" s="11" t="n">
        <x:v>31756</x:v>
      </x:c>
      <x:c r="H197" s="11" t="n">
        <x:v>48447</x:v>
      </x:c>
      <x:c r="I197" s="11" t="n">
        <x:v>4117</x:v>
      </x:c>
      <x:c r="J197" s="11" t="n">
        <x:v>106</x:v>
      </x:c>
      <x:c r="K197" s="2" t="n">
        <x:v>196</x:v>
      </x:c>
      <x:c r="L197" s="2" t="n">
        <x:v>899</x:v>
      </x:c>
    </x:row>
    <x:row r="198" ht="24" customHeight="1">
      <x:c r="A198" s="2" t="n">
        <x:v>301</x:v>
      </x:c>
      <x:c r="B198" s="2" t="n">
        <x:v>2</x:v>
      </x:c>
      <x:c r="C198" s="11" t="n">
        <x:v>119474</x:v>
      </x:c>
      <x:c r="D198" s="11" t="n">
        <x:v>78287</x:v>
      </x:c>
      <x:c r="E198" s="11" t="n">
        <x:v>40970.666666671634</x:v>
      </x:c>
      <x:c r="F198" s="11" t="n">
        <x:v>34831.9999999851</x:v>
      </x:c>
      <x:c r="G198" s="11" t="n">
        <x:v>39232</x:v>
      </x:c>
      <x:c r="H198" s="11" t="n">
        <x:v>41187</x:v>
      </x:c>
      <x:c r="I198" s="11" t="n">
        <x:v>4117</x:v>
      </x:c>
      <x:c r="J198" s="11" t="n">
        <x:v>106.00000001490116</x:v>
      </x:c>
      <x:c r="K198" s="2" t="n">
        <x:v>196</x:v>
      </x:c>
      <x:c r="L198" s="2" t="n">
        <x:v>895</x:v>
      </x:c>
    </x:row>
    <x:row r="199" ht="24" customHeight="1">
      <x:c r="A199" s="2" t="n">
        <x:v>302</x:v>
      </x:c>
      <x:c r="B199" s="2" t="n">
        <x:v>2</x:v>
      </x:c>
      <x:c r="C199" s="11" t="n">
        <x:v>119470</x:v>
      </x:c>
      <x:c r="D199" s="11" t="n">
        <x:v>66818.0000000149</x:v>
      </x:c>
      <x:c r="E199" s="11" t="n">
        <x:v>52437.666666671634</x:v>
      </x:c>
      <x:c r="F199" s="11" t="n">
        <x:v>35451</x:v>
      </x:c>
      <x:c r="G199" s="11" t="n">
        <x:v>27144.0000000149</x:v>
      </x:c>
      <x:c r="H199" s="11" t="n">
        <x:v>52651.9999999851</x:v>
      </x:c>
      <x:c r="I199" s="11" t="n">
        <x:v>4117</x:v>
      </x:c>
      <x:c r="J199" s="11" t="n">
        <x:v>106</x:v>
      </x:c>
      <x:c r="K199" s="2" t="n">
        <x:v>196</x:v>
      </x:c>
      <x:c r="L199" s="2" t="n">
        <x:v>891</x:v>
      </x:c>
    </x:row>
    <x:row r="200" ht="24" customHeight="1">
      <x:c r="A200" s="2" t="n">
        <x:v>303</x:v>
      </x:c>
      <x:c r="B200" s="2" t="n">
        <x:v>2</x:v>
      </x:c>
      <x:c r="C200" s="11" t="n">
        <x:v>119473</x:v>
      </x:c>
      <x:c r="D200" s="11" t="n">
        <x:v>78476</x:v>
      </x:c>
      <x:c r="E200" s="11" t="n">
        <x:v>40781.666666671634</x:v>
      </x:c>
      <x:c r="F200" s="11" t="n">
        <x:v>35005</x:v>
      </x:c>
      <x:c r="G200" s="11" t="n">
        <x:v>39247.9999999851</x:v>
      </x:c>
      <x:c r="H200" s="11" t="n">
        <x:v>40997</x:v>
      </x:c>
      <x:c r="I200" s="11" t="n">
        <x:v>4117</x:v>
      </x:c>
      <x:c r="J200" s="11" t="n">
        <x:v>106.00000001490116</x:v>
      </x:c>
      <x:c r="K200" s="2" t="n">
        <x:v>196</x:v>
      </x:c>
      <x:c r="L200" s="2" t="n">
        <x:v>887</x:v>
      </x:c>
    </x:row>
    <x:row r="201" ht="24" customHeight="1">
      <x:c r="A201" s="2" t="n">
        <x:v>304</x:v>
      </x:c>
      <x:c r="B201" s="2" t="n">
        <x:v>2</x:v>
      </x:c>
      <x:c r="C201" s="11" t="n">
        <x:v>122292</x:v>
      </x:c>
      <x:c r="D201" s="11" t="n">
        <x:v>74520.0000000149</x:v>
      </x:c>
      <x:c r="E201" s="11" t="n">
        <x:v>47557.666666671634</x:v>
      </x:c>
      <x:c r="F201" s="11" t="n">
        <x:v>40331.9999999851</x:v>
      </x:c>
      <x:c r="G201" s="11" t="n">
        <x:v>27144</x:v>
      </x:c>
      <x:c r="H201" s="11" t="n">
        <x:v>47771.9999999851</x:v>
      </x:c>
      <x:c r="I201" s="11" t="n">
        <x:v>6937.999999985099</x:v>
      </x:c>
      <x:c r="J201" s="11" t="n">
        <x:v>106.00000004470348</x:v>
      </x:c>
      <x:c r="K201" s="2" t="n">
        <x:v>196</x:v>
      </x:c>
      <x:c r="L201" s="2" t="n">
        <x:v>883</x:v>
      </x:c>
    </x:row>
    <x:row r="202" ht="24" customHeight="1">
      <x:c r="A202" s="2" t="n">
        <x:v>305</x:v>
      </x:c>
      <x:c r="B202" s="2" t="n">
        <x:v>2</x:v>
      </x:c>
      <x:c r="C202" s="11" t="n">
        <x:v>116651</x:v>
      </x:c>
      <x:c r="D202" s="11" t="n">
        <x:v>84853.9999999851</x:v>
      </x:c>
      <x:c r="E202" s="11" t="n">
        <x:v>31582.666666671634</x:v>
      </x:c>
      <x:c r="F202" s="11" t="n">
        <x:v>41383</x:v>
      </x:c>
      <x:c r="G202" s="11" t="n">
        <x:v>39248</x:v>
      </x:c>
      <x:c r="H202" s="11" t="n">
        <x:v>31797.0000000149</x:v>
      </x:c>
      <x:c r="I202" s="11" t="n">
        <x:v>4117</x:v>
      </x:c>
      <x:c r="J202" s="11" t="n">
        <x:v>105.99999998509884</x:v>
      </x:c>
      <x:c r="K202" s="2" t="n">
        <x:v>196</x:v>
      </x:c>
      <x:c r="L202" s="2" t="n">
        <x:v>879</x:v>
      </x:c>
    </x:row>
    <x:row r="203" ht="24" customHeight="1">
      <x:c r="A203" s="2" t="n">
        <x:v>306</x:v>
      </x:c>
      <x:c r="B203" s="2" t="n">
        <x:v>2</x:v>
      </x:c>
      <x:c r="C203" s="11" t="n">
        <x:v>119470</x:v>
      </x:c>
      <x:c r="D203" s="11" t="n">
        <x:v>67293</x:v>
      </x:c>
      <x:c r="E203" s="11" t="n">
        <x:v>51964.666666671634</x:v>
      </x:c>
      <x:c r="F203" s="11" t="n">
        <x:v>35926.0000000149</x:v>
      </x:c>
      <x:c r="G203" s="11" t="n">
        <x:v>27143.9999999851</x:v>
      </x:c>
      <x:c r="H203" s="11" t="n">
        <x:v>52177</x:v>
      </x:c>
      <x:c r="I203" s="11" t="n">
        <x:v>4117</x:v>
      </x:c>
      <x:c r="J203" s="11" t="n">
        <x:v>106</x:v>
      </x:c>
      <x:c r="K203" s="2" t="n">
        <x:v>196</x:v>
      </x:c>
      <x:c r="L203" s="2" t="n">
        <x:v>875</x:v>
      </x:c>
    </x:row>
    <x:row r="204" ht="24" customHeight="1">
      <x:c r="A204" s="2" t="n">
        <x:v>307</x:v>
      </x:c>
      <x:c r="B204" s="2" t="n">
        <x:v>2</x:v>
      </x:c>
      <x:c r="C204" s="11" t="n">
        <x:v>119473</x:v>
      </x:c>
      <x:c r="D204" s="11" t="n">
        <x:v>83506</x:v>
      </x:c>
      <x:c r="E204" s="11" t="n">
        <x:v>35753.666666671634</x:v>
      </x:c>
      <x:c r="F204" s="11" t="n">
        <x:v>35040.0000000149</x:v>
      </x:c>
      <x:c r="G204" s="11" t="n">
        <x:v>44243</x:v>
      </x:c>
      <x:c r="H204" s="11" t="n">
        <x:v>35967</x:v>
      </x:c>
      <x:c r="I204" s="11" t="n">
        <x:v>4117</x:v>
      </x:c>
      <x:c r="J204" s="11" t="n">
        <x:v>105.99999998509884</x:v>
      </x:c>
      <x:c r="K204" s="2" t="n">
        <x:v>196</x:v>
      </x:c>
      <x:c r="L204" s="2" t="n">
        <x:v>871</x:v>
      </x:c>
    </x:row>
    <x:row r="205" ht="24" customHeight="1">
      <x:c r="A205" s="2" t="n">
        <x:v>308</x:v>
      </x:c>
      <x:c r="B205" s="2" t="n">
        <x:v>2</x:v>
      </x:c>
      <x:c r="C205" s="11" t="n">
        <x:v>119473.9999999851</x:v>
      </x:c>
      <x:c r="D205" s="11" t="n">
        <x:v>72866.9999999851</x:v>
      </x:c>
      <x:c r="E205" s="11" t="n">
        <x:v>46391.666666671634</x:v>
      </x:c>
      <x:c r="F205" s="11" t="n">
        <x:v>36902</x:v>
      </x:c>
      <x:c r="G205" s="11" t="n">
        <x:v>31742</x:v>
      </x:c>
      <x:c r="H205" s="11" t="n">
        <x:v>46607</x:v>
      </x:c>
      <x:c r="I205" s="11" t="n">
        <x:v>4117</x:v>
      </x:c>
      <x:c r="J205" s="11" t="n">
        <x:v>105.99999998509884</x:v>
      </x:c>
      <x:c r="K205" s="2" t="n">
        <x:v>196</x:v>
      </x:c>
      <x:c r="L205" s="2" t="n">
        <x:v>867</x:v>
      </x:c>
    </x:row>
    <x:row r="206" ht="24" customHeight="1">
      <x:c r="A206" s="2" t="n">
        <x:v>309</x:v>
      </x:c>
      <x:c r="B206" s="2" t="n">
        <x:v>2</x:v>
      </x:c>
      <x:c r="C206" s="11" t="n">
        <x:v>119469</x:v>
      </x:c>
      <x:c r="D206" s="11" t="n">
        <x:v>78297</x:v>
      </x:c>
      <x:c r="E206" s="11" t="n">
        <x:v>40959.666666671634</x:v>
      </x:c>
      <x:c r="F206" s="11" t="n">
        <x:v>34876</x:v>
      </x:c>
      <x:c r="G206" s="11" t="n">
        <x:v>39198</x:v>
      </x:c>
      <x:c r="H206" s="11" t="n">
        <x:v>41172</x:v>
      </x:c>
      <x:c r="I206" s="11" t="n">
        <x:v>4117</x:v>
      </x:c>
      <x:c r="J206" s="11" t="n">
        <x:v>106</x:v>
      </x:c>
      <x:c r="K206" s="2" t="n">
        <x:v>196</x:v>
      </x:c>
      <x:c r="L206" s="2" t="n">
        <x:v>863</x:v>
      </x:c>
    </x:row>
    <x:row r="207" ht="24" customHeight="1">
      <x:c r="A207" s="2" t="n">
        <x:v>310</x:v>
      </x:c>
      <x:c r="B207" s="2" t="n">
        <x:v>2</x:v>
      </x:c>
      <x:c r="C207" s="11" t="n">
        <x:v>119472.0000000149</x:v>
      </x:c>
      <x:c r="D207" s="11" t="n">
        <x:v>66715</x:v>
      </x:c>
      <x:c r="E207" s="11" t="n">
        <x:v>52544.666666671634</x:v>
      </x:c>
      <x:c r="F207" s="11" t="n">
        <x:v>35369</x:v>
      </x:c>
      <x:c r="G207" s="11" t="n">
        <x:v>27123.0000000149</x:v>
      </x:c>
      <x:c r="H207" s="11" t="n">
        <x:v>52757.0000000149</x:v>
      </x:c>
      <x:c r="I207" s="11" t="n">
        <x:v>4117</x:v>
      </x:c>
      <x:c r="J207" s="11" t="n">
        <x:v>105.99999998509884</x:v>
      </x:c>
      <x:c r="K207" s="2" t="n">
        <x:v>196</x:v>
      </x:c>
      <x:c r="L207" s="2" t="n">
        <x:v>859</x:v>
      </x:c>
    </x:row>
    <x:row r="208" ht="24" customHeight="1">
      <x:c r="A208" s="2" t="n">
        <x:v>311</x:v>
      </x:c>
      <x:c r="B208" s="2" t="n">
        <x:v>2</x:v>
      </x:c>
      <x:c r="C208" s="11" t="n">
        <x:v>119474</x:v>
      </x:c>
      <x:c r="D208" s="11" t="n">
        <x:v>85162.0000000149</x:v>
      </x:c>
      <x:c r="E208" s="11" t="n">
        <x:v>34097.666666671634</x:v>
      </x:c>
      <x:c r="F208" s="11" t="n">
        <x:v>41740.9999999851</x:v>
      </x:c>
      <x:c r="G208" s="11" t="n">
        <x:v>39197.9999999851</x:v>
      </x:c>
      <x:c r="H208" s="11" t="n">
        <x:v>34311.9999999851</x:v>
      </x:c>
      <x:c r="I208" s="11" t="n">
        <x:v>4117</x:v>
      </x:c>
      <x:c r="J208" s="11" t="n">
        <x:v>106.00000004470348</x:v>
      </x:c>
      <x:c r="K208" s="2" t="n">
        <x:v>196</x:v>
      </x:c>
      <x:c r="L208" s="2" t="n">
        <x:v>855</x:v>
      </x:c>
    </x:row>
    <x:row r="209" ht="24" customHeight="1">
      <x:c r="A209" s="2" t="n">
        <x:v>312</x:v>
      </x:c>
      <x:c r="B209" s="2" t="n">
        <x:v>2</x:v>
      </x:c>
      <x:c r="C209" s="11" t="n">
        <x:v>119472</x:v>
      </x:c>
      <x:c r="D209" s="11" t="n">
        <x:v>68945</x:v>
      </x:c>
      <x:c r="E209" s="11" t="n">
        <x:v>50312.666666671634</x:v>
      </x:c>
      <x:c r="F209" s="11" t="n">
        <x:v>37598.9999999851</x:v>
      </x:c>
      <x:c r="G209" s="11" t="n">
        <x:v>27122.9999999851</x:v>
      </x:c>
      <x:c r="H209" s="11" t="n">
        <x:v>50527</x:v>
      </x:c>
      <x:c r="I209" s="11" t="n">
        <x:v>4117</x:v>
      </x:c>
      <x:c r="J209" s="11" t="n">
        <x:v>106.00000002980232</x:v>
      </x:c>
      <x:c r="K209" s="2" t="n">
        <x:v>196</x:v>
      </x:c>
      <x:c r="L209" s="2" t="n">
        <x:v>851</x:v>
      </x:c>
    </x:row>
    <x:row r="210" ht="24" customHeight="1">
      <x:c r="A210" s="2" t="n">
        <x:v>313</x:v>
      </x:c>
      <x:c r="B210" s="2" t="n">
        <x:v>2</x:v>
      </x:c>
      <x:c r="C210" s="11" t="n">
        <x:v>119470.9999999851</x:v>
      </x:c>
      <x:c r="D210" s="11" t="n">
        <x:v>79623.9999999851</x:v>
      </x:c>
      <x:c r="E210" s="11" t="n">
        <x:v>39633.666666671634</x:v>
      </x:c>
      <x:c r="F210" s="11" t="n">
        <x:v>36203</x:v>
      </x:c>
      <x:c r="G210" s="11" t="n">
        <x:v>39198.0000000149</x:v>
      </x:c>
      <x:c r="H210" s="11" t="n">
        <x:v>39847</x:v>
      </x:c>
      <x:c r="I210" s="11" t="n">
        <x:v>4117</x:v>
      </x:c>
      <x:c r="J210" s="11" t="n">
        <x:v>105.99999997019768</x:v>
      </x:c>
      <x:c r="K210" s="2" t="n">
        <x:v>196</x:v>
      </x:c>
      <x:c r="L210" s="2" t="n">
        <x:v>847</x:v>
      </x:c>
    </x:row>
    <x:row r="211" ht="24" customHeight="1">
      <x:c r="A211" s="2" t="n">
        <x:v>314</x:v>
      </x:c>
      <x:c r="B211" s="2" t="n">
        <x:v>2</x:v>
      </x:c>
      <x:c r="C211" s="11" t="n">
        <x:v>119472.0000000149</x:v>
      </x:c>
      <x:c r="D211" s="11" t="n">
        <x:v>66790.0000000149</x:v>
      </x:c>
      <x:c r="E211" s="11" t="n">
        <x:v>52468.666666671634</x:v>
      </x:c>
      <x:c r="F211" s="11" t="n">
        <x:v>35459.9999999851</x:v>
      </x:c>
      <x:c r="G211" s="11" t="n">
        <x:v>27106.9999999851</x:v>
      </x:c>
      <x:c r="H211" s="11" t="n">
        <x:v>52682</x:v>
      </x:c>
      <x:c r="I211" s="11" t="n">
        <x:v>4117</x:v>
      </x:c>
      <x:c r="J211" s="11" t="n">
        <x:v>106.00000004470348</x:v>
      </x:c>
      <x:c r="K211" s="2" t="n">
        <x:v>196</x:v>
      </x:c>
      <x:c r="L211" s="2" t="n">
        <x:v>843</x:v>
      </x:c>
    </x:row>
    <x:row r="212" ht="24" customHeight="1">
      <x:c r="A212" s="2" t="n">
        <x:v>315</x:v>
      </x:c>
      <x:c r="B212" s="2" t="n">
        <x:v>2</x:v>
      </x:c>
      <x:c r="C212" s="11" t="n">
        <x:v>119472.9999999851</x:v>
      </x:c>
      <x:c r="D212" s="11" t="n">
        <x:v>86630.9999999851</x:v>
      </x:c>
      <x:c r="E212" s="11" t="n">
        <x:v>32627.666666671634</x:v>
      </x:c>
      <x:c r="F212" s="11" t="n">
        <x:v>38174</x:v>
      </x:c>
      <x:c r="G212" s="11" t="n">
        <x:v>44233.9999999851</x:v>
      </x:c>
      <x:c r="H212" s="11" t="n">
        <x:v>32842</x:v>
      </x:c>
      <x:c r="I212" s="11" t="n">
        <x:v>4117</x:v>
      </x:c>
      <x:c r="J212" s="11" t="n">
        <x:v>106</x:v>
      </x:c>
      <x:c r="K212" s="2" t="n">
        <x:v>196</x:v>
      </x:c>
      <x:c r="L212" s="2" t="n">
        <x:v>839</x:v>
      </x:c>
    </x:row>
    <x:row r="213" ht="24" customHeight="1">
      <x:c r="A213" s="2" t="n">
        <x:v>316</x:v>
      </x:c>
      <x:c r="B213" s="2" t="n">
        <x:v>2</x:v>
      </x:c>
      <x:c r="C213" s="11" t="n">
        <x:v>119473.0000000149</x:v>
      </x:c>
      <x:c r="D213" s="11" t="n">
        <x:v>72946</x:v>
      </x:c>
      <x:c r="E213" s="11" t="n">
        <x:v>46311.666666671634</x:v>
      </x:c>
      <x:c r="F213" s="11" t="n">
        <x:v>36967</x:v>
      </x:c>
      <x:c r="G213" s="11" t="n">
        <x:v>31756.0000000149</x:v>
      </x:c>
      <x:c r="H213" s="11" t="n">
        <x:v>46527.0000000149</x:v>
      </x:c>
      <x:c r="I213" s="11" t="n">
        <x:v>4117</x:v>
      </x:c>
      <x:c r="J213" s="11" t="n">
        <x:v>105.99999998509884</x:v>
      </x:c>
      <x:c r="K213" s="2" t="n">
        <x:v>196</x:v>
      </x:c>
      <x:c r="L213" s="2" t="n">
        <x:v>835</x:v>
      </x:c>
    </x:row>
    <x:row r="214" ht="24" customHeight="1">
      <x:c r="A214" s="2" t="n">
        <x:v>317</x:v>
      </x:c>
      <x:c r="B214" s="2" t="n">
        <x:v>2</x:v>
      </x:c>
      <x:c r="C214" s="11" t="n">
        <x:v>119473</x:v>
      </x:c>
      <x:c r="D214" s="11" t="n">
        <x:v>81366</x:v>
      </x:c>
      <x:c r="E214" s="11" t="n">
        <x:v>37890.666666671634</x:v>
      </x:c>
      <x:c r="F214" s="11" t="n">
        <x:v>37911</x:v>
      </x:c>
      <x:c r="G214" s="11" t="n">
        <x:v>39232</x:v>
      </x:c>
      <x:c r="H214" s="11" t="n">
        <x:v>38107</x:v>
      </x:c>
      <x:c r="I214" s="11" t="n">
        <x:v>4117</x:v>
      </x:c>
      <x:c r="J214" s="11" t="n">
        <x:v>106</x:v>
      </x:c>
      <x:c r="K214" s="2" t="n">
        <x:v>196</x:v>
      </x:c>
      <x:c r="L214" s="2" t="n">
        <x:v>831</x:v>
      </x:c>
    </x:row>
    <x:row r="215" ht="24" customHeight="1">
      <x:c r="A215" s="2" t="n">
        <x:v>318</x:v>
      </x:c>
      <x:c r="B215" s="2" t="n">
        <x:v>2</x:v>
      </x:c>
      <x:c r="C215" s="11" t="n">
        <x:v>119471</x:v>
      </x:c>
      <x:c r="D215" s="11" t="n">
        <x:v>69864</x:v>
      </x:c>
      <x:c r="E215" s="11" t="n">
        <x:v>49391.666666671634</x:v>
      </x:c>
      <x:c r="F215" s="11" t="n">
        <x:v>38513</x:v>
      </x:c>
      <x:c r="G215" s="11" t="n">
        <x:v>27128</x:v>
      </x:c>
      <x:c r="H215" s="11" t="n">
        <x:v>49607</x:v>
      </x:c>
      <x:c r="I215" s="11" t="n">
        <x:v>4117</x:v>
      </x:c>
      <x:c r="J215" s="11" t="n">
        <x:v>106</x:v>
      </x:c>
      <x:c r="K215" s="2" t="n">
        <x:v>196</x:v>
      </x:c>
      <x:c r="L215" s="2" t="n">
        <x:v>827</x:v>
      </x:c>
    </x:row>
    <x:row r="216" ht="24" customHeight="1">
      <x:c r="A216" s="2" t="n">
        <x:v>319</x:v>
      </x:c>
      <x:c r="B216" s="2" t="n">
        <x:v>2</x:v>
      </x:c>
      <x:c r="C216" s="11" t="n">
        <x:v>119473</x:v>
      </x:c>
      <x:c r="D216" s="11" t="n">
        <x:v>78401.0000000149</x:v>
      </x:c>
      <x:c r="E216" s="11" t="n">
        <x:v>40855.666666671634</x:v>
      </x:c>
      <x:c r="F216" s="11" t="n">
        <x:v>34946.0000000149</x:v>
      </x:c>
      <x:c r="G216" s="11" t="n">
        <x:v>39232</x:v>
      </x:c>
      <x:c r="H216" s="11" t="n">
        <x:v>41071.9999999851</x:v>
      </x:c>
      <x:c r="I216" s="11" t="n">
        <x:v>4117</x:v>
      </x:c>
      <x:c r="J216" s="11" t="n">
        <x:v>106</x:v>
      </x:c>
      <x:c r="K216" s="2" t="n">
        <x:v>196</x:v>
      </x:c>
      <x:c r="L216" s="2" t="n">
        <x:v>823</x:v>
      </x:c>
    </x:row>
    <x:row r="217" ht="24" customHeight="1">
      <x:c r="A217" s="2" t="n">
        <x:v>320</x:v>
      </x:c>
      <x:c r="B217" s="2" t="n">
        <x:v>2</x:v>
      </x:c>
      <x:c r="C217" s="11" t="n">
        <x:v>119470</x:v>
      </x:c>
      <x:c r="D217" s="11" t="n">
        <x:v>67108</x:v>
      </x:c>
      <x:c r="E217" s="11" t="n">
        <x:v>52147.666666671634</x:v>
      </x:c>
      <x:c r="F217" s="11" t="n">
        <x:v>36651</x:v>
      </x:c>
      <x:c r="G217" s="11" t="n">
        <x:v>26234.0000000149</x:v>
      </x:c>
      <x:c r="H217" s="11" t="n">
        <x:v>52362</x:v>
      </x:c>
      <x:c r="I217" s="11" t="n">
        <x:v>4117</x:v>
      </x:c>
      <x:c r="J217" s="11" t="n">
        <x:v>105.99999998509884</x:v>
      </x:c>
      <x:c r="K217" s="2" t="n">
        <x:v>196</x:v>
      </x:c>
      <x:c r="L217" s="2" t="n">
        <x:v>819</x:v>
      </x:c>
    </x:row>
    <x:row r="218" ht="24" customHeight="1">
      <x:c r="A218" s="2" t="n">
        <x:v>321</x:v>
      </x:c>
      <x:c r="B218" s="2" t="n">
        <x:v>2</x:v>
      </x:c>
      <x:c r="C218" s="11" t="n">
        <x:v>119470</x:v>
      </x:c>
      <x:c r="D218" s="11" t="n">
        <x:v>79888</x:v>
      </x:c>
      <x:c r="E218" s="11" t="n">
        <x:v>39369.666666671634</x:v>
      </x:c>
      <x:c r="F218" s="11" t="n">
        <x:v>36417</x:v>
      </x:c>
      <x:c r="G218" s="11" t="n">
        <x:v>39248</x:v>
      </x:c>
      <x:c r="H218" s="11" t="n">
        <x:v>39582</x:v>
      </x:c>
      <x:c r="I218" s="11" t="n">
        <x:v>4117</x:v>
      </x:c>
      <x:c r="J218" s="11" t="n">
        <x:v>106</x:v>
      </x:c>
      <x:c r="K218" s="2" t="n">
        <x:v>196</x:v>
      </x:c>
      <x:c r="L218" s="2" t="n">
        <x:v>815</x:v>
      </x:c>
    </x:row>
    <x:row r="219" ht="24" customHeight="1">
      <x:c r="A219" s="2" t="n">
        <x:v>322</x:v>
      </x:c>
      <x:c r="B219" s="2" t="n">
        <x:v>2</x:v>
      </x:c>
      <x:c r="C219" s="11" t="n">
        <x:v>119472</x:v>
      </x:c>
      <x:c r="D219" s="11" t="n">
        <x:v>65729.9999999851</x:v>
      </x:c>
      <x:c r="E219" s="11" t="n">
        <x:v>53529.666666671634</x:v>
      </x:c>
      <x:c r="F219" s="11" t="n">
        <x:v>35273</x:v>
      </x:c>
      <x:c r="G219" s="11" t="n">
        <x:v>26234</x:v>
      </x:c>
      <x:c r="H219" s="11" t="n">
        <x:v>53742.0000000149</x:v>
      </x:c>
      <x:c r="I219" s="11" t="n">
        <x:v>4117.000000014901</x:v>
      </x:c>
      <x:c r="J219" s="11" t="n">
        <x:v>105.99999997019768</x:v>
      </x:c>
      <x:c r="K219" s="2" t="n">
        <x:v>196</x:v>
      </x:c>
      <x:c r="L219" s="2" t="n">
        <x:v>811</x:v>
      </x:c>
    </x:row>
    <x:row r="220" ht="24" customHeight="1">
      <x:c r="A220" s="2" t="n">
        <x:v>323</x:v>
      </x:c>
      <x:c r="B220" s="2" t="n">
        <x:v>2</x:v>
      </x:c>
      <x:c r="C220" s="11" t="n">
        <x:v>119473</x:v>
      </x:c>
      <x:c r="D220" s="11" t="n">
        <x:v>85076</x:v>
      </x:c>
      <x:c r="E220" s="11" t="n">
        <x:v>34183.666666671634</x:v>
      </x:c>
      <x:c r="F220" s="11" t="n">
        <x:v>36610</x:v>
      </x:c>
      <x:c r="G220" s="11" t="n">
        <x:v>44243</x:v>
      </x:c>
      <x:c r="H220" s="11" t="n">
        <x:v>34397</x:v>
      </x:c>
      <x:c r="I220" s="11" t="n">
        <x:v>4117</x:v>
      </x:c>
      <x:c r="J220" s="11" t="n">
        <x:v>106</x:v>
      </x:c>
      <x:c r="K220" s="2" t="n">
        <x:v>196</x:v>
      </x:c>
      <x:c r="L220" s="2" t="n">
        <x:v>807</x:v>
      </x:c>
    </x:row>
    <x:row r="221" ht="24" customHeight="1">
      <x:c r="A221" s="2" t="n">
        <x:v>324</x:v>
      </x:c>
      <x:c r="B221" s="2" t="n">
        <x:v>2</x:v>
      </x:c>
      <x:c r="C221" s="11" t="n">
        <x:v>119475</x:v>
      </x:c>
      <x:c r="D221" s="11" t="n">
        <x:v>75488</x:v>
      </x:c>
      <x:c r="E221" s="11" t="n">
        <x:v>43770.666666671634</x:v>
      </x:c>
      <x:c r="F221" s="11" t="n">
        <x:v>39545</x:v>
      </x:c>
      <x:c r="G221" s="11" t="n">
        <x:v>31720</x:v>
      </x:c>
      <x:c r="H221" s="11" t="n">
        <x:v>43987</x:v>
      </x:c>
      <x:c r="I221" s="11" t="n">
        <x:v>4117</x:v>
      </x:c>
      <x:c r="J221" s="11" t="n">
        <x:v>106</x:v>
      </x:c>
      <x:c r="K221" s="2" t="n">
        <x:v>196</x:v>
      </x:c>
      <x:c r="L221" s="2" t="n">
        <x:v>803</x:v>
      </x:c>
    </x:row>
    <x:row r="222" ht="24" customHeight="1">
      <x:c r="A222" s="2" t="n">
        <x:v>325</x:v>
      </x:c>
      <x:c r="B222" s="2" t="n">
        <x:v>2</x:v>
      </x:c>
      <x:c r="C222" s="11" t="n">
        <x:v>119469</x:v>
      </x:c>
      <x:c r="D222" s="11" t="n">
        <x:v>82337</x:v>
      </x:c>
      <x:c r="E222" s="11" t="n">
        <x:v>36918.666666671634</x:v>
      </x:c>
      <x:c r="F222" s="11" t="n">
        <x:v>38037</x:v>
      </x:c>
      <x:c r="G222" s="11" t="n">
        <x:v>40077</x:v>
      </x:c>
      <x:c r="H222" s="11" t="n">
        <x:v>37132</x:v>
      </x:c>
      <x:c r="I222" s="11" t="n">
        <x:v>4117</x:v>
      </x:c>
      <x:c r="J222" s="11" t="n">
        <x:v>106</x:v>
      </x:c>
      <x:c r="K222" s="2" t="n">
        <x:v>196</x:v>
      </x:c>
      <x:c r="L222" s="2" t="n">
        <x:v>799</x:v>
      </x:c>
    </x:row>
    <x:row r="223" ht="24" customHeight="1">
      <x:c r="A223" s="2" t="n">
        <x:v>326</x:v>
      </x:c>
      <x:c r="B223" s="2" t="n">
        <x:v>2</x:v>
      </x:c>
      <x:c r="C223" s="11" t="n">
        <x:v>119472.9999999851</x:v>
      </x:c>
      <x:c r="D223" s="11" t="n">
        <x:v>68240.9999999851</x:v>
      </x:c>
      <x:c r="E223" s="11" t="n">
        <x:v>51017.666666671634</x:v>
      </x:c>
      <x:c r="F223" s="11" t="n">
        <x:v>36917</x:v>
      </x:c>
      <x:c r="G223" s="11" t="n">
        <x:v>27100.9999999851</x:v>
      </x:c>
      <x:c r="H223" s="11" t="n">
        <x:v>51232</x:v>
      </x:c>
      <x:c r="I223" s="11" t="n">
        <x:v>4117</x:v>
      </x:c>
      <x:c r="J223" s="11" t="n">
        <x:v>106</x:v>
      </x:c>
      <x:c r="K223" s="2" t="n">
        <x:v>196</x:v>
      </x:c>
      <x:c r="L223" s="2" t="n">
        <x:v>795</x:v>
      </x:c>
    </x:row>
    <x:row r="224" ht="24" customHeight="1">
      <x:c r="A224" s="2" t="n">
        <x:v>327</x:v>
      </x:c>
      <x:c r="B224" s="2" t="n">
        <x:v>3</x:v>
      </x:c>
      <x:c r="C224" s="11" t="n">
        <x:v>177656</x:v>
      </x:c>
      <x:c r="D224" s="11" t="n">
        <x:v>118184.0000000149</x:v>
      </x:c>
      <x:c r="E224" s="11" t="n">
        <x:v>-478.3333333283663</x:v>
      </x:c>
      <x:c r="F224" s="11" t="n">
        <x:v>39412</x:v>
      </x:c>
      <x:c r="G224" s="11" t="n">
        <x:v>76101</x:v>
      </x:c>
      <x:c r="H224" s="11" t="n">
        <x:v>59471.9999999851</x:v>
      </x:c>
      <x:c r="I224" s="11" t="n">
        <x:v>2565</x:v>
      </x:c>
      <x:c r="J224" s="11" t="n">
        <x:v>106.00000001490116</x:v>
      </x:c>
      <x:c r="K224" s="2" t="n">
        <x:v>200</x:v>
      </x:c>
      <x:c r="L224" s="2" t="n">
        <x:v>795</x:v>
      </x:c>
    </x:row>
    <x:row r="225" ht="24" customHeight="1">
      <x:c r="A225" s="2" t="n">
        <x:v>328</x:v>
      </x:c>
      <x:c r="B225" s="2" t="n">
        <x:v>2</x:v>
      </x:c>
      <x:c r="C225" s="11" t="n">
        <x:v>119474.0000000149</x:v>
      </x:c>
      <x:c r="D225" s="11" t="n">
        <x:v>76297</x:v>
      </x:c>
      <x:c r="E225" s="11" t="n">
        <x:v>42960.666666671634</x:v>
      </x:c>
      <x:c r="F225" s="11" t="n">
        <x:v>43728.9999999851</x:v>
      </x:c>
      <x:c r="G225" s="11" t="n">
        <x:v>29897</x:v>
      </x:c>
      <x:c r="H225" s="11" t="n">
        <x:v>43177.0000000149</x:v>
      </x:c>
      <x:c r="I225" s="11" t="n">
        <x:v>2565</x:v>
      </x:c>
      <x:c r="J225" s="11" t="n">
        <x:v>106.00000001490116</x:v>
      </x:c>
      <x:c r="K225" s="2" t="n">
        <x:v>204</x:v>
      </x:c>
      <x:c r="L225" s="2" t="n">
        <x:v>795</x:v>
      </x:c>
    </x:row>
    <x:row r="226" ht="24" customHeight="1">
      <x:c r="A226" s="2" t="n">
        <x:v>329</x:v>
      </x:c>
      <x:c r="B226" s="2" t="n">
        <x:v>2</x:v>
      </x:c>
      <x:c r="C226" s="11" t="n">
        <x:v>119470</x:v>
      </x:c>
      <x:c r="D226" s="11" t="n">
        <x:v>89433</x:v>
      </x:c>
      <x:c r="E226" s="11" t="n">
        <x:v>29822.666666671634</x:v>
      </x:c>
      <x:c r="F226" s="11" t="n">
        <x:v>39402</x:v>
      </x:c>
      <x:c r="G226" s="11" t="n">
        <x:v>47360</x:v>
      </x:c>
      <x:c r="H226" s="11" t="n">
        <x:v>30037</x:v>
      </x:c>
      <x:c r="I226" s="11" t="n">
        <x:v>2565</x:v>
      </x:c>
      <x:c r="J226" s="11" t="n">
        <x:v>106</x:v>
      </x:c>
      <x:c r="K226" s="2" t="n">
        <x:v>208</x:v>
      </x:c>
      <x:c r="L226" s="2" t="n">
        <x:v>795</x:v>
      </x:c>
    </x:row>
    <x:row r="227" ht="24" customHeight="1">
      <x:c r="A227" s="2" t="n">
        <x:v>330</x:v>
      </x:c>
      <x:c r="B227" s="2" t="n">
        <x:v>2</x:v>
      </x:c>
      <x:c r="C227" s="11" t="n">
        <x:v>119473</x:v>
      </x:c>
      <x:c r="D227" s="11" t="n">
        <x:v>75630.9999999851</x:v>
      </x:c>
      <x:c r="E227" s="11" t="n">
        <x:v>43626.666666671634</x:v>
      </x:c>
      <x:c r="F227" s="11" t="n">
        <x:v>36781</x:v>
      </x:c>
      <x:c r="G227" s="11" t="n">
        <x:v>36179.0000000149</x:v>
      </x:c>
      <x:c r="H227" s="11" t="n">
        <x:v>43842.0000000149</x:v>
      </x:c>
      <x:c r="I227" s="11" t="n">
        <x:v>2565</x:v>
      </x:c>
      <x:c r="J227" s="11" t="n">
        <x:v>105.99999997019768</x:v>
      </x:c>
      <x:c r="K227" s="2" t="n">
        <x:v>212</x:v>
      </x:c>
      <x:c r="L227" s="2" t="n">
        <x:v>795</x:v>
      </x:c>
    </x:row>
    <x:row r="228" ht="24" customHeight="1">
      <x:c r="A228" s="2" t="n">
        <x:v>331</x:v>
      </x:c>
      <x:c r="B228" s="2" t="n">
        <x:v>2</x:v>
      </x:c>
      <x:c r="C228" s="11" t="n">
        <x:v>119471.9999999851</x:v>
      </x:c>
      <x:c r="D228" s="11" t="n">
        <x:v>97010</x:v>
      </x:c>
      <x:c r="E228" s="11" t="n">
        <x:v>22246.666666671634</x:v>
      </x:c>
      <x:c r="F228" s="11" t="n">
        <x:v>42320</x:v>
      </x:c>
      <x:c r="G228" s="11" t="n">
        <x:v>52019</x:v>
      </x:c>
      <x:c r="H228" s="11" t="n">
        <x:v>22461.9999999851</x:v>
      </x:c>
      <x:c r="I228" s="11" t="n">
        <x:v>2565</x:v>
      </x:c>
      <x:c r="J228" s="11" t="n">
        <x:v>106</x:v>
      </x:c>
      <x:c r="K228" s="2" t="n">
        <x:v>216</x:v>
      </x:c>
      <x:c r="L228" s="2" t="n">
        <x:v>795</x:v>
      </x:c>
    </x:row>
    <x:row r="229" ht="24" customHeight="1">
      <x:c r="A229" s="2" t="n">
        <x:v>332</x:v>
      </x:c>
      <x:c r="B229" s="2" t="n">
        <x:v>2</x:v>
      </x:c>
      <x:c r="C229" s="11" t="n">
        <x:v>119473.0000000149</x:v>
      </x:c>
      <x:c r="D229" s="11" t="n">
        <x:v>69826.0000000149</x:v>
      </x:c>
      <x:c r="E229" s="11" t="n">
        <x:v>49430.666666671634</x:v>
      </x:c>
      <x:c r="F229" s="11" t="n">
        <x:v>37230</x:v>
      </x:c>
      <x:c r="G229" s="11" t="n">
        <x:v>29925</x:v>
      </x:c>
      <x:c r="H229" s="11" t="n">
        <x:v>49647</x:v>
      </x:c>
      <x:c r="I229" s="11" t="n">
        <x:v>2565</x:v>
      </x:c>
      <x:c r="J229" s="11" t="n">
        <x:v>106.00000001490116</x:v>
      </x:c>
      <x:c r="K229" s="2" t="n">
        <x:v>220</x:v>
      </x:c>
      <x:c r="L229" s="2" t="n">
        <x:v>795</x:v>
      </x:c>
    </x:row>
    <x:row r="230" ht="24" customHeight="1">
      <x:c r="A230" s="2" t="n">
        <x:v>333</x:v>
      </x:c>
      <x:c r="B230" s="2" t="n">
        <x:v>2</x:v>
      </x:c>
      <x:c r="C230" s="11" t="n">
        <x:v>119471.9999999851</x:v>
      </x:c>
      <x:c r="D230" s="11" t="n">
        <x:v>85845</x:v>
      </x:c>
      <x:c r="E230" s="11" t="n">
        <x:v>33410.666666671634</x:v>
      </x:c>
      <x:c r="F230" s="11" t="n">
        <x:v>35783.0000000149</x:v>
      </x:c>
      <x:c r="G230" s="11" t="n">
        <x:v>47391</x:v>
      </x:c>
      <x:c r="H230" s="11" t="n">
        <x:v>33626.9999999851</x:v>
      </x:c>
      <x:c r="I230" s="11" t="n">
        <x:v>2565</x:v>
      </x:c>
      <x:c r="J230" s="11" t="n">
        <x:v>105.99999998509884</x:v>
      </x:c>
      <x:c r="K230" s="2" t="n">
        <x:v>224</x:v>
      </x:c>
      <x:c r="L230" s="2" t="n">
        <x:v>795</x:v>
      </x:c>
    </x:row>
    <x:row r="231" ht="24" customHeight="1">
      <x:c r="A231" s="2" t="n">
        <x:v>334</x:v>
      </x:c>
      <x:c r="B231" s="2" t="n">
        <x:v>2</x:v>
      </x:c>
      <x:c r="C231" s="11" t="n">
        <x:v>119469</x:v>
      </x:c>
      <x:c r="D231" s="11" t="n">
        <x:v>67527</x:v>
      </x:c>
      <x:c r="E231" s="11" t="n">
        <x:v>51728.666666671634</x:v>
      </x:c>
      <x:c r="F231" s="11" t="n">
        <x:v>34931</x:v>
      </x:c>
      <x:c r="G231" s="11" t="n">
        <x:v>29925</x:v>
      </x:c>
      <x:c r="H231" s="11" t="n">
        <x:v>51942</x:v>
      </x:c>
      <x:c r="I231" s="11" t="n">
        <x:v>2565</x:v>
      </x:c>
      <x:c r="J231" s="11" t="n">
        <x:v>106</x:v>
      </x:c>
      <x:c r="K231" s="2" t="n">
        <x:v>228</x:v>
      </x:c>
      <x:c r="L231" s="2" t="n">
        <x:v>795</x:v>
      </x:c>
    </x:row>
    <x:row r="232" ht="24" customHeight="1">
      <x:c r="A232" s="2" t="n">
        <x:v>335</x:v>
      </x:c>
      <x:c r="B232" s="2" t="n">
        <x:v>2</x:v>
      </x:c>
      <x:c r="C232" s="11" t="n">
        <x:v>119474.0000000149</x:v>
      </x:c>
      <x:c r="D232" s="11" t="n">
        <x:v>87527.0000000149</x:v>
      </x:c>
      <x:c r="E232" s="11" t="n">
        <x:v>31731.666666671634</x:v>
      </x:c>
      <x:c r="F232" s="11" t="n">
        <x:v>37465</x:v>
      </x:c>
      <x:c r="G232" s="11" t="n">
        <x:v>47391</x:v>
      </x:c>
      <x:c r="H232" s="11" t="n">
        <x:v>31947</x:v>
      </x:c>
      <x:c r="I232" s="11" t="n">
        <x:v>2565</x:v>
      </x:c>
      <x:c r="J232" s="11" t="n">
        <x:v>106.00000001490116</x:v>
      </x:c>
      <x:c r="K232" s="2" t="n">
        <x:v>232</x:v>
      </x:c>
      <x:c r="L232" s="2" t="n">
        <x:v>795</x:v>
      </x:c>
    </x:row>
    <x:row r="233" ht="24" customHeight="1">
      <x:c r="A233" s="2" t="n">
        <x:v>336</x:v>
      </x:c>
      <x:c r="B233" s="2" t="n">
        <x:v>2</x:v>
      </x:c>
      <x:c r="C233" s="11" t="n">
        <x:v>119470.9999999851</x:v>
      </x:c>
      <x:c r="D233" s="11" t="n">
        <x:v>65674</x:v>
      </x:c>
      <x:c r="E233" s="11" t="n">
        <x:v>53582.666666671634</x:v>
      </x:c>
      <x:c r="F233" s="11" t="n">
        <x:v>33078</x:v>
      </x:c>
      <x:c r="G233" s="11" t="n">
        <x:v>29925</x:v>
      </x:c>
      <x:c r="H233" s="11" t="n">
        <x:v>53796.9999999851</x:v>
      </x:c>
      <x:c r="I233" s="11" t="n">
        <x:v>2565</x:v>
      </x:c>
      <x:c r="J233" s="11" t="n">
        <x:v>106</x:v>
      </x:c>
      <x:c r="K233" s="2" t="n">
        <x:v>236</x:v>
      </x:c>
      <x:c r="L233" s="2" t="n">
        <x:v>795</x:v>
      </x:c>
    </x:row>
    <x:row r="234" ht="24" customHeight="1">
      <x:c r="A234" s="2" t="n">
        <x:v>337</x:v>
      </x:c>
      <x:c r="B234" s="2" t="n">
        <x:v>2</x:v>
      </x:c>
      <x:c r="C234" s="11" t="n">
        <x:v>119473.0000000149</x:v>
      </x:c>
      <x:c r="D234" s="11" t="n">
        <x:v>89701.0000000149</x:v>
      </x:c>
      <x:c r="E234" s="11" t="n">
        <x:v>29556.666666671634</x:v>
      </x:c>
      <x:c r="F234" s="11" t="n">
        <x:v>38776</x:v>
      </x:c>
      <x:c r="G234" s="11" t="n">
        <x:v>48254</x:v>
      </x:c>
      <x:c r="H234" s="11" t="n">
        <x:v>29772</x:v>
      </x:c>
      <x:c r="I234" s="11" t="n">
        <x:v>2565</x:v>
      </x:c>
      <x:c r="J234" s="11" t="n">
        <x:v>106.00000001490116</x:v>
      </x:c>
      <x:c r="K234" s="2" t="n">
        <x:v>240</x:v>
      </x:c>
      <x:c r="L234" s="2" t="n">
        <x:v>795</x:v>
      </x:c>
    </x:row>
    <x:row r="235" ht="24" customHeight="1">
      <x:c r="A235" s="2" t="n">
        <x:v>338</x:v>
      </x:c>
      <x:c r="B235" s="2" t="n">
        <x:v>2</x:v>
      </x:c>
      <x:c r="C235" s="11" t="n">
        <x:v>119469</x:v>
      </x:c>
      <x:c r="D235" s="11" t="n">
        <x:v>77227</x:v>
      </x:c>
      <x:c r="E235" s="11" t="n">
        <x:v>42029.666666671634</x:v>
      </x:c>
      <x:c r="F235" s="11" t="n">
        <x:v>37522.0000000149</x:v>
      </x:c>
      <x:c r="G235" s="11" t="n">
        <x:v>37034</x:v>
      </x:c>
      <x:c r="H235" s="11" t="n">
        <x:v>42242</x:v>
      </x:c>
      <x:c r="I235" s="11" t="n">
        <x:v>2565</x:v>
      </x:c>
      <x:c r="J235" s="11" t="n">
        <x:v>105.99999998509884</x:v>
      </x:c>
      <x:c r="K235" s="2" t="n">
        <x:v>244</x:v>
      </x:c>
      <x:c r="L235" s="2" t="n">
        <x:v>795</x:v>
      </x:c>
    </x:row>
    <x:row r="236" ht="24" customHeight="1">
      <x:c r="A236" s="2" t="n">
        <x:v>339</x:v>
      </x:c>
      <x:c r="B236" s="2" t="n">
        <x:v>2</x:v>
      </x:c>
      <x:c r="C236" s="11" t="n">
        <x:v>119475</x:v>
      </x:c>
      <x:c r="D236" s="11" t="n">
        <x:v>93383</x:v>
      </x:c>
      <x:c r="E236" s="11" t="n">
        <x:v>25876.666666671634</x:v>
      </x:c>
      <x:c r="F236" s="11" t="n">
        <x:v>37854.0000000149</x:v>
      </x:c>
      <x:c r="G236" s="11" t="n">
        <x:v>52858.0000000149</x:v>
      </x:c>
      <x:c r="H236" s="11" t="n">
        <x:v>26092</x:v>
      </x:c>
      <x:c r="I236" s="11" t="n">
        <x:v>2565</x:v>
      </x:c>
      <x:c r="J236" s="11" t="n">
        <x:v>105.99999997019768</x:v>
      </x:c>
      <x:c r="K236" s="2" t="n">
        <x:v>248</x:v>
      </x:c>
      <x:c r="L236" s="2" t="n">
        <x:v>795</x:v>
      </x:c>
    </x:row>
    <x:row r="237" ht="24" customHeight="1">
      <x:c r="A237" s="2" t="n">
        <x:v>340</x:v>
      </x:c>
      <x:c r="B237" s="2" t="n">
        <x:v>2</x:v>
      </x:c>
      <x:c r="C237" s="11" t="n">
        <x:v>119471</x:v>
      </x:c>
      <x:c r="D237" s="11" t="n">
        <x:v>68484</x:v>
      </x:c>
      <x:c r="E237" s="11" t="n">
        <x:v>50772.666666671634</x:v>
      </x:c>
      <x:c r="F237" s="11" t="n">
        <x:v>35037.0000000149</x:v>
      </x:c>
      <x:c r="G237" s="11" t="n">
        <x:v>30776</x:v>
      </x:c>
      <x:c r="H237" s="11" t="n">
        <x:v>50987</x:v>
      </x:c>
      <x:c r="I237" s="11" t="n">
        <x:v>2565</x:v>
      </x:c>
      <x:c r="J237" s="11" t="n">
        <x:v>105.99999998509884</x:v>
      </x:c>
      <x:c r="K237" s="2" t="n">
        <x:v>252</x:v>
      </x:c>
      <x:c r="L237" s="2" t="n">
        <x:v>795</x:v>
      </x:c>
    </x:row>
    <x:row r="238" ht="24" customHeight="1">
      <x:c r="A238" s="2" t="n">
        <x:v>341</x:v>
      </x:c>
      <x:c r="B238" s="2" t="n">
        <x:v>2</x:v>
      </x:c>
      <x:c r="C238" s="11" t="n">
        <x:v>119472</x:v>
      </x:c>
      <x:c r="D238" s="11" t="n">
        <x:v>87280</x:v>
      </x:c>
      <x:c r="E238" s="11" t="n">
        <x:v>31977.666666671634</x:v>
      </x:c>
      <x:c r="F238" s="11" t="n">
        <x:v>36373</x:v>
      </x:c>
      <x:c r="G238" s="11" t="n">
        <x:v>48236</x:v>
      </x:c>
      <x:c r="H238" s="11" t="n">
        <x:v>32192</x:v>
      </x:c>
      <x:c r="I238" s="11" t="n">
        <x:v>2565</x:v>
      </x:c>
      <x:c r="J238" s="11" t="n">
        <x:v>106</x:v>
      </x:c>
      <x:c r="K238" s="2" t="n">
        <x:v>256</x:v>
      </x:c>
      <x:c r="L238" s="2" t="n">
        <x:v>795</x:v>
      </x:c>
    </x:row>
    <x:row r="239" ht="24" customHeight="1">
      <x:c r="A239" s="2" t="n">
        <x:v>342</x:v>
      </x:c>
      <x:c r="B239" s="2" t="n">
        <x:v>2</x:v>
      </x:c>
      <x:c r="C239" s="11" t="n">
        <x:v>119472</x:v>
      </x:c>
      <x:c r="D239" s="11" t="n">
        <x:v>66570</x:v>
      </x:c>
      <x:c r="E239" s="11" t="n">
        <x:v>52687.666666671634</x:v>
      </x:c>
      <x:c r="F239" s="11" t="n">
        <x:v>33125.9999999851</x:v>
      </x:c>
      <x:c r="G239" s="11" t="n">
        <x:v>30773</x:v>
      </x:c>
      <x:c r="H239" s="11" t="n">
        <x:v>52902</x:v>
      </x:c>
      <x:c r="I239" s="11" t="n">
        <x:v>2564.999999985099</x:v>
      </x:c>
      <x:c r="J239" s="11" t="n">
        <x:v>106.00000002980232</x:v>
      </x:c>
      <x:c r="K239" s="2" t="n">
        <x:v>260</x:v>
      </x:c>
      <x:c r="L239" s="2" t="n">
        <x:v>795</x:v>
      </x:c>
    </x:row>
    <x:row r="240" ht="24" customHeight="1">
      <x:c r="A240" s="2" t="n">
        <x:v>343</x:v>
      </x:c>
      <x:c r="B240" s="2" t="n">
        <x:v>2</x:v>
      </x:c>
      <x:c r="C240" s="11" t="n">
        <x:v>123846</x:v>
      </x:c>
      <x:c r="D240" s="11" t="n">
        <x:v>97439</x:v>
      </x:c>
      <x:c r="E240" s="11" t="n">
        <x:v>26191.666666671634</x:v>
      </x:c>
      <x:c r="F240" s="11" t="n">
        <x:v>39582.9999999851</x:v>
      </x:c>
      <x:c r="G240" s="11" t="n">
        <x:v>50812</x:v>
      </x:c>
      <x:c r="H240" s="11" t="n">
        <x:v>26407</x:v>
      </x:c>
      <x:c r="I240" s="11" t="n">
        <x:v>6938</x:v>
      </x:c>
      <x:c r="J240" s="11" t="n">
        <x:v>106.00000001490116</x:v>
      </x:c>
      <x:c r="K240" s="2" t="n">
        <x:v>264</x:v>
      </x:c>
      <x:c r="L240" s="2" t="n">
        <x:v>795</x:v>
      </x:c>
    </x:row>
    <x:row r="241" ht="24" customHeight="1">
      <x:c r="A241" s="2" t="n">
        <x:v>344</x:v>
      </x:c>
      <x:c r="B241" s="2" t="n">
        <x:v>2</x:v>
      </x:c>
      <x:c r="C241" s="11" t="n">
        <x:v>115098</x:v>
      </x:c>
      <x:c r="D241" s="11" t="n">
        <x:v>75446</x:v>
      </x:c>
      <x:c r="E241" s="11" t="n">
        <x:v>39437.666666671634</x:v>
      </x:c>
      <x:c r="F241" s="11" t="n">
        <x:v>39426</x:v>
      </x:c>
      <x:c r="G241" s="11" t="n">
        <x:v>33349</x:v>
      </x:c>
      <x:c r="H241" s="11" t="n">
        <x:v>39652</x:v>
      </x:c>
      <x:c r="I241" s="11" t="n">
        <x:v>2565</x:v>
      </x:c>
      <x:c r="J241" s="11" t="n">
        <x:v>106</x:v>
      </x:c>
      <x:c r="K241" s="2" t="n">
        <x:v>268</x:v>
      </x:c>
      <x:c r="L241" s="2" t="n">
        <x:v>795</x:v>
      </x:c>
    </x:row>
    <x:row r="242" ht="24" customHeight="1">
      <x:c r="A242" s="2" t="n">
        <x:v>345</x:v>
      </x:c>
      <x:c r="B242" s="2" t="n">
        <x:v>2</x:v>
      </x:c>
      <x:c r="C242" s="11" t="n">
        <x:v>119474</x:v>
      </x:c>
      <x:c r="D242" s="11" t="n">
        <x:v>88917</x:v>
      </x:c>
      <x:c r="E242" s="11" t="n">
        <x:v>30340.666666671634</x:v>
      </x:c>
      <x:c r="F242" s="11" t="n">
        <x:v>35434.0000000149</x:v>
      </x:c>
      <x:c r="G242" s="11" t="n">
        <x:v>50812</x:v>
      </x:c>
      <x:c r="H242" s="11" t="n">
        <x:v>30557</x:v>
      </x:c>
      <x:c r="I242" s="11" t="n">
        <x:v>2565</x:v>
      </x:c>
      <x:c r="J242" s="11" t="n">
        <x:v>105.99999998509884</x:v>
      </x:c>
      <x:c r="K242" s="2" t="n">
        <x:v>272</x:v>
      </x:c>
      <x:c r="L242" s="2" t="n">
        <x:v>795</x:v>
      </x:c>
    </x:row>
    <x:row r="243" ht="24" customHeight="1">
      <x:c r="A243" s="2" t="n">
        <x:v>346</x:v>
      </x:c>
      <x:c r="B243" s="2" t="n">
        <x:v>2</x:v>
      </x:c>
      <x:c r="C243" s="11" t="n">
        <x:v>119469</x:v>
      </x:c>
      <x:c r="D243" s="11" t="n">
        <x:v>76937</x:v>
      </x:c>
      <x:c r="E243" s="11" t="n">
        <x:v>42318.666666671634</x:v>
      </x:c>
      <x:c r="F243" s="11" t="n">
        <x:v>34634.9999999851</x:v>
      </x:c>
      <x:c r="G243" s="11" t="n">
        <x:v>39631</x:v>
      </x:c>
      <x:c r="H243" s="11" t="n">
        <x:v>42532</x:v>
      </x:c>
      <x:c r="I243" s="11" t="n">
        <x:v>2565</x:v>
      </x:c>
      <x:c r="J243" s="11" t="n">
        <x:v>106.00000001490116</x:v>
      </x:c>
      <x:c r="K243" s="2" t="n">
        <x:v>276</x:v>
      </x:c>
      <x:c r="L243" s="2" t="n">
        <x:v>795</x:v>
      </x:c>
    </x:row>
    <x:row r="244" ht="24" customHeight="1">
      <x:c r="A244" s="2" t="n">
        <x:v>347</x:v>
      </x:c>
      <x:c r="B244" s="2" t="n">
        <x:v>2</x:v>
      </x:c>
      <x:c r="C244" s="11" t="n">
        <x:v>119472</x:v>
      </x:c>
      <x:c r="D244" s="11" t="n">
        <x:v>95290</x:v>
      </x:c>
      <x:c r="E244" s="11" t="n">
        <x:v>23968.666666671634</x:v>
      </x:c>
      <x:c r="F244" s="11" t="n">
        <x:v>37164</x:v>
      </x:c>
      <x:c r="G244" s="11" t="n">
        <x:v>55455</x:v>
      </x:c>
      <x:c r="H244" s="11" t="n">
        <x:v>24182</x:v>
      </x:c>
      <x:c r="I244" s="11" t="n">
        <x:v>2565</x:v>
      </x:c>
      <x:c r="J244" s="11" t="n">
        <x:v>106</x:v>
      </x:c>
      <x:c r="K244" s="2" t="n">
        <x:v>280</x:v>
      </x:c>
      <x:c r="L244" s="2" t="n">
        <x:v>795</x:v>
      </x:c>
    </x:row>
    <x:row r="245" ht="24" customHeight="1">
      <x:c r="A245" s="2" t="n">
        <x:v>348</x:v>
      </x:c>
      <x:c r="B245" s="2" t="n">
        <x:v>2</x:v>
      </x:c>
      <x:c r="C245" s="11" t="n">
        <x:v>119470.9999999851</x:v>
      </x:c>
      <x:c r="D245" s="11" t="n">
        <x:v>68799</x:v>
      </x:c>
      <x:c r="E245" s="11" t="n">
        <x:v>50459.666666671634</x:v>
      </x:c>
      <x:c r="F245" s="11" t="n">
        <x:v>32766.9999999851</x:v>
      </x:c>
      <x:c r="G245" s="11" t="n">
        <x:v>33361</x:v>
      </x:c>
      <x:c r="H245" s="11" t="n">
        <x:v>50671.9999999851</x:v>
      </x:c>
      <x:c r="I245" s="11" t="n">
        <x:v>2565</x:v>
      </x:c>
      <x:c r="J245" s="11" t="n">
        <x:v>106.00000001490116</x:v>
      </x:c>
      <x:c r="K245" s="2" t="n">
        <x:v>284</x:v>
      </x:c>
      <x:c r="L245" s="2" t="n">
        <x:v>795</x:v>
      </x:c>
    </x:row>
    <x:row r="246" ht="24" customHeight="1">
      <x:c r="A246" s="2" t="n">
        <x:v>349</x:v>
      </x:c>
      <x:c r="B246" s="2" t="n">
        <x:v>2</x:v>
      </x:c>
      <x:c r="C246" s="11" t="n">
        <x:v>119472.0000000149</x:v>
      </x:c>
      <x:c r="D246" s="11" t="n">
        <x:v>87285.0000000149</x:v>
      </x:c>
      <x:c r="E246" s="11" t="n">
        <x:v>31974.666666671634</x:v>
      </x:c>
      <x:c r="F246" s="11" t="n">
        <x:v>33787</x:v>
      </x:c>
      <x:c r="G246" s="11" t="n">
        <x:v>50827.0000000149</x:v>
      </x:c>
      <x:c r="H246" s="11" t="n">
        <x:v>32187</x:v>
      </x:c>
      <x:c r="I246" s="11" t="n">
        <x:v>2565</x:v>
      </x:c>
      <x:c r="J246" s="11" t="n">
        <x:v>106</x:v>
      </x:c>
      <x:c r="K246" s="2" t="n">
        <x:v>288</x:v>
      </x:c>
      <x:c r="L246" s="2" t="n">
        <x:v>795</x:v>
      </x:c>
    </x:row>
    <x:row r="247" ht="24" customHeight="1">
      <x:c r="A247" s="2" t="n">
        <x:v>350</x:v>
      </x:c>
      <x:c r="B247" s="2" t="n">
        <x:v>2</x:v>
      </x:c>
      <x:c r="C247" s="11" t="n">
        <x:v>119472</x:v>
      </x:c>
      <x:c r="D247" s="11" t="n">
        <x:v>74285</x:v>
      </x:c>
      <x:c r="E247" s="11" t="n">
        <x:v>44974.666666671634</x:v>
      </x:c>
      <x:c r="F247" s="11" t="n">
        <x:v>39116</x:v>
      </x:c>
      <x:c r="G247" s="11" t="n">
        <x:v>32498.0000000149</x:v>
      </x:c>
      <x:c r="H247" s="11" t="n">
        <x:v>45187</x:v>
      </x:c>
      <x:c r="I247" s="11" t="n">
        <x:v>2565</x:v>
      </x:c>
      <x:c r="J247" s="11" t="n">
        <x:v>105.99999998509884</x:v>
      </x:c>
      <x:c r="K247" s="2" t="n">
        <x:v>292</x:v>
      </x:c>
      <x:c r="L247" s="2" t="n">
        <x:v>795</x:v>
      </x:c>
    </x:row>
    <x:row r="248" ht="24" customHeight="1">
      <x:c r="A248" s="2" t="n">
        <x:v>351</x:v>
      </x:c>
      <x:c r="B248" s="2" t="n">
        <x:v>2</x:v>
      </x:c>
      <x:c r="C248" s="11" t="n">
        <x:v>119474</x:v>
      </x:c>
      <x:c r="D248" s="11" t="n">
        <x:v>91737</x:v>
      </x:c>
      <x:c r="E248" s="11" t="n">
        <x:v>27522.666666671634</x:v>
      </x:c>
      <x:c r="F248" s="11" t="n">
        <x:v>39102</x:v>
      </x:c>
      <x:c r="G248" s="11" t="n">
        <x:v>49964</x:v>
      </x:c>
      <x:c r="H248" s="11" t="n">
        <x:v>27737</x:v>
      </x:c>
      <x:c r="I248" s="11" t="n">
        <x:v>2564.999999985099</x:v>
      </x:c>
      <x:c r="J248" s="11" t="n">
        <x:v>106.00000001490116</x:v>
      </x:c>
      <x:c r="K248" s="2" t="n">
        <x:v>296</x:v>
      </x:c>
      <x:c r="L248" s="2" t="n">
        <x:v>795</x:v>
      </x:c>
    </x:row>
    <x:row r="249" ht="24" customHeight="1">
      <x:c r="A249" s="2" t="n">
        <x:v>352</x:v>
      </x:c>
      <x:c r="B249" s="2" t="n">
        <x:v>2</x:v>
      </x:c>
      <x:c r="C249" s="11" t="n">
        <x:v>119473</x:v>
      </x:c>
      <x:c r="D249" s="11" t="n">
        <x:v>69351</x:v>
      </x:c>
      <x:c r="E249" s="11" t="n">
        <x:v>49906.666666671634</x:v>
      </x:c>
      <x:c r="F249" s="11" t="n">
        <x:v>34182</x:v>
      </x:c>
      <x:c r="G249" s="11" t="n">
        <x:v>32497.9999999851</x:v>
      </x:c>
      <x:c r="H249" s="11" t="n">
        <x:v>50122</x:v>
      </x:c>
      <x:c r="I249" s="11" t="n">
        <x:v>2565</x:v>
      </x:c>
      <x:c r="J249" s="11" t="n">
        <x:v>106.00000001490116</x:v>
      </x:c>
      <x:c r="K249" s="2" t="n">
        <x:v>300</x:v>
      </x:c>
      <x:c r="L249" s="2" t="n">
        <x:v>795</x:v>
      </x:c>
    </x:row>
    <x:row r="250" ht="24" customHeight="1">
      <x:c r="A250" s="2" t="n">
        <x:v>353</x:v>
      </x:c>
      <x:c r="B250" s="2" t="n">
        <x:v>2</x:v>
      </x:c>
      <x:c r="C250" s="11" t="n">
        <x:v>119469</x:v>
      </x:c>
      <x:c r="D250" s="11" t="n">
        <x:v>87692</x:v>
      </x:c>
      <x:c r="E250" s="11" t="n">
        <x:v>31564.666666671634</x:v>
      </x:c>
      <x:c r="F250" s="11" t="n">
        <x:v>35057</x:v>
      </x:c>
      <x:c r="G250" s="11" t="n">
        <x:v>49964.0000000149</x:v>
      </x:c>
      <x:c r="H250" s="11" t="n">
        <x:v>31777</x:v>
      </x:c>
      <x:c r="I250" s="11" t="n">
        <x:v>2565</x:v>
      </x:c>
      <x:c r="J250" s="11" t="n">
        <x:v>105.99999998509884</x:v>
      </x:c>
      <x:c r="K250" s="2" t="n">
        <x:v>304</x:v>
      </x:c>
      <x:c r="L250" s="2" t="n">
        <x:v>795</x:v>
      </x:c>
    </x:row>
    <x:row r="251" ht="24" customHeight="1">
      <x:c r="A251" s="2" t="n">
        <x:v>354</x:v>
      </x:c>
      <x:c r="B251" s="2" t="n">
        <x:v>2</x:v>
      </x:c>
      <x:c r="C251" s="11" t="n">
        <x:v>119475</x:v>
      </x:c>
      <x:c r="D251" s="11" t="n">
        <x:v>73718</x:v>
      </x:c>
      <x:c r="E251" s="11" t="n">
        <x:v>45541.666666671634</x:v>
      </x:c>
      <x:c r="F251" s="11" t="n">
        <x:v>32303</x:v>
      </x:c>
      <x:c r="G251" s="11" t="n">
        <x:v>38743.9999999851</x:v>
      </x:c>
      <x:c r="H251" s="11" t="n">
        <x:v>45757</x:v>
      </x:c>
      <x:c r="I251" s="11" t="n">
        <x:v>2565</x:v>
      </x:c>
      <x:c r="J251" s="11" t="n">
        <x:v>106.00000001490116</x:v>
      </x:c>
      <x:c r="K251" s="2" t="n">
        <x:v>308</x:v>
      </x:c>
      <x:c r="L251" s="2" t="n">
        <x:v>795</x:v>
      </x:c>
    </x:row>
    <x:row r="252" ht="24" customHeight="1">
      <x:c r="A252" s="2" t="n">
        <x:v>355</x:v>
      </x:c>
      <x:c r="B252" s="2" t="n">
        <x:v>2</x:v>
      </x:c>
      <x:c r="C252" s="11" t="n">
        <x:v>119472</x:v>
      </x:c>
      <x:c r="D252" s="11" t="n">
        <x:v>93690</x:v>
      </x:c>
      <x:c r="E252" s="11" t="n">
        <x:v>25566.666666671634</x:v>
      </x:c>
      <x:c r="F252" s="11" t="n">
        <x:v>34860</x:v>
      </x:c>
      <x:c r="G252" s="11" t="n">
        <x:v>56159</x:v>
      </x:c>
      <x:c r="H252" s="11" t="n">
        <x:v>25782</x:v>
      </x:c>
      <x:c r="I252" s="11" t="n">
        <x:v>2565</x:v>
      </x:c>
      <x:c r="J252" s="11" t="n">
        <x:v>106</x:v>
      </x:c>
      <x:c r="K252" s="2" t="n">
        <x:v>312</x:v>
      </x:c>
      <x:c r="L252" s="2" t="n">
        <x:v>795</x:v>
      </x:c>
    </x:row>
    <x:row r="253" ht="24" customHeight="1">
      <x:c r="A253" s="2" t="n">
        <x:v>356</x:v>
      </x:c>
      <x:c r="B253" s="2" t="n">
        <x:v>2</x:v>
      </x:c>
      <x:c r="C253" s="11" t="n">
        <x:v>119471.9999999851</x:v>
      </x:c>
      <x:c r="D253" s="11" t="n">
        <x:v>73845</x:v>
      </x:c>
      <x:c r="E253" s="11" t="n">
        <x:v>45411.666666671634</x:v>
      </x:c>
      <x:c r="F253" s="11" t="n">
        <x:v>38687.9999999851</x:v>
      </x:c>
      <x:c r="G253" s="11" t="n">
        <x:v>32485.9999999851</x:v>
      </x:c>
      <x:c r="H253" s="11" t="n">
        <x:v>45626.9999999851</x:v>
      </x:c>
      <x:c r="I253" s="11" t="n">
        <x:v>2565</x:v>
      </x:c>
      <x:c r="J253" s="11" t="n">
        <x:v>106.00000002980232</x:v>
      </x:c>
      <x:c r="K253" s="2" t="n">
        <x:v>316</x:v>
      </x:c>
      <x:c r="L253" s="2" t="n">
        <x:v>795</x:v>
      </x:c>
    </x:row>
    <x:row r="254" ht="24" customHeight="1">
      <x:c r="A254" s="2" t="n">
        <x:v>357</x:v>
      </x:c>
      <x:c r="B254" s="2" t="n">
        <x:v>2</x:v>
      </x:c>
      <x:c r="C254" s="11" t="n">
        <x:v>121023.0000000149</x:v>
      </x:c>
      <x:c r="D254" s="11" t="n">
        <x:v>76486.0000000149</x:v>
      </x:c>
      <x:c r="E254" s="11" t="n">
        <x:v>44322.666666671634</x:v>
      </x:c>
      <x:c r="F254" s="11" t="n">
        <x:v>42209</x:v>
      </x:c>
      <x:c r="G254" s="11" t="n">
        <x:v>30053.9999999851</x:v>
      </x:c>
      <x:c r="H254" s="11" t="n">
        <x:v>44537</x:v>
      </x:c>
      <x:c r="I254" s="11" t="n">
        <x:v>4117</x:v>
      </x:c>
      <x:c r="J254" s="11" t="n">
        <x:v>106.00000002980232</x:v>
      </x:c>
      <x:c r="K254" s="2" t="n">
        <x:v>316</x:v>
      </x:c>
      <x:c r="L254" s="2" t="n">
        <x:v>799</x:v>
      </x:c>
    </x:row>
    <x:row r="255" ht="24" customHeight="1">
      <x:c r="A255" s="2" t="n">
        <x:v>358</x:v>
      </x:c>
      <x:c r="B255" s="2" t="n">
        <x:v>2</x:v>
      </x:c>
      <x:c r="C255" s="11" t="n">
        <x:v>119471.9999999851</x:v>
      </x:c>
      <x:c r="D255" s="11" t="n">
        <x:v>84344.9999999851</x:v>
      </x:c>
      <x:c r="E255" s="11" t="n">
        <x:v>34912.666666671634</x:v>
      </x:c>
      <x:c r="F255" s="11" t="n">
        <x:v>38211.0000000149</x:v>
      </x:c>
      <x:c r="G255" s="11" t="n">
        <x:v>41911</x:v>
      </x:c>
      <x:c r="H255" s="11" t="n">
        <x:v>35127</x:v>
      </x:c>
      <x:c r="I255" s="11" t="n">
        <x:v>4117</x:v>
      </x:c>
      <x:c r="J255" s="11" t="n">
        <x:v>105.99999997019768</x:v>
      </x:c>
      <x:c r="K255" s="2" t="n">
        <x:v>316</x:v>
      </x:c>
      <x:c r="L255" s="2" t="n">
        <x:v>803</x:v>
      </x:c>
    </x:row>
    <x:row r="256" ht="24" customHeight="1">
      <x:c r="A256" s="2" t="n">
        <x:v>359</x:v>
      </x:c>
      <x:c r="B256" s="2" t="n">
        <x:v>2</x:v>
      </x:c>
      <x:c r="C256" s="11" t="n">
        <x:v>119470</x:v>
      </x:c>
      <x:c r="D256" s="11" t="n">
        <x:v>76858</x:v>
      </x:c>
      <x:c r="E256" s="11" t="n">
        <x:v>42399.666666671634</x:v>
      </x:c>
      <x:c r="F256" s="11" t="n">
        <x:v>41290</x:v>
      </x:c>
      <x:c r="G256" s="11" t="n">
        <x:v>31345</x:v>
      </x:c>
      <x:c r="H256" s="11" t="n">
        <x:v>42612</x:v>
      </x:c>
      <x:c r="I256" s="11" t="n">
        <x:v>4117</x:v>
      </x:c>
      <x:c r="J256" s="11" t="n">
        <x:v>106</x:v>
      </x:c>
      <x:c r="K256" s="2" t="n">
        <x:v>316</x:v>
      </x:c>
      <x:c r="L256" s="2" t="n">
        <x:v>807</x:v>
      </x:c>
    </x:row>
    <x:row r="257" ht="24" customHeight="1">
      <x:c r="A257" s="2" t="n">
        <x:v>360</x:v>
      </x:c>
      <x:c r="B257" s="2" t="n">
        <x:v>2</x:v>
      </x:c>
      <x:c r="C257" s="11" t="n">
        <x:v>119476.0000000149</x:v>
      </x:c>
      <x:c r="D257" s="11" t="n">
        <x:v>89924.0000000298</x:v>
      </x:c>
      <x:c r="E257" s="11" t="n">
        <x:v>29335.666666671634</x:v>
      </x:c>
      <x:c r="F257" s="11" t="n">
        <x:v>43790</x:v>
      </x:c>
      <x:c r="G257" s="11" t="n">
        <x:v>41911</x:v>
      </x:c>
      <x:c r="H257" s="11" t="n">
        <x:v>29551.9999999851</x:v>
      </x:c>
      <x:c r="I257" s="11" t="n">
        <x:v>4117</x:v>
      </x:c>
      <x:c r="J257" s="11" t="n">
        <x:v>106.00000002980232</x:v>
      </x:c>
      <x:c r="K257" s="2" t="n">
        <x:v>316</x:v>
      </x:c>
      <x:c r="L257" s="2" t="n">
        <x:v>811</x:v>
      </x:c>
    </x:row>
    <x:row r="258" ht="24" customHeight="1">
      <x:c r="A258" s="2"/>
      <x:c r="B258" s="2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</x:row>
    <x:row r="259" ht="24" customHeight="1">
      <x:c r="A259" s="2"/>
      <x:c r="B259" s="2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</x:row>
    <x:row r="260" ht="24" customHeight="1">
      <x:c r="A260" s="2"/>
      <x:c r="B260" s="2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4" hidden="0" customWidth="1"/>
    <x:col min="2" max="2" width="10" hidden="0" customWidth="1"/>
    <x:col min="3" max="3" width="18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  <x:col min="8" max="8" width="16" hidden="0" customWidth="1"/>
    <x:col min="9" max="9" width="18" hidden="0" customWidth="1"/>
    <x:col min="10" max="10" width="16" hidden="0" customWidth="1"/>
    <x:col min="11" max="11" width="18" hidden="0" customWidth="1"/>
    <x:col min="12" max="12" width="18" hidden="0" customWidth="1"/>
    <x:col min="13" max="13" width="16" hidden="0" customWidth="1"/>
    <x:col min="14" max="14" width="16" hidden="0" customWidth="1"/>
  </x:cols>
  <x:sheetData>
    <x:row r="1" ht="24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4" customHeight="1">
      <x:c r="A2" s="3" t="str">
        <x:v>Cold transitions and event costs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4" customHeight="1">
      <x:c r="A3" s="2" t="str">
        <x:v>Separate controlled samples. Entry to pre-RET; CALL/RET overhead belongs to the parent or untracked.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4" customHeight="1">
      <x:c r="A4" s="2" t="str">
        <x:v>Self subtracts tracked children. Do not add inclusive parent and child rows or mix these samples with active FPS.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36" customHeight="1">
      <x:c r="A5" s="7" t="str">
        <x:v>Routine / hook</x:v>
      </x:c>
      <x:c r="B5" s="7" t="str">
        <x:v>Calls</x:v>
      </x:c>
      <x:c r="C5" s="7" t="str">
        <x:v>Mean incl cycles/call</x:v>
      </x:c>
      <x:c r="D5" s="7" t="str">
        <x:v>P95 incl cycles/call</x:v>
      </x:c>
      <x:c r="E5" s="7" t="str">
        <x:v>Max incl cycles/call</x:v>
      </x:c>
      <x:c r="F5" s="7" t="str">
        <x:v>Mean incl ms/call</x:v>
      </x:c>
      <x:c r="G5" s="7" t="str">
        <x:v>P95 incl ms/call</x:v>
      </x:c>
      <x:c r="H5" s="7" t="str">
        <x:v>Max incl ms/call</x:v>
      </x:c>
      <x:c r="I5" s="7" t="str">
        <x:v>Mean self cycles/call</x:v>
      </x:c>
      <x:c r="J5" s="7" t="str">
        <x:v>Mean self ms/call</x:v>
      </x:c>
      <x:c r="K5" s="7" t="str">
        <x:v>P95 self cycles/call</x:v>
      </x:c>
      <x:c r="L5" s="7" t="str">
        <x:v>Max self cycles/call</x:v>
      </x:c>
      <x:c r="M5" s="7" t="str">
        <x:v>P95 self ms/call</x:v>
      </x:c>
      <x:c r="N5" s="7" t="str">
        <x:v>Max self ms/call</x:v>
      </x:c>
    </x:row>
    <x:row r="6" ht="24" customHeight="1">
      <x:c r="A6" s="2" t="str">
        <x:v>GameSession_AudioStop</x:v>
      </x:c>
      <x:c r="B6" s="2" t="n">
        <x:v>30</x:v>
      </x:c>
      <x:c r="C6" s="11" t="n">
        <x:v>2644.999999999855</x:v>
      </x:c>
      <x:c r="D6" s="11" t="n">
        <x:v>2645.000000019779</x:v>
      </x:c>
      <x:c r="E6" s="11" t="n">
        <x:v>2645.000000019779</x:v>
      </x:c>
      <x:c r="F6" s="8" t="n">
        <x:f>C6/'Summary'!$B$20*1000</x:f>
        <x:v>0.738920728751798</x:v>
      </x:c>
      <x:c r="G6" s="8" t="n">
        <x:f>D6/'Summary'!$B$20*1000</x:f>
        <x:v>0.738920728757364</x:v>
      </x:c>
      <x:c r="H6" s="8" t="n">
        <x:f>E6/'Summary'!$B$20*1000</x:f>
        <x:v>0.738920728757364</x:v>
      </x:c>
      <x:c r="I6" s="11" t="n">
        <x:v>2644.999999999855</x:v>
      </x:c>
      <x:c r="J6" s="8" t="n">
        <x:f>I6/'Summary'!$B$20*1000</x:f>
        <x:v>0.738920728751798</x:v>
      </x:c>
      <x:c r="K6" s="11" t="n">
        <x:v>2645.000000019779</x:v>
      </x:c>
      <x:c r="L6" s="11" t="n">
        <x:v>2645.000000019779</x:v>
      </x:c>
      <x:c r="M6" s="8" t="n">
        <x:f>K6/'Summary'!$B$20*1000</x:f>
        <x:v>0.738920728757364</x:v>
      </x:c>
      <x:c r="N6" s="8" t="n">
        <x:f>L6/'Summary'!$B$20*1000</x:f>
        <x:v>0.738920728757364</x:v>
      </x:c>
    </x:row>
    <x:row r="7" ht="24" customHeight="1">
      <x:c r="A7" s="2" t="str">
        <x:v>GameSession_ChallengeFrame</x:v>
      </x:c>
      <x:c r="B7" s="2" t="n">
        <x:v>386</x:v>
      </x:c>
      <x:c r="C7" s="11" t="n">
        <x:v>1004.5544041446498</x:v>
      </x:c>
      <x:c r="D7" s="11" t="n">
        <x:v>4939.999999997298</x:v>
      </x:c>
      <x:c r="E7" s="11" t="n">
        <x:v>18635.999999993513</x:v>
      </x:c>
      <x:c r="F7" s="8" t="n">
        <x:f>C7/'Summary'!$B$20*1000</x:f>
        <x:v>0.2806374564769125</x:v>
      </x:c>
      <x:c r="G7" s="8" t="n">
        <x:f>D7/'Summary'!$B$20*1000</x:f>
        <x:v>1.380063667308917</x:v>
      </x:c>
      <x:c r="H7" s="8" t="n">
        <x:f>E7/'Summary'!$B$20*1000</x:f>
        <x:v>5.2062482801567</x:v>
      </x:c>
      <x:c r="I7" s="11" t="n">
        <x:v>1004.5544041446498</x:v>
      </x:c>
      <x:c r="J7" s="8" t="n">
        <x:f>I7/'Summary'!$B$20*1000</x:f>
        <x:v>0.2806374564769125</x:v>
      </x:c>
      <x:c r="K7" s="11" t="n">
        <x:v>4939.999999997298</x:v>
      </x:c>
      <x:c r="L7" s="11" t="n">
        <x:v>18635.999999993513</x:v>
      </x:c>
      <x:c r="M7" s="8" t="n">
        <x:f>K7/'Summary'!$B$20*1000</x:f>
        <x:v>1.380063667308917</x:v>
      </x:c>
      <x:c r="N7" s="8" t="n">
        <x:f>L7/'Summary'!$B$20*1000</x:f>
        <x:v>5.2062482801567</x:v>
      </x:c>
    </x:row>
    <x:row r="8" ht="24" customHeight="1">
      <x:c r="A8" s="2" t="str">
        <x:v>GameSession_ColdLoad</x:v>
      </x:c>
      <x:c r="B8" s="2" t="n">
        <x:v>13</x:v>
      </x:c>
      <x:c r="C8" s="11" t="n">
        <x:v>5557474.384615383</x:v>
      </x:c>
      <x:c r="D8" s="11" t="n">
        <x:v>5614190.999999988</x:v>
      </x:c>
      <x:c r="E8" s="11" t="n">
        <x:v>5614190.999999988</x:v>
      </x:c>
      <x:c r="F8" s="8" t="n">
        <x:f>C8/'Summary'!$B$20*1000</x:f>
        <x:v>1552.564469678516</x:v>
      </x:c>
      <x:c r="G8" s="8" t="n">
        <x:f>D8/'Summary'!$B$20*1000</x:f>
        <x:v>1568.409113448773</x:v>
      </x:c>
      <x:c r="H8" s="8" t="n">
        <x:f>E8/'Summary'!$B$20*1000</x:f>
        <x:v>1568.409113448773</x:v>
      </x:c>
      <x:c r="I8" s="11" t="n">
        <x:v>4836615.692307688</x:v>
      </x:c>
      <x:c r="J8" s="8" t="n">
        <x:f>I8/'Summary'!$B$20*1000</x:f>
        <x:v>1351.181698318554</x:v>
      </x:c>
      <x:c r="K8" s="11" t="n">
        <x:v>4900973.999999996</x:v>
      </x:c>
      <x:c r="L8" s="11" t="n">
        <x:v>4900973.999999996</x:v>
      </x:c>
      <x:c r="M8" s="8" t="n">
        <x:f>K8/'Summary'!$B$20*1000</x:f>
        <x:v>1369.1611643379247</x:v>
      </x:c>
      <x:c r="N8" s="8" t="n">
        <x:f>L8/'Summary'!$B$20*1000</x:f>
        <x:v>1369.1611643379247</x:v>
      </x:c>
    </x:row>
    <x:row r="9" ht="24" customHeight="1">
      <x:c r="A9" s="2" t="str">
        <x:v>GameSession_Video</x:v>
      </x:c>
      <x:c r="B9" s="2" t="n">
        <x:v>14</x:v>
      </x:c>
      <x:c r="C9" s="11" t="n">
        <x:v>719769.0714285721</x:v>
      </x:c>
      <x:c r="D9" s="11" t="n">
        <x:v>757186.0000000047</x:v>
      </x:c>
      <x:c r="E9" s="11" t="n">
        <x:v>757186.0000000047</x:v>
      </x:c>
      <x:c r="F9" s="8" t="n">
        <x:f>C9/'Summary'!$B$20*1000</x:f>
        <x:v>201.07836929793368</x:v>
      </x:c>
      <x:c r="G9" s="8" t="n">
        <x:f>D9/'Summary'!$B$20*1000</x:f>
        <x:v>211.5313538452526</x:v>
      </x:c>
      <x:c r="H9" s="8" t="n">
        <x:f>E9/'Summary'!$B$20*1000</x:f>
        <x:v>211.5313538452526</x:v>
      </x:c>
      <x:c r="I9" s="11" t="n">
        <x:v>717124.071428575</x:v>
      </x:c>
      <x:c r="J9" s="8" t="n">
        <x:f>I9/'Summary'!$B$20*1000</x:f>
        <x:v>200.33944856918268</x:v>
      </x:c>
      <x:c r="K9" s="11" t="n">
        <x:v>754541.0000000104</x:v>
      </x:c>
      <x:c r="L9" s="11" t="n">
        <x:v>754541.0000000104</x:v>
      </x:c>
      <x:c r="M9" s="8" t="n">
        <x:f>K9/'Summary'!$B$20*1000</x:f>
        <x:v>210.79243311650234</x:v>
      </x:c>
      <x:c r="N9" s="8" t="n">
        <x:f>L9/'Summary'!$B$20*1000</x:f>
        <x:v>210.79243311650234</x:v>
      </x:c>
    </x:row>
    <x:row r="10" ht="24" customHeight="1">
      <x:c r="A10" s="2" t="str">
        <x:v>GameSession_RemoveFlag</x:v>
      </x:c>
      <x:c r="B10" s="2" t="n">
        <x:v>10</x:v>
      </x:c>
      <x:c r="C10" s="11" t="n">
        <x:v>15910.000000001872</x:v>
      </x:c>
      <x:c r="D10" s="11" t="n">
        <x:v>15910.000000007594</x:v>
      </x:c>
      <x:c r="E10" s="11" t="n">
        <x:v>15910.000000007594</x:v>
      </x:c>
      <x:c r="F10" s="8" t="n">
        <x:f>C10/'Summary'!$B$20*1000</x:f>
        <x:v>4.444698977105155</x:v>
      </x:c>
      <x:c r="G10" s="8" t="n">
        <x:f>D10/'Summary'!$B$20*1000</x:f>
        <x:v>4.4446989771067535</x:v>
      </x:c>
      <x:c r="H10" s="8" t="n">
        <x:f>E10/'Summary'!$B$20*1000</x:f>
        <x:v>4.4446989771067535</x:v>
      </x:c>
      <x:c r="I10" s="11" t="n">
        <x:v>15910.000000001872</x:v>
      </x:c>
      <x:c r="J10" s="8" t="n">
        <x:f>I10/'Summary'!$B$20*1000</x:f>
        <x:v>4.444698977105155</x:v>
      </x:c>
      <x:c r="K10" s="11" t="n">
        <x:v>15910.000000007594</x:v>
      </x:c>
      <x:c r="L10" s="11" t="n">
        <x:v>15910.000000007594</x:v>
      </x:c>
      <x:c r="M10" s="8" t="n">
        <x:f>K10/'Summary'!$B$20*1000</x:f>
        <x:v>4.4446989771067535</x:v>
      </x:c>
      <x:c r="N10" s="8" t="n">
        <x:f>L10/'Summary'!$B$20*1000</x:f>
        <x:v>4.4446989771067535</x:v>
      </x:c>
    </x:row>
    <x:row r="11" ht="24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</x:row>
    <x:row r="12" ht="24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</x:row>
    <x:row r="13" ht="24" customHeight="1">
      <x:c r="A13" s="2" t="str">
        <x:v>Cold/UI source: /Users/sandersouza/Developer/msx-gamePorts/newrallyx/references/experiments/full-session/session-start-qir4l2og/cold-hooks.tsv</x:v>
      </x:c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</x:row>
    <x:row r="14" ht="24" customHeight="1">
      <x:c r="A14" s="2" t="str">
        <x:v>Separate controlled full-session integration, native rounds2..14, UI/cold restoration; not part of the active frame statistics.</x:v>
      </x:c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</x:row>
    <x:row r="15" ht="24" customHeight="1">
      <x:c r="A15" s="2" t="str">
        <x:v>Flag cache invalidation: ten real contact-handler captures; normal and S-hidden caches cleared together.</x:v>
      </x:c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</x:row>
    <x:row r="16" ht="24" customHeight="1">
      <x:c r="A16" s="2" t="str">
        <x:v>Challenge callback includes typed glyphs, complete item blits, delay ticks and final wait; this is cold UI only.</x:v>
      </x:c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24" customHeight="1">
      <x:c r="A17" s="2" t="str">
        <x:v>AudioStop disables PSG tones/noise, zeroes all three volumes and clears queued effects before blocking work.</x:v>
      </x:c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24" customHeight="1">
      <x:c r="A18" s="2" t="str">
        <x:v>Challenge reveal: 66 units over 276 physical refreshes; original font/items at 1:1 scale.</x:v>
      </x:c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24" customHeight="1">
      <x:c r="A19" s="2" t="str">
        <x:v>Audio: original WSG challenge loop 1540 ticks; 770 cached PSG frames; 161/256 dictionary entries.</x:v>
      </x:c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</x:row>
    <x:row r="20" ht="24" customHeight="1">
      <x:c r="A20" s="2" t="str">
        <x:v>Collision: 0.8-second hardware noise decay on B/C; about +6dB over C alone. AY timbre remains for user acceptance.</x:v>
      </x:c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</x:row>
    <x:row r="21" ht="24" customHeight="1">
      <x:c r="A21" s="2" t="str">
        <x:v>ROM SHA256: 5451bd8933b22f1fa334dbc538a905b5615cf1ea58623af23933e900cdf3ffa2</x:v>
      </x:c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</x:row>
    <x:row r="22" ht="24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</x:row>
    <x:row r="23" ht="24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</x:row>
    <x:row r="24" ht="24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</x:row>
    <x:row r="25" ht="24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</x:row>
  </x:sheetData>
  <x:pageMargins left="0.7" right="0.7" top="0.75" bottom="0.75" header="0.3" footer="0.3"/>
</x:worksheet>
</file>