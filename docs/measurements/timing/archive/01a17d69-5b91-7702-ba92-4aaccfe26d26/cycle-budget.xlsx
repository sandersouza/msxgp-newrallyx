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9ba797037440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dget" sheetId="1" r:id="Rf65378b3f3e444a1"/>
    <x:sheet xmlns:r="http://schemas.openxmlformats.org/officeDocument/2006/relationships" name="Routines" sheetId="2" r:id="R4ab831ca1af94af3"/>
    <x:sheet xmlns:r="http://schemas.openxmlformats.org/officeDocument/2006/relationships" name="Frames" sheetId="3" r:id="Refbfc8a0b7374cb6"/>
    <x:sheet xmlns:r="http://schemas.openxmlformats.org/officeDocument/2006/relationships" name="Sources" sheetId="4" r:id="Rfccef93e45ab46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#,##0"/>
    <x:numFmt numFmtId="202" formatCode="0.000"/>
    <x:numFmt numFmtId="203" formatCode="0.0%"/>
  </x:numFmts>
  <x:fonts count="7">
    <x:font>
      <x:sz val="11"/>
      <x:name val="Carlito"/>
    </x:font>
    <x:font>
      <x:sz val="11"/>
      <x:color rgb="FF183153"/>
      <x:name val="Arial"/>
    </x:font>
    <x:font>
      <x:b/>
      <x:sz val="18"/>
      <x:color rgb="FF183153"/>
      <x:name val="Arial"/>
    </x:font>
    <x:font>
      <x:b/>
      <x:sz val="10"/>
      <x:color rgb="FFFFFFFF"/>
      <x:name val="Arial"/>
    </x:font>
    <x:font>
      <x:sz val="11"/>
      <x:color rgb="FF2563EB"/>
      <x:name val="Arial"/>
    </x:font>
    <x:font>
      <x:sz val="9"/>
      <x:color rgb="FF526477"/>
      <x:name val="Arial"/>
    </x:font>
    <x:font>
      <x:sz val="10"/>
      <x:color rgb="FF52647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153"/>
      </x:patternFill>
    </x:fill>
    <x:fill>
      <x:patternFill patternType="solid">
        <x:fgColor rgb="FFFEF3C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201" fontId="4" fillId="3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</x:cellXfs>
  <x:cellStyles count="1">
    <x:cellStyle name="Normal" xfId="0"/>
  </x:cellStyles>
  <x:dxfs count="2">
    <x:dxf>
      <x:font>
        <x:color rgb="FFB91C1C"/>
      </x:font>
      <x:fill>
        <x:patternFill patternType="solid">
          <x:bgColor rgb="FFFEE2E2"/>
        </x:patternFill>
      </x:fill>
    </x:dxf>
    <x:dxf>
      <x:font>
        <x:color rgb="FFB91C1C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007a11db8743a9" /><Relationship Type="http://schemas.openxmlformats.org/officeDocument/2006/relationships/theme" Target="/xl/theme/theme1.xml" Id="Rdb1b7d0eafca4491" /><Relationship Type="http://schemas.openxmlformats.org/officeDocument/2006/relationships/sharedStrings" Target="/xl/sharedStrings.xml" Id="Rc72540fb7635475d" /><Relationship Type="http://schemas.openxmlformats.org/officeDocument/2006/relationships/worksheet" Target="/xl/worksheets/sheet1.xml" Id="Rf65378b3f3e444a1" /><Relationship Type="http://schemas.openxmlformats.org/officeDocument/2006/relationships/worksheet" Target="/xl/worksheets/sheet2.xml" Id="R4ab831ca1af94af3" /><Relationship Type="http://schemas.openxmlformats.org/officeDocument/2006/relationships/worksheet" Target="/xl/worksheets/sheet3.xml" Id="Refbfc8a0b7374cb6" /><Relationship Type="http://schemas.openxmlformats.org/officeDocument/2006/relationships/worksheet" Target="/xl/worksheets/sheet4.xml" Id="Rfccef93e45ab46d8" /></Relationships>
</file>

<file path=xl/tables/table1.xml><?xml version="1.0" encoding="utf-8"?>
<x:table xmlns:x="http://schemas.openxmlformats.org/spreadsheetml/2006/main" id="1" name="RoutineCosts" displayName="RoutineCosts" ref="A5:L23" headerRowCount="1" totalsRowCount="0" totalsRowShown="0">
  <x:tableColumns count="12">
    <x:tableColumn id="1" name="Routine / hook"/>
    <x:tableColumn id="2" name="Purpose"/>
    <x:tableColumn id="3" name="Calls"/>
    <x:tableColumn id="4" name="Calls/frame"/>
    <x:tableColumn id="5" name="Min incl."/>
    <x:tableColumn id="6" name="Mean incl."/>
    <x:tableColumn id="7" name="P95 incl."/>
    <x:tableColumn id="8" name="Max incl."/>
    <x:tableColumn id="9" name="Mean self"/>
    <x:tableColumn id="10" name="Self / frame"/>
    <x:tableColumn id="11" name="Mean incl. ms"/>
    <x:tableColumn id="12" name="Self/frame % refresh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rameCosts" displayName="FrameCosts" ref="A5:N313" headerRowCount="1" totalsRowCount="0" totalsRowShown="0">
  <x:tableColumns count="14">
    <x:tableColumn id="1" name="Frame"/>
    <x:tableColumn id="2" name="Camera X"/>
    <x:tableColumn id="3" name="Camera Y"/>
    <x:tableColumn id="4" name="Input ticks"/>
    <x:tableColumn id="5" name="Total cycles"/>
    <x:tableColumn id="6" name="Input cycles"/>
    <x:tableColumn id="7" name="Render cycles"/>
    <x:tableColumn id="8" name="Wait cycles"/>
    <x:tableColumn id="9" name="Commit cycles"/>
    <x:tableColumn id="10" name="Loop overhead"/>
    <x:tableColumn id="11" name="Work cycles"/>
    <x:tableColumn id="12" name="Work ms"/>
    <x:tableColumn id="13" name="Interval ms"/>
    <x:tableColumn id="14" name="60 Hz margin cycl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ccdd1d16c7b443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2276fa75d5b4769" /></Relationships>
</file>

<file path=xl/worksheets/sheet1.xml><?xml version="1.0" encoding="utf-8"?>
<x:worksheet xmlns:x="http://schemas.openxmlformats.org/spreadsheetml/2006/main">
  <x:sheetPr>
    <x:tabColor rgb="FF183153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3" hidden="0" customWidth="1"/>
    <x:col min="2" max="2" width="20" hidden="0" customWidth="1"/>
    <x:col min="3" max="3" width="20" hidden="0" customWidth="1"/>
    <x:col min="4" max="4" width="20" hidden="0" customWidth="1"/>
    <x:col min="5" max="5" width="3" hidden="0" customWidth="1"/>
    <x:col min="6" max="6" width="91" hidden="0" customWidth="1"/>
  </x:cols>
  <x:sheetData>
    <x:row r="1" ht="23" customHeight="1">
      <x:c r="A1" s="1"/>
      <x:c r="B1" s="1"/>
      <x:c r="C1" s="1"/>
      <x:c r="D1" s="1"/>
      <x:c r="E1" s="1"/>
      <x:c r="F1" s="1"/>
    </x:row>
    <x:row r="2" ht="23" customHeight="1">
      <x:c r="A2" s="2" t="str">
        <x:v>Fixed HUD cycle budget</x:v>
      </x:c>
      <x:c r="B2" s="1"/>
      <x:c r="C2" s="1"/>
      <x:c r="D2" s="1"/>
      <x:c r="E2" s="1"/>
      <x:c r="F2" s="1"/>
    </x:row>
    <x:row r="3" ht="23" customHeight="1">
      <x:c r="A3" s="1" t="str">
        <x:v>Measured lab workload: 308 frames, original clock, 50 Hz video</x:v>
      </x:c>
      <x:c r="B3" s="1"/>
      <x:c r="C3" s="1"/>
      <x:c r="D3" s="1"/>
      <x:c r="E3" s="1"/>
      <x:c r="F3" s="1"/>
    </x:row>
    <x:row r="4" ht="23" customHeight="1">
      <x:c r="A4" s="1"/>
      <x:c r="B4" s="1"/>
      <x:c r="C4" s="1"/>
      <x:c r="D4" s="1"/>
      <x:c r="E4" s="1"/>
      <x:c r="F4" s="1"/>
    </x:row>
    <x:row r="5" ht="36" customHeight="1">
      <x:c r="A5" s="7" t="str">
        <x:v>Measured result</x:v>
      </x:c>
      <x:c r="B5" s="7" t="str">
        <x:v>Mean</x:v>
      </x:c>
      <x:c r="C5" s="7" t="str">
        <x:v>Maximum</x:v>
      </x:c>
      <x:c r="D5" s="7" t="str">
        <x:v>Unit</x:v>
      </x:c>
      <x:c r="E5" s="1"/>
      <x:c r="F5" s="1"/>
    </x:row>
    <x:row r="6" ht="23" customHeight="1">
      <x:c r="A6" s="1" t="str">
        <x:v>Active work per presentation</x:v>
      </x:c>
      <x:c r="B6" s="8" t="n">
        <x:f>AVERAGE(Frames!L6:L313)</x:f>
        <x:v>20.564959527523133</x:v>
      </x:c>
      <x:c r="C6" s="8" t="n">
        <x:f>MAX(Frames!L6:L313)</x:f>
        <x:v>37.115890427414655</x:v>
      </x:c>
      <x:c r="D6" s="1" t="str">
        <x:v>ms</x:v>
      </x:c>
      <x:c r="E6" s="1"/>
      <x:c r="F6" s="16" t="str">
        <x:v>Active work excludes wait_blank, which contains HALT and its wake-up ISR.</x:v>
      </x:c>
    </x:row>
    <x:row r="7" ht="23" customHeight="1">
      <x:c r="A7" s="1" t="str">
        <x:v>Presentation interval</x:v>
      </x:c>
      <x:c r="B7" s="8" t="n">
        <x:f>AVERAGE(Frames!M6:M313)</x:f>
        <x:v>30.811128629077523</x:v>
      </x:c>
      <x:c r="C7" s="8" t="n">
        <x:f>MAX(Frames!M6:M313)</x:f>
        <x:v>39.87657649226472</x:v>
      </x:c>
      <x:c r="D7" s="1" t="str">
        <x:v>ms</x:v>
      </x:c>
      <x:c r="E7" s="1"/>
      <x:c r="F7" s="16" t="str">
        <x:v>Cadence alternates between one and two refreshes. Average FPS is not stable FPS.</x:v>
      </x:c>
    </x:row>
    <x:row r="8" ht="23" customHeight="1">
      <x:c r="A8" s="1" t="str">
        <x:v>Presented frames / second</x:v>
      </x:c>
      <x:c r="B8" s="8" t="n">
        <x:f>1000/B7</x:f>
        <x:v>32.455805564235824</x:v>
      </x:c>
      <x:c r="C8" s="8" t="n">
        <x:f>1000/MIN(Frames!M6:M313)</x:f>
        <x:v>50.167409462944285</x:v>
      </x:c>
      <x:c r="D8" s="1" t="str">
        <x:v>FPS</x:v>
      </x:c>
      <x:c r="E8" s="1"/>
      <x:c r="F8" s="16"/>
    </x:row>
    <x:row r="9" ht="23" customHeight="1">
      <x:c r="A9" s="1" t="str">
        <x:v>Atomic VDP commit</x:v>
      </x:c>
      <x:c r="B9" s="9" t="n">
        <x:f>AVERAGE(Frames!I6:I313)</x:f>
        <x:v>413.00000000008464</x:v>
      </x:c>
      <x:c r="C9" s="9" t="n">
        <x:f>MAX(Frames!I6:I313)</x:f>
        <x:v>417.0000000074506</x:v>
      </x:c>
      <x:c r="D9" s="1" t="str">
        <x:v>cycles</x:v>
      </x:c>
      <x:c r="E9" s="1"/>
      <x:c r="F9" s="16" t="str">
        <x:v>Commit costs do not include VRAM preparation, which runs on back buffers.</x:v>
      </x:c>
    </x:row>
    <x:row r="10" ht="23" customHeight="1">
      <x:c r="A10" s="1" t="str">
        <x:v>Drawing work over 60 Hz budget</x:v>
      </x:c>
      <x:c r="B10" s="9" t="n">
        <x:f>COUNTIF(Frames!N6:N313,"&lt;0")</x:f>
        <x:v>201</x:v>
      </x:c>
      <x:c r="C10" s="9"/>
      <x:c r="D10" s="1" t="str">
        <x:v>frames</x:v>
      </x:c>
      <x:c r="E10" s="1"/>
      <x:c r="F10" s="16"/>
    </x:row>
    <x:row r="11" ht="23" customHeight="1">
      <x:c r="A11" s="1"/>
      <x:c r="B11" s="1"/>
      <x:c r="C11" s="1"/>
      <x:c r="D11" s="1"/>
      <x:c r="E11" s="1"/>
      <x:c r="F11" s="16"/>
    </x:row>
    <x:row r="12" ht="23" customHeight="1">
      <x:c r="A12" s="1"/>
      <x:c r="B12" s="1"/>
      <x:c r="C12" s="1"/>
      <x:c r="D12" s="1"/>
      <x:c r="E12" s="1"/>
      <x:c r="F12" s="16"/>
    </x:row>
    <x:row r="13" ht="36" customHeight="1">
      <x:c r="A13" s="7" t="str">
        <x:v>Planning budget</x:v>
      </x:c>
      <x:c r="B13" s="7" t="str">
        <x:v>Cycles</x:v>
      </x:c>
      <x:c r="C13" s="7" t="str">
        <x:v>Time (ms)</x:v>
      </x:c>
      <x:c r="D13" s="7" t="str">
        <x:v>Status</x:v>
      </x:c>
      <x:c r="E13" s="1"/>
      <x:c r="F13" s="16"/>
    </x:row>
    <x:row r="14" ht="23" customHeight="1">
      <x:c r="A14" s="1" t="str">
        <x:v>Current 50 Hz video refresh</x:v>
      </x:c>
      <x:c r="B14" s="9" t="n">
        <x:f>Sources!B5</x:f>
        <x:v>71364</x:v>
      </x:c>
      <x:c r="C14" s="10" t="n">
        <x:f>B14/Sources!B4*1000</x:f>
        <x:v>19.9366120554428</x:v>
      </x:c>
      <x:c r="D14" s="1" t="str">
        <x:v>Current</x:v>
      </x:c>
      <x:c r="E14" s="1"/>
      <x:c r="F14" s="16"/>
    </x:row>
    <x:row r="15" ht="23" customHeight="1">
      <x:c r="A15" s="1" t="str">
        <x:v>60 Hz video drawing interval</x:v>
      </x:c>
      <x:c r="B15" s="9" t="n">
        <x:f>Sources!B6</x:f>
        <x:v>59736</x:v>
      </x:c>
      <x:c r="C15" s="10" t="n">
        <x:f>B15/Sources!B4*1000</x:f>
        <x:v>16.68815450008311</x:v>
      </x:c>
      <x:c r="D15" s="1" t="str">
        <x:v>Planning</x:v>
      </x:c>
      <x:c r="E15" s="1"/>
      <x:c r="F15" s="16" t="str">
        <x:v>60 Hz is a planning comparison. This task does not switch the ROM from 50 Hz.</x:v>
      </x:c>
    </x:row>
    <x:row r="16" ht="23" customHeight="1">
      <x:c r="A16" s="1" t="str">
        <x:v>Two 60 Hz refreshes</x:v>
      </x:c>
      <x:c r="B16" s="9" t="n">
        <x:f>B15*2</x:f>
        <x:v>119472</x:v>
      </x:c>
      <x:c r="C16" s="10" t="n">
        <x:f>B16/Sources!B4*1000</x:f>
        <x:v>33.37630900016622</x:v>
      </x:c>
      <x:c r="D16" s="1" t="str">
        <x:v>Planning</x:v>
      </x:c>
      <x:c r="E16" s="1"/>
      <x:c r="F16" s="16" t="str">
        <x:v>Two refreshes allow near-30 FPS only with a deliberate, bounded scheduler.</x:v>
      </x:c>
    </x:row>
    <x:row r="17" ht="23" customHeight="1">
      <x:c r="A17" s="1" t="str">
        <x:v>VBlank work reserve</x:v>
      </x:c>
      <x:c r="B17" s="9" t="n">
        <x:f>Sources!B7</x:f>
        <x:v>5000</x:v>
      </x:c>
      <x:c r="C17" s="10" t="n">
        <x:f>B17/Sources!B4*1000</x:f>
        <x:v>1.3968255742000728</x:v>
      </x:c>
      <x:c r="D17" s="1" t="str">
        <x:v>Assumption</x:v>
      </x:c>
      <x:c r="E17" s="1"/>
      <x:c r="F17" s="16" t="str">
        <x:v>5,000 cycles is a provisional usable-work reserve, not a measured VBlank length.</x:v>
      </x:c>
    </x:row>
    <x:row r="18" ht="23" customHeight="1">
      <x:c r="A18" s="1" t="str">
        <x:v>Target presentation interval</x:v>
      </x:c>
      <x:c r="B18" s="9" t="n">
        <x:f>Sources!B4/Sources!B8</x:f>
        <x:v>119318.16666666667</x:v>
      </x:c>
      <x:c r="C18" s="10" t="n">
        <x:f>1000/Sources!B8</x:f>
        <x:v>33.333333333333336</x:v>
      </x:c>
      <x:c r="D18" s="1" t="str">
        <x:v>Goal</x:v>
      </x:c>
      <x:c r="E18" s="1"/>
      <x:c r="F18" s="16" t="str">
        <x:v>Approximately 30 FPS is the goal; all quality and pause acceptance belongs to the user.</x:v>
      </x:c>
    </x:row>
    <x:row r="19" ht="23" customHeight="1">
      <x:c r="A19" s="1" t="str">
        <x:v>Current mean work: 60 Hz margin</x:v>
      </x:c>
      <x:c r="B19" s="9" t="n">
        <x:f>B15-AVERAGE(Frames!K6:K313)</x:f>
        <x:v>-13877.198051947722</x:v>
      </x:c>
      <x:c r="C19" s="10" t="n">
        <x:f>B19/Sources!B4*1000</x:f>
        <x:v>-3.8768050274400023</x:v>
      </x:c>
      <x:c r="D19" s="1" t="str">
        <x:v>Measured</x:v>
      </x:c>
      <x:c r="E19" s="1"/>
      <x:c r="F19" s="16"/>
    </x:row>
    <x:row r="20" ht="23" customHeight="1">
      <x:c r="A20" s="1"/>
      <x:c r="B20" s="1"/>
      <x:c r="C20" s="1"/>
      <x:c r="D20" s="1"/>
      <x:c r="E20" s="1"/>
      <x:c r="F20" s="16"/>
    </x:row>
    <x:row r="21" ht="23" customHeight="1">
      <x:c r="A21" s="1"/>
      <x:c r="B21" s="1"/>
      <x:c r="C21" s="1"/>
      <x:c r="D21" s="1"/>
      <x:c r="E21" s="1"/>
      <x:c r="F21" s="16"/>
    </x:row>
    <x:row r="22" ht="36" customHeight="1">
      <x:c r="A22" s="7" t="str">
        <x:v>Scheduling candidate</x:v>
      </x:c>
      <x:c r="B22" s="7" t="str">
        <x:v>State</x:v>
      </x:c>
      <x:c r="C22" s="7" t="str">
        <x:v>Budget (cycles)</x:v>
      </x:c>
      <x:c r="D22" s="7" t="str">
        <x:v>Acceptance</x:v>
      </x:c>
      <x:c r="E22" s="1"/>
      <x:c r="F22" s="16"/>
    </x:row>
    <x:row r="23" ht="23" customHeight="1">
      <x:c r="A23" s="1" t="str">
        <x:v>Flag-capture event pause</x:v>
      </x:c>
      <x:c r="B23" s="1" t="str">
        <x:v>Proposed</x:v>
      </x:c>
      <x:c r="C23" s="1" t="str">
        <x:v>Not measured</x:v>
      </x:c>
      <x:c r="D23" s="1" t="str">
        <x:v>User decides</x:v>
      </x:c>
      <x:c r="E23" s="1"/>
      <x:c r="F23" s="16" t="str">
        <x:v>Measure exact pause duration, hook cost and input behavior before gameplay adoption.</x:v>
      </x:c>
    </x:row>
    <x:row r="24" ht="23" customHeight="1">
      <x:c r="A24" s="1" t="str">
        <x:v>Deferred expensive hook</x:v>
      </x:c>
      <x:c r="B24" s="1" t="str">
        <x:v>Proposed</x:v>
      </x:c>
      <x:c r="C24" s="1" t="str">
        <x:v>Not measured</x:v>
      </x:c>
      <x:c r="D24" s="1" t="str">
        <x:v>Measure first</x:v>
      </x:c>
      <x:c r="E24" s="1"/>
      <x:c r="F24" s="16" t="str">
        <x:v>Record whether an operation must finish in VBlank or can prepare an inactive buffer.</x:v>
      </x:c>
    </x:row>
    <x:row r="25" ht="23" customHeight="1">
      <x:c r="A25" s="1" t="str">
        <x:v>Further graphical reduction</x:v>
      </x:c>
      <x:c r="B25" s="1" t="str">
        <x:v>Proposed</x:v>
      </x:c>
      <x:c r="C25" s="1" t="str">
        <x:v>Not measured</x:v>
      </x:c>
      <x:c r="D25" s="1" t="str">
        <x:v>User decides</x:v>
      </x:c>
      <x:c r="E25" s="1"/>
      <x:c r="F25" s="16" t="str">
        <x:v>No flag-capture pause or new visual reduction was introduced by this profiling work.</x:v>
      </x:c>
    </x:row>
    <x:row r="26" ht="23" customHeight="1">
      <x:c r="A26" s="1"/>
      <x:c r="B26" s="1"/>
      <x:c r="C26" s="1"/>
      <x:c r="D26" s="1"/>
      <x:c r="E26" s="1"/>
      <x:c r="F26" s="1"/>
    </x:row>
    <x:row r="27" ht="23" customHeight="1">
      <x:c r="A27" s="1"/>
      <x:c r="B27" s="1"/>
      <x:c r="C27" s="1"/>
      <x:c r="D27" s="1"/>
      <x:c r="E27" s="1"/>
      <x:c r="F27" s="1"/>
    </x:row>
    <x:row r="28" ht="23" customHeight="1">
      <x:c r="A28" s="1" t="str">
        <x:v>Scope: free-camera laboratory; game logic, AI, collisions and audio are not exercised.</x:v>
      </x:c>
      <x:c r="B28" s="1"/>
      <x:c r="C28" s="1"/>
      <x:c r="D28" s="1"/>
      <x:c r="E28" s="1"/>
      <x:c r="F28" s="1"/>
    </x:row>
    <x:row r="29" ht="23" customHeight="1">
      <x:c r="A29" s="1" t="str">
        <x:v>Control run: identical 308 camera/tick states and total time; boundary jitter up to 5 cycles.</x:v>
      </x:c>
      <x:c r="B29" s="1"/>
      <x:c r="C29" s="1"/>
      <x:c r="D29" s="1"/>
      <x:c r="E29" s="1"/>
      <x:c r="F29" s="1"/>
    </x:row>
    <x:row r="30" ht="23" customHeight="1">
      <x:c r="A30" s="1" t="str">
        <x:v>Routine self costs reconcile with total frame time after loop overhead. See Sources for definitions.</x:v>
      </x:c>
      <x:c r="B30" s="1"/>
      <x:c r="C30" s="1"/>
      <x:c r="D30" s="1"/>
      <x:c r="E30" s="1"/>
      <x:c r="F30" s="1"/>
    </x:row>
    <x:row r="31" ht="23" customHeight="1">
      <x:c r="A31" s="1"/>
      <x:c r="B31" s="1"/>
      <x:c r="C31" s="1"/>
      <x:c r="D31" s="1"/>
      <x:c r="E31" s="1"/>
      <x:c r="F31" s="1"/>
    </x:row>
    <x:row r="32" ht="23" customHeight="1">
      <x:c r="A32" s="1"/>
      <x:c r="B32" s="1"/>
      <x:c r="C32" s="1"/>
      <x:c r="D32" s="1"/>
      <x:c r="E32" s="1"/>
      <x:c r="F32" s="1"/>
    </x:row>
    <x:row r="33" ht="23" customHeight="1">
      <x:c r="A33" s="1"/>
      <x:c r="B33" s="1"/>
      <x:c r="C33" s="1"/>
      <x:c r="D33" s="1"/>
      <x:c r="E33" s="1"/>
      <x:c r="F33" s="1"/>
    </x:row>
  </x:sheetData>
  <x:conditionalFormatting sqref="B19:C19">
    <x:cfRule type="cellIs" dxfId="0" priority="1" operator="less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42" hidden="0" customWidth="1"/>
    <x:col min="3" max="3" width="12" hidden="0" customWidth="1"/>
    <x:col min="4" max="4" width="12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7" hidden="0" customWidth="1"/>
    <x:col min="11" max="11" width="15" hidden="0" customWidth="1"/>
    <x:col min="12" max="12" width="17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3" customHeight="1">
      <x:c r="A2" s="2" t="str">
        <x:v>Routine and hook costs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3" customHeight="1">
      <x:c r="A3" s="1" t="str">
        <x:v>Cycles per call include guest timing and waits. Never sum inclusive parents and children.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6" customHeight="1">
      <x:c r="A5" s="7" t="str">
        <x:v>Routine / hook</x:v>
      </x:c>
      <x:c r="B5" s="7" t="str">
        <x:v>Purpose</x:v>
      </x:c>
      <x:c r="C5" s="7" t="str">
        <x:v>Calls</x:v>
      </x:c>
      <x:c r="D5" s="7" t="str">
        <x:v>Calls/frame</x:v>
      </x:c>
      <x:c r="E5" s="7" t="str">
        <x:v>Min incl.</x:v>
      </x:c>
      <x:c r="F5" s="7" t="str">
        <x:v>Mean incl.</x:v>
      </x:c>
      <x:c r="G5" s="7" t="str">
        <x:v>P95 incl.</x:v>
      </x:c>
      <x:c r="H5" s="7" t="str">
        <x:v>Max incl.</x:v>
      </x:c>
      <x:c r="I5" s="7" t="str">
        <x:v>Mean self</x:v>
      </x:c>
      <x:c r="J5" s="7" t="str">
        <x:v>Self / frame</x:v>
      </x:c>
      <x:c r="K5" s="7" t="str">
        <x:v>Mean incl. ms</x:v>
      </x:c>
      <x:c r="L5" s="7" t="str">
        <x:v>Self/frame % refresh</x:v>
      </x:c>
    </x:row>
    <x:row r="6" ht="23" customHeight="1">
      <x:c r="A6" s="1" t="str">
        <x:v>input</x:v>
      </x:c>
      <x:c r="B6" s="1" t="str">
        <x:v>Keyboard / elapsed-tick camera movement</x:v>
      </x:c>
      <x:c r="C6" s="9" t="n">
        <x:v>308</x:v>
      </x:c>
      <x:c r="D6" s="8" t="n">
        <x:v>1</x:v>
      </x:c>
      <x:c r="E6" s="9" t="n">
        <x:v>777.9999999925494</x:v>
      </x:c>
      <x:c r="F6" s="9" t="n">
        <x:v>804.1623376625191</x:v>
      </x:c>
      <x:c r="G6" s="9" t="n">
        <x:v>858</x:v>
      </x:c>
      <x:c r="H6" s="9" t="n">
        <x:v>858.0000000037253</x:v>
      </x:c>
      <x:c r="I6" s="9" t="n">
        <x:v>804.1623376625191</x:v>
      </x:c>
      <x:c r="J6" s="9" t="n">
        <x:v>804.1623376625191</x:v>
      </x:c>
      <x:c r="K6" s="10" t="n">
        <x:f>F6/Sources!$B$4*1000</x:f>
        <x:v>0.22465490381110423</x:v>
      </x:c>
      <x:c r="L6" s="11" t="n">
        <x:f>J6/Sources!$B$5</x:f>
        <x:v>0.011268459414586053</x:v>
      </x:c>
    </x:row>
    <x:row r="7" ht="23" customHeight="1">
      <x:c r="A7" s="1" t="str">
        <x:v>render</x:v>
      </x:c>
      <x:c r="B7" s="1" t="str">
        <x:v>Complete back-buffer preparation</x:v>
      </x:c>
      <x:c r="C7" s="9" t="n">
        <x:v>308</x:v>
      </x:c>
      <x:c r="D7" s="8" t="n">
        <x:v>1</x:v>
      </x:c>
      <x:c r="E7" s="9" t="n">
        <x:v>26418</x:v>
      </x:c>
      <x:c r="F7" s="9" t="n">
        <x:v>72290.03571428584</x:v>
      </x:c>
      <x:c r="G7" s="9" t="n">
        <x:v>113025</x:v>
      </x:c>
      <x:c r="H7" s="9" t="n">
        <x:v>131543</x:v>
      </x:c>
      <x:c r="I7" s="9" t="n">
        <x:v>1535.5551948037555</x:v>
      </x:c>
      <x:c r="J7" s="9" t="n">
        <x:v>1535.5551948037555</x:v>
      </x:c>
      <x:c r="K7" s="10" t="n">
        <x:f>F7/Sources!$B$4*1000</x:f>
        <x:v>20.19531412911022</x:v>
      </x:c>
      <x:c r="L7" s="11" t="n">
        <x:f>J7/Sources!$B$5</x:f>
        <x:v>0.021517224298017987</x:v>
      </x:c>
    </x:row>
    <x:row r="8" ht="23" customHeight="1">
      <x:c r="A8" s="1" t="str">
        <x:v>wait_blank</x:v>
      </x:c>
      <x:c r="B8" s="1" t="str">
        <x:v>Synchronization wait (includes HALT)</x:v>
      </x:c>
      <x:c r="C8" s="9" t="n">
        <x:v>308</x:v>
      </x:c>
      <x:c r="D8" s="8" t="n">
        <x:v>1</x:v>
      </x:c>
      <x:c r="E8" s="9" t="n">
        <x:v>320</x:v>
      </x:c>
      <x:c r="F8" s="9" t="n">
        <x:v>36676.623376623706</x:v>
      </x:c>
      <x:c r="G8" s="9" t="n">
        <x:v>68715</x:v>
      </x:c>
      <x:c r="H8" s="9" t="n">
        <x:v>69860.00000000745</x:v>
      </x:c>
      <x:c r="I8" s="9" t="n">
        <x:v>36537.623376624106</x:v>
      </x:c>
      <x:c r="J8" s="9" t="n">
        <x:v>36537.623376624106</x:v>
      </x:c>
      <x:c r="K8" s="10" t="n">
        <x:f>F8/Sources!$B$4*1000</x:f>
        <x:v>10.246169101554445</x:v>
      </x:c>
      <x:c r="L8" s="11" t="n">
        <x:f>J8/Sources!$B$5</x:f>
        <x:v>0.5119895658402571</x:v>
      </x:c>
    </x:row>
    <x:row r="9" ht="23" customHeight="1">
      <x:c r="A9" s="1" t="str">
        <x:v>commit</x:v>
      </x:c>
      <x:c r="B9" s="1" t="str">
        <x:v>Atomic VDP register publication</x:v>
      </x:c>
      <x:c r="C9" s="9" t="n">
        <x:v>308</x:v>
      </x:c>
      <x:c r="D9" s="8" t="n">
        <x:v>1</x:v>
      </x:c>
      <x:c r="E9" s="9" t="n">
        <x:v>408.9999999925494</x:v>
      </x:c>
      <x:c r="F9" s="9" t="n">
        <x:v>413.00000000008464</x:v>
      </x:c>
      <x:c r="G9" s="9" t="n">
        <x:v>417.0000000074506</x:v>
      </x:c>
      <x:c r="H9" s="9" t="n">
        <x:v>417.0000000074506</x:v>
      </x:c>
      <x:c r="I9" s="9" t="n">
        <x:v>413.00000000008464</x:v>
      </x:c>
      <x:c r="J9" s="9" t="n">
        <x:v>413.00000000008464</x:v>
      </x:c>
      <x:c r="K9" s="10" t="n">
        <x:f>F9/Sources!$B$4*1000</x:f>
        <x:v>0.11537779242894966</x:v>
      </x:c>
      <x:c r="L9" s="11" t="n">
        <x:f>J9/Sources!$B$5</x:f>
        <x:v>0.005787231657419492</x:v>
      </x:c>
    </x:row>
    <x:row r="10" ht="23" customHeight="1">
      <x:c r="A10" s="1" t="str">
        <x:v>Ring_Prepare</x:v>
      </x:c>
      <x:c r="B10" s="1" t="str">
        <x:v>World ring update</x:v>
      </x:c>
      <x:c r="C10" s="9" t="n">
        <x:v>308</x:v>
      </x:c>
      <x:c r="D10" s="8" t="n">
        <x:v>1</x:v>
      </x:c>
      <x:c r="E10" s="9" t="n">
        <x:v>211.99999999254942</x:v>
      </x:c>
      <x:c r="F10" s="9" t="n">
        <x:v>7025.357142856853</x:v>
      </x:c>
      <x:c r="G10" s="9" t="n">
        <x:v>25294</x:v>
      </x:c>
      <x:c r="H10" s="9" t="n">
        <x:v>40256.000000003725</x:v>
      </x:c>
      <x:c r="I10" s="9" t="n">
        <x:v>4609.509740259293</x:v>
      </x:c>
      <x:c r="J10" s="9" t="n">
        <x:v>4609.509740259293</x:v>
      </x:c>
      <x:c r="K10" s="10" t="n">
        <x:f>F10/Sources!$B$4*1000</x:f>
        <x:v>1.9626397050063216</x:v>
      </x:c>
      <x:c r="L10" s="11" t="n">
        <x:f>J10/Sources!$B$5</x:f>
        <x:v>0.06459152710413224</x:v>
      </x:c>
    </x:row>
    <x:row r="11" ht="23" customHeight="1">
      <x:c r="A11" s="1" t="str">
        <x:v>Ring_LoadColumns</x:v>
      </x:c>
      <x:c r="B11" s="1" t="str">
        <x:v>Incoming world columns</x:v>
      </x:c>
      <x:c r="C11" s="9" t="n">
        <x:v>65</x:v>
      </x:c>
      <x:c r="D11" s="8" t="n">
        <x:v>0.21103896103896103</x:v>
      </x:c>
      <x:c r="E11" s="9" t="n">
        <x:v>9093.99999999255</x:v>
      </x:c>
      <x:c r="F11" s="9" t="n">
        <x:v>10399.046153846899</x:v>
      </x:c>
      <x:c r="G11" s="9" t="n">
        <x:v>24044.999999996275</x:v>
      </x:c>
      <x:c r="H11" s="9" t="n">
        <x:v>24045</x:v>
      </x:c>
      <x:c r="I11" s="9" t="n">
        <x:v>9079.661538461996</x:v>
      </x:c>
      <x:c r="J11" s="9" t="n">
        <x:v>1916.1623376624343</x:v>
      </x:c>
      <x:c r="K11" s="10" t="n">
        <x:f>F11/Sources!$B$4*1000</x:f>
        <x:v>2.905130722996051</x:v>
      </x:c>
      <x:c r="L11" s="11" t="n">
        <x:f>J11/Sources!$B$5</x:f>
        <x:v>0.026850545620515025</x:v>
      </x:c>
    </x:row>
    <x:row r="12" ht="23" customHeight="1">
      <x:c r="A12" s="1" t="str">
        <x:v>Ring_LoadRun</x:v>
      </x:c>
      <x:c r="B12" s="1" t="str">
        <x:v>World ID lookup run</x:v>
      </x:c>
      <x:c r="C12" s="9" t="n">
        <x:v>179</x:v>
      </x:c>
      <x:c r="D12" s="8" t="n">
        <x:v>0.5811688311688312</x:v>
      </x:c>
      <x:c r="E12" s="9" t="n">
        <x:v>669.9999999925494</x:v>
      </x:c>
      <x:c r="F12" s="9" t="n">
        <x:v>859.7932960894896</x:v>
      </x:c>
      <x:c r="G12" s="9" t="n">
        <x:v>1337</x:v>
      </x:c>
      <x:c r="H12" s="9" t="n">
        <x:v>1337.0000000074506</x:v>
      </x:c>
      <x:c r="I12" s="9" t="n">
        <x:v>859.7932960894896</x:v>
      </x:c>
      <x:c r="J12" s="9" t="n">
        <x:v>499.6850649351254</x:v>
      </x:c>
      <x:c r="K12" s="10" t="n">
        <x:f>F12/Sources!$B$4*1000</x:f>
        <x:v>0.24019625290071492</x:v>
      </x:c>
      <x:c r="L12" s="11" t="n">
        <x:f>J12/Sources!$B$5</x:f>
        <x:v>0.0070019206453551565</x:v>
      </x:c>
    </x:row>
    <x:row r="13" ht="23" customHeight="1">
      <x:c r="A13" s="1" t="str">
        <x:v>Ring_UploadNames</x:v>
      </x:c>
      <x:c r="B13" s="1" t="str">
        <x:v>Name table delta / cold refill</x:v>
      </x:c>
      <x:c r="C13" s="9" t="n">
        <x:v>308</x:v>
      </x:c>
      <x:c r="D13" s="8" t="n">
        <x:v>1</x:v>
      </x:c>
      <x:c r="E13" s="9" t="n">
        <x:v>16981.99999999255</x:v>
      </x:c>
      <x:c r="F13" s="9" t="n">
        <x:v>22552.467532467013</x:v>
      </x:c>
      <x:c r="G13" s="9" t="n">
        <x:v>31983</x:v>
      </x:c>
      <x:c r="H13" s="9" t="n">
        <x:v>31997.000000003725</x:v>
      </x:c>
      <x:c r="I13" s="9" t="n">
        <x:v>17708.298701298558</x:v>
      </x:c>
      <x:c r="J13" s="9" t="n">
        <x:v>17708.298701298558</x:v>
      </x:c>
      <x:c r="K13" s="10" t="n">
        <x:f>F13/Sources!$B$4*1000</x:f>
        <x:v>6.3003726821333474</x:v>
      </x:c>
      <x:c r="L13" s="11" t="n">
        <x:f>J13/Sources!$B$5</x:f>
        <x:v>0.24814050083093098</x:v>
      </x:c>
    </x:row>
    <x:row r="14" ht="23" customHeight="1">
      <x:c r="A14" s="1" t="str">
        <x:v>Ring_UploadColumn</x:v>
      </x:c>
      <x:c r="B14" s="1" t="str">
        <x:v>Column VRAM upload</x:v>
      </x:c>
      <x:c r="C14" s="9" t="n">
        <x:v>128</x:v>
      </x:c>
      <x:c r="D14" s="8" t="n">
        <x:v>0.4155844155844156</x:v>
      </x:c>
      <x:c r="E14" s="9" t="n">
        <x:v>10441.99999999255</x:v>
      </x:c>
      <x:c r="F14" s="9" t="n">
        <x:v>10573.421874999563</x:v>
      </x:c>
      <x:c r="G14" s="9" t="n">
        <x:v>10771</x:v>
      </x:c>
      <x:c r="H14" s="9" t="n">
        <x:v>10771.00000000745</x:v>
      </x:c>
      <x:c r="I14" s="9" t="n">
        <x:v>6368.406249999942</x:v>
      </x:c>
      <x:c r="J14" s="9" t="n">
        <x:v>2646.6103896103655</x:v>
      </x:c>
      <x:c r="K14" s="10" t="n">
        <x:f>F14/Sources!$B$4*1000</x:f>
        <x:v>2.953845216361175</x:v>
      </x:c>
      <x:c r="L14" s="11" t="n">
        <x:f>J14/Sources!$B$5</x:f>
        <x:v>0.03708607126296684</x:v>
      </x:c>
    </x:row>
    <x:row r="15" ht="23" customHeight="1">
      <x:c r="A15" s="1" t="str">
        <x:v>Ring_UploadRow</x:v>
      </x:c>
      <x:c r="B15" s="1" t="str">
        <x:v>Row VRAM upload</x:v>
      </x:c>
      <x:c r="C15" s="9" t="n">
        <x:v>102</x:v>
      </x:c>
      <x:c r="D15" s="8" t="n">
        <x:v>0.33116883116883117</x:v>
      </x:c>
      <x:c r="E15" s="9" t="n">
        <x:v>1245.9999999925494</x:v>
      </x:c>
      <x:c r="F15" s="9" t="n">
        <x:v>1248.5000000000366</x:v>
      </x:c>
      <x:c r="G15" s="9" t="n">
        <x:v>1251</x:v>
      </x:c>
      <x:c r="H15" s="9" t="n">
        <x:v>1251.0000000074506</x:v>
      </x:c>
      <x:c r="I15" s="9" t="n">
        <x:v>292.4999999997078</x:v>
      </x:c>
      <x:c r="J15" s="9" t="n">
        <x:v>96.86688311678635</x:v>
      </x:c>
      <x:c r="K15" s="10" t="n">
        <x:f>F15/Sources!$B$4*1000</x:f>
        <x:v>0.3487873458777684</x:v>
      </x:c>
      <x:c r="L15" s="11" t="n">
        <x:f>J15/Sources!$B$5</x:f>
        <x:v>0.0013573634201668398</x:v>
      </x:c>
    </x:row>
    <x:row r="16" ht="23" customHeight="1">
      <x:c r="A16" s="1" t="str">
        <x:v>boundaries</x:v>
      </x:c>
      <x:c r="B16" s="1" t="str">
        <x:v>Right-edge name selection</x:v>
      </x:c>
      <x:c r="C16" s="9" t="n">
        <x:v>308</x:v>
      </x:c>
      <x:c r="D16" s="8" t="n">
        <x:v>1</x:v>
      </x:c>
      <x:c r="E16" s="9" t="n">
        <x:v>2322.9999999925494</x:v>
      </x:c>
      <x:c r="F16" s="9" t="n">
        <x:v>2323.0000000005202</x:v>
      </x:c>
      <x:c r="G16" s="9" t="n">
        <x:v>2323.0000000074506</x:v>
      </x:c>
      <x:c r="H16" s="9" t="n">
        <x:v>2323.0000000074506</x:v>
      </x:c>
      <x:c r="I16" s="9" t="n">
        <x:v>2323.0000000005202</x:v>
      </x:c>
      <x:c r="J16" s="9" t="n">
        <x:v>2323.0000000005202</x:v>
      </x:c>
      <x:c r="K16" s="10" t="n">
        <x:f>F16/Sources!$B$4*1000</x:f>
        <x:v>0.6489651617734993</x:v>
      </x:c>
      <x:c r="L16" s="11" t="n">
        <x:f>J16/Sources!$B$5</x:f>
        <x:v>0.03255142648955384</x:v>
      </x:c>
    </x:row>
    <x:row r="17" ht="23" customHeight="1">
      <x:c r="A17" s="1" t="str">
        <x:v>left_names</x:v>
      </x:c>
      <x:c r="B17" s="1" t="str">
        <x:v>Left-edge name selection</x:v>
      </x:c>
      <x:c r="C17" s="9" t="n">
        <x:v>308</x:v>
      </x:c>
      <x:c r="D17" s="8" t="n">
        <x:v>1</x:v>
      </x:c>
      <x:c r="E17" s="9" t="n">
        <x:v>825.0000000037253</x:v>
      </x:c>
      <x:c r="F17" s="9" t="n">
        <x:v>1195.7922077921353</x:v>
      </x:c>
      <x:c r="G17" s="9" t="n">
        <x:v>1197.0000000074506</x:v>
      </x:c>
      <x:c r="H17" s="9" t="n">
        <x:v>1197.0000000074506</x:v>
      </x:c>
      <x:c r="I17" s="9" t="n">
        <x:v>1195.7922077921353</x:v>
      </x:c>
      <x:c r="J17" s="9" t="n">
        <x:v>1195.7922077921353</x:v>
      </x:c>
      <x:c r="K17" s="10" t="n">
        <x:f>F17/Sources!$B$4*1000</x:f>
        <x:v>0.33406262745464443</x:v>
      </x:c>
      <x:c r="L17" s="11" t="n">
        <x:f>J17/Sources!$B$5</x:f>
        <x:v>0.016756238548737954</x:v>
      </x:c>
    </x:row>
    <x:row r="18" ht="23" customHeight="1">
      <x:c r="A18" s="1" t="str">
        <x:v>radar</x:v>
      </x:c>
      <x:c r="B18" s="1" t="str">
        <x:v>Camera-center radar marker</x:v>
      </x:c>
      <x:c r="C18" s="9" t="n">
        <x:v>308</x:v>
      </x:c>
      <x:c r="D18" s="8" t="n">
        <x:v>1</x:v>
      </x:c>
      <x:c r="E18" s="9" t="n">
        <x:v>1297.9999999962747</x:v>
      </x:c>
      <x:c r="F18" s="9" t="n">
        <x:v>1355.6201298698638</x:v>
      </x:c>
      <x:c r="G18" s="9" t="n">
        <x:v>1421</x:v>
      </x:c>
      <x:c r="H18" s="9" t="n">
        <x:v>1421.0000000074506</x:v>
      </x:c>
      <x:c r="I18" s="9" t="n">
        <x:v>1355.6201298698638</x:v>
      </x:c>
      <x:c r="J18" s="9" t="n">
        <x:v>1355.6201298698638</x:v>
      </x:c>
      <x:c r="K18" s="10" t="n">
        <x:f>F18/Sources!$B$4*1000</x:f>
        <x:v>0.37871297326053</x:v>
      </x:c>
      <x:c r="L18" s="11" t="n">
        <x:f>J18/Sources!$B$5</x:f>
        <x:v>0.018995854070257605</x:v>
      </x:c>
    </x:row>
    <x:row r="19" ht="23" customHeight="1">
      <x:c r="A19" s="1" t="str">
        <x:v>hud_upload</x:v>
      </x:c>
      <x:c r="B19" s="1" t="str">
        <x:v>HUD phase packet upload</x:v>
      </x:c>
      <x:c r="C19" s="9" t="n">
        <x:v>308</x:v>
      </x:c>
      <x:c r="D19" s="8" t="n">
        <x:v>1</x:v>
      </x:c>
      <x:c r="E19" s="9" t="n">
        <x:v>387.9999999925494</x:v>
      </x:c>
      <x:c r="F19" s="9" t="n">
        <x:v>21153.061688311747</x:v>
      </x:c>
      <x:c r="G19" s="9" t="n">
        <x:v>29104</x:v>
      </x:c>
      <x:c r="H19" s="9" t="n">
        <x:v>29106.000000003725</x:v>
      </x:c>
      <x:c r="I19" s="9" t="n">
        <x:v>21069.240259740294</x:v>
      </x:c>
      <x:c r="J19" s="9" t="n">
        <x:v>21069.240259740294</x:v>
      </x:c>
      <x:c r="K19" s="10" t="n">
        <x:f>F19/Sources!$B$4*1000</x:f>
        <x:v>5.909427507773124</x:v>
      </x:c>
      <x:c r="L19" s="11" t="n">
        <x:f>J19/Sources!$B$5</x:f>
        <x:v>0.29523625721288455</x:v>
      </x:c>
    </x:row>
    <x:row r="20" ht="23" customHeight="1">
      <x:c r="A20" s="1" t="str">
        <x:v>address</x:v>
      </x:c>
      <x:c r="B20" s="1" t="str">
        <x:v>VDP VRAM address setup</x:v>
      </x:c>
      <x:c r="C20" s="9" t="n">
        <x:v>5762</x:v>
      </x:c>
      <x:c r="D20" s="8" t="n">
        <x:v>18.707792207792206</x:v>
      </x:c>
      <x:c r="E20" s="9" t="n">
        <x:v>129.99999999254942</x:v>
      </x:c>
      <x:c r="F20" s="9" t="n">
        <x:v>130.6159319681313</x:v>
      </x:c>
      <x:c r="G20" s="9" t="n">
        <x:v>130.00000000745058</x:v>
      </x:c>
      <x:c r="H20" s="9" t="n">
        <x:v>299.0000000037253</x:v>
      </x:c>
      <x:c r="I20" s="9" t="n">
        <x:v>130.10933703581614</x:v>
      </x:c>
      <x:c r="J20" s="9" t="n">
        <x:v>2434.058441559651</x:v>
      </x:c>
      <x:c r="K20" s="10" t="n">
        <x:f>F20/Sources!$B$4*1000</x:f>
        <x:v>0.03648953483421253</x:v>
      </x:c>
      <x:c r="L20" s="11" t="n">
        <x:f>J20/Sources!$B$5</x:f>
        <x:v>0.03410765149879002</x:v>
      </x:c>
    </x:row>
    <x:row r="21" ht="23" customHeight="1">
      <x:c r="A21" s="1" t="str">
        <x:v>upload</x:v>
      </x:c>
      <x:c r="B21" s="1" t="str">
        <x:v>General VRAM transfer</x:v>
      </x:c>
      <x:c r="C21" s="9" t="n">
        <x:v>1666</x:v>
      </x:c>
      <x:c r="D21" s="8" t="n">
        <x:v>5.409090909090909</x:v>
      </x:c>
      <x:c r="E21" s="9" t="n">
        <x:v>249.99999999254942</x:v>
      </x:c>
      <x:c r="F21" s="9" t="n">
        <x:v>2306.684273709694</x:v>
      </x:c>
      <x:c r="G21" s="9" t="n">
        <x:v>5050</x:v>
      </x:c>
      <x:c r="H21" s="9" t="n">
        <x:v>12570.000000003725</x:v>
      </x:c>
      <x:c r="I21" s="9" t="n">
        <x:v>2303.6806722691153</x:v>
      </x:c>
      <x:c r="J21" s="9" t="n">
        <x:v>12460.818181819306</x:v>
      </x:c>
      <x:c r="K21" s="10" t="n">
        <x:f>F21/Sources!$B$4*1000</x:f>
        <x:v>0.6444071170245643</x:v>
      </x:c>
      <x:c r="L21" s="11" t="n">
        <x:f>J21/Sources!$B$5</x:f>
        <x:v>0.17460930135389421</x:v>
      </x:c>
    </x:row>
    <x:row r="22" ht="23" customHeight="1">
      <x:c r="A22" s="1" t="str">
        <x:v>clock_irq</x:v>
      </x:c>
      <x:c r="B22" s="1" t="str">
        <x:v>VBlank ISR body (entry latency excluded)</x:v>
      </x:c>
      <x:c r="C22" s="9" t="n">
        <x:v>476</x:v>
      </x:c>
      <x:c r="D22" s="8" t="n">
        <x:v>1.5454545454545454</x:v>
      </x:c>
      <x:c r="E22" s="9" t="n">
        <x:v>138.99999999254942</x:v>
      </x:c>
      <x:c r="F22" s="9" t="n">
        <x:v>138.99999999963998</x:v>
      </x:c>
      <x:c r="G22" s="9" t="n">
        <x:v>139.00000000745058</x:v>
      </x:c>
      <x:c r="H22" s="9" t="n">
        <x:v>139.00000000745058</x:v>
      </x:c>
      <x:c r="I22" s="9" t="n">
        <x:v>138.99999999963998</x:v>
      </x:c>
      <x:c r="J22" s="9" t="n">
        <x:v>214.81818181762543</x:v>
      </x:c>
      <x:c r="K22" s="10" t="n">
        <x:f>F22/Sources!$B$4*1000</x:f>
        <x:v>0.03883175096266145</x:v>
      </x:c>
      <x:c r="L22" s="11" t="n">
        <x:f>J22/Sources!$B$5</x:f>
        <x:v>0.003010175744319621</x:v>
      </x:c>
    </x:row>
    <x:row r="23" ht="23" customHeight="1">
      <x:c r="A23" s="1" t="str">
        <x:v>HUD_NameStores</x:v>
      </x:c>
      <x:c r="B23" s="1" t="str">
        <x:v>Compiled HUD name stores</x:v>
      </x:c>
      <x:c r="C23" s="9" t="n">
        <x:v>308</x:v>
      </x:c>
      <x:c r="D23" s="8" t="n">
        <x:v>1</x:v>
      </x:c>
      <x:c r="E23" s="9" t="n">
        <x:v>2362.9999999925494</x:v>
      </x:c>
      <x:c r="F23" s="9" t="n">
        <x:v>2362.9999999997217</x:v>
      </x:c>
      <x:c r="G23" s="9" t="n">
        <x:v>2363.0000000074506</x:v>
      </x:c>
      <x:c r="H23" s="9" t="n">
        <x:v>2363.0000000074506</x:v>
      </x:c>
      <x:c r="I23" s="9" t="n">
        <x:v>2362.9999999997217</x:v>
      </x:c>
      <x:c r="J23" s="9" t="n">
        <x:v>2362.9999999997217</x:v>
      </x:c>
      <x:c r="K23" s="10" t="n">
        <x:f>F23/Sources!$B$4*1000</x:f>
        <x:v>0.6601397663668767</x:v>
      </x:c>
      <x:c r="L23" s="11" t="n">
        <x:f>J23/Sources!$B$5</x:f>
        <x:v>0.03311193318759769</x:v>
      </x:c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3" customHeight="1">
      <x:c r="A25" s="1" t="str">
        <x:v>P95 = nearest-rank 95th percentile. ISR entry/vector latency is charged to its interrupted context.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3" customHeight="1">
      <x:c r="A26" s="1" t="str">
        <x:v>Self = inclusive minus tracked child spans; untracked helpers remain in their nearest measured owner.</x:v>
      </x:c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</x:sheetData>
  <x:pageMargins left="0.7" right="0.7" top="0.75" bottom="0.75" header="0.3" footer="0.3"/>
  <x:tableParts count="1">
    <x:tablePart xmlns:r="http://schemas.openxmlformats.org/officeDocument/2006/relationships" r:id="Rbccdd1d16c7b443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2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5" hidden="0" customWidth="1"/>
    <x:col min="13" max="13" width="15" hidden="0" customWidth="1"/>
    <x:col min="14" max="14" width="18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23" customHeight="1">
      <x:c r="A2" s="2" t="str">
        <x:v>Per-presentation cycle ledger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3" customHeight="1">
      <x:c r="A3" s="1" t="str">
        <x:v>Software frames 5..312; warmed start. Negative margin exceeds the proposed single-60-Hz draw interval.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36" customHeight="1">
      <x:c r="A5" s="7" t="str">
        <x:v>Frame</x:v>
      </x:c>
      <x:c r="B5" s="7" t="str">
        <x:v>Camera X</x:v>
      </x:c>
      <x:c r="C5" s="7" t="str">
        <x:v>Camera Y</x:v>
      </x:c>
      <x:c r="D5" s="7" t="str">
        <x:v>Input ticks</x:v>
      </x:c>
      <x:c r="E5" s="7" t="str">
        <x:v>Total cycles</x:v>
      </x:c>
      <x:c r="F5" s="7" t="str">
        <x:v>Input cycles</x:v>
      </x:c>
      <x:c r="G5" s="7" t="str">
        <x:v>Render cycles</x:v>
      </x:c>
      <x:c r="H5" s="7" t="str">
        <x:v>Wait cycles</x:v>
      </x:c>
      <x:c r="I5" s="7" t="str">
        <x:v>Commit cycles</x:v>
      </x:c>
      <x:c r="J5" s="7" t="str">
        <x:v>Loop overhead</x:v>
      </x:c>
      <x:c r="K5" s="7" t="str">
        <x:v>Work cycles</x:v>
      </x:c>
      <x:c r="L5" s="7" t="str">
        <x:v>Work ms</x:v>
      </x:c>
      <x:c r="M5" s="7" t="str">
        <x:v>Interval ms</x:v>
      </x:c>
      <x:c r="N5" s="7" t="str">
        <x:v>60 Hz margin cycles</x:v>
      </x:c>
    </x:row>
    <x:row r="6" ht="23" customHeight="1">
      <x:c r="A6" s="9" t="n">
        <x:v>5</x:v>
      </x:c>
      <x:c r="B6" s="9" t="n">
        <x:v>273</x:v>
      </x:c>
      <x:c r="C6" s="9" t="n">
        <x:v>1041</x:v>
      </x:c>
      <x:c r="D6" s="9" t="n">
        <x:v>2</x:v>
      </x:c>
      <x:c r="E6" s="9" t="n">
        <x:v>142740</x:v>
      </x:c>
      <x:c r="F6" s="9" t="n">
        <x:v>792</x:v>
      </x:c>
      <x:c r="G6" s="9" t="n">
        <x:v>117290</x:v>
      </x:c>
      <x:c r="H6" s="9" t="n">
        <x:v>24135</x:v>
      </x:c>
      <x:c r="I6" s="9" t="n">
        <x:v>417</x:v>
      </x:c>
      <x:c r="J6" s="9" t="n">
        <x:v>106</x:v>
      </x:c>
      <x:c r="K6" s="9" t="n">
        <x:f>F6+G6+I6+J6</x:f>
        <x:v>118605</x:v>
      </x:c>
      <x:c r="L6" s="10" t="n">
        <x:f>K6/Sources!$B$4*1000</x:f>
        <x:v>33.13409944559993</x:v>
      </x:c>
      <x:c r="M6" s="10" t="n">
        <x:f>E6/Sources!$B$4*1000</x:f>
        <x:v>39.87657649226368</x:v>
      </x:c>
      <x:c r="N6" s="9" t="n">
        <x:f>Sources!$B$6-K6</x:f>
        <x:v>-58869</x:v>
      </x:c>
    </x:row>
    <x:row r="7" ht="23" customHeight="1">
      <x:c r="A7" s="9" t="n">
        <x:v>6</x:v>
      </x:c>
      <x:c r="B7" s="9" t="n">
        <x:v>275</x:v>
      </x:c>
      <x:c r="C7" s="9" t="n">
        <x:v>1043</x:v>
      </x:c>
      <x:c r="D7" s="9" t="n">
        <x:v>2</x:v>
      </x:c>
      <x:c r="E7" s="9" t="n">
        <x:v>142717</x:v>
      </x:c>
      <x:c r="F7" s="9" t="n">
        <x:v>792.0000000037253</x:v>
      </x:c>
      <x:c r="G7" s="9" t="n">
        <x:v>94489.99999999627</x:v>
      </x:c>
      <x:c r="H7" s="9" t="n">
        <x:v>46920</x:v>
      </x:c>
      <x:c r="I7" s="9" t="n">
        <x:v>409</x:v>
      </x:c>
      <x:c r="J7" s="9" t="n">
        <x:v>106</x:v>
      </x:c>
      <x:c r="K7" s="9" t="n">
        <x:f>F7+G7+I7+J7</x:f>
        <x:v>95797</x:v>
      </x:c>
      <x:c r="L7" s="10" t="n">
        <x:f>K7/Sources!$B$4*1000</x:f>
        <x:v>26.762339906328876</x:v>
      </x:c>
      <x:c r="M7" s="10" t="n">
        <x:f>E7/Sources!$B$4*1000</x:f>
        <x:v>39.87015109462236</x:v>
      </x:c>
      <x:c r="N7" s="9" t="n">
        <x:f>Sources!$B$6-K7</x:f>
        <x:v>-36061</x:v>
      </x:c>
    </x:row>
    <x:row r="8" ht="23" customHeight="1">
      <x:c r="A8" s="9" t="n">
        <x:v>7</x:v>
      </x:c>
      <x:c r="B8" s="9" t="n">
        <x:v>277</x:v>
      </x:c>
      <x:c r="C8" s="9" t="n">
        <x:v>1045</x:v>
      </x:c>
      <x:c r="D8" s="9" t="n">
        <x:v>2</x:v>
      </x:c>
      <x:c r="E8" s="9" t="n">
        <x:v>142738</x:v>
      </x:c>
      <x:c r="F8" s="9" t="n">
        <x:v>792</x:v>
      </x:c>
      <x:c r="G8" s="9" t="n">
        <x:v>80313</x:v>
      </x:c>
      <x:c r="H8" s="9" t="n">
        <x:v>61109.999999996275</x:v>
      </x:c>
      <x:c r="I8" s="9" t="n">
        <x:v>417</x:v>
      </x:c>
      <x:c r="J8" s="9" t="n">
        <x:v>106.00000000372529</x:v>
      </x:c>
      <x:c r="K8" s="9" t="n">
        <x:f>F8+G8+I8+J8</x:f>
        <x:v>81628.00000000373</x:v>
      </x:c>
      <x:c r="L8" s="10" t="n">
        <x:f>K8/Sources!$B$4*1000</x:f>
        <x:v>22.80401559416175</x:v>
      </x:c>
      <x:c r="M8" s="10" t="n">
        <x:f>E8/Sources!$B$4*1000</x:f>
        <x:v>39.876017762033996</x:v>
      </x:c>
      <x:c r="N8" s="9" t="n">
        <x:f>Sources!$B$6-K8</x:f>
        <x:v>-21892.000000003725</x:v>
      </x:c>
    </x:row>
    <x:row r="9" ht="23" customHeight="1">
      <x:c r="A9" s="9" t="n">
        <x:v>8</x:v>
      </x:c>
      <x:c r="B9" s="9" t="n">
        <x:v>279</x:v>
      </x:c>
      <x:c r="C9" s="9" t="n">
        <x:v>1047</x:v>
      </x:c>
      <x:c r="D9" s="9" t="n">
        <x:v>2</x:v>
      </x:c>
      <x:c r="E9" s="9" t="n">
        <x:v>142718.99999999627</x:v>
      </x:c>
      <x:c r="F9" s="9" t="n">
        <x:v>792</x:v>
      </x:c>
      <x:c r="G9" s="9" t="n">
        <x:v>75902</x:v>
      </x:c>
      <x:c r="H9" s="9" t="n">
        <x:v>65510</x:v>
      </x:c>
      <x:c r="I9" s="9" t="n">
        <x:v>409</x:v>
      </x:c>
      <x:c r="J9" s="9" t="n">
        <x:v>105.99999999627471</x:v>
      </x:c>
      <x:c r="K9" s="9" t="n">
        <x:f>F9+G9+I9+J9</x:f>
        <x:v>77208.99999999627</x:v>
      </x:c>
      <x:c r="L9" s="10" t="n">
        <x:f>K9/Sources!$B$4*1000</x:f>
        <x:v>21.569501151681646</x:v>
      </x:c>
      <x:c r="M9" s="10" t="n">
        <x:f>E9/Sources!$B$4*1000</x:f>
        <x:v>39.870709824851</x:v>
      </x:c>
      <x:c r="N9" s="9" t="n">
        <x:f>Sources!$B$6-K9</x:f>
        <x:v>-17472.999999996275</x:v>
      </x:c>
    </x:row>
    <x:row r="10" ht="23" customHeight="1">
      <x:c r="A10" s="9" t="n">
        <x:v>9</x:v>
      </x:c>
      <x:c r="B10" s="9" t="n">
        <x:v>281</x:v>
      </x:c>
      <x:c r="C10" s="9" t="n">
        <x:v>1049</x:v>
      </x:c>
      <x:c r="D10" s="9" t="n">
        <x:v>2</x:v>
      </x:c>
      <x:c r="E10" s="9" t="n">
        <x:v>142734.00000000373</x:v>
      </x:c>
      <x:c r="F10" s="9" t="n">
        <x:v>792</x:v>
      </x:c>
      <x:c r="G10" s="9" t="n">
        <x:v>117309</x:v>
      </x:c>
      <x:c r="H10" s="9" t="n">
        <x:v>24110</x:v>
      </x:c>
      <x:c r="I10" s="9" t="n">
        <x:v>417</x:v>
      </x:c>
      <x:c r="J10" s="9" t="n">
        <x:v>106.00000000372529</x:v>
      </x:c>
      <x:c r="K10" s="9" t="n">
        <x:f>F10+G10+I10+J10</x:f>
        <x:v>118624.00000000373</x:v>
      </x:c>
      <x:c r="L10" s="10" t="n">
        <x:f>K10/Sources!$B$4*1000</x:f>
        <x:v>33.139407382782935</x:v>
      </x:c>
      <x:c r="M10" s="10" t="n">
        <x:f>E10/Sources!$B$4*1000</x:f>
        <x:v>39.87490030157568</x:v>
      </x:c>
      <x:c r="N10" s="9" t="n">
        <x:f>Sources!$B$6-K10</x:f>
        <x:v>-58888.000000003725</x:v>
      </x:c>
    </x:row>
    <x:row r="11" ht="23" customHeight="1">
      <x:c r="A11" s="9" t="n">
        <x:v>10</x:v>
      </x:c>
      <x:c r="B11" s="9" t="n">
        <x:v>283</x:v>
      </x:c>
      <x:c r="C11" s="9" t="n">
        <x:v>1051</x:v>
      </x:c>
      <x:c r="D11" s="9" t="n">
        <x:v>2</x:v>
      </x:c>
      <x:c r="E11" s="9" t="n">
        <x:v>142722</x:v>
      </x:c>
      <x:c r="F11" s="9" t="n">
        <x:v>792</x:v>
      </x:c>
      <x:c r="G11" s="9" t="n">
        <x:v>94490</x:v>
      </x:c>
      <x:c r="H11" s="9" t="n">
        <x:v>46925</x:v>
      </x:c>
      <x:c r="I11" s="9" t="n">
        <x:v>408.9999999962747</x:v>
      </x:c>
      <x:c r="J11" s="9" t="n">
        <x:v>106.00000000372529</x:v>
      </x:c>
      <x:c r="K11" s="9" t="n">
        <x:f>F11+G11+I11+J11</x:f>
        <x:v>95797</x:v>
      </x:c>
      <x:c r="L11" s="10" t="n">
        <x:f>K11/Sources!$B$4*1000</x:f>
        <x:v>26.762339906328876</x:v>
      </x:c>
      <x:c r="M11" s="10" t="n">
        <x:f>E11/Sources!$B$4*1000</x:f>
        <x:v>39.871547920196555</x:v>
      </x:c>
      <x:c r="N11" s="9" t="n">
        <x:f>Sources!$B$6-K11</x:f>
        <x:v>-36061</x:v>
      </x:c>
    </x:row>
    <x:row r="12" ht="23" customHeight="1">
      <x:c r="A12" s="9" t="n">
        <x:v>11</x:v>
      </x:c>
      <x:c r="B12" s="9" t="n">
        <x:v>285</x:v>
      </x:c>
      <x:c r="C12" s="9" t="n">
        <x:v>1053</x:v>
      </x:c>
      <x:c r="D12" s="9" t="n">
        <x:v>2</x:v>
      </x:c>
      <x:c r="E12" s="9" t="n">
        <x:v>142738</x:v>
      </x:c>
      <x:c r="F12" s="9" t="n">
        <x:v>792</x:v>
      </x:c>
      <x:c r="G12" s="9" t="n">
        <x:v>80313</x:v>
      </x:c>
      <x:c r="H12" s="9" t="n">
        <x:v>61110</x:v>
      </x:c>
      <x:c r="I12" s="9" t="n">
        <x:v>417</x:v>
      </x:c>
      <x:c r="J12" s="9" t="n">
        <x:v>106</x:v>
      </x:c>
      <x:c r="K12" s="9" t="n">
        <x:f>F12+G12+I12+J12</x:f>
        <x:v>81628</x:v>
      </x:c>
      <x:c r="L12" s="10" t="n">
        <x:f>K12/Sources!$B$4*1000</x:f>
        <x:v>22.80401559416071</x:v>
      </x:c>
      <x:c r="M12" s="10" t="n">
        <x:f>E12/Sources!$B$4*1000</x:f>
        <x:v>39.876017762033996</x:v>
      </x:c>
      <x:c r="N12" s="9" t="n">
        <x:f>Sources!$B$6-K12</x:f>
        <x:v>-21892</x:v>
      </x:c>
    </x:row>
    <x:row r="13" ht="23" customHeight="1">
      <x:c r="A13" s="9" t="n">
        <x:v>12</x:v>
      </x:c>
      <x:c r="B13" s="9" t="n">
        <x:v>287</x:v>
      </x:c>
      <x:c r="C13" s="9" t="n">
        <x:v>1055</x:v>
      </x:c>
      <x:c r="D13" s="9" t="n">
        <x:v>2</x:v>
      </x:c>
      <x:c r="E13" s="9" t="n">
        <x:v>142719</x:v>
      </x:c>
      <x:c r="F13" s="9" t="n">
        <x:v>792.0000000037253</x:v>
      </x:c>
      <x:c r="G13" s="9" t="n">
        <x:v>75901.99999999627</x:v>
      </x:c>
      <x:c r="H13" s="9" t="n">
        <x:v>65510.000000003725</x:v>
      </x:c>
      <x:c r="I13" s="9" t="n">
        <x:v>408.9999999962747</x:v>
      </x:c>
      <x:c r="J13" s="9" t="n">
        <x:v>106</x:v>
      </x:c>
      <x:c r="K13" s="9" t="n">
        <x:f>F13+G13+I13+J13</x:f>
        <x:v>77208.99999999627</x:v>
      </x:c>
      <x:c r="L13" s="10" t="n">
        <x:f>K13/Sources!$B$4*1000</x:f>
        <x:v>21.569501151681646</x:v>
      </x:c>
      <x:c r="M13" s="10" t="n">
        <x:f>E13/Sources!$B$4*1000</x:f>
        <x:v>39.870709824852035</x:v>
      </x:c>
      <x:c r="N13" s="9" t="n">
        <x:f>Sources!$B$6-K13</x:f>
        <x:v>-17472.999999996275</x:v>
      </x:c>
    </x:row>
    <x:row r="14" ht="23" customHeight="1">
      <x:c r="A14" s="9" t="n">
        <x:v>13</x:v>
      </x:c>
      <x:c r="B14" s="9" t="n">
        <x:v>289</x:v>
      </x:c>
      <x:c r="C14" s="9" t="n">
        <x:v>1057</x:v>
      </x:c>
      <x:c r="D14" s="9" t="n">
        <x:v>2</x:v>
      </x:c>
      <x:c r="E14" s="9" t="n">
        <x:v>142734</x:v>
      </x:c>
      <x:c r="F14" s="9" t="n">
        <x:v>792</x:v>
      </x:c>
      <x:c r="G14" s="9" t="n">
        <x:v>117309</x:v>
      </x:c>
      <x:c r="H14" s="9" t="n">
        <x:v>24110</x:v>
      </x:c>
      <x:c r="I14" s="9" t="n">
        <x:v>417</x:v>
      </x:c>
      <x:c r="J14" s="9" t="n">
        <x:v>106</x:v>
      </x:c>
      <x:c r="K14" s="9" t="n">
        <x:f>F14+G14+I14+J14</x:f>
        <x:v>118624</x:v>
      </x:c>
      <x:c r="L14" s="10" t="n">
        <x:f>K14/Sources!$B$4*1000</x:f>
        <x:v>33.13940738278189</x:v>
      </x:c>
      <x:c r="M14" s="10" t="n">
        <x:f>E14/Sources!$B$4*1000</x:f>
        <x:v>39.87490030157464</x:v>
      </x:c>
      <x:c r="N14" s="9" t="n">
        <x:f>Sources!$B$6-K14</x:f>
        <x:v>-58888</x:v>
      </x:c>
    </x:row>
    <x:row r="15" ht="23" customHeight="1">
      <x:c r="A15" s="9" t="n">
        <x:v>14</x:v>
      </x:c>
      <x:c r="B15" s="9" t="n">
        <x:v>291</x:v>
      </x:c>
      <x:c r="C15" s="9" t="n">
        <x:v>1059</x:v>
      </x:c>
      <x:c r="D15" s="9" t="n">
        <x:v>2</x:v>
      </x:c>
      <x:c r="E15" s="9" t="n">
        <x:v>142722</x:v>
      </x:c>
      <x:c r="F15" s="9" t="n">
        <x:v>792.0000000037253</x:v>
      </x:c>
      <x:c r="G15" s="9" t="n">
        <x:v>94489.99999999627</x:v>
      </x:c>
      <x:c r="H15" s="9" t="n">
        <x:v>46925.000000003725</x:v>
      </x:c>
      <x:c r="I15" s="9" t="n">
        <x:v>409.0000000037253</x:v>
      </x:c>
      <x:c r="J15" s="9" t="n">
        <x:v>105.99999999254942</x:v>
      </x:c>
      <x:c r="K15" s="9" t="n">
        <x:f>F15+G15+I15+J15</x:f>
        <x:v>95796.99999999627</x:v>
      </x:c>
      <x:c r="L15" s="10" t="n">
        <x:f>K15/Sources!$B$4*1000</x:f>
        <x:v>26.762339906327835</x:v>
      </x:c>
      <x:c r="M15" s="10" t="n">
        <x:f>E15/Sources!$B$4*1000</x:f>
        <x:v>39.871547920196555</x:v>
      </x:c>
      <x:c r="N15" s="9" t="n">
        <x:f>Sources!$B$6-K15</x:f>
        <x:v>-36060.999999996275</x:v>
      </x:c>
    </x:row>
    <x:row r="16" ht="23" customHeight="1">
      <x:c r="A16" s="9" t="n">
        <x:v>15</x:v>
      </x:c>
      <x:c r="B16" s="9" t="n">
        <x:v>293</x:v>
      </x:c>
      <x:c r="C16" s="9" t="n">
        <x:v>1061</x:v>
      </x:c>
      <x:c r="D16" s="9" t="n">
        <x:v>2</x:v>
      </x:c>
      <x:c r="E16" s="9" t="n">
        <x:v>142733</x:v>
      </x:c>
      <x:c r="F16" s="9" t="n">
        <x:v>792</x:v>
      </x:c>
      <x:c r="G16" s="9" t="n">
        <x:v>80313</x:v>
      </x:c>
      <x:c r="H16" s="9" t="n">
        <x:v>61104.999999996275</x:v>
      </x:c>
      <x:c r="I16" s="9" t="n">
        <x:v>417</x:v>
      </x:c>
      <x:c r="J16" s="9" t="n">
        <x:v>106.00000000372529</x:v>
      </x:c>
      <x:c r="K16" s="9" t="n">
        <x:f>F16+G16+I16+J16</x:f>
        <x:v>81628.00000000373</x:v>
      </x:c>
      <x:c r="L16" s="10" t="n">
        <x:f>K16/Sources!$B$4*1000</x:f>
        <x:v>22.80401559416175</x:v>
      </x:c>
      <x:c r="M16" s="10" t="n">
        <x:f>E16/Sources!$B$4*1000</x:f>
        <x:v>39.8746209364598</x:v>
      </x:c>
      <x:c r="N16" s="9" t="n">
        <x:f>Sources!$B$6-K16</x:f>
        <x:v>-21892.000000003725</x:v>
      </x:c>
    </x:row>
    <x:row r="17" ht="23" customHeight="1">
      <x:c r="A17" s="9" t="n">
        <x:v>16</x:v>
      </x:c>
      <x:c r="B17" s="9" t="n">
        <x:v>295</x:v>
      </x:c>
      <x:c r="C17" s="9" t="n">
        <x:v>1063</x:v>
      </x:c>
      <x:c r="D17" s="9" t="n">
        <x:v>2</x:v>
      </x:c>
      <x:c r="E17" s="9" t="n">
        <x:v>142724</x:v>
      </x:c>
      <x:c r="F17" s="9" t="n">
        <x:v>792</x:v>
      </x:c>
      <x:c r="G17" s="9" t="n">
        <x:v>75902</x:v>
      </x:c>
      <x:c r="H17" s="9" t="n">
        <x:v>65515</x:v>
      </x:c>
      <x:c r="I17" s="9" t="n">
        <x:v>409</x:v>
      </x:c>
      <x:c r="J17" s="9" t="n">
        <x:v>106</x:v>
      </x:c>
      <x:c r="K17" s="9" t="n">
        <x:f>F17+G17+I17+J17</x:f>
        <x:v>77209</x:v>
      </x:c>
      <x:c r="L17" s="10" t="n">
        <x:f>K17/Sources!$B$4*1000</x:f>
        <x:v>21.569501151682687</x:v>
      </x:c>
      <x:c r="M17" s="10" t="n">
        <x:f>E17/Sources!$B$4*1000</x:f>
        <x:v>39.87210665042624</x:v>
      </x:c>
      <x:c r="N17" s="9" t="n">
        <x:f>Sources!$B$6-K17</x:f>
        <x:v>-17473</x:v>
      </x:c>
    </x:row>
    <x:row r="18" ht="23" customHeight="1">
      <x:c r="A18" s="9" t="n">
        <x:v>17</x:v>
      </x:c>
      <x:c r="B18" s="9" t="n">
        <x:v>297</x:v>
      </x:c>
      <x:c r="C18" s="9" t="n">
        <x:v>1065</x:v>
      </x:c>
      <x:c r="D18" s="9" t="n">
        <x:v>2</x:v>
      </x:c>
      <x:c r="E18" s="9" t="n">
        <x:v>142734</x:v>
      </x:c>
      <x:c r="F18" s="9" t="n">
        <x:v>792</x:v>
      </x:c>
      <x:c r="G18" s="9" t="n">
        <x:v>117308.99999999627</x:v>
      </x:c>
      <x:c r="H18" s="9" t="n">
        <x:v>24110.000000003725</x:v>
      </x:c>
      <x:c r="I18" s="9" t="n">
        <x:v>417</x:v>
      </x:c>
      <x:c r="J18" s="9" t="n">
        <x:v>106</x:v>
      </x:c>
      <x:c r="K18" s="9" t="n">
        <x:f>F18+G18+I18+J18</x:f>
        <x:v>118623.99999999627</x:v>
      </x:c>
      <x:c r="L18" s="10" t="n">
        <x:f>K18/Sources!$B$4*1000</x:f>
        <x:v>33.13940738278085</x:v>
      </x:c>
      <x:c r="M18" s="10" t="n">
        <x:f>E18/Sources!$B$4*1000</x:f>
        <x:v>39.87490030157464</x:v>
      </x:c>
      <x:c r="N18" s="9" t="n">
        <x:f>Sources!$B$6-K18</x:f>
        <x:v>-58887.999999996275</x:v>
      </x:c>
    </x:row>
    <x:row r="19" ht="23" customHeight="1">
      <x:c r="A19" s="9" t="n">
        <x:v>18</x:v>
      </x:c>
      <x:c r="B19" s="9" t="n">
        <x:v>299</x:v>
      </x:c>
      <x:c r="C19" s="9" t="n">
        <x:v>1067</x:v>
      </x:c>
      <x:c r="D19" s="9" t="n">
        <x:v>2</x:v>
      </x:c>
      <x:c r="E19" s="9" t="n">
        <x:v>142722</x:v>
      </x:c>
      <x:c r="F19" s="9" t="n">
        <x:v>792</x:v>
      </x:c>
      <x:c r="G19" s="9" t="n">
        <x:v>94490.00000000373</x:v>
      </x:c>
      <x:c r="H19" s="9" t="n">
        <x:v>46925</x:v>
      </x:c>
      <x:c r="I19" s="9" t="n">
        <x:v>409</x:v>
      </x:c>
      <x:c r="J19" s="9" t="n">
        <x:v>105.99999999627471</x:v>
      </x:c>
      <x:c r="K19" s="9" t="n">
        <x:f>F19+G19+I19+J19</x:f>
        <x:v>95797</x:v>
      </x:c>
      <x:c r="L19" s="10" t="n">
        <x:f>K19/Sources!$B$4*1000</x:f>
        <x:v>26.762339906328876</x:v>
      </x:c>
      <x:c r="M19" s="10" t="n">
        <x:f>E19/Sources!$B$4*1000</x:f>
        <x:v>39.871547920196555</x:v>
      </x:c>
      <x:c r="N19" s="9" t="n">
        <x:f>Sources!$B$6-K19</x:f>
        <x:v>-36061</x:v>
      </x:c>
    </x:row>
    <x:row r="20" ht="23" customHeight="1">
      <x:c r="A20" s="9" t="n">
        <x:v>19</x:v>
      </x:c>
      <x:c r="B20" s="9" t="n">
        <x:v>301</x:v>
      </x:c>
      <x:c r="C20" s="9" t="n">
        <x:v>1069</x:v>
      </x:c>
      <x:c r="D20" s="9" t="n">
        <x:v>2</x:v>
      </x:c>
      <x:c r="E20" s="9" t="n">
        <x:v>142733</x:v>
      </x:c>
      <x:c r="F20" s="9" t="n">
        <x:v>792.0000000037253</x:v>
      </x:c>
      <x:c r="G20" s="9" t="n">
        <x:v>80313</x:v>
      </x:c>
      <x:c r="H20" s="9" t="n">
        <x:v>61105</x:v>
      </x:c>
      <x:c r="I20" s="9" t="n">
        <x:v>417</x:v>
      </x:c>
      <x:c r="J20" s="9" t="n">
        <x:v>105.99999999627471</x:v>
      </x:c>
      <x:c r="K20" s="9" t="n">
        <x:f>F20+G20+I20+J20</x:f>
        <x:v>81628</x:v>
      </x:c>
      <x:c r="L20" s="10" t="n">
        <x:f>K20/Sources!$B$4*1000</x:f>
        <x:v>22.80401559416071</x:v>
      </x:c>
      <x:c r="M20" s="10" t="n">
        <x:f>E20/Sources!$B$4*1000</x:f>
        <x:v>39.8746209364598</x:v>
      </x:c>
      <x:c r="N20" s="9" t="n">
        <x:f>Sources!$B$6-K20</x:f>
        <x:v>-21892</x:v>
      </x:c>
    </x:row>
    <x:row r="21" ht="23" customHeight="1">
      <x:c r="A21" s="9" t="n">
        <x:v>20</x:v>
      </x:c>
      <x:c r="B21" s="9" t="n">
        <x:v>303</x:v>
      </x:c>
      <x:c r="C21" s="9" t="n">
        <x:v>1071</x:v>
      </x:c>
      <x:c r="D21" s="9" t="n">
        <x:v>2</x:v>
      </x:c>
      <x:c r="E21" s="9" t="n">
        <x:v>142719</x:v>
      </x:c>
      <x:c r="F21" s="9" t="n">
        <x:v>792.0000000037253</x:v>
      </x:c>
      <x:c r="G21" s="9" t="n">
        <x:v>75901.99999999627</x:v>
      </x:c>
      <x:c r="H21" s="9" t="n">
        <x:v>65510.000000003725</x:v>
      </x:c>
      <x:c r="I21" s="9" t="n">
        <x:v>408.9999999962747</x:v>
      </x:c>
      <x:c r="J21" s="9" t="n">
        <x:v>106</x:v>
      </x:c>
      <x:c r="K21" s="9" t="n">
        <x:f>F21+G21+I21+J21</x:f>
        <x:v>77208.99999999627</x:v>
      </x:c>
      <x:c r="L21" s="10" t="n">
        <x:f>K21/Sources!$B$4*1000</x:f>
        <x:v>21.569501151681646</x:v>
      </x:c>
      <x:c r="M21" s="10" t="n">
        <x:f>E21/Sources!$B$4*1000</x:f>
        <x:v>39.870709824852035</x:v>
      </x:c>
      <x:c r="N21" s="9" t="n">
        <x:f>Sources!$B$6-K21</x:f>
        <x:v>-17472.999999996275</x:v>
      </x:c>
    </x:row>
    <x:row r="22" ht="23" customHeight="1">
      <x:c r="A22" s="9" t="n">
        <x:v>21</x:v>
      </x:c>
      <x:c r="B22" s="9" t="n">
        <x:v>305</x:v>
      </x:c>
      <x:c r="C22" s="9" t="n">
        <x:v>1073</x:v>
      </x:c>
      <x:c r="D22" s="9" t="n">
        <x:v>2</x:v>
      </x:c>
      <x:c r="E22" s="9" t="n">
        <x:v>142738.99999999627</x:v>
      </x:c>
      <x:c r="F22" s="9" t="n">
        <x:v>792</x:v>
      </x:c>
      <x:c r="G22" s="9" t="n">
        <x:v>117309</x:v>
      </x:c>
      <x:c r="H22" s="9" t="n">
        <x:v>24115</x:v>
      </x:c>
      <x:c r="I22" s="9" t="n">
        <x:v>417</x:v>
      </x:c>
      <x:c r="J22" s="9" t="n">
        <x:v>105.99999999627471</x:v>
      </x:c>
      <x:c r="K22" s="9" t="n">
        <x:f>F22+G22+I22+J22</x:f>
        <x:v>118623.99999999627</x:v>
      </x:c>
      <x:c r="L22" s="10" t="n">
        <x:f>K22/Sources!$B$4*1000</x:f>
        <x:v>33.13940738278085</x:v>
      </x:c>
      <x:c r="M22" s="10" t="n">
        <x:f>E22/Sources!$B$4*1000</x:f>
        <x:v>39.8762971271478</x:v>
      </x:c>
      <x:c r="N22" s="9" t="n">
        <x:f>Sources!$B$6-K22</x:f>
        <x:v>-58887.999999996275</x:v>
      </x:c>
    </x:row>
    <x:row r="23" ht="23" customHeight="1">
      <x:c r="A23" s="9" t="n">
        <x:v>22</x:v>
      </x:c>
      <x:c r="B23" s="9" t="n">
        <x:v>307</x:v>
      </x:c>
      <x:c r="C23" s="9" t="n">
        <x:v>1075</x:v>
      </x:c>
      <x:c r="D23" s="9" t="n">
        <x:v>2</x:v>
      </x:c>
      <x:c r="E23" s="9" t="n">
        <x:v>142717.00000000373</x:v>
      </x:c>
      <x:c r="F23" s="9" t="n">
        <x:v>792.0000000037253</x:v>
      </x:c>
      <x:c r="G23" s="9" t="n">
        <x:v>94490</x:v>
      </x:c>
      <x:c r="H23" s="9" t="n">
        <x:v>46920</x:v>
      </x:c>
      <x:c r="I23" s="9" t="n">
        <x:v>409.0000000037253</x:v>
      </x:c>
      <x:c r="J23" s="9" t="n">
        <x:v>105.99999999627471</x:v>
      </x:c>
      <x:c r="K23" s="9" t="n">
        <x:f>F23+G23+I23+J23</x:f>
        <x:v>95797.00000000373</x:v>
      </x:c>
      <x:c r="L23" s="10" t="n">
        <x:f>K23/Sources!$B$4*1000</x:f>
        <x:v>26.762339906329917</x:v>
      </x:c>
      <x:c r="M23" s="10" t="n">
        <x:f>E23/Sources!$B$4*1000</x:f>
        <x:v>39.8701510946234</x:v>
      </x:c>
      <x:c r="N23" s="9" t="n">
        <x:f>Sources!$B$6-K23</x:f>
        <x:v>-36061.000000003725</x:v>
      </x:c>
    </x:row>
    <x:row r="24" ht="23" customHeight="1">
      <x:c r="A24" s="9" t="n">
        <x:v>23</x:v>
      </x:c>
      <x:c r="B24" s="9" t="n">
        <x:v>309</x:v>
      </x:c>
      <x:c r="C24" s="9" t="n">
        <x:v>1077</x:v>
      </x:c>
      <x:c r="D24" s="9" t="n">
        <x:v>2</x:v>
      </x:c>
      <x:c r="E24" s="9" t="n">
        <x:v>142737</x:v>
      </x:c>
      <x:c r="F24" s="9" t="n">
        <x:v>792</x:v>
      </x:c>
      <x:c r="G24" s="9" t="n">
        <x:v>80322</x:v>
      </x:c>
      <x:c r="H24" s="9" t="n">
        <x:v>61099.999999996275</x:v>
      </x:c>
      <x:c r="I24" s="9" t="n">
        <x:v>417.0000000037253</x:v>
      </x:c>
      <x:c r="J24" s="9" t="n">
        <x:v>106</x:v>
      </x:c>
      <x:c r="K24" s="9" t="n">
        <x:f>F24+G24+I24+J24</x:f>
        <x:v>81637.00000000373</x:v>
      </x:c>
      <x:c r="L24" s="10" t="n">
        <x:f>K24/Sources!$B$4*1000</x:f>
        <x:v>22.80652988019531</x:v>
      </x:c>
      <x:c r="M24" s="10" t="n">
        <x:f>E24/Sources!$B$4*1000</x:f>
        <x:v>39.87573839691916</x:v>
      </x:c>
      <x:c r="N24" s="9" t="n">
        <x:f>Sources!$B$6-K24</x:f>
        <x:v>-21901.000000003725</x:v>
      </x:c>
    </x:row>
    <x:row r="25" ht="23" customHeight="1">
      <x:c r="A25" s="9" t="n">
        <x:v>24</x:v>
      </x:c>
      <x:c r="B25" s="9" t="n">
        <x:v>311</x:v>
      </x:c>
      <x:c r="C25" s="9" t="n">
        <x:v>1079</x:v>
      </x:c>
      <x:c r="D25" s="9" t="n">
        <x:v>2</x:v>
      </x:c>
      <x:c r="E25" s="9" t="n">
        <x:v>142723</x:v>
      </x:c>
      <x:c r="F25" s="9" t="n">
        <x:v>792</x:v>
      </x:c>
      <x:c r="G25" s="9" t="n">
        <x:v>75921</x:v>
      </x:c>
      <x:c r="H25" s="9" t="n">
        <x:v>65495</x:v>
      </x:c>
      <x:c r="I25" s="9" t="n">
        <x:v>409</x:v>
      </x:c>
      <x:c r="J25" s="9" t="n">
        <x:v>106</x:v>
      </x:c>
      <x:c r="K25" s="9" t="n">
        <x:f>F25+G25+I25+J25</x:f>
        <x:v>77228</x:v>
      </x:c>
      <x:c r="L25" s="10" t="n">
        <x:f>K25/Sources!$B$4*1000</x:f>
        <x:v>21.574809088864644</x:v>
      </x:c>
      <x:c r="M25" s="10" t="n">
        <x:f>E25/Sources!$B$4*1000</x:f>
        <x:v>39.8718272853114</x:v>
      </x:c>
      <x:c r="N25" s="9" t="n">
        <x:f>Sources!$B$6-K25</x:f>
        <x:v>-17492</x:v>
      </x:c>
    </x:row>
    <x:row r="26" ht="23" customHeight="1">
      <x:c r="A26" s="9" t="n">
        <x:v>25</x:v>
      </x:c>
      <x:c r="B26" s="9" t="n">
        <x:v>313</x:v>
      </x:c>
      <x:c r="C26" s="9" t="n">
        <x:v>1081</x:v>
      </x:c>
      <x:c r="D26" s="9" t="n">
        <x:v>2</x:v>
      </x:c>
      <x:c r="E26" s="9" t="n">
        <x:v>142733</x:v>
      </x:c>
      <x:c r="F26" s="9" t="n">
        <x:v>792.0000000037253</x:v>
      </x:c>
      <x:c r="G26" s="9" t="n">
        <x:v>131543</x:v>
      </x:c>
      <x:c r="H26" s="9" t="n">
        <x:v>9875</x:v>
      </x:c>
      <x:c r="I26" s="9" t="n">
        <x:v>417</x:v>
      </x:c>
      <x:c r="J26" s="9" t="n">
        <x:v>105.99999999627471</x:v>
      </x:c>
      <x:c r="K26" s="9" t="n">
        <x:f>F26+G26+I26+J26</x:f>
        <x:v>132858</x:v>
      </x:c>
      <x:c r="L26" s="10" t="n">
        <x:f>K26/Sources!$B$4*1000</x:f>
        <x:v>37.115890427414655</x:v>
      </x:c>
      <x:c r="M26" s="10" t="n">
        <x:f>E26/Sources!$B$4*1000</x:f>
        <x:v>39.8746209364598</x:v>
      </x:c>
      <x:c r="N26" s="9" t="n">
        <x:f>Sources!$B$6-K26</x:f>
        <x:v>-73122</x:v>
      </x:c>
    </x:row>
    <x:row r="27" ht="23" customHeight="1">
      <x:c r="A27" s="9" t="n">
        <x:v>26</x:v>
      </x:c>
      <x:c r="B27" s="9" t="n">
        <x:v>315</x:v>
      </x:c>
      <x:c r="C27" s="9" t="n">
        <x:v>1083</x:v>
      </x:c>
      <x:c r="D27" s="9" t="n">
        <x:v>2</x:v>
      </x:c>
      <x:c r="E27" s="9" t="n">
        <x:v>142720.99999999627</x:v>
      </x:c>
      <x:c r="F27" s="9" t="n">
        <x:v>792.0000000037253</x:v>
      </x:c>
      <x:c r="G27" s="9" t="n">
        <x:v>94509</x:v>
      </x:c>
      <x:c r="H27" s="9" t="n">
        <x:v>46905</x:v>
      </x:c>
      <x:c r="I27" s="9" t="n">
        <x:v>409</x:v>
      </x:c>
      <x:c r="J27" s="9" t="n">
        <x:v>105.99999999254942</x:v>
      </x:c>
      <x:c r="K27" s="9" t="n">
        <x:f>F27+G27+I27+J27</x:f>
        <x:v>95815.99999999627</x:v>
      </x:c>
      <x:c r="L27" s="10" t="n">
        <x:f>K27/Sources!$B$4*1000</x:f>
        <x:v>26.767647843509796</x:v>
      </x:c>
      <x:c r="M27" s="10" t="n">
        <x:f>E27/Sources!$B$4*1000</x:f>
        <x:v>39.871268555080675</x:v>
      </x:c>
      <x:c r="N27" s="9" t="n">
        <x:f>Sources!$B$6-K27</x:f>
        <x:v>-36079.999999996275</x:v>
      </x:c>
    </x:row>
    <x:row r="28" ht="23" customHeight="1">
      <x:c r="A28" s="9" t="n">
        <x:v>27</x:v>
      </x:c>
      <x:c r="B28" s="9" t="n">
        <x:v>317</x:v>
      </x:c>
      <x:c r="C28" s="9" t="n">
        <x:v>1085</x:v>
      </x:c>
      <x:c r="D28" s="9" t="n">
        <x:v>2</x:v>
      </x:c>
      <x:c r="E28" s="9" t="n">
        <x:v>142737</x:v>
      </x:c>
      <x:c r="F28" s="9" t="n">
        <x:v>792</x:v>
      </x:c>
      <x:c r="G28" s="9" t="n">
        <x:v>80322</x:v>
      </x:c>
      <x:c r="H28" s="9" t="n">
        <x:v>61100</x:v>
      </x:c>
      <x:c r="I28" s="9" t="n">
        <x:v>417</x:v>
      </x:c>
      <x:c r="J28" s="9" t="n">
        <x:v>106</x:v>
      </x:c>
      <x:c r="K28" s="9" t="n">
        <x:f>F28+G28+I28+J28</x:f>
        <x:v>81637</x:v>
      </x:c>
      <x:c r="L28" s="10" t="n">
        <x:f>K28/Sources!$B$4*1000</x:f>
        <x:v>22.80652988019427</x:v>
      </x:c>
      <x:c r="M28" s="10" t="n">
        <x:f>E28/Sources!$B$4*1000</x:f>
        <x:v>39.87573839691916</x:v>
      </x:c>
      <x:c r="N28" s="9" t="n">
        <x:f>Sources!$B$6-K28</x:f>
        <x:v>-21901</x:v>
      </x:c>
    </x:row>
    <x:row r="29" ht="23" customHeight="1">
      <x:c r="A29" s="9" t="n">
        <x:v>28</x:v>
      </x:c>
      <x:c r="B29" s="9" t="n">
        <x:v>319</x:v>
      </x:c>
      <x:c r="C29" s="9" t="n">
        <x:v>1087</x:v>
      </x:c>
      <x:c r="D29" s="9" t="n">
        <x:v>2</x:v>
      </x:c>
      <x:c r="E29" s="9" t="n">
        <x:v>142718.00000000373</x:v>
      </x:c>
      <x:c r="F29" s="9" t="n">
        <x:v>792.0000000037253</x:v>
      </x:c>
      <x:c r="G29" s="9" t="n">
        <x:v>75921</x:v>
      </x:c>
      <x:c r="H29" s="9" t="n">
        <x:v>65489.999999996275</x:v>
      </x:c>
      <x:c r="I29" s="9" t="n">
        <x:v>409</x:v>
      </x:c>
      <x:c r="J29" s="9" t="n">
        <x:v>106.00000000372529</x:v>
      </x:c>
      <x:c r="K29" s="9" t="n">
        <x:f>F29+G29+I29+J29</x:f>
        <x:v>77228.00000000745</x:v>
      </x:c>
      <x:c r="L29" s="10" t="n">
        <x:f>K29/Sources!$B$4*1000</x:f>
        <x:v>21.574809088866726</x:v>
      </x:c>
      <x:c r="M29" s="10" t="n">
        <x:f>E29/Sources!$B$4*1000</x:f>
        <x:v>39.87043045973824</x:v>
      </x:c>
      <x:c r="N29" s="9" t="n">
        <x:f>Sources!$B$6-K29</x:f>
        <x:v>-17492.00000000745</x:v>
      </x:c>
    </x:row>
    <x:row r="30" ht="23" customHeight="1">
      <x:c r="A30" s="9" t="n">
        <x:v>29</x:v>
      </x:c>
      <x:c r="B30" s="9" t="n">
        <x:v>321</x:v>
      </x:c>
      <x:c r="C30" s="9" t="n">
        <x:v>1089</x:v>
      </x:c>
      <x:c r="D30" s="9" t="n">
        <x:v>2</x:v>
      </x:c>
      <x:c r="E30" s="9" t="n">
        <x:v>142737</x:v>
      </x:c>
      <x:c r="F30" s="9" t="n">
        <x:v>791.9999999962747</x:v>
      </x:c>
      <x:c r="G30" s="9" t="n">
        <x:v>128522.00000000373</x:v>
      </x:c>
      <x:c r="H30" s="9" t="n">
        <x:v>12900</x:v>
      </x:c>
      <x:c r="I30" s="9" t="n">
        <x:v>417</x:v>
      </x:c>
      <x:c r="J30" s="9" t="n">
        <x:v>106</x:v>
      </x:c>
      <x:c r="K30" s="9" t="n">
        <x:f>F30+G30+I30+J30</x:f>
        <x:v>129837</x:v>
      </x:c>
      <x:c r="L30" s="10" t="n">
        <x:f>K30/Sources!$B$4*1000</x:f>
        <x:v>36.271928415482975</x:v>
      </x:c>
      <x:c r="M30" s="10" t="n">
        <x:f>E30/Sources!$B$4*1000</x:f>
        <x:v>39.87573839691916</x:v>
      </x:c>
      <x:c r="N30" s="9" t="n">
        <x:f>Sources!$B$6-K30</x:f>
        <x:v>-70101</x:v>
      </x:c>
    </x:row>
    <x:row r="31" ht="23" customHeight="1">
      <x:c r="A31" s="9" t="n">
        <x:v>30</x:v>
      </x:c>
      <x:c r="B31" s="9" t="n">
        <x:v>323</x:v>
      </x:c>
      <x:c r="C31" s="9" t="n">
        <x:v>1091</x:v>
      </x:c>
      <x:c r="D31" s="9" t="n">
        <x:v>2</x:v>
      </x:c>
      <x:c r="E31" s="9" t="n">
        <x:v>142720</x:v>
      </x:c>
      <x:c r="F31" s="9" t="n">
        <x:v>791.9999999962747</x:v>
      </x:c>
      <x:c r="G31" s="9" t="n">
        <x:v>91488.00000000373</x:v>
      </x:c>
      <x:c r="H31" s="9" t="n">
        <x:v>49924.999999996275</x:v>
      </x:c>
      <x:c r="I31" s="9" t="n">
        <x:v>409.0000000037253</x:v>
      </x:c>
      <x:c r="J31" s="9" t="n">
        <x:v>106</x:v>
      </x:c>
      <x:c r="K31" s="9" t="n">
        <x:f>F31+G31+I31+J31</x:f>
        <x:v>92795.00000000373</x:v>
      </x:c>
      <x:c r="L31" s="10" t="n">
        <x:f>K31/Sources!$B$4*1000</x:f>
        <x:v>25.923685831580194</x:v>
      </x:c>
      <x:c r="M31" s="10" t="n">
        <x:f>E31/Sources!$B$4*1000</x:f>
        <x:v>39.87098918996688</x:v>
      </x:c>
      <x:c r="N31" s="9" t="n">
        <x:f>Sources!$B$6-K31</x:f>
        <x:v>-33059.000000003725</x:v>
      </x:c>
    </x:row>
    <x:row r="32" ht="23" customHeight="1">
      <x:c r="A32" s="9" t="n">
        <x:v>31</x:v>
      </x:c>
      <x:c r="B32" s="9" t="n">
        <x:v>325</x:v>
      </x:c>
      <x:c r="C32" s="9" t="n">
        <x:v>1093</x:v>
      </x:c>
      <x:c r="D32" s="9" t="n">
        <x:v>2</x:v>
      </x:c>
      <x:c r="E32" s="9" t="n">
        <x:v>142735.99999999627</x:v>
      </x:c>
      <x:c r="F32" s="9" t="n">
        <x:v>791.9999999962747</x:v>
      </x:c>
      <x:c r="G32" s="9" t="n">
        <x:v>77301.00000000373</x:v>
      </x:c>
      <x:c r="H32" s="9" t="n">
        <x:v>64120</x:v>
      </x:c>
      <x:c r="I32" s="9" t="n">
        <x:v>417</x:v>
      </x:c>
      <x:c r="J32" s="9" t="n">
        <x:v>105.99999999627471</x:v>
      </x:c>
      <x:c r="K32" s="9" t="n">
        <x:f>F32+G32+I32+J32</x:f>
        <x:v>78615.99999999627</x:v>
      </x:c>
      <x:c r="L32" s="10" t="n">
        <x:f>K32/Sources!$B$4*1000</x:f>
        <x:v>21.962567868261544</x:v>
      </x:c>
      <x:c r="M32" s="10" t="n">
        <x:f>E32/Sources!$B$4*1000</x:f>
        <x:v>39.87545903180328</x:v>
      </x:c>
      <x:c r="N32" s="9" t="n">
        <x:f>Sources!$B$6-K32</x:f>
        <x:v>-18879.999999996275</x:v>
      </x:c>
    </x:row>
    <x:row r="33" ht="23" customHeight="1">
      <x:c r="A33" s="9" t="n">
        <x:v>32</x:v>
      </x:c>
      <x:c r="B33" s="9" t="n">
        <x:v>327</x:v>
      </x:c>
      <x:c r="C33" s="9" t="n">
        <x:v>1095</x:v>
      </x:c>
      <x:c r="D33" s="9" t="n">
        <x:v>2</x:v>
      </x:c>
      <x:c r="E33" s="9" t="n">
        <x:v>142722.00000000373</x:v>
      </x:c>
      <x:c r="F33" s="9" t="n">
        <x:v>792</x:v>
      </x:c>
      <x:c r="G33" s="9" t="n">
        <x:v>72899.99999999627</x:v>
      </x:c>
      <x:c r="H33" s="9" t="n">
        <x:v>68514.99999999627</x:v>
      </x:c>
      <x:c r="I33" s="9" t="n">
        <x:v>409</x:v>
      </x:c>
      <x:c r="J33" s="9" t="n">
        <x:v>106.00000001117587</x:v>
      </x:c>
      <x:c r="K33" s="9" t="n">
        <x:f>F33+G33+I33+J33</x:f>
        <x:v>74207.00000000745</x:v>
      </x:c>
      <x:c r="L33" s="10" t="n">
        <x:f>K33/Sources!$B$4*1000</x:f>
        <x:v>20.730847076935046</x:v>
      </x:c>
      <x:c r="M33" s="10" t="n">
        <x:f>E33/Sources!$B$4*1000</x:f>
        <x:v>39.8715479201976</x:v>
      </x:c>
      <x:c r="N33" s="9" t="n">
        <x:f>Sources!$B$6-K33</x:f>
        <x:v>-14471.00000000745</x:v>
      </x:c>
    </x:row>
    <x:row r="34" ht="23" customHeight="1">
      <x:c r="A34" s="9" t="n">
        <x:v>33</x:v>
      </x:c>
      <x:c r="B34" s="9" t="n">
        <x:v>329</x:v>
      </x:c>
      <x:c r="C34" s="9" t="n">
        <x:v>1097</x:v>
      </x:c>
      <x:c r="D34" s="9" t="n">
        <x:v>2</x:v>
      </x:c>
      <x:c r="E34" s="9" t="n">
        <x:v>142732</x:v>
      </x:c>
      <x:c r="F34" s="9" t="n">
        <x:v>791.9999999962747</x:v>
      </x:c>
      <x:c r="G34" s="9" t="n">
        <x:v>114307</x:v>
      </x:c>
      <x:c r="H34" s="9" t="n">
        <x:v>27109.999999996275</x:v>
      </x:c>
      <x:c r="I34" s="9" t="n">
        <x:v>417.0000000037253</x:v>
      </x:c>
      <x:c r="J34" s="9" t="n">
        <x:v>106.00000000372529</x:v>
      </x:c>
      <x:c r="K34" s="9" t="n">
        <x:f>F34+G34+I34+J34</x:f>
        <x:v>115622.00000000373</x:v>
      </x:c>
      <x:c r="L34" s="10" t="n">
        <x:f>K34/Sources!$B$4*1000</x:f>
        <x:v>32.30075330803321</x:v>
      </x:c>
      <x:c r="M34" s="10" t="n">
        <x:f>E34/Sources!$B$4*1000</x:f>
        <x:v>39.87434157134496</x:v>
      </x:c>
      <x:c r="N34" s="9" t="n">
        <x:f>Sources!$B$6-K34</x:f>
        <x:v>-55886.000000003725</x:v>
      </x:c>
    </x:row>
    <x:row r="35" ht="23" customHeight="1">
      <x:c r="A35" s="9" t="n">
        <x:v>34</x:v>
      </x:c>
      <x:c r="B35" s="9" t="n">
        <x:v>331</x:v>
      </x:c>
      <x:c r="C35" s="9" t="n">
        <x:v>1099</x:v>
      </x:c>
      <x:c r="D35" s="9" t="n">
        <x:v>2</x:v>
      </x:c>
      <x:c r="E35" s="9" t="n">
        <x:v>142720</x:v>
      </x:c>
      <x:c r="F35" s="9" t="n">
        <x:v>792</x:v>
      </x:c>
      <x:c r="G35" s="9" t="n">
        <x:v>91488</x:v>
      </x:c>
      <x:c r="H35" s="9" t="n">
        <x:v>49925</x:v>
      </x:c>
      <x:c r="I35" s="9" t="n">
        <x:v>409.0000000037253</x:v>
      </x:c>
      <x:c r="J35" s="9" t="n">
        <x:v>105.99999999627471</x:v>
      </x:c>
      <x:c r="K35" s="9" t="n">
        <x:f>F35+G35+I35+J35</x:f>
        <x:v>92795</x:v>
      </x:c>
      <x:c r="L35" s="10" t="n">
        <x:f>K35/Sources!$B$4*1000</x:f>
        <x:v>25.923685831579153</x:v>
      </x:c>
      <x:c r="M35" s="10" t="n">
        <x:f>E35/Sources!$B$4*1000</x:f>
        <x:v>39.87098918996688</x:v>
      </x:c>
      <x:c r="N35" s="9" t="n">
        <x:f>Sources!$B$6-K35</x:f>
        <x:v>-33059</x:v>
      </x:c>
    </x:row>
    <x:row r="36" ht="23" customHeight="1">
      <x:c r="A36" s="9" t="n">
        <x:v>35</x:v>
      </x:c>
      <x:c r="B36" s="9" t="n">
        <x:v>333</x:v>
      </x:c>
      <x:c r="C36" s="9" t="n">
        <x:v>1101</x:v>
      </x:c>
      <x:c r="D36" s="9" t="n">
        <x:v>2</x:v>
      </x:c>
      <x:c r="E36" s="9" t="n">
        <x:v>142735.99999999627</x:v>
      </x:c>
      <x:c r="F36" s="9" t="n">
        <x:v>792</x:v>
      </x:c>
      <x:c r="G36" s="9" t="n">
        <x:v>77301</x:v>
      </x:c>
      <x:c r="H36" s="9" t="n">
        <x:v>64120</x:v>
      </x:c>
      <x:c r="I36" s="9" t="n">
        <x:v>417</x:v>
      </x:c>
      <x:c r="J36" s="9" t="n">
        <x:v>105.99999999627471</x:v>
      </x:c>
      <x:c r="K36" s="9" t="n">
        <x:f>F36+G36+I36+J36</x:f>
        <x:v>78615.99999999627</x:v>
      </x:c>
      <x:c r="L36" s="10" t="n">
        <x:f>K36/Sources!$B$4*1000</x:f>
        <x:v>21.962567868261544</x:v>
      </x:c>
      <x:c r="M36" s="10" t="n">
        <x:f>E36/Sources!$B$4*1000</x:f>
        <x:v>39.87545903180328</x:v>
      </x:c>
      <x:c r="N36" s="9" t="n">
        <x:f>Sources!$B$6-K36</x:f>
        <x:v>-18879.999999996275</x:v>
      </x:c>
    </x:row>
    <x:row r="37" ht="23" customHeight="1">
      <x:c r="A37" s="9" t="n">
        <x:v>36</x:v>
      </x:c>
      <x:c r="B37" s="9" t="n">
        <x:v>335</x:v>
      </x:c>
      <x:c r="C37" s="9" t="n">
        <x:v>1103</x:v>
      </x:c>
      <x:c r="D37" s="9" t="n">
        <x:v>2</x:v>
      </x:c>
      <x:c r="E37" s="9" t="n">
        <x:v>142722.00000000373</x:v>
      </x:c>
      <x:c r="F37" s="9" t="n">
        <x:v>792.0000000037253</x:v>
      </x:c>
      <x:c r="G37" s="9" t="n">
        <x:v>72899.99999999627</x:v>
      </x:c>
      <x:c r="H37" s="9" t="n">
        <x:v>68515</x:v>
      </x:c>
      <x:c r="I37" s="9" t="n">
        <x:v>409.0000000037253</x:v>
      </x:c>
      <x:c r="J37" s="9" t="n">
        <x:v>106</x:v>
      </x:c>
      <x:c r="K37" s="9" t="n">
        <x:f>F37+G37+I37+J37</x:f>
        <x:v>74207.00000000373</x:v>
      </x:c>
      <x:c r="L37" s="10" t="n">
        <x:f>K37/Sources!$B$4*1000</x:f>
        <x:v>20.730847076934005</x:v>
      </x:c>
      <x:c r="M37" s="10" t="n">
        <x:f>E37/Sources!$B$4*1000</x:f>
        <x:v>39.8715479201976</x:v>
      </x:c>
      <x:c r="N37" s="9" t="n">
        <x:f>Sources!$B$6-K37</x:f>
        <x:v>-14471.000000003725</x:v>
      </x:c>
    </x:row>
    <x:row r="38" ht="23" customHeight="1">
      <x:c r="A38" s="9" t="n">
        <x:v>37</x:v>
      </x:c>
      <x:c r="B38" s="9" t="n">
        <x:v>337</x:v>
      </x:c>
      <x:c r="C38" s="9" t="n">
        <x:v>1105</x:v>
      </x:c>
      <x:c r="D38" s="9" t="n">
        <x:v>2</x:v>
      </x:c>
      <x:c r="E38" s="9" t="n">
        <x:v>142737</x:v>
      </x:c>
      <x:c r="F38" s="9" t="n">
        <x:v>791.9999999962747</x:v>
      </x:c>
      <x:c r="G38" s="9" t="n">
        <x:v>114307</x:v>
      </x:c>
      <x:c r="H38" s="9" t="n">
        <x:v>27114.999999996275</x:v>
      </x:c>
      <x:c r="I38" s="9" t="n">
        <x:v>417.0000000037253</x:v>
      </x:c>
      <x:c r="J38" s="9" t="n">
        <x:v>106.00000000372529</x:v>
      </x:c>
      <x:c r="K38" s="9" t="n">
        <x:f>F38+G38+I38+J38</x:f>
        <x:v>115622.00000000373</x:v>
      </x:c>
      <x:c r="L38" s="10" t="n">
        <x:f>K38/Sources!$B$4*1000</x:f>
        <x:v>32.30075330803321</x:v>
      </x:c>
      <x:c r="M38" s="10" t="n">
        <x:f>E38/Sources!$B$4*1000</x:f>
        <x:v>39.87573839691916</x:v>
      </x:c>
      <x:c r="N38" s="9" t="n">
        <x:f>Sources!$B$6-K38</x:f>
        <x:v>-55886.000000003725</x:v>
      </x:c>
    </x:row>
    <x:row r="39" ht="23" customHeight="1">
      <x:c r="A39" s="9" t="n">
        <x:v>38</x:v>
      </x:c>
      <x:c r="B39" s="9" t="n">
        <x:v>339</x:v>
      </x:c>
      <x:c r="C39" s="9" t="n">
        <x:v>1107</x:v>
      </x:c>
      <x:c r="D39" s="9" t="n">
        <x:v>2</x:v>
      </x:c>
      <x:c r="E39" s="9" t="n">
        <x:v>142720</x:v>
      </x:c>
      <x:c r="F39" s="9" t="n">
        <x:v>792</x:v>
      </x:c>
      <x:c r="G39" s="9" t="n">
        <x:v>91488</x:v>
      </x:c>
      <x:c r="H39" s="9" t="n">
        <x:v>49925</x:v>
      </x:c>
      <x:c r="I39" s="9" t="n">
        <x:v>409.0000000037253</x:v>
      </x:c>
      <x:c r="J39" s="9" t="n">
        <x:v>105.99999999627471</x:v>
      </x:c>
      <x:c r="K39" s="9" t="n">
        <x:f>F39+G39+I39+J39</x:f>
        <x:v>92795</x:v>
      </x:c>
      <x:c r="L39" s="10" t="n">
        <x:f>K39/Sources!$B$4*1000</x:f>
        <x:v>25.923685831579153</x:v>
      </x:c>
      <x:c r="M39" s="10" t="n">
        <x:f>E39/Sources!$B$4*1000</x:f>
        <x:v>39.87098918996688</x:v>
      </x:c>
      <x:c r="N39" s="9" t="n">
        <x:f>Sources!$B$6-K39</x:f>
        <x:v>-33059</x:v>
      </x:c>
    </x:row>
    <x:row r="40" ht="23" customHeight="1">
      <x:c r="A40" s="9" t="n">
        <x:v>39</x:v>
      </x:c>
      <x:c r="B40" s="9" t="n">
        <x:v>341</x:v>
      </x:c>
      <x:c r="C40" s="9" t="n">
        <x:v>1109</x:v>
      </x:c>
      <x:c r="D40" s="9" t="n">
        <x:v>2</x:v>
      </x:c>
      <x:c r="E40" s="9" t="n">
        <x:v>142735.99999999627</x:v>
      </x:c>
      <x:c r="F40" s="9" t="n">
        <x:v>792</x:v>
      </x:c>
      <x:c r="G40" s="9" t="n">
        <x:v>77301</x:v>
      </x:c>
      <x:c r="H40" s="9" t="n">
        <x:v>64120</x:v>
      </x:c>
      <x:c r="I40" s="9" t="n">
        <x:v>417</x:v>
      </x:c>
      <x:c r="J40" s="9" t="n">
        <x:v>105.99999999627471</x:v>
      </x:c>
      <x:c r="K40" s="9" t="n">
        <x:f>F40+G40+I40+J40</x:f>
        <x:v>78615.99999999627</x:v>
      </x:c>
      <x:c r="L40" s="10" t="n">
        <x:f>K40/Sources!$B$4*1000</x:f>
        <x:v>21.962567868261544</x:v>
      </x:c>
      <x:c r="M40" s="10" t="n">
        <x:f>E40/Sources!$B$4*1000</x:f>
        <x:v>39.87545903180328</x:v>
      </x:c>
      <x:c r="N40" s="9" t="n">
        <x:f>Sources!$B$6-K40</x:f>
        <x:v>-18879.999999996275</x:v>
      </x:c>
    </x:row>
    <x:row r="41" ht="23" customHeight="1">
      <x:c r="A41" s="9" t="n">
        <x:v>40</x:v>
      </x:c>
      <x:c r="B41" s="9" t="n">
        <x:v>343</x:v>
      </x:c>
      <x:c r="C41" s="9" t="n">
        <x:v>1111</x:v>
      </x:c>
      <x:c r="D41" s="9" t="n">
        <x:v>2</x:v>
      </x:c>
      <x:c r="E41" s="9" t="n">
        <x:v>142721.00000000373</x:v>
      </x:c>
      <x:c r="F41" s="9" t="n">
        <x:v>792.0000000037253</x:v>
      </x:c>
      <x:c r="G41" s="9" t="n">
        <x:v>72919</x:v>
      </x:c>
      <x:c r="H41" s="9" t="n">
        <x:v>68495</x:v>
      </x:c>
      <x:c r="I41" s="9" t="n">
        <x:v>409</x:v>
      </x:c>
      <x:c r="J41" s="9" t="n">
        <x:v>106</x:v>
      </x:c>
      <x:c r="K41" s="9" t="n">
        <x:f>F41+G41+I41+J41</x:f>
        <x:v>74226.00000000373</x:v>
      </x:c>
      <x:c r="L41" s="10" t="n">
        <x:f>K41/Sources!$B$4*1000</x:f>
        <x:v>20.736155014115965</x:v>
      </x:c>
      <x:c r="M41" s="10" t="n">
        <x:f>E41/Sources!$B$4*1000</x:f>
        <x:v>39.87126855508276</x:v>
      </x:c>
      <x:c r="N41" s="9" t="n">
        <x:f>Sources!$B$6-K41</x:f>
        <x:v>-14490.000000003725</x:v>
      </x:c>
    </x:row>
    <x:row r="42" ht="23" customHeight="1">
      <x:c r="A42" s="9" t="n">
        <x:v>41</x:v>
      </x:c>
      <x:c r="B42" s="9" t="n">
        <x:v>345</x:v>
      </x:c>
      <x:c r="C42" s="9" t="n">
        <x:v>1113</x:v>
      </x:c>
      <x:c r="D42" s="9" t="n">
        <x:v>2</x:v>
      </x:c>
      <x:c r="E42" s="9" t="n">
        <x:v>142736</x:v>
      </x:c>
      <x:c r="F42" s="9" t="n">
        <x:v>792</x:v>
      </x:c>
      <x:c r="G42" s="9" t="n">
        <x:v>114326</x:v>
      </x:c>
      <x:c r="H42" s="9" t="n">
        <x:v>27095</x:v>
      </x:c>
      <x:c r="I42" s="9" t="n">
        <x:v>417</x:v>
      </x:c>
      <x:c r="J42" s="9" t="n">
        <x:v>106</x:v>
      </x:c>
      <x:c r="K42" s="9" t="n">
        <x:f>F42+G42+I42+J42</x:f>
        <x:v>115641</x:v>
      </x:c>
      <x:c r="L42" s="10" t="n">
        <x:f>K42/Sources!$B$4*1000</x:f>
        <x:v>32.306061245214124</x:v>
      </x:c>
      <x:c r="M42" s="10" t="n">
        <x:f>E42/Sources!$B$4*1000</x:f>
        <x:v>39.87545903180432</x:v>
      </x:c>
      <x:c r="N42" s="9" t="n">
        <x:f>Sources!$B$6-K42</x:f>
        <x:v>-55905</x:v>
      </x:c>
    </x:row>
    <x:row r="43" ht="23" customHeight="1">
      <x:c r="A43" s="9" t="n">
        <x:v>42</x:v>
      </x:c>
      <x:c r="B43" s="9" t="n">
        <x:v>347</x:v>
      </x:c>
      <x:c r="C43" s="9" t="n">
        <x:v>1115</x:v>
      </x:c>
      <x:c r="D43" s="9" t="n">
        <x:v>2</x:v>
      </x:c>
      <x:c r="E43" s="9" t="n">
        <x:v>142717</x:v>
      </x:c>
      <x:c r="F43" s="9" t="n">
        <x:v>792.0000000037253</x:v>
      </x:c>
      <x:c r="G43" s="9" t="n">
        <x:v>91364.99999999627</x:v>
      </x:c>
      <x:c r="H43" s="9" t="n">
        <x:v>50045.000000003725</x:v>
      </x:c>
      <x:c r="I43" s="9" t="n">
        <x:v>409</x:v>
      </x:c>
      <x:c r="J43" s="9" t="n">
        <x:v>105.99999999627471</x:v>
      </x:c>
      <x:c r="K43" s="9" t="n">
        <x:f>F43+G43+I43+J43</x:f>
        <x:v>92671.99999999627</x:v>
      </x:c>
      <x:c r="L43" s="10" t="n">
        <x:f>K43/Sources!$B$4*1000</x:f>
        <x:v>25.88932392245279</x:v>
      </x:c>
      <x:c r="M43" s="10" t="n">
        <x:f>E43/Sources!$B$4*1000</x:f>
        <x:v>39.87015109462236</x:v>
      </x:c>
      <x:c r="N43" s="9" t="n">
        <x:f>Sources!$B$6-K43</x:f>
        <x:v>-32935.999999996275</x:v>
      </x:c>
    </x:row>
    <x:row r="44" ht="23" customHeight="1">
      <x:c r="A44" s="9" t="n">
        <x:v>43</x:v>
      </x:c>
      <x:c r="B44" s="9" t="n">
        <x:v>349</x:v>
      </x:c>
      <x:c r="C44" s="9" t="n">
        <x:v>1117</x:v>
      </x:c>
      <x:c r="D44" s="9" t="n">
        <x:v>2</x:v>
      </x:c>
      <x:c r="E44" s="9" t="n">
        <x:v>142735</x:v>
      </x:c>
      <x:c r="F44" s="9" t="n">
        <x:v>792</x:v>
      </x:c>
      <x:c r="G44" s="9" t="n">
        <x:v>77320</x:v>
      </x:c>
      <x:c r="H44" s="9" t="n">
        <x:v>64100</x:v>
      </x:c>
      <x:c r="I44" s="9" t="n">
        <x:v>416.9999999962747</x:v>
      </x:c>
      <x:c r="J44" s="9" t="n">
        <x:v>106.00000000372529</x:v>
      </x:c>
      <x:c r="K44" s="9" t="n">
        <x:f>F44+G44+I44+J44</x:f>
        <x:v>78635</x:v>
      </x:c>
      <x:c r="L44" s="10" t="n">
        <x:f>K44/Sources!$B$4*1000</x:f>
        <x:v>21.967875805444546</x:v>
      </x:c>
      <x:c r="M44" s="10" t="n">
        <x:f>E44/Sources!$B$4*1000</x:f>
        <x:v>39.875179666689476</x:v>
      </x:c>
      <x:c r="N44" s="9" t="n">
        <x:f>Sources!$B$6-K44</x:f>
        <x:v>-18899</x:v>
      </x:c>
    </x:row>
    <x:row r="45" ht="23" customHeight="1">
      <x:c r="A45" s="9" t="n">
        <x:v>44</x:v>
      </x:c>
      <x:c r="B45" s="9" t="n">
        <x:v>351</x:v>
      </x:c>
      <x:c r="C45" s="9" t="n">
        <x:v>1119</x:v>
      </x:c>
      <x:c r="D45" s="9" t="n">
        <x:v>2</x:v>
      </x:c>
      <x:c r="E45" s="9" t="n">
        <x:v>142721</x:v>
      </x:c>
      <x:c r="F45" s="9" t="n">
        <x:v>791.9999999962747</x:v>
      </x:c>
      <x:c r="G45" s="9" t="n">
        <x:v>72918.99999999627</x:v>
      </x:c>
      <x:c r="H45" s="9" t="n">
        <x:v>68495.00000000373</x:v>
      </x:c>
      <x:c r="I45" s="9" t="n">
        <x:v>409</x:v>
      </x:c>
      <x:c r="J45" s="9" t="n">
        <x:v>106.00000000372529</x:v>
      </x:c>
      <x:c r="K45" s="9" t="n">
        <x:f>F45+G45+I45+J45</x:f>
        <x:v>74225.99999999627</x:v>
      </x:c>
      <x:c r="L45" s="10" t="n">
        <x:f>K45/Sources!$B$4*1000</x:f>
        <x:v>20.736155014113884</x:v>
      </x:c>
      <x:c r="M45" s="10" t="n">
        <x:f>E45/Sources!$B$4*1000</x:f>
        <x:v>39.87126855508172</x:v>
      </x:c>
      <x:c r="N45" s="9" t="n">
        <x:f>Sources!$B$6-K45</x:f>
        <x:v>-14489.999999996275</x:v>
      </x:c>
    </x:row>
    <x:row r="46" ht="23" customHeight="1">
      <x:c r="A46" s="9" t="n">
        <x:v>45</x:v>
      </x:c>
      <x:c r="B46" s="9" t="n">
        <x:v>353</x:v>
      </x:c>
      <x:c r="C46" s="9" t="n">
        <x:v>1121</x:v>
      </x:c>
      <x:c r="D46" s="9" t="n">
        <x:v>2</x:v>
      </x:c>
      <x:c r="E46" s="9" t="n">
        <x:v>142736</x:v>
      </x:c>
      <x:c r="F46" s="9" t="n">
        <x:v>792.0000000037253</x:v>
      </x:c>
      <x:c r="G46" s="9" t="n">
        <x:v>114326</x:v>
      </x:c>
      <x:c r="H46" s="9" t="n">
        <x:v>27095.000000003725</x:v>
      </x:c>
      <x:c r="I46" s="9" t="n">
        <x:v>417</x:v>
      </x:c>
      <x:c r="J46" s="9" t="n">
        <x:v>105.99999999254942</x:v>
      </x:c>
      <x:c r="K46" s="9" t="n">
        <x:f>F46+G46+I46+J46</x:f>
        <x:v>115640.99999999627</x:v>
      </x:c>
      <x:c r="L46" s="10" t="n">
        <x:f>K46/Sources!$B$4*1000</x:f>
        <x:v>32.30606124521308</x:v>
      </x:c>
      <x:c r="M46" s="10" t="n">
        <x:f>E46/Sources!$B$4*1000</x:f>
        <x:v>39.87545903180432</x:v>
      </x:c>
      <x:c r="N46" s="9" t="n">
        <x:f>Sources!$B$6-K46</x:f>
        <x:v>-55904.999999996275</x:v>
      </x:c>
    </x:row>
    <x:row r="47" ht="23" customHeight="1">
      <x:c r="A47" s="9" t="n">
        <x:v>46</x:v>
      </x:c>
      <x:c r="B47" s="9" t="n">
        <x:v>355</x:v>
      </x:c>
      <x:c r="C47" s="9" t="n">
        <x:v>1123</x:v>
      </x:c>
      <x:c r="D47" s="9" t="n">
        <x:v>2</x:v>
      </x:c>
      <x:c r="E47" s="9" t="n">
        <x:v>142721.99999999627</x:v>
      </x:c>
      <x:c r="F47" s="9" t="n">
        <x:v>791.9999999962747</x:v>
      </x:c>
      <x:c r="G47" s="9" t="n">
        <x:v>91365.00000000373</x:v>
      </x:c>
      <x:c r="H47" s="9" t="n">
        <x:v>50050</x:v>
      </x:c>
      <x:c r="I47" s="9" t="n">
        <x:v>409</x:v>
      </x:c>
      <x:c r="J47" s="9" t="n">
        <x:v>105.99999999627471</x:v>
      </x:c>
      <x:c r="K47" s="9" t="n">
        <x:f>F47+G47+I47+J47</x:f>
        <x:v>92671.99999999627</x:v>
      </x:c>
      <x:c r="L47" s="10" t="n">
        <x:f>K47/Sources!$B$4*1000</x:f>
        <x:v>25.88932392245279</x:v>
      </x:c>
      <x:c r="M47" s="10" t="n">
        <x:f>E47/Sources!$B$4*1000</x:f>
        <x:v>39.87154792019552</x:v>
      </x:c>
      <x:c r="N47" s="9" t="n">
        <x:f>Sources!$B$6-K47</x:f>
        <x:v>-32935.999999996275</x:v>
      </x:c>
    </x:row>
    <x:row r="48" ht="23" customHeight="1">
      <x:c r="A48" s="9" t="n">
        <x:v>47</x:v>
      </x:c>
      <x:c r="B48" s="9" t="n">
        <x:v>357</x:v>
      </x:c>
      <x:c r="C48" s="9" t="n">
        <x:v>1125</x:v>
      </x:c>
      <x:c r="D48" s="9" t="n">
        <x:v>2</x:v>
      </x:c>
      <x:c r="E48" s="9" t="n">
        <x:v>142735.00000000373</x:v>
      </x:c>
      <x:c r="F48" s="9" t="n">
        <x:v>792.0000000037253</x:v>
      </x:c>
      <x:c r="G48" s="9" t="n">
        <x:v>77320</x:v>
      </x:c>
      <x:c r="H48" s="9" t="n">
        <x:v>64100</x:v>
      </x:c>
      <x:c r="I48" s="9" t="n">
        <x:v>417</x:v>
      </x:c>
      <x:c r="J48" s="9" t="n">
        <x:v>106</x:v>
      </x:c>
      <x:c r="K48" s="9" t="n">
        <x:f>F48+G48+I48+J48</x:f>
        <x:v>78635.00000000373</x:v>
      </x:c>
      <x:c r="L48" s="10" t="n">
        <x:f>K48/Sources!$B$4*1000</x:f>
        <x:v>21.967875805445587</x:v>
      </x:c>
      <x:c r="M48" s="10" t="n">
        <x:f>E48/Sources!$B$4*1000</x:f>
        <x:v>39.87517966669052</x:v>
      </x:c>
      <x:c r="N48" s="9" t="n">
        <x:f>Sources!$B$6-K48</x:f>
        <x:v>-18899.000000003725</x:v>
      </x:c>
    </x:row>
    <x:row r="49" ht="23" customHeight="1">
      <x:c r="A49" s="9" t="n">
        <x:v>48</x:v>
      </x:c>
      <x:c r="B49" s="9" t="n">
        <x:v>355</x:v>
      </x:c>
      <x:c r="C49" s="9" t="n">
        <x:v>1123</x:v>
      </x:c>
      <x:c r="D49" s="9" t="n">
        <x:v>2</x:v>
      </x:c>
      <x:c r="E49" s="9" t="n">
        <x:v>71355.99999999627</x:v>
      </x:c>
      <x:c r="F49" s="9" t="n">
        <x:v>858</x:v>
      </x:c>
      <x:c r="G49" s="9" t="n">
        <x:v>26418</x:v>
      </x:c>
      <x:c r="H49" s="9" t="n">
        <x:v>43565.000000003725</x:v>
      </x:c>
      <x:c r="I49" s="9" t="n">
        <x:v>409</x:v>
      </x:c>
      <x:c r="J49" s="9" t="n">
        <x:v>105.99999999254942</x:v>
      </x:c>
      <x:c r="K49" s="9" t="n">
        <x:f>F49+G49+I49+J49</x:f>
        <x:v>27790.99999999255</x:v>
      </x:c>
      <x:c r="L49" s="10" t="n">
        <x:f>K49/Sources!$B$4*1000</x:f>
        <x:v>7.763835906516764</x:v>
      </x:c>
      <x:c r="M49" s="10" t="n">
        <x:f>E49/Sources!$B$4*1000</x:f>
        <x:v>19.93437713452304</x:v>
      </x:c>
      <x:c r="N49" s="9" t="n">
        <x:f>Sources!$B$6-K49</x:f>
        <x:v>31945.00000000745</x:v>
      </x:c>
    </x:row>
    <x:row r="50" ht="23" customHeight="1">
      <x:c r="A50" s="9" t="n">
        <x:v>49</x:v>
      </x:c>
      <x:c r="B50" s="9" t="n">
        <x:v>354</x:v>
      </x:c>
      <x:c r="C50" s="9" t="n">
        <x:v>1122</x:v>
      </x:c>
      <x:c r="D50" s="9" t="n">
        <x:v>1</x:v>
      </x:c>
      <x:c r="E50" s="9" t="n">
        <x:v>142735.00000000373</x:v>
      </x:c>
      <x:c r="F50" s="9" t="n">
        <x:v>858.0000000037253</x:v>
      </x:c>
      <x:c r="G50" s="9" t="n">
        <x:v>78999</x:v>
      </x:c>
      <x:c r="H50" s="9" t="n">
        <x:v>62355</x:v>
      </x:c>
      <x:c r="I50" s="9" t="n">
        <x:v>417</x:v>
      </x:c>
      <x:c r="J50" s="9" t="n">
        <x:v>106</x:v>
      </x:c>
      <x:c r="K50" s="9" t="n">
        <x:f>F50+G50+I50+J50</x:f>
        <x:v>80380.00000000373</x:v>
      </x:c>
      <x:c r="L50" s="10" t="n">
        <x:f>K50/Sources!$B$4*1000</x:f>
        <x:v>22.455367930841412</x:v>
      </x:c>
      <x:c r="M50" s="10" t="n">
        <x:f>E50/Sources!$B$4*1000</x:f>
        <x:v>39.87517966669052</x:v>
      </x:c>
      <x:c r="N50" s="9" t="n">
        <x:f>Sources!$B$6-K50</x:f>
        <x:v>-20644.000000003725</x:v>
      </x:c>
    </x:row>
    <x:row r="51" ht="23" customHeight="1">
      <x:c r="A51" s="9" t="n">
        <x:v>50</x:v>
      </x:c>
      <x:c r="B51" s="9" t="n">
        <x:v>352</x:v>
      </x:c>
      <x:c r="C51" s="9" t="n">
        <x:v>1120</x:v>
      </x:c>
      <x:c r="D51" s="9" t="n">
        <x:v>2</x:v>
      </x:c>
      <x:c r="E51" s="9" t="n">
        <x:v>71357</x:v>
      </x:c>
      <x:c r="F51" s="9" t="n">
        <x:v>858</x:v>
      </x:c>
      <x:c r="G51" s="9" t="n">
        <x:v>51144.000000003725</x:v>
      </x:c>
      <x:c r="H51" s="9" t="n">
        <x:v>18840</x:v>
      </x:c>
      <x:c r="I51" s="9" t="n">
        <x:v>409.0000000037253</x:v>
      </x:c>
      <x:c r="J51" s="9" t="n">
        <x:v>105.99999999254942</x:v>
      </x:c>
      <x:c r="K51" s="9" t="n">
        <x:f>F51+G51+I51+J51</x:f>
        <x:v>52517</x:v>
      </x:c>
      <x:c r="L51" s="10" t="n">
        <x:f>K51/Sources!$B$4*1000</x:f>
        <x:v>14.671417736053046</x:v>
      </x:c>
      <x:c r="M51" s="10" t="n">
        <x:f>E51/Sources!$B$4*1000</x:f>
        <x:v>19.93465649963892</x:v>
      </x:c>
      <x:c r="N51" s="9" t="n">
        <x:f>Sources!$B$6-K51</x:f>
        <x:v>7219</x:v>
      </x:c>
    </x:row>
    <x:row r="52" ht="23" customHeight="1">
      <x:c r="A52" s="9" t="n">
        <x:v>51</x:v>
      </x:c>
      <x:c r="B52" s="9" t="n">
        <x:v>351</x:v>
      </x:c>
      <x:c r="C52" s="9" t="n">
        <x:v>1119</x:v>
      </x:c>
      <x:c r="D52" s="9" t="n">
        <x:v>1</x:v>
      </x:c>
      <x:c r="E52" s="9" t="n">
        <x:v>142735</x:v>
      </x:c>
      <x:c r="F52" s="9" t="n">
        <x:v>858</x:v>
      </x:c>
      <x:c r="G52" s="9" t="n">
        <x:v>110118.99999999627</x:v>
      </x:c>
      <x:c r="H52" s="9" t="n">
        <x:v>31235</x:v>
      </x:c>
      <x:c r="I52" s="9" t="n">
        <x:v>416.9999999962747</x:v>
      </x:c>
      <x:c r="J52" s="9" t="n">
        <x:v>106.00000000745058</x:v>
      </x:c>
      <x:c r="K52" s="9" t="n">
        <x:f>F52+G52+I52+J52</x:f>
        <x:v>111500</x:v>
      </x:c>
      <x:c r="L52" s="10" t="n">
        <x:f>K52/Sources!$B$4*1000</x:f>
        <x:v>31.149210304661626</x:v>
      </x:c>
      <x:c r="M52" s="10" t="n">
        <x:f>E52/Sources!$B$4*1000</x:f>
        <x:v>39.875179666689476</x:v>
      </x:c>
      <x:c r="N52" s="9" t="n">
        <x:f>Sources!$B$6-K52</x:f>
        <x:v>-51764</x:v>
      </x:c>
    </x:row>
    <x:row r="53" ht="23" customHeight="1">
      <x:c r="A53" s="9" t="n">
        <x:v>52</x:v>
      </x:c>
      <x:c r="B53" s="9" t="n">
        <x:v>349</x:v>
      </x:c>
      <x:c r="C53" s="9" t="n">
        <x:v>1117</x:v>
      </x:c>
      <x:c r="D53" s="9" t="n">
        <x:v>2</x:v>
      </x:c>
      <x:c r="E53" s="9" t="n">
        <x:v>142723</x:v>
      </x:c>
      <x:c r="F53" s="9" t="n">
        <x:v>857.9999999962747</x:v>
      </x:c>
      <x:c r="G53" s="9" t="n">
        <x:v>88305</x:v>
      </x:c>
      <x:c r="H53" s="9" t="n">
        <x:v>53044.999999996275</x:v>
      </x:c>
      <x:c r="I53" s="9" t="n">
        <x:v>409.0000000037253</x:v>
      </x:c>
      <x:c r="J53" s="9" t="n">
        <x:v>106.00000000372529</x:v>
      </x:c>
      <x:c r="K53" s="9" t="n">
        <x:f>F53+G53+I53+J53</x:f>
        <x:v>89678.00000000373</x:v>
      </x:c>
      <x:c r="L53" s="10" t="n">
        <x:f>K53/Sources!$B$4*1000</x:f>
        <x:v>25.05290476862387</x:v>
      </x:c>
      <x:c r="M53" s="10" t="n">
        <x:f>E53/Sources!$B$4*1000</x:f>
        <x:v>39.8718272853114</x:v>
      </x:c>
      <x:c r="N53" s="9" t="n">
        <x:f>Sources!$B$6-K53</x:f>
        <x:v>-29942.000000003725</x:v>
      </x:c>
    </x:row>
    <x:row r="54" ht="23" customHeight="1">
      <x:c r="A54" s="9" t="n">
        <x:v>53</x:v>
      </x:c>
      <x:c r="B54" s="9" t="n">
        <x:v>347</x:v>
      </x:c>
      <x:c r="C54" s="9" t="n">
        <x:v>1115</x:v>
      </x:c>
      <x:c r="D54" s="9" t="n">
        <x:v>2</x:v>
      </x:c>
      <x:c r="E54" s="9" t="n">
        <x:v>142731.99999999627</x:v>
      </x:c>
      <x:c r="F54" s="9" t="n">
        <x:v>858</x:v>
      </x:c>
      <x:c r="G54" s="9" t="n">
        <x:v>79596.00000000373</x:v>
      </x:c>
      <x:c r="H54" s="9" t="n">
        <x:v>61755</x:v>
      </x:c>
      <x:c r="I54" s="9" t="n">
        <x:v>417.0000000037253</x:v>
      </x:c>
      <x:c r="J54" s="9" t="n">
        <x:v>105.99999998882413</x:v>
      </x:c>
      <x:c r="K54" s="9" t="n">
        <x:f>F54+G54+I54+J54</x:f>
        <x:v>80976.99999999627</x:v>
      </x:c>
      <x:c r="L54" s="10" t="n">
        <x:f>K54/Sources!$B$4*1000</x:f>
        <x:v>22.62214890439882</x:v>
      </x:c>
      <x:c r="M54" s="10" t="n">
        <x:f>E54/Sources!$B$4*1000</x:f>
        <x:v>39.87434157134392</x:v>
      </x:c>
      <x:c r="N54" s="9" t="n">
        <x:f>Sources!$B$6-K54</x:f>
        <x:v>-21240.999999996275</x:v>
      </x:c>
    </x:row>
    <x:row r="55" ht="23" customHeight="1">
      <x:c r="A55" s="9" t="n">
        <x:v>54</x:v>
      </x:c>
      <x:c r="B55" s="9" t="n">
        <x:v>345</x:v>
      </x:c>
      <x:c r="C55" s="9" t="n">
        <x:v>1113</x:v>
      </x:c>
      <x:c r="D55" s="9" t="n">
        <x:v>2</x:v>
      </x:c>
      <x:c r="E55" s="9" t="n">
        <x:v>142724</x:v>
      </x:c>
      <x:c r="F55" s="9" t="n">
        <x:v>858</x:v>
      </x:c>
      <x:c r="G55" s="9" t="n">
        <x:v>76461</x:v>
      </x:c>
      <x:c r="H55" s="9" t="n">
        <x:v>64890</x:v>
      </x:c>
      <x:c r="I55" s="9" t="n">
        <x:v>409</x:v>
      </x:c>
      <x:c r="J55" s="9" t="n">
        <x:v>106</x:v>
      </x:c>
      <x:c r="K55" s="9" t="n">
        <x:f>F55+G55+I55+J55</x:f>
        <x:v>77834</x:v>
      </x:c>
      <x:c r="L55" s="10" t="n">
        <x:f>K55/Sources!$B$4*1000</x:f>
        <x:v>21.744104348457693</x:v>
      </x:c>
      <x:c r="M55" s="10" t="n">
        <x:f>E55/Sources!$B$4*1000</x:f>
        <x:v>39.87210665042624</x:v>
      </x:c>
      <x:c r="N55" s="9" t="n">
        <x:f>Sources!$B$6-K55</x:f>
        <x:v>-18098</x:v>
      </x:c>
    </x:row>
    <x:row r="56" ht="23" customHeight="1">
      <x:c r="A56" s="9" t="n">
        <x:v>55</x:v>
      </x:c>
      <x:c r="B56" s="9" t="n">
        <x:v>343</x:v>
      </x:c>
      <x:c r="C56" s="9" t="n">
        <x:v>1111</x:v>
      </x:c>
      <x:c r="D56" s="9" t="n">
        <x:v>2</x:v>
      </x:c>
      <x:c r="E56" s="9" t="n">
        <x:v>142734.00000000373</x:v>
      </x:c>
      <x:c r="F56" s="9" t="n">
        <x:v>858.0000000037253</x:v>
      </x:c>
      <x:c r="G56" s="9" t="n">
        <x:v>110022.99999999627</x:v>
      </x:c>
      <x:c r="H56" s="9" t="n">
        <x:v>31329.999999996275</x:v>
      </x:c>
      <x:c r="I56" s="9" t="n">
        <x:v>417.0000000037253</x:v>
      </x:c>
      <x:c r="J56" s="9" t="n">
        <x:v>106.00000000372529</x:v>
      </x:c>
      <x:c r="K56" s="9" t="n">
        <x:f>F56+G56+I56+J56</x:f>
        <x:v>111404.00000000745</x:v>
      </x:c>
      <x:c r="L56" s="10" t="n">
        <x:f>K56/Sources!$B$4*1000</x:f>
        <x:v>31.122391253639066</x:v>
      </x:c>
      <x:c r="M56" s="10" t="n">
        <x:f>E56/Sources!$B$4*1000</x:f>
        <x:v>39.87490030157568</x:v>
      </x:c>
      <x:c r="N56" s="9" t="n">
        <x:f>Sources!$B$6-K56</x:f>
        <x:v>-51668.00000000745</x:v>
      </x:c>
    </x:row>
    <x:row r="57" ht="23" customHeight="1">
      <x:c r="A57" s="9" t="n">
        <x:v>56</x:v>
      </x:c>
      <x:c r="B57" s="9" t="n">
        <x:v>341</x:v>
      </x:c>
      <x:c r="C57" s="9" t="n">
        <x:v>1109</x:v>
      </x:c>
      <x:c r="D57" s="9" t="n">
        <x:v>2</x:v>
      </x:c>
      <x:c r="E57" s="9" t="n">
        <x:v>142718.99999999627</x:v>
      </x:c>
      <x:c r="F57" s="9" t="n">
        <x:v>858</x:v>
      </x:c>
      <x:c r="G57" s="9" t="n">
        <x:v>89056</x:v>
      </x:c>
      <x:c r="H57" s="9" t="n">
        <x:v>52290</x:v>
      </x:c>
      <x:c r="I57" s="9" t="n">
        <x:v>409</x:v>
      </x:c>
      <x:c r="J57" s="9" t="n">
        <x:v>105.99999999627471</x:v>
      </x:c>
      <x:c r="K57" s="9" t="n">
        <x:f>F57+G57+I57+J57</x:f>
        <x:v>90428.99999999627</x:v>
      </x:c>
      <x:c r="L57" s="10" t="n">
        <x:f>K57/Sources!$B$4*1000</x:f>
        <x:v>25.262707969866636</x:v>
      </x:c>
      <x:c r="M57" s="10" t="n">
        <x:f>E57/Sources!$B$4*1000</x:f>
        <x:v>39.870709824851</x:v>
      </x:c>
      <x:c r="N57" s="9" t="n">
        <x:f>Sources!$B$6-K57</x:f>
        <x:v>-30692.999999996275</x:v>
      </x:c>
    </x:row>
    <x:row r="58" ht="23" customHeight="1">
      <x:c r="A58" s="9" t="n">
        <x:v>57</x:v>
      </x:c>
      <x:c r="B58" s="9" t="n">
        <x:v>339</x:v>
      </x:c>
      <x:c r="C58" s="9" t="n">
        <x:v>1107</x:v>
      </x:c>
      <x:c r="D58" s="9" t="n">
        <x:v>2</x:v>
      </x:c>
      <x:c r="E58" s="9" t="n">
        <x:v>142735.00000000373</x:v>
      </x:c>
      <x:c r="F58" s="9" t="n">
        <x:v>858.0000000037253</x:v>
      </x:c>
      <x:c r="G58" s="9" t="n">
        <x:v>79719</x:v>
      </x:c>
      <x:c r="H58" s="9" t="n">
        <x:v>61635</x:v>
      </x:c>
      <x:c r="I58" s="9" t="n">
        <x:v>417</x:v>
      </x:c>
      <x:c r="J58" s="9" t="n">
        <x:v>106</x:v>
      </x:c>
      <x:c r="K58" s="9" t="n">
        <x:f>F58+G58+I58+J58</x:f>
        <x:v>81100.00000000373</x:v>
      </x:c>
      <x:c r="L58" s="10" t="n">
        <x:f>K58/Sources!$B$4*1000</x:f>
        <x:v>22.656510813526225</x:v>
      </x:c>
      <x:c r="M58" s="10" t="n">
        <x:f>E58/Sources!$B$4*1000</x:f>
        <x:v>39.87517966669052</x:v>
      </x:c>
      <x:c r="N58" s="9" t="n">
        <x:f>Sources!$B$6-K58</x:f>
        <x:v>-21364.000000003725</x:v>
      </x:c>
    </x:row>
    <x:row r="59" ht="23" customHeight="1">
      <x:c r="A59" s="9" t="n">
        <x:v>58</x:v>
      </x:c>
      <x:c r="B59" s="9" t="n">
        <x:v>337</x:v>
      </x:c>
      <x:c r="C59" s="9" t="n">
        <x:v>1105</x:v>
      </x:c>
      <x:c r="D59" s="9" t="n">
        <x:v>2</x:v>
      </x:c>
      <x:c r="E59" s="9" t="n">
        <x:v>142720</x:v>
      </x:c>
      <x:c r="F59" s="9" t="n">
        <x:v>857.9999999962747</x:v>
      </x:c>
      <x:c r="G59" s="9" t="n">
        <x:v>76442.00000000373</x:v>
      </x:c>
      <x:c r="H59" s="9" t="n">
        <x:v>64905</x:v>
      </x:c>
      <x:c r="I59" s="9" t="n">
        <x:v>409.0000000037253</x:v>
      </x:c>
      <x:c r="J59" s="9" t="n">
        <x:v>105.99999999627471</x:v>
      </x:c>
      <x:c r="K59" s="9" t="n">
        <x:f>F59+G59+I59+J59</x:f>
        <x:v>77815</x:v>
      </x:c>
      <x:c r="L59" s="10" t="n">
        <x:f>K59/Sources!$B$4*1000</x:f>
        <x:v>21.738796411275732</x:v>
      </x:c>
      <x:c r="M59" s="10" t="n">
        <x:f>E59/Sources!$B$4*1000</x:f>
        <x:v>39.87098918996688</x:v>
      </x:c>
      <x:c r="N59" s="9" t="n">
        <x:f>Sources!$B$6-K59</x:f>
        <x:v>-18079</x:v>
      </x:c>
    </x:row>
    <x:row r="60" ht="23" customHeight="1">
      <x:c r="A60" s="9" t="n">
        <x:v>59</x:v>
      </x:c>
      <x:c r="B60" s="9" t="n">
        <x:v>335</x:v>
      </x:c>
      <x:c r="C60" s="9" t="n">
        <x:v>1103</x:v>
      </x:c>
      <x:c r="D60" s="9" t="n">
        <x:v>2</x:v>
      </x:c>
      <x:c r="E60" s="9" t="n">
        <x:v>142739.99999999627</x:v>
      </x:c>
      <x:c r="F60" s="9" t="n">
        <x:v>857.9999999962747</x:v>
      </x:c>
      <x:c r="G60" s="9" t="n">
        <x:v>110004.00000000373</x:v>
      </x:c>
      <x:c r="H60" s="9" t="n">
        <x:v>31355</x:v>
      </x:c>
      <x:c r="I60" s="9" t="n">
        <x:v>417</x:v>
      </x:c>
      <x:c r="J60" s="9" t="n">
        <x:v>105.99999999627471</x:v>
      </x:c>
      <x:c r="K60" s="9" t="n">
        <x:f>F60+G60+I60+J60</x:f>
        <x:v>111384.99999999627</x:v>
      </x:c>
      <x:c r="L60" s="10" t="n">
        <x:f>K60/Sources!$B$4*1000</x:f>
        <x:v>31.117083316453986</x:v>
      </x:c>
      <x:c r="M60" s="10" t="n">
        <x:f>E60/Sources!$B$4*1000</x:f>
        <x:v>39.87657649226264</x:v>
      </x:c>
      <x:c r="N60" s="9" t="n">
        <x:f>Sources!$B$6-K60</x:f>
        <x:v>-51648.999999996275</x:v>
      </x:c>
    </x:row>
    <x:row r="61" ht="23" customHeight="1">
      <x:c r="A61" s="9" t="n">
        <x:v>60</x:v>
      </x:c>
      <x:c r="B61" s="9" t="n">
        <x:v>333</x:v>
      </x:c>
      <x:c r="C61" s="9" t="n">
        <x:v>1101</x:v>
      </x:c>
      <x:c r="D61" s="9" t="n">
        <x:v>2</x:v>
      </x:c>
      <x:c r="E61" s="9" t="n">
        <x:v>142719.00000000373</x:v>
      </x:c>
      <x:c r="F61" s="9" t="n">
        <x:v>858.0000000037253</x:v>
      </x:c>
      <x:c r="G61" s="9" t="n">
        <x:v>89055.99999999627</x:v>
      </x:c>
      <x:c r="H61" s="9" t="n">
        <x:v>52290.000000003725</x:v>
      </x:c>
      <x:c r="I61" s="9" t="n">
        <x:v>408.9999999962747</x:v>
      </x:c>
      <x:c r="J61" s="9" t="n">
        <x:v>106.00000000372529</x:v>
      </x:c>
      <x:c r="K61" s="9" t="n">
        <x:f>F61+G61+I61+J61</x:f>
        <x:v>90429</x:v>
      </x:c>
      <x:c r="L61" s="10" t="n">
        <x:f>K61/Sources!$B$4*1000</x:f>
        <x:v>25.262707969867677</x:v>
      </x:c>
      <x:c r="M61" s="10" t="n">
        <x:f>E61/Sources!$B$4*1000</x:f>
        <x:v>39.87070982485308</x:v>
      </x:c>
      <x:c r="N61" s="9" t="n">
        <x:f>Sources!$B$6-K61</x:f>
        <x:v>-30693</x:v>
      </x:c>
    </x:row>
    <x:row r="62" ht="23" customHeight="1">
      <x:c r="A62" s="9" t="n">
        <x:v>61</x:v>
      </x:c>
      <x:c r="B62" s="9" t="n">
        <x:v>331</x:v>
      </x:c>
      <x:c r="C62" s="9" t="n">
        <x:v>1099</x:v>
      </x:c>
      <x:c r="D62" s="9" t="n">
        <x:v>2</x:v>
      </x:c>
      <x:c r="E62" s="9" t="n">
        <x:v>142735</x:v>
      </x:c>
      <x:c r="F62" s="9" t="n">
        <x:v>858.0000000037253</x:v>
      </x:c>
      <x:c r="G62" s="9" t="n">
        <x:v>79719</x:v>
      </x:c>
      <x:c r="H62" s="9" t="n">
        <x:v>61634.999999996275</x:v>
      </x:c>
      <x:c r="I62" s="9" t="n">
        <x:v>417.0000000037253</x:v>
      </x:c>
      <x:c r="J62" s="9" t="n">
        <x:v>105.99999999627471</x:v>
      </x:c>
      <x:c r="K62" s="9" t="n">
        <x:f>F62+G62+I62+J62</x:f>
        <x:v>81100.00000000373</x:v>
      </x:c>
      <x:c r="L62" s="10" t="n">
        <x:f>K62/Sources!$B$4*1000</x:f>
        <x:v>22.656510813526225</x:v>
      </x:c>
      <x:c r="M62" s="10" t="n">
        <x:f>E62/Sources!$B$4*1000</x:f>
        <x:v>39.875179666689476</x:v>
      </x:c>
      <x:c r="N62" s="9" t="n">
        <x:f>Sources!$B$6-K62</x:f>
        <x:v>-21364.000000003725</x:v>
      </x:c>
    </x:row>
    <x:row r="63" ht="23" customHeight="1">
      <x:c r="A63" s="9" t="n">
        <x:v>62</x:v>
      </x:c>
      <x:c r="B63" s="9" t="n">
        <x:v>329</x:v>
      </x:c>
      <x:c r="C63" s="9" t="n">
        <x:v>1097</x:v>
      </x:c>
      <x:c r="D63" s="9" t="n">
        <x:v>2</x:v>
      </x:c>
      <x:c r="E63" s="9" t="n">
        <x:v>142720</x:v>
      </x:c>
      <x:c r="F63" s="9" t="n">
        <x:v>858</x:v>
      </x:c>
      <x:c r="G63" s="9" t="n">
        <x:v>76442</x:v>
      </x:c>
      <x:c r="H63" s="9" t="n">
        <x:v>64905</x:v>
      </x:c>
      <x:c r="I63" s="9" t="n">
        <x:v>409.0000000037253</x:v>
      </x:c>
      <x:c r="J63" s="9" t="n">
        <x:v>105.99999999627471</x:v>
      </x:c>
      <x:c r="K63" s="9" t="n">
        <x:f>F63+G63+I63+J63</x:f>
        <x:v>77815</x:v>
      </x:c>
      <x:c r="L63" s="10" t="n">
        <x:f>K63/Sources!$B$4*1000</x:f>
        <x:v>21.738796411275732</x:v>
      </x:c>
      <x:c r="M63" s="10" t="n">
        <x:f>E63/Sources!$B$4*1000</x:f>
        <x:v>39.87098918996688</x:v>
      </x:c>
      <x:c r="N63" s="9" t="n">
        <x:f>Sources!$B$6-K63</x:f>
        <x:v>-18079</x:v>
      </x:c>
    </x:row>
    <x:row r="64" ht="23" customHeight="1">
      <x:c r="A64" s="9" t="n">
        <x:v>63</x:v>
      </x:c>
      <x:c r="B64" s="9" t="n">
        <x:v>327</x:v>
      </x:c>
      <x:c r="C64" s="9" t="n">
        <x:v>1095</x:v>
      </x:c>
      <x:c r="D64" s="9" t="n">
        <x:v>2</x:v>
      </x:c>
      <x:c r="E64" s="9" t="n">
        <x:v>142735</x:v>
      </x:c>
      <x:c r="F64" s="9" t="n">
        <x:v>858</x:v>
      </x:c>
      <x:c r="G64" s="9" t="n">
        <x:v>110003.99999999627</x:v>
      </x:c>
      <x:c r="H64" s="9" t="n">
        <x:v>31350.000000003725</x:v>
      </x:c>
      <x:c r="I64" s="9" t="n">
        <x:v>416.9999999962747</x:v>
      </x:c>
      <x:c r="J64" s="9" t="n">
        <x:v>106.00000000372529</x:v>
      </x:c>
      <x:c r="K64" s="9" t="n">
        <x:f>F64+G64+I64+J64</x:f>
        <x:v>111384.99999999627</x:v>
      </x:c>
      <x:c r="L64" s="10" t="n">
        <x:f>K64/Sources!$B$4*1000</x:f>
        <x:v>31.117083316453986</x:v>
      </x:c>
      <x:c r="M64" s="10" t="n">
        <x:f>E64/Sources!$B$4*1000</x:f>
        <x:v>39.875179666689476</x:v>
      </x:c>
      <x:c r="N64" s="9" t="n">
        <x:f>Sources!$B$6-K64</x:f>
        <x:v>-51648.999999996275</x:v>
      </x:c>
    </x:row>
    <x:row r="65" ht="23" customHeight="1">
      <x:c r="A65" s="9" t="n">
        <x:v>64</x:v>
      </x:c>
      <x:c r="B65" s="9" t="n">
        <x:v>325</x:v>
      </x:c>
      <x:c r="C65" s="9" t="n">
        <x:v>1093</x:v>
      </x:c>
      <x:c r="D65" s="9" t="n">
        <x:v>2</x:v>
      </x:c>
      <x:c r="E65" s="9" t="n">
        <x:v>142718.99999999627</x:v>
      </x:c>
      <x:c r="F65" s="9" t="n">
        <x:v>857.9999999962747</x:v>
      </x:c>
      <x:c r="G65" s="9" t="n">
        <x:v>89056</x:v>
      </x:c>
      <x:c r="H65" s="9" t="n">
        <x:v>52289.999999996275</x:v>
      </x:c>
      <x:c r="I65" s="9" t="n">
        <x:v>409</x:v>
      </x:c>
      <x:c r="J65" s="9" t="n">
        <x:v>106.00000000372529</x:v>
      </x:c>
      <x:c r="K65" s="9" t="n">
        <x:f>F65+G65+I65+J65</x:f>
        <x:v>90429</x:v>
      </x:c>
      <x:c r="L65" s="10" t="n">
        <x:f>K65/Sources!$B$4*1000</x:f>
        <x:v>25.262707969867677</x:v>
      </x:c>
      <x:c r="M65" s="10" t="n">
        <x:f>E65/Sources!$B$4*1000</x:f>
        <x:v>39.870709824851</x:v>
      </x:c>
      <x:c r="N65" s="9" t="n">
        <x:f>Sources!$B$6-K65</x:f>
        <x:v>-30693</x:v>
      </x:c>
    </x:row>
    <x:row r="66" ht="23" customHeight="1">
      <x:c r="A66" s="9" t="n">
        <x:v>65</x:v>
      </x:c>
      <x:c r="B66" s="9" t="n">
        <x:v>323</x:v>
      </x:c>
      <x:c r="C66" s="9" t="n">
        <x:v>1091</x:v>
      </x:c>
      <x:c r="D66" s="9" t="n">
        <x:v>2</x:v>
      </x:c>
      <x:c r="E66" s="9" t="n">
        <x:v>142740.00000000373</x:v>
      </x:c>
      <x:c r="F66" s="9" t="n">
        <x:v>858</x:v>
      </x:c>
      <x:c r="G66" s="9" t="n">
        <x:v>79719.00000000373</x:v>
      </x:c>
      <x:c r="H66" s="9" t="n">
        <x:v>61639.999999996275</x:v>
      </x:c>
      <x:c r="I66" s="9" t="n">
        <x:v>417.0000000037253</x:v>
      </x:c>
      <x:c r="J66" s="9" t="n">
        <x:v>106</x:v>
      </x:c>
      <x:c r="K66" s="9" t="n">
        <x:f>F66+G66+I66+J66</x:f>
        <x:v>81100.00000000745</x:v>
      </x:c>
      <x:c r="L66" s="10" t="n">
        <x:f>K66/Sources!$B$4*1000</x:f>
        <x:v>22.656510813527262</x:v>
      </x:c>
      <x:c r="M66" s="10" t="n">
        <x:f>E66/Sources!$B$4*1000</x:f>
        <x:v>39.87657649226472</x:v>
      </x:c>
      <x:c r="N66" s="9" t="n">
        <x:f>Sources!$B$6-K66</x:f>
        <x:v>-21364.00000000745</x:v>
      </x:c>
    </x:row>
    <x:row r="67" ht="23" customHeight="1">
      <x:c r="A67" s="9" t="n">
        <x:v>66</x:v>
      </x:c>
      <x:c r="B67" s="9" t="n">
        <x:v>321</x:v>
      </x:c>
      <x:c r="C67" s="9" t="n">
        <x:v>1089</x:v>
      </x:c>
      <x:c r="D67" s="9" t="n">
        <x:v>2</x:v>
      </x:c>
      <x:c r="E67" s="9" t="n">
        <x:v>142719.99999999627</x:v>
      </x:c>
      <x:c r="F67" s="9" t="n">
        <x:v>857.9999999962747</x:v>
      </x:c>
      <x:c r="G67" s="9" t="n">
        <x:v>76442</x:v>
      </x:c>
      <x:c r="H67" s="9" t="n">
        <x:v>64905.000000003725</x:v>
      </x:c>
      <x:c r="I67" s="9" t="n">
        <x:v>409</x:v>
      </x:c>
      <x:c r="J67" s="9" t="n">
        <x:v>105.99999999627471</x:v>
      </x:c>
      <x:c r="K67" s="9" t="n">
        <x:f>F67+G67+I67+J67</x:f>
        <x:v>77814.99999999255</x:v>
      </x:c>
      <x:c r="L67" s="10" t="n">
        <x:f>K67/Sources!$B$4*1000</x:f>
        <x:v>21.73879641127365</x:v>
      </x:c>
      <x:c r="M67" s="10" t="n">
        <x:f>E67/Sources!$B$4*1000</x:f>
        <x:v>39.87098918996584</x:v>
      </x:c>
      <x:c r="N67" s="9" t="n">
        <x:f>Sources!$B$6-K67</x:f>
        <x:v>-18078.99999999255</x:v>
      </x:c>
    </x:row>
    <x:row r="68" ht="23" customHeight="1">
      <x:c r="A68" s="9" t="n">
        <x:v>67</x:v>
      </x:c>
      <x:c r="B68" s="9" t="n">
        <x:v>319</x:v>
      </x:c>
      <x:c r="C68" s="9" t="n">
        <x:v>1087</x:v>
      </x:c>
      <x:c r="D68" s="9" t="n">
        <x:v>2</x:v>
      </x:c>
      <x:c r="E68" s="9" t="n">
        <x:v>142736.00000000373</x:v>
      </x:c>
      <x:c r="F68" s="9" t="n">
        <x:v>858.0000000037253</x:v>
      </x:c>
      <x:c r="G68" s="9" t="n">
        <x:v>113025</x:v>
      </x:c>
      <x:c r="H68" s="9" t="n">
        <x:v>28329.999999996275</x:v>
      </x:c>
      <x:c r="I68" s="9" t="n">
        <x:v>417.0000000037253</x:v>
      </x:c>
      <x:c r="J68" s="9" t="n">
        <x:v>106</x:v>
      </x:c>
      <x:c r="K68" s="9" t="n">
        <x:f>F68+G68+I68+J68</x:f>
        <x:v>114406.00000000745</x:v>
      </x:c>
      <x:c r="L68" s="10" t="n">
        <x:f>K68/Sources!$B$4*1000</x:f>
        <x:v>31.96104532838879</x:v>
      </x:c>
      <x:c r="M68" s="10" t="n">
        <x:f>E68/Sources!$B$4*1000</x:f>
        <x:v>39.875459031805356</x:v>
      </x:c>
      <x:c r="N68" s="9" t="n">
        <x:f>Sources!$B$6-K68</x:f>
        <x:v>-54670.00000000745</x:v>
      </x:c>
    </x:row>
    <x:row r="69" ht="23" customHeight="1">
      <x:c r="A69" s="9" t="n">
        <x:v>68</x:v>
      </x:c>
      <x:c r="B69" s="9" t="n">
        <x:v>317</x:v>
      </x:c>
      <x:c r="C69" s="9" t="n">
        <x:v>1085</x:v>
      </x:c>
      <x:c r="D69" s="9" t="n">
        <x:v>2</x:v>
      </x:c>
      <x:c r="E69" s="9" t="n">
        <x:v>142719.99999999627</x:v>
      </x:c>
      <x:c r="F69" s="9" t="n">
        <x:v>858</x:v>
      </x:c>
      <x:c r="G69" s="9" t="n">
        <x:v>92076.99999999627</x:v>
      </x:c>
      <x:c r="H69" s="9" t="n">
        <x:v>49270</x:v>
      </x:c>
      <x:c r="I69" s="9" t="n">
        <x:v>408.9999999962747</x:v>
      </x:c>
      <x:c r="J69" s="9" t="n">
        <x:v>106.00000000372529</x:v>
      </x:c>
      <x:c r="K69" s="9" t="n">
        <x:f>F69+G69+I69+J69</x:f>
        <x:v>93449.99999999627</x:v>
      </x:c>
      <x:c r="L69" s="10" t="n">
        <x:f>K69/Sources!$B$4*1000</x:f>
        <x:v>26.106669981798323</x:v>
      </x:c>
      <x:c r="M69" s="10" t="n">
        <x:f>E69/Sources!$B$4*1000</x:f>
        <x:v>39.87098918996584</x:v>
      </x:c>
      <x:c r="N69" s="9" t="n">
        <x:f>Sources!$B$6-K69</x:f>
        <x:v>-33713.999999996275</x:v>
      </x:c>
    </x:row>
    <x:row r="70" ht="23" customHeight="1">
      <x:c r="A70" s="9" t="n">
        <x:v>69</x:v>
      </x:c>
      <x:c r="B70" s="9" t="n">
        <x:v>315</x:v>
      </x:c>
      <x:c r="C70" s="9" t="n">
        <x:v>1083</x:v>
      </x:c>
      <x:c r="D70" s="9" t="n">
        <x:v>2</x:v>
      </x:c>
      <x:c r="E70" s="9" t="n">
        <x:v>142736.00000000373</x:v>
      </x:c>
      <x:c r="F70" s="9" t="n">
        <x:v>858.0000000037253</x:v>
      </x:c>
      <x:c r="G70" s="9" t="n">
        <x:v>82740</x:v>
      </x:c>
      <x:c r="H70" s="9" t="n">
        <x:v>58615</x:v>
      </x:c>
      <x:c r="I70" s="9" t="n">
        <x:v>417</x:v>
      </x:c>
      <x:c r="J70" s="9" t="n">
        <x:v>106</x:v>
      </x:c>
      <x:c r="K70" s="9" t="n">
        <x:f>F70+G70+I70+J70</x:f>
        <x:v>84121.00000000373</x:v>
      </x:c>
      <x:c r="L70" s="10" t="n">
        <x:f>K70/Sources!$B$4*1000</x:f>
        <x:v>23.50047282545791</x:v>
      </x:c>
      <x:c r="M70" s="10" t="n">
        <x:f>E70/Sources!$B$4*1000</x:f>
        <x:v>39.875459031805356</x:v>
      </x:c>
      <x:c r="N70" s="9" t="n">
        <x:f>Sources!$B$6-K70</x:f>
        <x:v>-24385.000000003725</x:v>
      </x:c>
    </x:row>
    <x:row r="71" ht="23" customHeight="1">
      <x:c r="A71" s="9" t="n">
        <x:v>70</x:v>
      </x:c>
      <x:c r="B71" s="9" t="n">
        <x:v>313</x:v>
      </x:c>
      <x:c r="C71" s="9" t="n">
        <x:v>1081</x:v>
      </x:c>
      <x:c r="D71" s="9" t="n">
        <x:v>2</x:v>
      </x:c>
      <x:c r="E71" s="9" t="n">
        <x:v>142716</x:v>
      </x:c>
      <x:c r="F71" s="9" t="n">
        <x:v>858</x:v>
      </x:c>
      <x:c r="G71" s="9" t="n">
        <x:v>79462.99999999627</x:v>
      </x:c>
      <x:c r="H71" s="9" t="n">
        <x:v>61880</x:v>
      </x:c>
      <x:c r="I71" s="9" t="n">
        <x:v>409</x:v>
      </x:c>
      <x:c r="J71" s="9" t="n">
        <x:v>106.00000000372529</x:v>
      </x:c>
      <x:c r="K71" s="9" t="n">
        <x:f>F71+G71+I71+J71</x:f>
        <x:v>80836</x:v>
      </x:c>
      <x:c r="L71" s="10" t="n">
        <x:f>K71/Sources!$B$4*1000</x:f>
        <x:v>22.58275842320742</x:v>
      </x:c>
      <x:c r="M71" s="10" t="n">
        <x:f>E71/Sources!$B$4*1000</x:f>
        <x:v>39.869871729507516</x:v>
      </x:c>
      <x:c r="N71" s="9" t="n">
        <x:f>Sources!$B$6-K71</x:f>
        <x:v>-21100</x:v>
      </x:c>
    </x:row>
    <x:row r="72" ht="23" customHeight="1">
      <x:c r="A72" s="9" t="n">
        <x:v>71</x:v>
      </x:c>
      <x:c r="B72" s="9" t="n">
        <x:v>311</x:v>
      </x:c>
      <x:c r="C72" s="9" t="n">
        <x:v>1079</x:v>
      </x:c>
      <x:c r="D72" s="9" t="n">
        <x:v>2</x:v>
      </x:c>
      <x:c r="E72" s="9" t="n">
        <x:v>142736</x:v>
      </x:c>
      <x:c r="F72" s="9" t="n">
        <x:v>858</x:v>
      </x:c>
      <x:c r="G72" s="9" t="n">
        <x:v>113024.99999999627</x:v>
      </x:c>
      <x:c r="H72" s="9" t="n">
        <x:v>28330</x:v>
      </x:c>
      <x:c r="I72" s="9" t="n">
        <x:v>417</x:v>
      </x:c>
      <x:c r="J72" s="9" t="n">
        <x:v>106.00000000372529</x:v>
      </x:c>
      <x:c r="K72" s="9" t="n">
        <x:f>F72+G72+I72+J72</x:f>
        <x:v>114406</x:v>
      </x:c>
      <x:c r="L72" s="10" t="n">
        <x:f>K72/Sources!$B$4*1000</x:f>
        <x:v>31.961045328386707</x:v>
      </x:c>
      <x:c r="M72" s="10" t="n">
        <x:f>E72/Sources!$B$4*1000</x:f>
        <x:v>39.87545903180432</x:v>
      </x:c>
      <x:c r="N72" s="9" t="n">
        <x:f>Sources!$B$6-K72</x:f>
        <x:v>-54670</x:v>
      </x:c>
    </x:row>
    <x:row r="73" ht="23" customHeight="1">
      <x:c r="A73" s="9" t="n">
        <x:v>72</x:v>
      </x:c>
      <x:c r="B73" s="9" t="n">
        <x:v>309</x:v>
      </x:c>
      <x:c r="C73" s="9" t="n">
        <x:v>1077</x:v>
      </x:c>
      <x:c r="D73" s="9" t="n">
        <x:v>2</x:v>
      </x:c>
      <x:c r="E73" s="9" t="n">
        <x:v>142719.99999999627</x:v>
      </x:c>
      <x:c r="F73" s="9" t="n">
        <x:v>857.9999999962747</x:v>
      </x:c>
      <x:c r="G73" s="9" t="n">
        <x:v>92077.00000000373</x:v>
      </x:c>
      <x:c r="H73" s="9" t="n">
        <x:v>49270</x:v>
      </x:c>
      <x:c r="I73" s="9" t="n">
        <x:v>409</x:v>
      </x:c>
      <x:c r="J73" s="9" t="n">
        <x:v>105.99999999627471</x:v>
      </x:c>
      <x:c r="K73" s="9" t="n">
        <x:f>F73+G73+I73+J73</x:f>
        <x:v>93449.99999999627</x:v>
      </x:c>
      <x:c r="L73" s="10" t="n">
        <x:f>K73/Sources!$B$4*1000</x:f>
        <x:v>26.106669981798323</x:v>
      </x:c>
      <x:c r="M73" s="10" t="n">
        <x:f>E73/Sources!$B$4*1000</x:f>
        <x:v>39.87098918996584</x:v>
      </x:c>
      <x:c r="N73" s="9" t="n">
        <x:f>Sources!$B$6-K73</x:f>
        <x:v>-33713.999999996275</x:v>
      </x:c>
    </x:row>
    <x:row r="74" ht="23" customHeight="1">
      <x:c r="A74" s="9" t="n">
        <x:v>73</x:v>
      </x:c>
      <x:c r="B74" s="9" t="n">
        <x:v>307</x:v>
      </x:c>
      <x:c r="C74" s="9" t="n">
        <x:v>1075</x:v>
      </x:c>
      <x:c r="D74" s="9" t="n">
        <x:v>2</x:v>
      </x:c>
      <x:c r="E74" s="9" t="n">
        <x:v>142737</x:v>
      </x:c>
      <x:c r="F74" s="9" t="n">
        <x:v>858</x:v>
      </x:c>
      <x:c r="G74" s="9" t="n">
        <x:v>82720.99999999627</x:v>
      </x:c>
      <x:c r="H74" s="9" t="n">
        <x:v>58635.000000003725</x:v>
      </x:c>
      <x:c r="I74" s="9" t="n">
        <x:v>417</x:v>
      </x:c>
      <x:c r="J74" s="9" t="n">
        <x:v>106</x:v>
      </x:c>
      <x:c r="K74" s="9" t="n">
        <x:f>F74+G74+I74+J74</x:f>
        <x:v>84101.99999999627</x:v>
      </x:c>
      <x:c r="L74" s="10" t="n">
        <x:f>K74/Sources!$B$4*1000</x:f>
        <x:v>23.495164888273866</x:v>
      </x:c>
      <x:c r="M74" s="10" t="n">
        <x:f>E74/Sources!$B$4*1000</x:f>
        <x:v>39.87573839691916</x:v>
      </x:c>
      <x:c r="N74" s="9" t="n">
        <x:f>Sources!$B$6-K74</x:f>
        <x:v>-24365.999999996275</x:v>
      </x:c>
    </x:row>
    <x:row r="75" ht="23" customHeight="1">
      <x:c r="A75" s="9" t="n">
        <x:v>74</x:v>
      </x:c>
      <x:c r="B75" s="9" t="n">
        <x:v>305</x:v>
      </x:c>
      <x:c r="C75" s="9" t="n">
        <x:v>1073</x:v>
      </x:c>
      <x:c r="D75" s="9" t="n">
        <x:v>2</x:v>
      </x:c>
      <x:c r="E75" s="9" t="n">
        <x:v>142722</x:v>
      </x:c>
      <x:c r="F75" s="9" t="n">
        <x:v>858.0000000037253</x:v>
      </x:c>
      <x:c r="G75" s="9" t="n">
        <x:v>79444</x:v>
      </x:c>
      <x:c r="H75" s="9" t="n">
        <x:v>61904.999999996275</x:v>
      </x:c>
      <x:c r="I75" s="9" t="n">
        <x:v>409</x:v>
      </x:c>
      <x:c r="J75" s="9" t="n">
        <x:v>106</x:v>
      </x:c>
      <x:c r="K75" s="9" t="n">
        <x:f>F75+G75+I75+J75</x:f>
        <x:v>80817.00000000373</x:v>
      </x:c>
      <x:c r="L75" s="10" t="n">
        <x:f>K75/Sources!$B$4*1000</x:f>
        <x:v>22.5774504860265</x:v>
      </x:c>
      <x:c r="M75" s="10" t="n">
        <x:f>E75/Sources!$B$4*1000</x:f>
        <x:v>39.871547920196555</x:v>
      </x:c>
      <x:c r="N75" s="9" t="n">
        <x:f>Sources!$B$6-K75</x:f>
        <x:v>-21081.000000003725</x:v>
      </x:c>
    </x:row>
    <x:row r="76" ht="23" customHeight="1">
      <x:c r="A76" s="9" t="n">
        <x:v>75</x:v>
      </x:c>
      <x:c r="B76" s="9" t="n">
        <x:v>303</x:v>
      </x:c>
      <x:c r="C76" s="9" t="n">
        <x:v>1071</x:v>
      </x:c>
      <x:c r="D76" s="9" t="n">
        <x:v>2</x:v>
      </x:c>
      <x:c r="E76" s="9" t="n">
        <x:v>142737.00000000745</x:v>
      </x:c>
      <x:c r="F76" s="9" t="n">
        <x:v>858</x:v>
      </x:c>
      <x:c r="G76" s="9" t="n">
        <x:v>113006.00000000745</x:v>
      </x:c>
      <x:c r="H76" s="9" t="n">
        <x:v>28350</x:v>
      </x:c>
      <x:c r="I76" s="9" t="n">
        <x:v>416.9999999962747</x:v>
      </x:c>
      <x:c r="J76" s="9" t="n">
        <x:v>106.00000000372529</x:v>
      </x:c>
      <x:c r="K76" s="9" t="n">
        <x:f>F76+G76+I76+J76</x:f>
        <x:v>114387.00000000745</x:v>
      </x:c>
      <x:c r="L76" s="10" t="n">
        <x:f>K76/Sources!$B$4*1000</x:f>
        <x:v>31.955737391206828</x:v>
      </x:c>
      <x:c r="M76" s="10" t="n">
        <x:f>E76/Sources!$B$4*1000</x:f>
        <x:v>39.87573839692124</x:v>
      </x:c>
      <x:c r="N76" s="9" t="n">
        <x:f>Sources!$B$6-K76</x:f>
        <x:v>-54651.00000000745</x:v>
      </x:c>
    </x:row>
    <x:row r="77" ht="23" customHeight="1">
      <x:c r="A77" s="9" t="n">
        <x:v>76</x:v>
      </x:c>
      <x:c r="B77" s="9" t="n">
        <x:v>301</x:v>
      </x:c>
      <x:c r="C77" s="9" t="n">
        <x:v>1069</x:v>
      </x:c>
      <x:c r="D77" s="9" t="n">
        <x:v>2</x:v>
      </x:c>
      <x:c r="E77" s="9" t="n">
        <x:v>142715.99999999255</x:v>
      </x:c>
      <x:c r="F77" s="9" t="n">
        <x:v>858</x:v>
      </x:c>
      <x:c r="G77" s="9" t="n">
        <x:v>92068</x:v>
      </x:c>
      <x:c r="H77" s="9" t="n">
        <x:v>49275</x:v>
      </x:c>
      <x:c r="I77" s="9" t="n">
        <x:v>409</x:v>
      </x:c>
      <x:c r="J77" s="9" t="n">
        <x:v>105.99999999254942</x:v>
      </x:c>
      <x:c r="K77" s="9" t="n">
        <x:f>F77+G77+I77+J77</x:f>
        <x:v>93440.99999999255</x:v>
      </x:c>
      <x:c r="L77" s="10" t="n">
        <x:f>K77/Sources!$B$4*1000</x:f>
        <x:v>26.104155695763723</x:v>
      </x:c>
      <x:c r="M77" s="10" t="n">
        <x:f>E77/Sources!$B$4*1000</x:f>
        <x:v>39.869871729505434</x:v>
      </x:c>
      <x:c r="N77" s="9" t="n">
        <x:f>Sources!$B$6-K77</x:f>
        <x:v>-33704.99999999255</x:v>
      </x:c>
    </x:row>
    <x:row r="78" ht="23" customHeight="1">
      <x:c r="A78" s="9" t="n">
        <x:v>77</x:v>
      </x:c>
      <x:c r="B78" s="9" t="n">
        <x:v>299</x:v>
      </x:c>
      <x:c r="C78" s="9" t="n">
        <x:v>1067</x:v>
      </x:c>
      <x:c r="D78" s="9" t="n">
        <x:v>2</x:v>
      </x:c>
      <x:c r="E78" s="9" t="n">
        <x:v>142737.00000000373</x:v>
      </x:c>
      <x:c r="F78" s="9" t="n">
        <x:v>858</x:v>
      </x:c>
      <x:c r="G78" s="9" t="n">
        <x:v>82721.00000000373</x:v>
      </x:c>
      <x:c r="H78" s="9" t="n">
        <x:v>58635</x:v>
      </x:c>
      <x:c r="I78" s="9" t="n">
        <x:v>417</x:v>
      </x:c>
      <x:c r="J78" s="9" t="n">
        <x:v>106</x:v>
      </x:c>
      <x:c r="K78" s="9" t="n">
        <x:f>F78+G78+I78+J78</x:f>
        <x:v>84102.00000000373</x:v>
      </x:c>
      <x:c r="L78" s="10" t="n">
        <x:f>K78/Sources!$B$4*1000</x:f>
        <x:v>23.495164888275948</x:v>
      </x:c>
      <x:c r="M78" s="10" t="n">
        <x:f>E78/Sources!$B$4*1000</x:f>
        <x:v>39.8757383969202</x:v>
      </x:c>
      <x:c r="N78" s="9" t="n">
        <x:f>Sources!$B$6-K78</x:f>
        <x:v>-24366.000000003725</x:v>
      </x:c>
    </x:row>
    <x:row r="79" ht="23" customHeight="1">
      <x:c r="A79" s="9" t="n">
        <x:v>78</x:v>
      </x:c>
      <x:c r="B79" s="9" t="n">
        <x:v>297</x:v>
      </x:c>
      <x:c r="C79" s="9" t="n">
        <x:v>1065</x:v>
      </x:c>
      <x:c r="D79" s="9" t="n">
        <x:v>2</x:v>
      </x:c>
      <x:c r="E79" s="9" t="n">
        <x:v>142722</x:v>
      </x:c>
      <x:c r="F79" s="9" t="n">
        <x:v>858</x:v>
      </x:c>
      <x:c r="G79" s="9" t="n">
        <x:v>79444</x:v>
      </x:c>
      <x:c r="H79" s="9" t="n">
        <x:v>61905</x:v>
      </x:c>
      <x:c r="I79" s="9" t="n">
        <x:v>409.0000000037253</x:v>
      </x:c>
      <x:c r="J79" s="9" t="n">
        <x:v>105.99999999627471</x:v>
      </x:c>
      <x:c r="K79" s="9" t="n">
        <x:f>F79+G79+I79+J79</x:f>
        <x:v>80817</x:v>
      </x:c>
      <x:c r="L79" s="10" t="n">
        <x:f>K79/Sources!$B$4*1000</x:f>
        <x:v>22.57745048602546</x:v>
      </x:c>
      <x:c r="M79" s="10" t="n">
        <x:f>E79/Sources!$B$4*1000</x:f>
        <x:v>39.871547920196555</x:v>
      </x:c>
      <x:c r="N79" s="9" t="n">
        <x:f>Sources!$B$6-K79</x:f>
        <x:v>-21081</x:v>
      </x:c>
    </x:row>
    <x:row r="80" ht="23" customHeight="1">
      <x:c r="A80" s="9" t="n">
        <x:v>79</x:v>
      </x:c>
      <x:c r="B80" s="9" t="n">
        <x:v>295</x:v>
      </x:c>
      <x:c r="C80" s="9" t="n">
        <x:v>1063</x:v>
      </x:c>
      <x:c r="D80" s="9" t="n">
        <x:v>2</x:v>
      </x:c>
      <x:c r="E80" s="9" t="n">
        <x:v>142737</x:v>
      </x:c>
      <x:c r="F80" s="9" t="n">
        <x:v>858</x:v>
      </x:c>
      <x:c r="G80" s="9" t="n">
        <x:v>113005.99999999627</x:v>
      </x:c>
      <x:c r="H80" s="9" t="n">
        <x:v>28349.999999996275</x:v>
      </x:c>
      <x:c r="I80" s="9" t="n">
        <x:v>417.0000000037253</x:v>
      </x:c>
      <x:c r="J80" s="9" t="n">
        <x:v>106.00000000372529</x:v>
      </x:c>
      <x:c r="K80" s="9" t="n">
        <x:f>F80+G80+I80+J80</x:f>
        <x:v>114387.00000000373</x:v>
      </x:c>
      <x:c r="L80" s="10" t="n">
        <x:f>K80/Sources!$B$4*1000</x:f>
        <x:v>31.955737391205787</x:v>
      </x:c>
      <x:c r="M80" s="10" t="n">
        <x:f>E80/Sources!$B$4*1000</x:f>
        <x:v>39.87573839691916</x:v>
      </x:c>
      <x:c r="N80" s="9" t="n">
        <x:f>Sources!$B$6-K80</x:f>
        <x:v>-54651.000000003725</x:v>
      </x:c>
    </x:row>
    <x:row r="81" ht="23" customHeight="1">
      <x:c r="A81" s="9" t="n">
        <x:v>80</x:v>
      </x:c>
      <x:c r="B81" s="9" t="n">
        <x:v>293</x:v>
      </x:c>
      <x:c r="C81" s="9" t="n">
        <x:v>1061</x:v>
      </x:c>
      <x:c r="D81" s="9" t="n">
        <x:v>2</x:v>
      </x:c>
      <x:c r="E81" s="9" t="n">
        <x:v>142716</x:v>
      </x:c>
      <x:c r="F81" s="9" t="n">
        <x:v>858</x:v>
      </x:c>
      <x:c r="G81" s="9" t="n">
        <x:v>92068</x:v>
      </x:c>
      <x:c r="H81" s="9" t="n">
        <x:v>49275.000000003725</x:v>
      </x:c>
      <x:c r="I81" s="9" t="n">
        <x:v>409.0000000037253</x:v>
      </x:c>
      <x:c r="J81" s="9" t="n">
        <x:v>105.99999999254942</x:v>
      </x:c>
      <x:c r="K81" s="9" t="n">
        <x:f>F81+G81+I81+J81</x:f>
        <x:v>93440.99999999627</x:v>
      </x:c>
      <x:c r="L81" s="10" t="n">
        <x:f>K81/Sources!$B$4*1000</x:f>
        <x:v>26.104155695764764</x:v>
      </x:c>
      <x:c r="M81" s="10" t="n">
        <x:f>E81/Sources!$B$4*1000</x:f>
        <x:v>39.869871729507516</x:v>
      </x:c>
      <x:c r="N81" s="9" t="n">
        <x:f>Sources!$B$6-K81</x:f>
        <x:v>-33704.999999996275</x:v>
      </x:c>
    </x:row>
    <x:row r="82" ht="23" customHeight="1">
      <x:c r="A82" s="9" t="n">
        <x:v>81</x:v>
      </x:c>
      <x:c r="B82" s="9" t="n">
        <x:v>291</x:v>
      </x:c>
      <x:c r="C82" s="9" t="n">
        <x:v>1059</x:v>
      </x:c>
      <x:c r="D82" s="9" t="n">
        <x:v>2</x:v>
      </x:c>
      <x:c r="E82" s="9" t="n">
        <x:v>142737</x:v>
      </x:c>
      <x:c r="F82" s="9" t="n">
        <x:v>858</x:v>
      </x:c>
      <x:c r="G82" s="9" t="n">
        <x:v>82721</x:v>
      </x:c>
      <x:c r="H82" s="9" t="n">
        <x:v>58634.999999996275</x:v>
      </x:c>
      <x:c r="I82" s="9" t="n">
        <x:v>417.0000000037253</x:v>
      </x:c>
      <x:c r="J82" s="9" t="n">
        <x:v>106</x:v>
      </x:c>
      <x:c r="K82" s="9" t="n">
        <x:f>F82+G82+I82+J82</x:f>
        <x:v>84102.00000000373</x:v>
      </x:c>
      <x:c r="L82" s="10" t="n">
        <x:f>K82/Sources!$B$4*1000</x:f>
        <x:v>23.495164888275948</x:v>
      </x:c>
      <x:c r="M82" s="10" t="n">
        <x:f>E82/Sources!$B$4*1000</x:f>
        <x:v>39.87573839691916</x:v>
      </x:c>
      <x:c r="N82" s="9" t="n">
        <x:f>Sources!$B$6-K82</x:f>
        <x:v>-24366.000000003725</x:v>
      </x:c>
    </x:row>
    <x:row r="83" ht="23" customHeight="1">
      <x:c r="A83" s="9" t="n">
        <x:v>82</x:v>
      </x:c>
      <x:c r="B83" s="9" t="n">
        <x:v>289</x:v>
      </x:c>
      <x:c r="C83" s="9" t="n">
        <x:v>1057</x:v>
      </x:c>
      <x:c r="D83" s="9" t="n">
        <x:v>2</x:v>
      </x:c>
      <x:c r="E83" s="9" t="n">
        <x:v>142721.99999999627</x:v>
      </x:c>
      <x:c r="F83" s="9" t="n">
        <x:v>858</x:v>
      </x:c>
      <x:c r="G83" s="9" t="n">
        <x:v>79444</x:v>
      </x:c>
      <x:c r="H83" s="9" t="n">
        <x:v>61905</x:v>
      </x:c>
      <x:c r="I83" s="9" t="n">
        <x:v>409</x:v>
      </x:c>
      <x:c r="J83" s="9" t="n">
        <x:v>105.99999999627471</x:v>
      </x:c>
      <x:c r="K83" s="9" t="n">
        <x:f>F83+G83+I83+J83</x:f>
        <x:v>80816.99999999627</x:v>
      </x:c>
      <x:c r="L83" s="10" t="n">
        <x:f>K83/Sources!$B$4*1000</x:f>
        <x:v>22.577450486024418</x:v>
      </x:c>
      <x:c r="M83" s="10" t="n">
        <x:f>E83/Sources!$B$4*1000</x:f>
        <x:v>39.87154792019552</x:v>
      </x:c>
      <x:c r="N83" s="9" t="n">
        <x:f>Sources!$B$6-K83</x:f>
        <x:v>-21080.999999996275</x:v>
      </x:c>
    </x:row>
    <x:row r="84" ht="23" customHeight="1">
      <x:c r="A84" s="9" t="n">
        <x:v>83</x:v>
      </x:c>
      <x:c r="B84" s="9" t="n">
        <x:v>287</x:v>
      </x:c>
      <x:c r="C84" s="9" t="n">
        <x:v>1055</x:v>
      </x:c>
      <x:c r="D84" s="9" t="n">
        <x:v>2</x:v>
      </x:c>
      <x:c r="E84" s="9" t="n">
        <x:v>142737</x:v>
      </x:c>
      <x:c r="F84" s="9" t="n">
        <x:v>858</x:v>
      </x:c>
      <x:c r="G84" s="9" t="n">
        <x:v>113005.99999999627</x:v>
      </x:c>
      <x:c r="H84" s="9" t="n">
        <x:v>28350.000000003725</x:v>
      </x:c>
      <x:c r="I84" s="9" t="n">
        <x:v>417</x:v>
      </x:c>
      <x:c r="J84" s="9" t="n">
        <x:v>106</x:v>
      </x:c>
      <x:c r="K84" s="9" t="n">
        <x:f>F84+G84+I84+J84</x:f>
        <x:v>114386.99999999627</x:v>
      </x:c>
      <x:c r="L84" s="10" t="n">
        <x:f>K84/Sources!$B$4*1000</x:f>
        <x:v>31.955737391203705</x:v>
      </x:c>
      <x:c r="M84" s="10" t="n">
        <x:f>E84/Sources!$B$4*1000</x:f>
        <x:v>39.87573839691916</x:v>
      </x:c>
      <x:c r="N84" s="9" t="n">
        <x:f>Sources!$B$6-K84</x:f>
        <x:v>-54650.999999996275</x:v>
      </x:c>
    </x:row>
    <x:row r="85" ht="23" customHeight="1">
      <x:c r="A85" s="9" t="n">
        <x:v>84</x:v>
      </x:c>
      <x:c r="B85" s="9" t="n">
        <x:v>285</x:v>
      </x:c>
      <x:c r="C85" s="9" t="n">
        <x:v>1053</x:v>
      </x:c>
      <x:c r="D85" s="9" t="n">
        <x:v>2</x:v>
      </x:c>
      <x:c r="E85" s="9" t="n">
        <x:v>142716</x:v>
      </x:c>
      <x:c r="F85" s="9" t="n">
        <x:v>858.0000000037253</x:v>
      </x:c>
      <x:c r="G85" s="9" t="n">
        <x:v>92068</x:v>
      </x:c>
      <x:c r="H85" s="9" t="n">
        <x:v>49275</x:v>
      </x:c>
      <x:c r="I85" s="9" t="n">
        <x:v>409</x:v>
      </x:c>
      <x:c r="J85" s="9" t="n">
        <x:v>105.99999999627471</x:v>
      </x:c>
      <x:c r="K85" s="9" t="n">
        <x:f>F85+G85+I85+J85</x:f>
        <x:v>93441</x:v>
      </x:c>
      <x:c r="L85" s="10" t="n">
        <x:f>K85/Sources!$B$4*1000</x:f>
        <x:v>26.104155695765805</x:v>
      </x:c>
      <x:c r="M85" s="10" t="n">
        <x:f>E85/Sources!$B$4*1000</x:f>
        <x:v>39.869871729507516</x:v>
      </x:c>
      <x:c r="N85" s="9" t="n">
        <x:f>Sources!$B$6-K85</x:f>
        <x:v>-33705</x:v>
      </x:c>
    </x:row>
    <x:row r="86" ht="23" customHeight="1">
      <x:c r="A86" s="9" t="n">
        <x:v>85</x:v>
      </x:c>
      <x:c r="B86" s="9" t="n">
        <x:v>283</x:v>
      </x:c>
      <x:c r="C86" s="9" t="n">
        <x:v>1051</x:v>
      </x:c>
      <x:c r="D86" s="9" t="n">
        <x:v>2</x:v>
      </x:c>
      <x:c r="E86" s="9" t="n">
        <x:v>142737</x:v>
      </x:c>
      <x:c r="F86" s="9" t="n">
        <x:v>858</x:v>
      </x:c>
      <x:c r="G86" s="9" t="n">
        <x:v>82720.99999999627</x:v>
      </x:c>
      <x:c r="H86" s="9" t="n">
        <x:v>58635.000000003725</x:v>
      </x:c>
      <x:c r="I86" s="9" t="n">
        <x:v>417</x:v>
      </x:c>
      <x:c r="J86" s="9" t="n">
        <x:v>106</x:v>
      </x:c>
      <x:c r="K86" s="9" t="n">
        <x:f>F86+G86+I86+J86</x:f>
        <x:v>84101.99999999627</x:v>
      </x:c>
      <x:c r="L86" s="10" t="n">
        <x:f>K86/Sources!$B$4*1000</x:f>
        <x:v>23.495164888273866</x:v>
      </x:c>
      <x:c r="M86" s="10" t="n">
        <x:f>E86/Sources!$B$4*1000</x:f>
        <x:v>39.87573839691916</x:v>
      </x:c>
      <x:c r="N86" s="9" t="n">
        <x:f>Sources!$B$6-K86</x:f>
        <x:v>-24365.999999996275</x:v>
      </x:c>
    </x:row>
    <x:row r="87" ht="23" customHeight="1">
      <x:c r="A87" s="9" t="n">
        <x:v>86</x:v>
      </x:c>
      <x:c r="B87" s="9" t="n">
        <x:v>281</x:v>
      </x:c>
      <x:c r="C87" s="9" t="n">
        <x:v>1049</x:v>
      </x:c>
      <x:c r="D87" s="9" t="n">
        <x:v>2</x:v>
      </x:c>
      <x:c r="E87" s="9" t="n">
        <x:v>142722</x:v>
      </x:c>
      <x:c r="F87" s="9" t="n">
        <x:v>858.0000000037253</x:v>
      </x:c>
      <x:c r="G87" s="9" t="n">
        <x:v>79444</x:v>
      </x:c>
      <x:c r="H87" s="9" t="n">
        <x:v>61904.999999996275</x:v>
      </x:c>
      <x:c r="I87" s="9" t="n">
        <x:v>409</x:v>
      </x:c>
      <x:c r="J87" s="9" t="n">
        <x:v>106</x:v>
      </x:c>
      <x:c r="K87" s="9" t="n">
        <x:f>F87+G87+I87+J87</x:f>
        <x:v>80817.00000000373</x:v>
      </x:c>
      <x:c r="L87" s="10" t="n">
        <x:f>K87/Sources!$B$4*1000</x:f>
        <x:v>22.5774504860265</x:v>
      </x:c>
      <x:c r="M87" s="10" t="n">
        <x:f>E87/Sources!$B$4*1000</x:f>
        <x:v>39.871547920196555</x:v>
      </x:c>
      <x:c r="N87" s="9" t="n">
        <x:f>Sources!$B$6-K87</x:f>
        <x:v>-21081.000000003725</x:v>
      </x:c>
    </x:row>
    <x:row r="88" ht="23" customHeight="1">
      <x:c r="A88" s="9" t="n">
        <x:v>87</x:v>
      </x:c>
      <x:c r="B88" s="9" t="n">
        <x:v>279</x:v>
      </x:c>
      <x:c r="C88" s="9" t="n">
        <x:v>1047</x:v>
      </x:c>
      <x:c r="D88" s="9" t="n">
        <x:v>2</x:v>
      </x:c>
      <x:c r="E88" s="9" t="n">
        <x:v>142737.00000000745</x:v>
      </x:c>
      <x:c r="F88" s="9" t="n">
        <x:v>858</x:v>
      </x:c>
      <x:c r="G88" s="9" t="n">
        <x:v>113006</x:v>
      </x:c>
      <x:c r="H88" s="9" t="n">
        <x:v>28350</x:v>
      </x:c>
      <x:c r="I88" s="9" t="n">
        <x:v>417</x:v>
      </x:c>
      <x:c r="J88" s="9" t="n">
        <x:v>106.00000000745058</x:v>
      </x:c>
      <x:c r="K88" s="9" t="n">
        <x:f>F88+G88+I88+J88</x:f>
        <x:v>114387.00000000745</x:v>
      </x:c>
      <x:c r="L88" s="10" t="n">
        <x:f>K88/Sources!$B$4*1000</x:f>
        <x:v>31.955737391206828</x:v>
      </x:c>
      <x:c r="M88" s="10" t="n">
        <x:f>E88/Sources!$B$4*1000</x:f>
        <x:v>39.87573839692124</x:v>
      </x:c>
      <x:c r="N88" s="9" t="n">
        <x:f>Sources!$B$6-K88</x:f>
        <x:v>-54651.00000000745</x:v>
      </x:c>
    </x:row>
    <x:row r="89" ht="23" customHeight="1">
      <x:c r="A89" s="9" t="n">
        <x:v>88</x:v>
      </x:c>
      <x:c r="B89" s="9" t="n">
        <x:v>277</x:v>
      </x:c>
      <x:c r="C89" s="9" t="n">
        <x:v>1045</x:v>
      </x:c>
      <x:c r="D89" s="9" t="n">
        <x:v>2</x:v>
      </x:c>
      <x:c r="E89" s="9" t="n">
        <x:v>142715.99999999255</x:v>
      </x:c>
      <x:c r="F89" s="9" t="n">
        <x:v>858</x:v>
      </x:c>
      <x:c r="G89" s="9" t="n">
        <x:v>92068</x:v>
      </x:c>
      <x:c r="H89" s="9" t="n">
        <x:v>49275</x:v>
      </x:c>
      <x:c r="I89" s="9" t="n">
        <x:v>409</x:v>
      </x:c>
      <x:c r="J89" s="9" t="n">
        <x:v>105.99999999254942</x:v>
      </x:c>
      <x:c r="K89" s="9" t="n">
        <x:f>F89+G89+I89+J89</x:f>
        <x:v>93440.99999999255</x:v>
      </x:c>
      <x:c r="L89" s="10" t="n">
        <x:f>K89/Sources!$B$4*1000</x:f>
        <x:v>26.104155695763723</x:v>
      </x:c>
      <x:c r="M89" s="10" t="n">
        <x:f>E89/Sources!$B$4*1000</x:f>
        <x:v>39.869871729505434</x:v>
      </x:c>
      <x:c r="N89" s="9" t="n">
        <x:f>Sources!$B$6-K89</x:f>
        <x:v>-33704.99999999255</x:v>
      </x:c>
    </x:row>
    <x:row r="90" ht="23" customHeight="1">
      <x:c r="A90" s="9" t="n">
        <x:v>89</x:v>
      </x:c>
      <x:c r="B90" s="9" t="n">
        <x:v>275</x:v>
      </x:c>
      <x:c r="C90" s="9" t="n">
        <x:v>1043</x:v>
      </x:c>
      <x:c r="D90" s="9" t="n">
        <x:v>2</x:v>
      </x:c>
      <x:c r="E90" s="9" t="n">
        <x:v>142737.00000000373</x:v>
      </x:c>
      <x:c r="F90" s="9" t="n">
        <x:v>858</x:v>
      </x:c>
      <x:c r="G90" s="9" t="n">
        <x:v>82721.00000000373</x:v>
      </x:c>
      <x:c r="H90" s="9" t="n">
        <x:v>58635</x:v>
      </x:c>
      <x:c r="I90" s="9" t="n">
        <x:v>417</x:v>
      </x:c>
      <x:c r="J90" s="9" t="n">
        <x:v>106</x:v>
      </x:c>
      <x:c r="K90" s="9" t="n">
        <x:f>F90+G90+I90+J90</x:f>
        <x:v>84102.00000000373</x:v>
      </x:c>
      <x:c r="L90" s="10" t="n">
        <x:f>K90/Sources!$B$4*1000</x:f>
        <x:v>23.495164888275948</x:v>
      </x:c>
      <x:c r="M90" s="10" t="n">
        <x:f>E90/Sources!$B$4*1000</x:f>
        <x:v>39.8757383969202</x:v>
      </x:c>
      <x:c r="N90" s="9" t="n">
        <x:f>Sources!$B$6-K90</x:f>
        <x:v>-24366.000000003725</x:v>
      </x:c>
    </x:row>
    <x:row r="91" ht="23" customHeight="1">
      <x:c r="A91" s="9" t="n">
        <x:v>90</x:v>
      </x:c>
      <x:c r="B91" s="9" t="n">
        <x:v>273</x:v>
      </x:c>
      <x:c r="C91" s="9" t="n">
        <x:v>1041</x:v>
      </x:c>
      <x:c r="D91" s="9" t="n">
        <x:v>2</x:v>
      </x:c>
      <x:c r="E91" s="9" t="n">
        <x:v>142722.99999999627</x:v>
      </x:c>
      <x:c r="F91" s="9" t="n">
        <x:v>858</x:v>
      </x:c>
      <x:c r="G91" s="9" t="n">
        <x:v>79425.00000000373</x:v>
      </x:c>
      <x:c r="H91" s="9" t="n">
        <x:v>61925</x:v>
      </x:c>
      <x:c r="I91" s="9" t="n">
        <x:v>409</x:v>
      </x:c>
      <x:c r="J91" s="9" t="n">
        <x:v>105.99999999254942</x:v>
      </x:c>
      <x:c r="K91" s="9" t="n">
        <x:f>F91+G91+I91+J91</x:f>
        <x:v>80797.99999999627</x:v>
      </x:c>
      <x:c r="L91" s="10" t="n">
        <x:f>K91/Sources!$B$4*1000</x:f>
        <x:v>22.572142548842457</x:v>
      </x:c>
      <x:c r="M91" s="10" t="n">
        <x:f>E91/Sources!$B$4*1000</x:f>
        <x:v>39.87182728531036</x:v>
      </x:c>
      <x:c r="N91" s="9" t="n">
        <x:f>Sources!$B$6-K91</x:f>
        <x:v>-21061.999999996275</x:v>
      </x:c>
    </x:row>
    <x:row r="92" ht="23" customHeight="1">
      <x:c r="A92" s="9" t="n">
        <x:v>91</x:v>
      </x:c>
      <x:c r="B92" s="9" t="n">
        <x:v>271</x:v>
      </x:c>
      <x:c r="C92" s="9" t="n">
        <x:v>1039</x:v>
      </x:c>
      <x:c r="D92" s="9" t="n">
        <x:v>2</x:v>
      </x:c>
      <x:c r="E92" s="9" t="n">
        <x:v>142733.00000000373</x:v>
      </x:c>
      <x:c r="F92" s="9" t="n">
        <x:v>858.0000000037253</x:v>
      </x:c>
      <x:c r="G92" s="9" t="n">
        <x:v>112987</x:v>
      </x:c>
      <x:c r="H92" s="9" t="n">
        <x:v>28364.999999996275</x:v>
      </x:c>
      <x:c r="I92" s="9" t="n">
        <x:v>417.0000000037253</x:v>
      </x:c>
      <x:c r="J92" s="9" t="n">
        <x:v>106</x:v>
      </x:c>
      <x:c r="K92" s="9" t="n">
        <x:f>F92+G92+I92+J92</x:f>
        <x:v>114368.00000000745</x:v>
      </x:c>
      <x:c r="L92" s="10" t="n">
        <x:f>K92/Sources!$B$4*1000</x:f>
        <x:v>31.950429454024867</x:v>
      </x:c>
      <x:c r="M92" s="10" t="n">
        <x:f>E92/Sources!$B$4*1000</x:f>
        <x:v>39.874620936460836</x:v>
      </x:c>
      <x:c r="N92" s="9" t="n">
        <x:f>Sources!$B$6-K92</x:f>
        <x:v>-54632.00000000745</x:v>
      </x:c>
    </x:row>
    <x:row r="93" ht="23" customHeight="1">
      <x:c r="A93" s="9" t="n">
        <x:v>92</x:v>
      </x:c>
      <x:c r="B93" s="9" t="n">
        <x:v>269</x:v>
      </x:c>
      <x:c r="C93" s="9" t="n">
        <x:v>1037</x:v>
      </x:c>
      <x:c r="D93" s="9" t="n">
        <x:v>2</x:v>
      </x:c>
      <x:c r="E93" s="9" t="n">
        <x:v>142719</x:v>
      </x:c>
      <x:c r="F93" s="9" t="n">
        <x:v>857.9999999962747</x:v>
      </x:c>
      <x:c r="G93" s="9" t="n">
        <x:v>92191.00000000373</x:v>
      </x:c>
      <x:c r="H93" s="9" t="n">
        <x:v>49154.999999996275</x:v>
      </x:c>
      <x:c r="I93" s="9" t="n">
        <x:v>409.0000000037253</x:v>
      </x:c>
      <x:c r="J93" s="9" t="n">
        <x:v>106</x:v>
      </x:c>
      <x:c r="K93" s="9" t="n">
        <x:f>F93+G93+I93+J93</x:f>
        <x:v>93564.00000000373</x:v>
      </x:c>
      <x:c r="L93" s="10" t="n">
        <x:f>K93/Sources!$B$4*1000</x:f>
        <x:v>26.138517604892165</x:v>
      </x:c>
      <x:c r="M93" s="10" t="n">
        <x:f>E93/Sources!$B$4*1000</x:f>
        <x:v>39.870709824852035</x:v>
      </x:c>
      <x:c r="N93" s="9" t="n">
        <x:f>Sources!$B$6-K93</x:f>
        <x:v>-33828.000000003725</x:v>
      </x:c>
    </x:row>
    <x:row r="94" ht="23" customHeight="1">
      <x:c r="A94" s="9" t="n">
        <x:v>93</x:v>
      </x:c>
      <x:c r="B94" s="9" t="n">
        <x:v>267</x:v>
      </x:c>
      <x:c r="C94" s="9" t="n">
        <x:v>1035</x:v>
      </x:c>
      <x:c r="D94" s="9" t="n">
        <x:v>2</x:v>
      </x:c>
      <x:c r="E94" s="9" t="n">
        <x:v>142737.99999999627</x:v>
      </x:c>
      <x:c r="F94" s="9" t="n">
        <x:v>858</x:v>
      </x:c>
      <x:c r="G94" s="9" t="n">
        <x:v>82701.99999999627</x:v>
      </x:c>
      <x:c r="H94" s="9" t="n">
        <x:v>58655.000000003725</x:v>
      </x:c>
      <x:c r="I94" s="9" t="n">
        <x:v>417</x:v>
      </x:c>
      <x:c r="J94" s="9" t="n">
        <x:v>105.99999999627471</x:v>
      </x:c>
      <x:c r="K94" s="9" t="n">
        <x:f>F94+G94+I94+J94</x:f>
        <x:v>84082.99999999255</x:v>
      </x:c>
      <x:c r="L94" s="10" t="n">
        <x:f>K94/Sources!$B$4*1000</x:f>
        <x:v>23.489856951090864</x:v>
      </x:c>
      <x:c r="M94" s="10" t="n">
        <x:f>E94/Sources!$B$4*1000</x:f>
        <x:v>39.876017762032966</x:v>
      </x:c>
      <x:c r="N94" s="9" t="n">
        <x:f>Sources!$B$6-K94</x:f>
        <x:v>-24346.99999999255</x:v>
      </x:c>
    </x:row>
    <x:row r="95" ht="23" customHeight="1">
      <x:c r="A95" s="9" t="n">
        <x:v>94</x:v>
      </x:c>
      <x:c r="B95" s="9" t="n">
        <x:v>265</x:v>
      </x:c>
      <x:c r="C95" s="9" t="n">
        <x:v>1033</x:v>
      </x:c>
      <x:c r="D95" s="9" t="n">
        <x:v>2</x:v>
      </x:c>
      <x:c r="E95" s="9" t="n">
        <x:v>142718.00000000373</x:v>
      </x:c>
      <x:c r="F95" s="9" t="n">
        <x:v>858.0000000037253</x:v>
      </x:c>
      <x:c r="G95" s="9" t="n">
        <x:v>79425</x:v>
      </x:c>
      <x:c r="H95" s="9" t="n">
        <x:v>61920</x:v>
      </x:c>
      <x:c r="I95" s="9" t="n">
        <x:v>409</x:v>
      </x:c>
      <x:c r="J95" s="9" t="n">
        <x:v>106</x:v>
      </x:c>
      <x:c r="K95" s="9" t="n">
        <x:f>F95+G95+I95+J95</x:f>
        <x:v>80798.00000000373</x:v>
      </x:c>
      <x:c r="L95" s="10" t="n">
        <x:f>K95/Sources!$B$4*1000</x:f>
        <x:v>22.57214254884454</x:v>
      </x:c>
      <x:c r="M95" s="10" t="n">
        <x:f>E95/Sources!$B$4*1000</x:f>
        <x:v>39.87043045973824</x:v>
      </x:c>
      <x:c r="N95" s="9" t="n">
        <x:f>Sources!$B$6-K95</x:f>
        <x:v>-21062.000000003725</x:v>
      </x:c>
    </x:row>
    <x:row r="96" ht="23" customHeight="1">
      <x:c r="A96" s="9" t="n">
        <x:v>95</x:v>
      </x:c>
      <x:c r="B96" s="9" t="n">
        <x:v>263</x:v>
      </x:c>
      <x:c r="C96" s="9" t="n">
        <x:v>1031</x:v>
      </x:c>
      <x:c r="D96" s="9" t="n">
        <x:v>2</x:v>
      </x:c>
      <x:c r="E96" s="9" t="n">
        <x:v>142739.99999999627</x:v>
      </x:c>
      <x:c r="F96" s="9" t="n">
        <x:v>858</x:v>
      </x:c>
      <x:c r="G96" s="9" t="n">
        <x:v>109918.99999999627</x:v>
      </x:c>
      <x:c r="H96" s="9" t="n">
        <x:v>31440.000000003725</x:v>
      </x:c>
      <x:c r="I96" s="9" t="n">
        <x:v>417</x:v>
      </x:c>
      <x:c r="J96" s="9" t="n">
        <x:v>105.99999999627471</x:v>
      </x:c>
      <x:c r="K96" s="9" t="n">
        <x:f>F96+G96+I96+J96</x:f>
        <x:v>111299.99999999255</x:v>
      </x:c>
      <x:c r="L96" s="10" t="n">
        <x:f>K96/Sources!$B$4*1000</x:f>
        <x:v>31.09333728169154</x:v>
      </x:c>
      <x:c r="M96" s="10" t="n">
        <x:f>E96/Sources!$B$4*1000</x:f>
        <x:v>39.87657649226264</x:v>
      </x:c>
      <x:c r="N96" s="9" t="n">
        <x:f>Sources!$B$6-K96</x:f>
        <x:v>-51563.99999999255</x:v>
      </x:c>
    </x:row>
    <x:row r="97" ht="23" customHeight="1">
      <x:c r="A97" s="9" t="n">
        <x:v>96</x:v>
      </x:c>
      <x:c r="B97" s="9" t="n">
        <x:v>267</x:v>
      </x:c>
      <x:c r="C97" s="9" t="n">
        <x:v>1031</x:v>
      </x:c>
      <x:c r="D97" s="9" t="n">
        <x:v>2</x:v>
      </x:c>
      <x:c r="E97" s="9" t="n">
        <x:v>142719</x:v>
      </x:c>
      <x:c r="F97" s="9" t="n">
        <x:v>785.0000000037253</x:v>
      </x:c>
      <x:c r="G97" s="9" t="n">
        <x:v>108284</x:v>
      </x:c>
      <x:c r="H97" s="9" t="n">
        <x:v>33135</x:v>
      </x:c>
      <x:c r="I97" s="9" t="n">
        <x:v>408.9999999962747</x:v>
      </x:c>
      <x:c r="J97" s="9" t="n">
        <x:v>106</x:v>
      </x:c>
      <x:c r="K97" s="9" t="n">
        <x:f>F97+G97+I97+J97</x:f>
        <x:v>109584</x:v>
      </x:c>
      <x:c r="L97" s="10" t="n">
        <x:f>K97/Sources!$B$4*1000</x:f>
        <x:v>30.61394674462816</x:v>
      </x:c>
      <x:c r="M97" s="10" t="n">
        <x:f>E97/Sources!$B$4*1000</x:f>
        <x:v>39.870709824852035</x:v>
      </x:c>
      <x:c r="N97" s="9" t="n">
        <x:f>Sources!$B$6-K97</x:f>
        <x:v>-49848</x:v>
      </x:c>
    </x:row>
    <x:row r="98" ht="23" customHeight="1">
      <x:c r="A98" s="9" t="n">
        <x:v>97</x:v>
      </x:c>
      <x:c r="B98" s="9" t="n">
        <x:v>271</x:v>
      </x:c>
      <x:c r="C98" s="9" t="n">
        <x:v>1031</x:v>
      </x:c>
      <x:c r="D98" s="9" t="n">
        <x:v>2</x:v>
      </x:c>
      <x:c r="E98" s="9" t="n">
        <x:v>71370.00000000373</x:v>
      </x:c>
      <x:c r="F98" s="9" t="n">
        <x:v>785.0000000037253</x:v>
      </x:c>
      <x:c r="G98" s="9" t="n">
        <x:v>40137</x:v>
      </x:c>
      <x:c r="H98" s="9" t="n">
        <x:v>29925</x:v>
      </x:c>
      <x:c r="I98" s="9" t="n">
        <x:v>417.0000000037253</x:v>
      </x:c>
      <x:c r="J98" s="9" t="n">
        <x:v>105.99999999627471</x:v>
      </x:c>
      <x:c r="K98" s="9" t="n">
        <x:f>F98+G98+I98+J98</x:f>
        <x:v>41445.000000003725</x:v>
      </x:c>
      <x:c r="L98" s="10" t="n">
        <x:f>K98/Sources!$B$4*1000</x:f>
        <x:v>11.578287184545445</x:v>
      </x:c>
      <x:c r="M98" s="10" t="n">
        <x:f>E98/Sources!$B$4*1000</x:f>
        <x:v>19.93828824613288</x:v>
      </x:c>
      <x:c r="N98" s="9" t="n">
        <x:f>Sources!$B$6-K98</x:f>
        <x:v>18290.999999996275</x:v>
      </x:c>
    </x:row>
    <x:row r="99" ht="23" customHeight="1">
      <x:c r="A99" s="9" t="n">
        <x:v>98</x:v>
      </x:c>
      <x:c r="B99" s="9" t="n">
        <x:v>273</x:v>
      </x:c>
      <x:c r="C99" s="9" t="n">
        <x:v>1031</x:v>
      </x:c>
      <x:c r="D99" s="9" t="n">
        <x:v>1</x:v>
      </x:c>
      <x:c r="E99" s="9" t="n">
        <x:v>142719</x:v>
      </x:c>
      <x:c r="F99" s="9" t="n">
        <x:v>784.9999999962747</x:v>
      </x:c>
      <x:c r="G99" s="9" t="n">
        <x:v>115419.00000000373</x:v>
      </x:c>
      <x:c r="H99" s="9" t="n">
        <x:v>26000</x:v>
      </x:c>
      <x:c r="I99" s="9" t="n">
        <x:v>409</x:v>
      </x:c>
      <x:c r="J99" s="9" t="n">
        <x:v>106</x:v>
      </x:c>
      <x:c r="K99" s="9" t="n">
        <x:f>F99+G99+I99+J99</x:f>
        <x:v>116719</x:v>
      </x:c>
      <x:c r="L99" s="10" t="n">
        <x:f>K99/Sources!$B$4*1000</x:f>
        <x:v>32.60721683901166</x:v>
      </x:c>
      <x:c r="M99" s="10" t="n">
        <x:f>E99/Sources!$B$4*1000</x:f>
        <x:v>39.870709824852035</x:v>
      </x:c>
      <x:c r="N99" s="9" t="n">
        <x:f>Sources!$B$6-K99</x:f>
        <x:v>-56983</x:v>
      </x:c>
    </x:row>
    <x:row r="100" ht="23" customHeight="1">
      <x:c r="A100" s="9" t="n">
        <x:v>99</x:v>
      </x:c>
      <x:c r="B100" s="9" t="n">
        <x:v>277</x:v>
      </x:c>
      <x:c r="C100" s="9" t="n">
        <x:v>1031</x:v>
      </x:c>
      <x:c r="D100" s="9" t="n">
        <x:v>2</x:v>
      </x:c>
      <x:c r="E100" s="9" t="n">
        <x:v>142739</x:v>
      </x:c>
      <x:c r="F100" s="9" t="n">
        <x:v>785</x:v>
      </x:c>
      <x:c r="G100" s="9" t="n">
        <x:v>92191</x:v>
      </x:c>
      <x:c r="H100" s="9" t="n">
        <x:v>49239.99999999255</x:v>
      </x:c>
      <x:c r="I100" s="9" t="n">
        <x:v>417.0000000074506</x:v>
      </x:c>
      <x:c r="J100" s="9" t="n">
        <x:v>106</x:v>
      </x:c>
      <x:c r="K100" s="9" t="n">
        <x:f>F100+G100+I100+J100</x:f>
        <x:v>93499.00000000745</x:v>
      </x:c>
      <x:c r="L100" s="10" t="n">
        <x:f>K100/Sources!$B$4*1000</x:f>
        <x:v>26.120358872428604</x:v>
      </x:c>
      <x:c r="M100" s="10" t="n">
        <x:f>E100/Sources!$B$4*1000</x:f>
        <x:v>39.87629712714884</x:v>
      </x:c>
      <x:c r="N100" s="9" t="n">
        <x:f>Sources!$B$6-K100</x:f>
        <x:v>-33763.00000000745</x:v>
      </x:c>
    </x:row>
    <x:row r="101" ht="23" customHeight="1">
      <x:c r="A101" s="9" t="n">
        <x:v>100</x:v>
      </x:c>
      <x:c r="B101" s="9" t="n">
        <x:v>281</x:v>
      </x:c>
      <x:c r="C101" s="9" t="n">
        <x:v>1031</x:v>
      </x:c>
      <x:c r="D101" s="9" t="n">
        <x:v>2</x:v>
      </x:c>
      <x:c r="E101" s="9" t="n">
        <x:v>71355</x:v>
      </x:c>
      <x:c r="F101" s="9" t="n">
        <x:v>785</x:v>
      </x:c>
      <x:c r="G101" s="9" t="n">
        <x:v>64375</x:v>
      </x:c>
      <x:c r="H101" s="9" t="n">
        <x:v>5680</x:v>
      </x:c>
      <x:c r="I101" s="9" t="n">
        <x:v>408.9999999925494</x:v>
      </x:c>
      <x:c r="J101" s="9" t="n">
        <x:v>106.00000000745058</x:v>
      </x:c>
      <x:c r="K101" s="9" t="n">
        <x:f>F101+G101+I101+J101</x:f>
        <x:v>65675</x:v>
      </x:c>
      <x:c r="L101" s="10" t="n">
        <x:f>K101/Sources!$B$4*1000</x:f>
        <x:v>18.347303917117955</x:v>
      </x:c>
      <x:c r="M101" s="10" t="n">
        <x:f>E101/Sources!$B$4*1000</x:f>
        <x:v>19.934097769409238</x:v>
      </x:c>
      <x:c r="N101" s="9" t="n">
        <x:f>Sources!$B$6-K101</x:f>
        <x:v>-5939</x:v>
      </x:c>
    </x:row>
    <x:row r="102" ht="23" customHeight="1">
      <x:c r="A102" s="9" t="n">
        <x:v>101</x:v>
      </x:c>
      <x:c r="B102" s="9" t="n">
        <x:v>283</x:v>
      </x:c>
      <x:c r="C102" s="9" t="n">
        <x:v>1031</x:v>
      </x:c>
      <x:c r="D102" s="9" t="n">
        <x:v>1</x:v>
      </x:c>
      <x:c r="E102" s="9" t="n">
        <x:v>142735</x:v>
      </x:c>
      <x:c r="F102" s="9" t="n">
        <x:v>785</x:v>
      </x:c>
      <x:c r="G102" s="9" t="n">
        <x:v>89527</x:v>
      </x:c>
      <x:c r="H102" s="9" t="n">
        <x:v>51900.00000000745</x:v>
      </x:c>
      <x:c r="I102" s="9" t="n">
        <x:v>417</x:v>
      </x:c>
      <x:c r="J102" s="9" t="n">
        <x:v>105.99999999254942</x:v>
      </x:c>
      <x:c r="K102" s="9" t="n">
        <x:f>F102+G102+I102+J102</x:f>
        <x:v>90834.99999999255</x:v>
      </x:c>
      <x:c r="L102" s="10" t="n">
        <x:f>K102/Sources!$B$4*1000</x:f>
        <x:v>25.376130206490643</x:v>
      </x:c>
      <x:c r="M102" s="10" t="n">
        <x:f>E102/Sources!$B$4*1000</x:f>
        <x:v>39.875179666689476</x:v>
      </x:c>
      <x:c r="N102" s="9" t="n">
        <x:f>Sources!$B$6-K102</x:f>
        <x:v>-31098.99999999255</x:v>
      </x:c>
    </x:row>
    <x:row r="103" ht="23" customHeight="1">
      <x:c r="A103" s="9" t="n">
        <x:v>102</x:v>
      </x:c>
      <x:c r="B103" s="9" t="n">
        <x:v>287</x:v>
      </x:c>
      <x:c r="C103" s="9" t="n">
        <x:v>1031</x:v>
      </x:c>
      <x:c r="D103" s="9" t="n">
        <x:v>2</x:v>
      </x:c>
      <x:c r="E103" s="9" t="n">
        <x:v>142719</x:v>
      </x:c>
      <x:c r="F103" s="9" t="n">
        <x:v>784.9999999925494</x:v>
      </x:c>
      <x:c r="G103" s="9" t="n">
        <x:v>75624.00000000745</x:v>
      </x:c>
      <x:c r="H103" s="9" t="n">
        <x:v>65795</x:v>
      </x:c>
      <x:c r="I103" s="9" t="n">
        <x:v>409</x:v>
      </x:c>
      <x:c r="J103" s="9" t="n">
        <x:v>106</x:v>
      </x:c>
      <x:c r="K103" s="9" t="n">
        <x:f>F103+G103+I103+J103</x:f>
        <x:v>76924</x:v>
      </x:c>
      <x:c r="L103" s="10" t="n">
        <x:f>K103/Sources!$B$4*1000</x:f>
        <x:v>21.48988209395328</x:v>
      </x:c>
      <x:c r="M103" s="10" t="n">
        <x:f>E103/Sources!$B$4*1000</x:f>
        <x:v>39.870709824852035</x:v>
      </x:c>
      <x:c r="N103" s="9" t="n">
        <x:f>Sources!$B$6-K103</x:f>
        <x:v>-17188</x:v>
      </x:c>
    </x:row>
    <x:row r="104" ht="23" customHeight="1">
      <x:c r="A104" s="9" t="n">
        <x:v>103</x:v>
      </x:c>
      <x:c r="B104" s="9" t="n">
        <x:v>291</x:v>
      </x:c>
      <x:c r="C104" s="9" t="n">
        <x:v>1031</x:v>
      </x:c>
      <x:c r="D104" s="9" t="n">
        <x:v>2</x:v>
      </x:c>
      <x:c r="E104" s="9" t="n">
        <x:v>71371.99999999255</x:v>
      </x:c>
      <x:c r="F104" s="9" t="n">
        <x:v>785</x:v>
      </x:c>
      <x:c r="G104" s="9" t="n">
        <x:v>64594</x:v>
      </x:c>
      <x:c r="H104" s="9" t="n">
        <x:v>5470</x:v>
      </x:c>
      <x:c r="I104" s="9" t="n">
        <x:v>417</x:v>
      </x:c>
      <x:c r="J104" s="9" t="n">
        <x:v>105.99999999254942</x:v>
      </x:c>
      <x:c r="K104" s="9" t="n">
        <x:f>F104+G104+I104+J104</x:f>
        <x:v>65901.99999999255</x:v>
      </x:c>
      <x:c r="L104" s="10" t="n">
        <x:f>K104/Sources!$B$4*1000</x:f>
        <x:v>18.41071979818456</x:v>
      </x:c>
      <x:c r="M104" s="10" t="n">
        <x:f>E104/Sources!$B$4*1000</x:f>
        <x:v>19.93884697635944</x:v>
      </x:c>
      <x:c r="N104" s="9" t="n">
        <x:f>Sources!$B$6-K104</x:f>
        <x:v>-6165.999999992549</x:v>
      </x:c>
    </x:row>
    <x:row r="105" ht="23" customHeight="1">
      <x:c r="A105" s="9" t="n">
        <x:v>104</x:v>
      </x:c>
      <x:c r="B105" s="9" t="n">
        <x:v>293</x:v>
      </x:c>
      <x:c r="C105" s="9" t="n">
        <x:v>1031</x:v>
      </x:c>
      <x:c r="D105" s="9" t="n">
        <x:v>1</x:v>
      </x:c>
      <x:c r="E105" s="9" t="n">
        <x:v>142720.00000000745</x:v>
      </x:c>
      <x:c r="F105" s="9" t="n">
        <x:v>785.0000000074506</x:v>
      </x:c>
      <x:c r="G105" s="9" t="n">
        <x:v>91980</x:v>
      </x:c>
      <x:c r="H105" s="9" t="n">
        <x:v>49440</x:v>
      </x:c>
      <x:c r="I105" s="9" t="n">
        <x:v>409</x:v>
      </x:c>
      <x:c r="J105" s="9" t="n">
        <x:v>106</x:v>
      </x:c>
      <x:c r="K105" s="9" t="n">
        <x:f>F105+G105+I105+J105</x:f>
        <x:v>93280.00000000745</x:v>
      </x:c>
      <x:c r="L105" s="10" t="n">
        <x:f>K105/Sources!$B$4*1000</x:f>
        <x:v>26.059177912278642</x:v>
      </x:c>
      <x:c r="M105" s="10" t="n">
        <x:f>E105/Sources!$B$4*1000</x:f>
        <x:v>39.87098918996896</x:v>
      </x:c>
      <x:c r="N105" s="9" t="n">
        <x:f>Sources!$B$6-K105</x:f>
        <x:v>-33544.00000000745</x:v>
      </x:c>
    </x:row>
    <x:row r="106" ht="23" customHeight="1">
      <x:c r="A106" s="9" t="n">
        <x:v>105</x:v>
      </x:c>
      <x:c r="B106" s="9" t="n">
        <x:v>297</x:v>
      </x:c>
      <x:c r="C106" s="9" t="n">
        <x:v>1031</x:v>
      </x:c>
      <x:c r="D106" s="9" t="n">
        <x:v>2</x:v>
      </x:c>
      <x:c r="E106" s="9" t="n">
        <x:v>142737</x:v>
      </x:c>
      <x:c r="F106" s="9" t="n">
        <x:v>784.9999999925494</x:v>
      </x:c>
      <x:c r="G106" s="9" t="n">
        <x:v>115649.00000000745</x:v>
      </x:c>
      <x:c r="H106" s="9" t="n">
        <x:v>25780</x:v>
      </x:c>
      <x:c r="I106" s="9" t="n">
        <x:v>417</x:v>
      </x:c>
      <x:c r="J106" s="9" t="n">
        <x:v>106</x:v>
      </x:c>
      <x:c r="K106" s="9" t="n">
        <x:f>F106+G106+I106+J106</x:f>
        <x:v>116957</x:v>
      </x:c>
      <x:c r="L106" s="10" t="n">
        <x:f>K106/Sources!$B$4*1000</x:f>
        <x:v>32.673705736343585</x:v>
      </x:c>
      <x:c r="M106" s="10" t="n">
        <x:f>E106/Sources!$B$4*1000</x:f>
        <x:v>39.87573839691916</x:v>
      </x:c>
      <x:c r="N106" s="9" t="n">
        <x:f>Sources!$B$6-K106</x:f>
        <x:v>-57221</x:v>
      </x:c>
    </x:row>
    <x:row r="107" ht="23" customHeight="1">
      <x:c r="A107" s="9" t="n">
        <x:v>106</x:v>
      </x:c>
      <x:c r="B107" s="9" t="n">
        <x:v>301</x:v>
      </x:c>
      <x:c r="C107" s="9" t="n">
        <x:v>1031</x:v>
      </x:c>
      <x:c r="D107" s="9" t="n">
        <x:v>2</x:v>
      </x:c>
      <x:c r="E107" s="9" t="n">
        <x:v>71357</x:v>
      </x:c>
      <x:c r="F107" s="9" t="n">
        <x:v>785</x:v>
      </x:c>
      <x:c r="G107" s="9" t="n">
        <x:v>39947.00000000745</x:v>
      </x:c>
      <x:c r="H107" s="9" t="n">
        <x:v>30110</x:v>
      </x:c>
      <x:c r="I107" s="9" t="n">
        <x:v>408.9999999925494</x:v>
      </x:c>
      <x:c r="J107" s="9" t="n">
        <x:v>106</x:v>
      </x:c>
      <x:c r="K107" s="9" t="n">
        <x:f>F107+G107+I107+J107</x:f>
        <x:v>41247</x:v>
      </x:c>
      <x:c r="L107" s="10" t="n">
        <x:f>K107/Sources!$B$4*1000</x:f>
        <x:v>11.52297289180608</x:v>
      </x:c>
      <x:c r="M107" s="10" t="n">
        <x:f>E107/Sources!$B$4*1000</x:f>
        <x:v>19.93465649963892</x:v>
      </x:c>
      <x:c r="N107" s="9" t="n">
        <x:f>Sources!$B$6-K107</x:f>
        <x:v>18489</x:v>
      </x:c>
    </x:row>
    <x:row r="108" ht="23" customHeight="1">
      <x:c r="A108" s="9" t="n">
        <x:v>107</x:v>
      </x:c>
      <x:c r="B108" s="9" t="n">
        <x:v>303</x:v>
      </x:c>
      <x:c r="C108" s="9" t="n">
        <x:v>1031</x:v>
      </x:c>
      <x:c r="D108" s="9" t="n">
        <x:v>1</x:v>
      </x:c>
      <x:c r="E108" s="9" t="n">
        <x:v>142738</x:v>
      </x:c>
      <x:c r="F108" s="9" t="n">
        <x:v>785</x:v>
      </x:c>
      <x:c r="G108" s="9" t="n">
        <x:v>75675</x:v>
      </x:c>
      <x:c r="H108" s="9" t="n">
        <x:v>65755.00000000745</x:v>
      </x:c>
      <x:c r="I108" s="9" t="n">
        <x:v>417</x:v>
      </x:c>
      <x:c r="J108" s="9" t="n">
        <x:v>105.99999999254942</x:v>
      </x:c>
      <x:c r="K108" s="9" t="n">
        <x:f>F108+G108+I108+J108</x:f>
        <x:v>76982.99999999255</x:v>
      </x:c>
      <x:c r="L108" s="10" t="n">
        <x:f>K108/Sources!$B$4*1000</x:f>
        <x:v>21.506364635726758</x:v>
      </x:c>
      <x:c r="M108" s="10" t="n">
        <x:f>E108/Sources!$B$4*1000</x:f>
        <x:v>39.876017762033996</x:v>
      </x:c>
      <x:c r="N108" s="9" t="n">
        <x:f>Sources!$B$6-K108</x:f>
        <x:v>-17246.99999999255</x:v>
      </x:c>
    </x:row>
    <x:row r="109" ht="23" customHeight="1">
      <x:c r="A109" s="9" t="n">
        <x:v>108</x:v>
      </x:c>
      <x:c r="B109" s="9" t="n">
        <x:v>307</x:v>
      </x:c>
      <x:c r="C109" s="9" t="n">
        <x:v>1031</x:v>
      </x:c>
      <x:c r="D109" s="9" t="n">
        <x:v>2</x:v>
      </x:c>
      <x:c r="E109" s="9" t="n">
        <x:v>142718</x:v>
      </x:c>
      <x:c r="F109" s="9" t="n">
        <x:v>785</x:v>
      </x:c>
      <x:c r="G109" s="9" t="n">
        <x:v>113678</x:v>
      </x:c>
      <x:c r="H109" s="9" t="n">
        <x:v>27739.99999999255</x:v>
      </x:c>
      <x:c r="I109" s="9" t="n">
        <x:v>409.0000000074506</x:v>
      </x:c>
      <x:c r="J109" s="9" t="n">
        <x:v>106</x:v>
      </x:c>
      <x:c r="K109" s="9" t="n">
        <x:f>F109+G109+I109+J109</x:f>
        <x:v>114978.00000000745</x:v>
      </x:c>
      <x:c r="L109" s="10" t="n">
        <x:f>K109/Sources!$B$4*1000</x:f>
        <x:v>32.120842174077275</x:v>
      </x:c>
      <x:c r="M109" s="10" t="n">
        <x:f>E109/Sources!$B$4*1000</x:f>
        <x:v>39.8704304597372</x:v>
      </x:c>
      <x:c r="N109" s="9" t="n">
        <x:f>Sources!$B$6-K109</x:f>
        <x:v>-55242.00000000745</x:v>
      </x:c>
    </x:row>
    <x:row r="110" ht="23" customHeight="1">
      <x:c r="A110" s="9" t="n">
        <x:v>109</x:v>
      </x:c>
      <x:c r="B110" s="9" t="n">
        <x:v>311</x:v>
      </x:c>
      <x:c r="C110" s="9" t="n">
        <x:v>1031</x:v>
      </x:c>
      <x:c r="D110" s="9" t="n">
        <x:v>2</x:v>
      </x:c>
      <x:c r="E110" s="9" t="n">
        <x:v>71372.99999999255</x:v>
      </x:c>
      <x:c r="F110" s="9" t="n">
        <x:v>785</x:v>
      </x:c>
      <x:c r="G110" s="9" t="n">
        <x:v>40175</x:v>
      </x:c>
      <x:c r="H110" s="9" t="n">
        <x:v>29890</x:v>
      </x:c>
      <x:c r="I110" s="9" t="n">
        <x:v>417</x:v>
      </x:c>
      <x:c r="J110" s="9" t="n">
        <x:v>105.99999999254942</x:v>
      </x:c>
      <x:c r="K110" s="9" t="n">
        <x:f>F110+G110+I110+J110</x:f>
        <x:v>41482.99999999255</x:v>
      </x:c>
      <x:c r="L110" s="10" t="n">
        <x:f>K110/Sources!$B$4*1000</x:f>
        <x:v>11.588903058906244</x:v>
      </x:c>
      <x:c r="M110" s="10" t="n">
        <x:f>E110/Sources!$B$4*1000</x:f>
        <x:v>19.93912634147428</x:v>
      </x:c>
      <x:c r="N110" s="9" t="n">
        <x:f>Sources!$B$6-K110</x:f>
        <x:v>18253.00000000745</x:v>
      </x:c>
    </x:row>
    <x:row r="111" ht="23" customHeight="1">
      <x:c r="A111" s="9" t="n">
        <x:v>110</x:v>
      </x:c>
      <x:c r="B111" s="9" t="n">
        <x:v>313</x:v>
      </x:c>
      <x:c r="C111" s="9" t="n">
        <x:v>1031</x:v>
      </x:c>
      <x:c r="D111" s="9" t="n">
        <x:v>1</x:v>
      </x:c>
      <x:c r="E111" s="9" t="n">
        <x:v>142717.00000000745</x:v>
      </x:c>
      <x:c r="F111" s="9" t="n">
        <x:v>785.0000000074506</x:v>
      </x:c>
      <x:c r="G111" s="9" t="n">
        <x:v>129671.99999999255</x:v>
      </x:c>
      <x:c r="H111" s="9" t="n">
        <x:v>11745.00000000745</x:v>
      </x:c>
      <x:c r="I111" s="9" t="n">
        <x:v>409.0000000074506</x:v>
      </x:c>
      <x:c r="J111" s="9" t="n">
        <x:v>105.99999999254942</x:v>
      </x:c>
      <x:c r="K111" s="9" t="n">
        <x:f>F111+G111+I111+J111</x:f>
        <x:v>130972</x:v>
      </x:c>
      <x:c r="L111" s="10" t="n">
        <x:f>K111/Sources!$B$4*1000</x:f>
        <x:v>36.589007820826396</x:v>
      </x:c>
      <x:c r="M111" s="10" t="n">
        <x:f>E111/Sources!$B$4*1000</x:f>
        <x:v>39.87015109462444</x:v>
      </x:c>
      <x:c r="N111" s="9" t="n">
        <x:f>Sources!$B$6-K111</x:f>
        <x:v>-71236</x:v>
      </x:c>
    </x:row>
    <x:row r="112" ht="23" customHeight="1">
      <x:c r="A112" s="9" t="n">
        <x:v>111</x:v>
      </x:c>
      <x:c r="B112" s="9" t="n">
        <x:v>317</x:v>
      </x:c>
      <x:c r="C112" s="9" t="n">
        <x:v>1031</x:v>
      </x:c>
      <x:c r="D112" s="9" t="n">
        <x:v>2</x:v>
      </x:c>
      <x:c r="E112" s="9" t="n">
        <x:v>142738</x:v>
      </x:c>
      <x:c r="F112" s="9" t="n">
        <x:v>785</x:v>
      </x:c>
      <x:c r="G112" s="9" t="n">
        <x:v>92199.99999999255</x:v>
      </x:c>
      <x:c r="H112" s="9" t="n">
        <x:v>49230.00000000745</x:v>
      </x:c>
      <x:c r="I112" s="9" t="n">
        <x:v>417</x:v>
      </x:c>
      <x:c r="J112" s="9" t="n">
        <x:v>106</x:v>
      </x:c>
      <x:c r="K112" s="9" t="n">
        <x:f>F112+G112+I112+J112</x:f>
        <x:v>93507.99999999255</x:v>
      </x:c>
      <x:c r="L112" s="10" t="n">
        <x:f>K112/Sources!$B$4*1000</x:f>
        <x:v>26.122873158458003</x:v>
      </x:c>
      <x:c r="M112" s="10" t="n">
        <x:f>E112/Sources!$B$4*1000</x:f>
        <x:v>39.876017762033996</x:v>
      </x:c>
      <x:c r="N112" s="9" t="n">
        <x:f>Sources!$B$6-K112</x:f>
        <x:v>-33771.99999999255</x:v>
      </x:c>
    </x:row>
    <x:row r="113" ht="23" customHeight="1">
      <x:c r="A113" s="9" t="n">
        <x:v>112</x:v>
      </x:c>
      <x:c r="B113" s="9" t="n">
        <x:v>321</x:v>
      </x:c>
      <x:c r="C113" s="9" t="n">
        <x:v>1031</x:v>
      </x:c>
      <x:c r="D113" s="9" t="n">
        <x:v>2</x:v>
      </x:c>
      <x:c r="E113" s="9" t="n">
        <x:v>142722</x:v>
      </x:c>
      <x:c r="F113" s="9" t="n">
        <x:v>785</x:v>
      </x:c>
      <x:c r="G113" s="9" t="n">
        <x:v>75757</x:v>
      </x:c>
      <x:c r="H113" s="9" t="n">
        <x:v>65665</x:v>
      </x:c>
      <x:c r="I113" s="9" t="n">
        <x:v>408.9999999925494</x:v>
      </x:c>
      <x:c r="J113" s="9" t="n">
        <x:v>106.00000000745058</x:v>
      </x:c>
      <x:c r="K113" s="9" t="n">
        <x:f>F113+G113+I113+J113</x:f>
        <x:v>77057</x:v>
      </x:c>
      <x:c r="L113" s="10" t="n">
        <x:f>K113/Sources!$B$4*1000</x:f>
        <x:v>21.527037654227005</x:v>
      </x:c>
      <x:c r="M113" s="10" t="n">
        <x:f>E113/Sources!$B$4*1000</x:f>
        <x:v>39.871547920196555</x:v>
      </x:c>
      <x:c r="N113" s="9" t="n">
        <x:f>Sources!$B$6-K113</x:f>
        <x:v>-17321</x:v>
      </x:c>
    </x:row>
    <x:row r="114" ht="23" customHeight="1">
      <x:c r="A114" s="9" t="n">
        <x:v>113</x:v>
      </x:c>
      <x:c r="B114" s="9" t="n">
        <x:v>325</x:v>
      </x:c>
      <x:c r="C114" s="9" t="n">
        <x:v>1031</x:v>
      </x:c>
      <x:c r="D114" s="9" t="n">
        <x:v>2</x:v>
      </x:c>
      <x:c r="E114" s="9" t="n">
        <x:v>71369</x:v>
      </x:c>
      <x:c r="F114" s="9" t="n">
        <x:v>785.0000000074506</x:v>
      </x:c>
      <x:c r="G114" s="9" t="n">
        <x:v>37116</x:v>
      </x:c>
      <x:c r="H114" s="9" t="n">
        <x:v>32944.99999999255</x:v>
      </x:c>
      <x:c r="I114" s="9" t="n">
        <x:v>417</x:v>
      </x:c>
      <x:c r="J114" s="9" t="n">
        <x:v>106</x:v>
      </x:c>
      <x:c r="K114" s="9" t="n">
        <x:f>F114+G114+I114+J114</x:f>
        <x:v>38424.00000000745</x:v>
      </x:c>
      <x:c r="L114" s="10" t="n">
        <x:f>K114/Sources!$B$4*1000</x:f>
        <x:v>10.734325172614803</x:v>
      </x:c>
      <x:c r="M114" s="10" t="n">
        <x:f>E114/Sources!$B$4*1000</x:f>
        <x:v>19.938008881016998</x:v>
      </x:c>
      <x:c r="N114" s="9" t="n">
        <x:f>Sources!$B$6-K114</x:f>
        <x:v>21311.99999999255</x:v>
      </x:c>
    </x:row>
    <x:row r="115" ht="23" customHeight="1">
      <x:c r="A115" s="9" t="n">
        <x:v>114</x:v>
      </x:c>
      <x:c r="B115" s="9" t="n">
        <x:v>327</x:v>
      </x:c>
      <x:c r="C115" s="9" t="n">
        <x:v>1031</x:v>
      </x:c>
      <x:c r="D115" s="9" t="n">
        <x:v>1</x:v>
      </x:c>
      <x:c r="E115" s="9" t="n">
        <x:v>142722</x:v>
      </x:c>
      <x:c r="F115" s="9" t="n">
        <x:v>785</x:v>
      </x:c>
      <x:c r="G115" s="9" t="n">
        <x:v>72622</x:v>
      </x:c>
      <x:c r="H115" s="9" t="n">
        <x:v>68800</x:v>
      </x:c>
      <x:c r="I115" s="9" t="n">
        <x:v>409</x:v>
      </x:c>
      <x:c r="J115" s="9" t="n">
        <x:v>106</x:v>
      </x:c>
      <x:c r="K115" s="9" t="n">
        <x:f>F115+G115+I115+J115</x:f>
        <x:v>73922</x:v>
      </x:c>
      <x:c r="L115" s="10" t="n">
        <x:f>K115/Sources!$B$4*1000</x:f>
        <x:v>20.65122801920356</x:v>
      </x:c>
      <x:c r="M115" s="10" t="n">
        <x:f>E115/Sources!$B$4*1000</x:f>
        <x:v>39.871547920196555</x:v>
      </x:c>
      <x:c r="N115" s="9" t="n">
        <x:f>Sources!$B$6-K115</x:f>
        <x:v>-14186</x:v>
      </x:c>
    </x:row>
    <x:row r="116" ht="23" customHeight="1">
      <x:c r="A116" s="9" t="n">
        <x:v>115</x:v>
      </x:c>
      <x:c r="B116" s="9" t="n">
        <x:v>331</x:v>
      </x:c>
      <x:c r="C116" s="9" t="n">
        <x:v>1031</x:v>
      </x:c>
      <x:c r="D116" s="9" t="n">
        <x:v>2</x:v>
      </x:c>
      <x:c r="E116" s="9" t="n">
        <x:v>142735</x:v>
      </x:c>
      <x:c r="F116" s="9" t="n">
        <x:v>785</x:v>
      </x:c>
      <x:c r="G116" s="9" t="n">
        <x:v>110886.99999999255</x:v>
      </x:c>
      <x:c r="H116" s="9" t="n">
        <x:v>30540</x:v>
      </x:c>
      <x:c r="I116" s="9" t="n">
        <x:v>417</x:v>
      </x:c>
      <x:c r="J116" s="9" t="n">
        <x:v>106.00000000745058</x:v>
      </x:c>
      <x:c r="K116" s="9" t="n">
        <x:f>F116+G116+I116+J116</x:f>
        <x:v>112195</x:v>
      </x:c>
      <x:c r="L116" s="10" t="n">
        <x:f>K116/Sources!$B$4*1000</x:f>
        <x:v>31.343369059475435</x:v>
      </x:c>
      <x:c r="M116" s="10" t="n">
        <x:f>E116/Sources!$B$4*1000</x:f>
        <x:v>39.875179666689476</x:v>
      </x:c>
      <x:c r="N116" s="9" t="n">
        <x:f>Sources!$B$6-K116</x:f>
        <x:v>-52459</x:v>
      </x:c>
    </x:row>
    <x:row r="117" ht="23" customHeight="1">
      <x:c r="A117" s="9" t="n">
        <x:v>116</x:v>
      </x:c>
      <x:c r="B117" s="9" t="n">
        <x:v>335</x:v>
      </x:c>
      <x:c r="C117" s="9" t="n">
        <x:v>1031</x:v>
      </x:c>
      <x:c r="D117" s="9" t="n">
        <x:v>2</x:v>
      </x:c>
      <x:c r="E117" s="9" t="n">
        <x:v>71358</x:v>
      </x:c>
      <x:c r="F117" s="9" t="n">
        <x:v>785</x:v>
      </x:c>
      <x:c r="G117" s="9" t="n">
        <x:v>36973</x:v>
      </x:c>
      <x:c r="H117" s="9" t="n">
        <x:v>33085</x:v>
      </x:c>
      <x:c r="I117" s="9" t="n">
        <x:v>409</x:v>
      </x:c>
      <x:c r="J117" s="9" t="n">
        <x:v>106</x:v>
      </x:c>
      <x:c r="K117" s="9" t="n">
        <x:f>F117+G117+I117+J117</x:f>
        <x:v>38273</x:v>
      </x:c>
      <x:c r="L117" s="10" t="n">
        <x:f>K117/Sources!$B$4*1000</x:f>
        <x:v>10.692141040271878</x:v>
      </x:c>
      <x:c r="M117" s="10" t="n">
        <x:f>E117/Sources!$B$4*1000</x:f>
        <x:v>19.934935864753758</x:v>
      </x:c>
      <x:c r="N117" s="9" t="n">
        <x:f>Sources!$B$6-K117</x:f>
        <x:v>21463</x:v>
      </x:c>
    </x:row>
    <x:row r="118" ht="23" customHeight="1">
      <x:c r="A118" s="9" t="n">
        <x:v>117</x:v>
      </x:c>
      <x:c r="B118" s="9" t="n">
        <x:v>337</x:v>
      </x:c>
      <x:c r="C118" s="9" t="n">
        <x:v>1031</x:v>
      </x:c>
      <x:c r="D118" s="9" t="n">
        <x:v>1</x:v>
      </x:c>
      <x:c r="E118" s="9" t="n">
        <x:v>142735</x:v>
      </x:c>
      <x:c r="F118" s="9" t="n">
        <x:v>785</x:v>
      </x:c>
      <x:c r="G118" s="9" t="n">
        <x:v>112647</x:v>
      </x:c>
      <x:c r="H118" s="9" t="n">
        <x:v>28780</x:v>
      </x:c>
      <x:c r="I118" s="9" t="n">
        <x:v>416.9999999925494</x:v>
      </x:c>
      <x:c r="J118" s="9" t="n">
        <x:v>106.00000000745058</x:v>
      </x:c>
      <x:c r="K118" s="9" t="n">
        <x:f>F118+G118+I118+J118</x:f>
        <x:v>113955</x:v>
      </x:c>
      <x:c r="L118" s="10" t="n">
        <x:f>K118/Sources!$B$4*1000</x:f>
        <x:v>31.83505166159386</x:v>
      </x:c>
      <x:c r="M118" s="10" t="n">
        <x:f>E118/Sources!$B$4*1000</x:f>
        <x:v>39.875179666689476</x:v>
      </x:c>
      <x:c r="N118" s="9" t="n">
        <x:f>Sources!$B$6-K118</x:f>
        <x:v>-54219</x:v>
      </x:c>
    </x:row>
    <x:row r="119" ht="23" customHeight="1">
      <x:c r="A119" s="9" t="n">
        <x:v>118</x:v>
      </x:c>
      <x:c r="B119" s="9" t="n">
        <x:v>341</x:v>
      </x:c>
      <x:c r="C119" s="9" t="n">
        <x:v>1031</x:v>
      </x:c>
      <x:c r="D119" s="9" t="n">
        <x:v>2</x:v>
      </x:c>
      <x:c r="E119" s="9" t="n">
        <x:v>142718</x:v>
      </x:c>
      <x:c r="F119" s="9" t="n">
        <x:v>785</x:v>
      </x:c>
      <x:c r="G119" s="9" t="n">
        <x:v>88968</x:v>
      </x:c>
      <x:c r="H119" s="9" t="n">
        <x:v>52450</x:v>
      </x:c>
      <x:c r="I119" s="9" t="n">
        <x:v>409</x:v>
      </x:c>
      <x:c r="J119" s="9" t="n">
        <x:v>106</x:v>
      </x:c>
      <x:c r="K119" s="9" t="n">
        <x:f>F119+G119+I119+J119</x:f>
        <x:v>90268</x:v>
      </x:c>
      <x:c r="L119" s="10" t="n">
        <x:f>K119/Sources!$B$4*1000</x:f>
        <x:v>25.21773018637844</x:v>
      </x:c>
      <x:c r="M119" s="10" t="n">
        <x:f>E119/Sources!$B$4*1000</x:f>
        <x:v>39.8704304597372</x:v>
      </x:c>
      <x:c r="N119" s="9" t="n">
        <x:f>Sources!$B$6-K119</x:f>
        <x:v>-30532</x:v>
      </x:c>
    </x:row>
    <x:row r="120" ht="23" customHeight="1">
      <x:c r="A120" s="9" t="n">
        <x:v>119</x:v>
      </x:c>
      <x:c r="B120" s="9" t="n">
        <x:v>345</x:v>
      </x:c>
      <x:c r="C120" s="9" t="n">
        <x:v>1031</x:v>
      </x:c>
      <x:c r="D120" s="9" t="n">
        <x:v>2</x:v>
      </x:c>
      <x:c r="E120" s="9" t="n">
        <x:v>71371</x:v>
      </x:c>
      <x:c r="F120" s="9" t="n">
        <x:v>785</x:v>
      </x:c>
      <x:c r="G120" s="9" t="n">
        <x:v>61573</x:v>
      </x:c>
      <x:c r="H120" s="9" t="n">
        <x:v>8490</x:v>
      </x:c>
      <x:c r="I120" s="9" t="n">
        <x:v>417</x:v>
      </x:c>
      <x:c r="J120" s="9" t="n">
        <x:v>106</x:v>
      </x:c>
      <x:c r="K120" s="9" t="n">
        <x:f>F120+G120+I120+J120</x:f>
        <x:v>62881</x:v>
      </x:c>
      <x:c r="L120" s="10" t="n">
        <x:f>K120/Sources!$B$4*1000</x:f>
        <x:v>17.566757786254957</x:v>
      </x:c>
      <x:c r="M120" s="10" t="n">
        <x:f>E120/Sources!$B$4*1000</x:f>
        <x:v>19.93856761124668</x:v>
      </x:c>
      <x:c r="N120" s="9" t="n">
        <x:f>Sources!$B$6-K120</x:f>
        <x:v>-3145</x:v>
      </x:c>
    </x:row>
    <x:row r="121" ht="23" customHeight="1">
      <x:c r="A121" s="9" t="n">
        <x:v>120</x:v>
      </x:c>
      <x:c r="B121" s="9" t="n">
        <x:v>347</x:v>
      </x:c>
      <x:c r="C121" s="9" t="n">
        <x:v>1031</x:v>
      </x:c>
      <x:c r="D121" s="9" t="n">
        <x:v>1</x:v>
      </x:c>
      <x:c r="E121" s="9" t="n">
        <x:v>142721</x:v>
      </x:c>
      <x:c r="F121" s="9" t="n">
        <x:v>785</x:v>
      </x:c>
      <x:c r="G121" s="9" t="n">
        <x:v>86191</x:v>
      </x:c>
      <x:c r="H121" s="9" t="n">
        <x:v>55230</x:v>
      </x:c>
      <x:c r="I121" s="9" t="n">
        <x:v>409</x:v>
      </x:c>
      <x:c r="J121" s="9" t="n">
        <x:v>106</x:v>
      </x:c>
      <x:c r="K121" s="9" t="n">
        <x:f>F121+G121+I121+J121</x:f>
        <x:v>87491</x:v>
      </x:c>
      <x:c r="L121" s="10" t="n">
        <x:f>K121/Sources!$B$4*1000</x:f>
        <x:v>24.441933262467717</x:v>
      </x:c>
      <x:c r="M121" s="10" t="n">
        <x:f>E121/Sources!$B$4*1000</x:f>
        <x:v>39.87126855508172</x:v>
      </x:c>
      <x:c r="N121" s="9" t="n">
        <x:f>Sources!$B$6-K121</x:f>
        <x:v>-27755</x:v>
      </x:c>
    </x:row>
    <x:row r="122" ht="23" customHeight="1">
      <x:c r="A122" s="9" t="n">
        <x:v>121</x:v>
      </x:c>
      <x:c r="B122" s="9" t="n">
        <x:v>351</x:v>
      </x:c>
      <x:c r="C122" s="9" t="n">
        <x:v>1031</x:v>
      </x:c>
      <x:c r="D122" s="9" t="n">
        <x:v>2</x:v>
      </x:c>
      <x:c r="E122" s="9" t="n">
        <x:v>142734.99999999255</x:v>
      </x:c>
      <x:c r="F122" s="9" t="n">
        <x:v>785</x:v>
      </x:c>
      <x:c r="G122" s="9" t="n">
        <x:v>72692</x:v>
      </x:c>
      <x:c r="H122" s="9" t="n">
        <x:v>68735.00000000745</x:v>
      </x:c>
      <x:c r="I122" s="9" t="n">
        <x:v>417</x:v>
      </x:c>
      <x:c r="J122" s="9" t="n">
        <x:v>105.99999998509884</x:v>
      </x:c>
      <x:c r="K122" s="9" t="n">
        <x:f>F122+G122+I122+J122</x:f>
        <x:v>73999.9999999851</x:v>
      </x:c>
      <x:c r="L122" s="10" t="n">
        <x:f>K122/Sources!$B$4*1000</x:f>
        <x:v>20.673018498156917</x:v>
      </x:c>
      <x:c r="M122" s="10" t="n">
        <x:f>E122/Sources!$B$4*1000</x:f>
        <x:v>39.8751796666874</x:v>
      </x:c>
      <x:c r="N122" s="9" t="n">
        <x:f>Sources!$B$6-K122</x:f>
        <x:v>-14263.999999985099</x:v>
      </x:c>
    </x:row>
    <x:row r="123" ht="23" customHeight="1">
      <x:c r="A123" s="9" t="n">
        <x:v>122</x:v>
      </x:c>
      <x:c r="B123" s="9" t="n">
        <x:v>355</x:v>
      </x:c>
      <x:c r="C123" s="9" t="n">
        <x:v>1031</x:v>
      </x:c>
      <x:c r="D123" s="9" t="n">
        <x:v>2</x:v>
      </x:c>
      <x:c r="E123" s="9" t="n">
        <x:v>71358</x:v>
      </x:c>
      <x:c r="F123" s="9" t="n">
        <x:v>785.0000000074506</x:v>
      </x:c>
      <x:c r="G123" s="9" t="n">
        <x:v>61288</x:v>
      </x:c>
      <x:c r="H123" s="9" t="n">
        <x:v>8770</x:v>
      </x:c>
      <x:c r="I123" s="9" t="n">
        <x:v>409</x:v>
      </x:c>
      <x:c r="J123" s="9" t="n">
        <x:v>105.99999999254942</x:v>
      </x:c>
      <x:c r="K123" s="9" t="n">
        <x:f>F123+G123+I123+J123</x:f>
        <x:v>62588</x:v>
      </x:c>
      <x:c r="L123" s="10" t="n">
        <x:f>K123/Sources!$B$4*1000</x:f>
        <x:v>17.48490380760683</x:v>
      </x:c>
      <x:c r="M123" s="10" t="n">
        <x:f>E123/Sources!$B$4*1000</x:f>
        <x:v>19.934935864753758</x:v>
      </x:c>
      <x:c r="N123" s="9" t="n">
        <x:f>Sources!$B$6-K123</x:f>
        <x:v>-2852</x:v>
      </x:c>
    </x:row>
    <x:row r="124" ht="23" customHeight="1">
      <x:c r="A124" s="9" t="n">
        <x:v>123</x:v>
      </x:c>
      <x:c r="B124" s="9" t="n">
        <x:v>357</x:v>
      </x:c>
      <x:c r="C124" s="9" t="n">
        <x:v>1031</x:v>
      </x:c>
      <x:c r="D124" s="9" t="n">
        <x:v>1</x:v>
      </x:c>
      <x:c r="E124" s="9" t="n">
        <x:v>142736.00000000745</x:v>
      </x:c>
      <x:c r="F124" s="9" t="n">
        <x:v>785.0000000074506</x:v>
      </x:c>
      <x:c r="G124" s="9" t="n">
        <x:v>89198</x:v>
      </x:c>
      <x:c r="H124" s="9" t="n">
        <x:v>52230</x:v>
      </x:c>
      <x:c r="I124" s="9" t="n">
        <x:v>417</x:v>
      </x:c>
      <x:c r="J124" s="9" t="n">
        <x:v>106</x:v>
      </x:c>
      <x:c r="K124" s="9" t="n">
        <x:f>F124+G124+I124+J124</x:f>
        <x:v>90506.00000000745</x:v>
      </x:c>
      <x:c r="L124" s="10" t="n">
        <x:f>K124/Sources!$B$4*1000</x:f>
        <x:v>25.28421908371244</x:v>
      </x:c>
      <x:c r="M124" s="10" t="n">
        <x:f>E124/Sources!$B$4*1000</x:f>
        <x:v>39.8754590318064</x:v>
      </x:c>
      <x:c r="N124" s="9" t="n">
        <x:f>Sources!$B$6-K124</x:f>
        <x:v>-30770.00000000745</x:v>
      </x:c>
    </x:row>
    <x:row r="125" ht="23" customHeight="1">
      <x:c r="A125" s="9" t="n">
        <x:v>124</x:v>
      </x:c>
      <x:c r="B125" s="9" t="n">
        <x:v>361</x:v>
      </x:c>
      <x:c r="C125" s="9" t="n">
        <x:v>1031</x:v>
      </x:c>
      <x:c r="D125" s="9" t="n">
        <x:v>2</x:v>
      </x:c>
      <x:c r="E125" s="9" t="n">
        <x:v>142720</x:v>
      </x:c>
      <x:c r="F125" s="9" t="n">
        <x:v>785</x:v>
      </x:c>
      <x:c r="G125" s="9" t="n">
        <x:v>112455</x:v>
      </x:c>
      <x:c r="H125" s="9" t="n">
        <x:v>28965</x:v>
      </x:c>
      <x:c r="I125" s="9" t="n">
        <x:v>408.9999999925494</x:v>
      </x:c>
      <x:c r="J125" s="9" t="n">
        <x:v>106.00000000745058</x:v>
      </x:c>
      <x:c r="K125" s="9" t="n">
        <x:f>F125+G125+I125+J125</x:f>
        <x:v>113755</x:v>
      </x:c>
      <x:c r="L125" s="10" t="n">
        <x:f>K125/Sources!$B$4*1000</x:f>
        <x:v>31.779178638625858</x:v>
      </x:c>
      <x:c r="M125" s="10" t="n">
        <x:f>E125/Sources!$B$4*1000</x:f>
        <x:v>39.87098918996688</x:v>
      </x:c>
      <x:c r="N125" s="9" t="n">
        <x:f>Sources!$B$6-K125</x:f>
        <x:v>-54019</x:v>
      </x:c>
    </x:row>
    <x:row r="126" ht="23" customHeight="1">
      <x:c r="A126" s="9" t="n">
        <x:v>125</x:v>
      </x:c>
      <x:c r="B126" s="9" t="n">
        <x:v>365</x:v>
      </x:c>
      <x:c r="C126" s="9" t="n">
        <x:v>1031</x:v>
      </x:c>
      <x:c r="D126" s="9" t="n">
        <x:v>2</x:v>
      </x:c>
      <x:c r="E126" s="9" t="n">
        <x:v>71372.99999999255</x:v>
      </x:c>
      <x:c r="F126" s="9" t="n">
        <x:v>785</x:v>
      </x:c>
      <x:c r="G126" s="9" t="n">
        <x:v>37135</x:v>
      </x:c>
      <x:c r="H126" s="9" t="n">
        <x:v>32930</x:v>
      </x:c>
      <x:c r="I126" s="9" t="n">
        <x:v>417</x:v>
      </x:c>
      <x:c r="J126" s="9" t="n">
        <x:v>105.99999999254942</x:v>
      </x:c>
      <x:c r="K126" s="9" t="n">
        <x:f>F126+G126+I126+J126</x:f>
        <x:v>38442.99999999255</x:v>
      </x:c>
      <x:c r="L126" s="10" t="n">
        <x:f>K126/Sources!$B$4*1000</x:f>
        <x:v>10.7396331097926</x:v>
      </x:c>
      <x:c r="M126" s="10" t="n">
        <x:f>E126/Sources!$B$4*1000</x:f>
        <x:v>19.93912634147428</x:v>
      </x:c>
      <x:c r="N126" s="9" t="n">
        <x:f>Sources!$B$6-K126</x:f>
        <x:v>21293.00000000745</x:v>
      </x:c>
    </x:row>
    <x:row r="127" ht="23" customHeight="1">
      <x:c r="A127" s="9" t="n">
        <x:v>126</x:v>
      </x:c>
      <x:c r="B127" s="9" t="n">
        <x:v>367</x:v>
      </x:c>
      <x:c r="C127" s="9" t="n">
        <x:v>1031</x:v>
      </x:c>
      <x:c r="D127" s="9" t="n">
        <x:v>1</x:v>
      </x:c>
      <x:c r="E127" s="9" t="n">
        <x:v>142721.00000000745</x:v>
      </x:c>
      <x:c r="F127" s="9" t="n">
        <x:v>785</x:v>
      </x:c>
      <x:c r="G127" s="9" t="n">
        <x:v>72641</x:v>
      </x:c>
      <x:c r="H127" s="9" t="n">
        <x:v>68780</x:v>
      </x:c>
      <x:c r="I127" s="9" t="n">
        <x:v>409</x:v>
      </x:c>
      <x:c r="J127" s="9" t="n">
        <x:v>106.00000000745058</x:v>
      </x:c>
      <x:c r="K127" s="9" t="n">
        <x:f>F127+G127+I127+J127</x:f>
        <x:v>73941.00000000745</x:v>
      </x:c>
      <x:c r="L127" s="10" t="n">
        <x:f>K127/Sources!$B$4*1000</x:f>
        <x:v>20.6565359563876</x:v>
      </x:c>
      <x:c r="M127" s="10" t="n">
        <x:f>E127/Sources!$B$4*1000</x:f>
        <x:v>39.8712685550838</x:v>
      </x:c>
      <x:c r="N127" s="9" t="n">
        <x:f>Sources!$B$6-K127</x:f>
        <x:v>-14205.00000000745</x:v>
      </x:c>
    </x:row>
    <x:row r="128" ht="23" customHeight="1">
      <x:c r="A128" s="9" t="n">
        <x:v>127</x:v>
      </x:c>
      <x:c r="B128" s="9" t="n">
        <x:v>371</x:v>
      </x:c>
      <x:c r="C128" s="9" t="n">
        <x:v>1031</x:v>
      </x:c>
      <x:c r="D128" s="9" t="n">
        <x:v>2</x:v>
      </x:c>
      <x:c r="E128" s="9" t="n">
        <x:v>142731.99999999255</x:v>
      </x:c>
      <x:c r="F128" s="9" t="n">
        <x:v>785</x:v>
      </x:c>
      <x:c r="G128" s="9" t="n">
        <x:v>110764</x:v>
      </x:c>
      <x:c r="H128" s="9" t="n">
        <x:v>30660</x:v>
      </x:c>
      <x:c r="I128" s="9" t="n">
        <x:v>417</x:v>
      </x:c>
      <x:c r="J128" s="9" t="n">
        <x:v>105.99999999254942</x:v>
      </x:c>
      <x:c r="K128" s="9" t="n">
        <x:f>F128+G128+I128+J128</x:f>
        <x:v>112071.99999999255</x:v>
      </x:c>
      <x:c r="L128" s="10" t="n">
        <x:f>K128/Sources!$B$4*1000</x:f>
        <x:v>31.309007150348034</x:v>
      </x:c>
      <x:c r="M128" s="10" t="n">
        <x:f>E128/Sources!$B$4*1000</x:f>
        <x:v>39.87434157134288</x:v>
      </x:c>
      <x:c r="N128" s="9" t="n">
        <x:f>Sources!$B$6-K128</x:f>
        <x:v>-52335.99999999255</x:v>
      </x:c>
    </x:row>
    <x:row r="129" ht="23" customHeight="1">
      <x:c r="A129" s="9" t="n">
        <x:v>128</x:v>
      </x:c>
      <x:c r="B129" s="9" t="n">
        <x:v>375</x:v>
      </x:c>
      <x:c r="C129" s="9" t="n">
        <x:v>1031</x:v>
      </x:c>
      <x:c r="D129" s="9" t="n">
        <x:v>2</x:v>
      </x:c>
      <x:c r="E129" s="9" t="n">
        <x:v>71357.00000000745</x:v>
      </x:c>
      <x:c r="F129" s="9" t="n">
        <x:v>785</x:v>
      </x:c>
      <x:c r="G129" s="9" t="n">
        <x:v>36992</x:v>
      </x:c>
      <x:c r="H129" s="9" t="n">
        <x:v>33065</x:v>
      </x:c>
      <x:c r="I129" s="9" t="n">
        <x:v>409</x:v>
      </x:c>
      <x:c r="J129" s="9" t="n">
        <x:v>106.00000000745058</x:v>
      </x:c>
      <x:c r="K129" s="9" t="n">
        <x:f>F129+G129+I129+J129</x:f>
        <x:v>38292.00000000745</x:v>
      </x:c>
      <x:c r="L129" s="10" t="n">
        <x:f>K129/Sources!$B$4*1000</x:f>
        <x:v>10.69744897745592</x:v>
      </x:c>
      <x:c r="M129" s="10" t="n">
        <x:f>E129/Sources!$B$4*1000</x:f>
        <x:v>19.934656499641</x:v>
      </x:c>
      <x:c r="N129" s="9" t="n">
        <x:f>Sources!$B$6-K129</x:f>
        <x:v>21443.99999999255</x:v>
      </x:c>
    </x:row>
    <x:row r="130" ht="23" customHeight="1">
      <x:c r="A130" s="9" t="n">
        <x:v>129</x:v>
      </x:c>
      <x:c r="B130" s="9" t="n">
        <x:v>377</x:v>
      </x:c>
      <x:c r="C130" s="9" t="n">
        <x:v>1031</x:v>
      </x:c>
      <x:c r="D130" s="9" t="n">
        <x:v>1</x:v>
      </x:c>
      <x:c r="E130" s="9" t="n">
        <x:v>142737.99999999255</x:v>
      </x:c>
      <x:c r="F130" s="9" t="n">
        <x:v>784.9999999925494</x:v>
      </x:c>
      <x:c r="G130" s="9" t="n">
        <x:v>112685.00000000745</x:v>
      </x:c>
      <x:c r="H130" s="9" t="n">
        <x:v>28745</x:v>
      </x:c>
      <x:c r="I130" s="9" t="n">
        <x:v>417</x:v>
      </x:c>
      <x:c r="J130" s="9" t="n">
        <x:v>105.99999999254942</x:v>
      </x:c>
      <x:c r="K130" s="9" t="n">
        <x:f>F130+G130+I130+J130</x:f>
        <x:v>113992.99999999255</x:v>
      </x:c>
      <x:c r="L130" s="10" t="n">
        <x:f>K130/Sources!$B$4*1000</x:f>
        <x:v>31.845667535955698</x:v>
      </x:c>
      <x:c r="M130" s="10" t="n">
        <x:f>E130/Sources!$B$4*1000</x:f>
        <x:v>39.87601776203192</x:v>
      </x:c>
      <x:c r="N130" s="9" t="n">
        <x:f>Sources!$B$6-K130</x:f>
        <x:v>-54256.99999999255</x:v>
      </x:c>
    </x:row>
    <x:row r="131" ht="23" customHeight="1">
      <x:c r="A131" s="9" t="n">
        <x:v>130</x:v>
      </x:c>
      <x:c r="B131" s="9" t="n">
        <x:v>381</x:v>
      </x:c>
      <x:c r="C131" s="9" t="n">
        <x:v>1031</x:v>
      </x:c>
      <x:c r="D131" s="9" t="n">
        <x:v>2</x:v>
      </x:c>
      <x:c r="E131" s="9" t="n">
        <x:v>142721.00000000745</x:v>
      </x:c>
      <x:c r="F131" s="9" t="n">
        <x:v>785.0000000074506</x:v>
      </x:c>
      <x:c r="G131" s="9" t="n">
        <x:v>89006</x:v>
      </x:c>
      <x:c r="H131" s="9" t="n">
        <x:v>52415</x:v>
      </x:c>
      <x:c r="I131" s="9" t="n">
        <x:v>409</x:v>
      </x:c>
      <x:c r="J131" s="9" t="n">
        <x:v>106</x:v>
      </x:c>
      <x:c r="K131" s="9" t="n">
        <x:f>F131+G131+I131+J131</x:f>
        <x:v>90306.00000000745</x:v>
      </x:c>
      <x:c r="L131" s="10" t="n">
        <x:f>K131/Sources!$B$4*1000</x:f>
        <x:v>25.22834606074444</x:v>
      </x:c>
      <x:c r="M131" s="10" t="n">
        <x:f>E131/Sources!$B$4*1000</x:f>
        <x:v>39.8712685550838</x:v>
      </x:c>
      <x:c r="N131" s="9" t="n">
        <x:f>Sources!$B$6-K131</x:f>
        <x:v>-30570.00000000745</x:v>
      </x:c>
    </x:row>
    <x:row r="132" ht="23" customHeight="1">
      <x:c r="A132" s="9" t="n">
        <x:v>131</x:v>
      </x:c>
      <x:c r="B132" s="9" t="n">
        <x:v>385</x:v>
      </x:c>
      <x:c r="C132" s="9" t="n">
        <x:v>1031</x:v>
      </x:c>
      <x:c r="D132" s="9" t="n">
        <x:v>2</x:v>
      </x:c>
      <x:c r="E132" s="9" t="n">
        <x:v>71370</x:v>
      </x:c>
      <x:c r="F132" s="9" t="n">
        <x:v>785</x:v>
      </x:c>
      <x:c r="G132" s="9" t="n">
        <x:v>61592</x:v>
      </x:c>
      <x:c r="H132" s="9" t="n">
        <x:v>8470</x:v>
      </x:c>
      <x:c r="I132" s="9" t="n">
        <x:v>417.0000000074506</x:v>
      </x:c>
      <x:c r="J132" s="9" t="n">
        <x:v>105.99999999254942</x:v>
      </x:c>
      <x:c r="K132" s="9" t="n">
        <x:f>F132+G132+I132+J132</x:f>
        <x:v>62900</x:v>
      </x:c>
      <x:c r="L132" s="10" t="n">
        <x:f>K132/Sources!$B$4*1000</x:f>
        <x:v>17.572065723436914</x:v>
      </x:c>
      <x:c r="M132" s="10" t="n">
        <x:f>E132/Sources!$B$4*1000</x:f>
        <x:v>19.93828824613184</x:v>
      </x:c>
      <x:c r="N132" s="9" t="n">
        <x:f>Sources!$B$6-K132</x:f>
        <x:v>-3164</x:v>
      </x:c>
    </x:row>
    <x:row r="133" ht="23" customHeight="1">
      <x:c r="A133" s="9" t="n">
        <x:v>132</x:v>
      </x:c>
      <x:c r="B133" s="9" t="n">
        <x:v>387</x:v>
      </x:c>
      <x:c r="C133" s="9" t="n">
        <x:v>1031</x:v>
      </x:c>
      <x:c r="D133" s="9" t="n">
        <x:v>1</x:v>
      </x:c>
      <x:c r="E133" s="9" t="n">
        <x:v>142719.99999999255</x:v>
      </x:c>
      <x:c r="F133" s="9" t="n">
        <x:v>784.9999999925494</x:v>
      </x:c>
      <x:c r="G133" s="9" t="n">
        <x:v>86200.00000000745</x:v>
      </x:c>
      <x:c r="H133" s="9" t="n">
        <x:v>55220</x:v>
      </x:c>
      <x:c r="I133" s="9" t="n">
        <x:v>409</x:v>
      </x:c>
      <x:c r="J133" s="9" t="n">
        <x:v>105.99999999254942</x:v>
      </x:c>
      <x:c r="K133" s="9" t="n">
        <x:f>F133+G133+I133+J133</x:f>
        <x:v>87499.99999999255</x:v>
      </x:c>
      <x:c r="L133" s="10" t="n">
        <x:f>K133/Sources!$B$4*1000</x:f>
        <x:v>24.444447548499195</x:v>
      </x:c>
      <x:c r="M133" s="10" t="n">
        <x:f>E133/Sources!$B$4*1000</x:f>
        <x:v>39.870989189964796</x:v>
      </x:c>
      <x:c r="N133" s="9" t="n">
        <x:f>Sources!$B$6-K133</x:f>
        <x:v>-27763.99999999255</x:v>
      </x:c>
    </x:row>
    <x:row r="134" ht="23" customHeight="1">
      <x:c r="A134" s="9" t="n">
        <x:v>133</x:v>
      </x:c>
      <x:c r="B134" s="9" t="n">
        <x:v>391</x:v>
      </x:c>
      <x:c r="C134" s="9" t="n">
        <x:v>1031</x:v>
      </x:c>
      <x:c r="D134" s="9" t="n">
        <x:v>2</x:v>
      </x:c>
      <x:c r="E134" s="9" t="n">
        <x:v>142734.00000000745</x:v>
      </x:c>
      <x:c r="F134" s="9" t="n">
        <x:v>785</x:v>
      </x:c>
      <x:c r="G134" s="9" t="n">
        <x:v>72711</x:v>
      </x:c>
      <x:c r="H134" s="9" t="n">
        <x:v>68715</x:v>
      </x:c>
      <x:c r="I134" s="9" t="n">
        <x:v>417</x:v>
      </x:c>
      <x:c r="J134" s="9" t="n">
        <x:v>106.00000000745058</x:v>
      </x:c>
      <x:c r="K134" s="9" t="n">
        <x:f>F134+G134+I134+J134</x:f>
        <x:v>74019.00000000745</x:v>
      </x:c>
      <x:c r="L134" s="10" t="n">
        <x:f>K134/Sources!$B$4*1000</x:f>
        <x:v>20.67832643534512</x:v>
      </x:c>
      <x:c r="M134" s="10" t="n">
        <x:f>E134/Sources!$B$4*1000</x:f>
        <x:v>39.87490030157672</x:v>
      </x:c>
      <x:c r="N134" s="9" t="n">
        <x:f>Sources!$B$6-K134</x:f>
        <x:v>-14283.00000000745</x:v>
      </x:c>
    </x:row>
    <x:row r="135" ht="23" customHeight="1">
      <x:c r="A135" s="9" t="n">
        <x:v>134</x:v>
      </x:c>
      <x:c r="B135" s="9" t="n">
        <x:v>395</x:v>
      </x:c>
      <x:c r="C135" s="9" t="n">
        <x:v>1031</x:v>
      </x:c>
      <x:c r="D135" s="9" t="n">
        <x:v>2</x:v>
      </x:c>
      <x:c r="E135" s="9" t="n">
        <x:v>71357</x:v>
      </x:c>
      <x:c r="F135" s="9" t="n">
        <x:v>785</x:v>
      </x:c>
      <x:c r="G135" s="9" t="n">
        <x:v>61297</x:v>
      </x:c>
      <x:c r="H135" s="9" t="n">
        <x:v>8760</x:v>
      </x:c>
      <x:c r="I135" s="9" t="n">
        <x:v>409</x:v>
      </x:c>
      <x:c r="J135" s="9" t="n">
        <x:v>106</x:v>
      </x:c>
      <x:c r="K135" s="9" t="n">
        <x:f>F135+G135+I135+J135</x:f>
        <x:v>62597</x:v>
      </x:c>
      <x:c r="L135" s="10" t="n">
        <x:f>K135/Sources!$B$4*1000</x:f>
        <x:v>17.487418093640393</x:v>
      </x:c>
      <x:c r="M135" s="10" t="n">
        <x:f>E135/Sources!$B$4*1000</x:f>
        <x:v>19.93465649963892</x:v>
      </x:c>
      <x:c r="N135" s="9" t="n">
        <x:f>Sources!$B$6-K135</x:f>
        <x:v>-2861</x:v>
      </x:c>
    </x:row>
    <x:row r="136" ht="23" customHeight="1">
      <x:c r="A136" s="9" t="n">
        <x:v>135</x:v>
      </x:c>
      <x:c r="B136" s="9" t="n">
        <x:v>397</x:v>
      </x:c>
      <x:c r="C136" s="9" t="n">
        <x:v>1031</x:v>
      </x:c>
      <x:c r="D136" s="9" t="n">
        <x:v>1</x:v>
      </x:c>
      <x:c r="E136" s="9" t="n">
        <x:v>142735</x:v>
      </x:c>
      <x:c r="F136" s="9" t="n">
        <x:v>784.9999999925494</x:v>
      </x:c>
      <x:c r="G136" s="9" t="n">
        <x:v>89217.00000000745</x:v>
      </x:c>
      <x:c r="H136" s="9" t="n">
        <x:v>52210</x:v>
      </x:c>
      <x:c r="I136" s="9" t="n">
        <x:v>417</x:v>
      </x:c>
      <x:c r="J136" s="9" t="n">
        <x:v>106</x:v>
      </x:c>
      <x:c r="K136" s="9" t="n">
        <x:f>F136+G136+I136+J136</x:f>
        <x:v>90525</x:v>
      </x:c>
      <x:c r="L136" s="10" t="n">
        <x:f>K136/Sources!$B$4*1000</x:f>
        <x:v>25.289527020892322</x:v>
      </x:c>
      <x:c r="M136" s="10" t="n">
        <x:f>E136/Sources!$B$4*1000</x:f>
        <x:v>39.875179666689476</x:v>
      </x:c>
      <x:c r="N136" s="9" t="n">
        <x:f>Sources!$B$6-K136</x:f>
        <x:v>-30789</x:v>
      </x:c>
    </x:row>
    <x:row r="137" ht="23" customHeight="1">
      <x:c r="A137" s="9" t="n">
        <x:v>136</x:v>
      </x:c>
      <x:c r="B137" s="9" t="n">
        <x:v>401</x:v>
      </x:c>
      <x:c r="C137" s="9" t="n">
        <x:v>1031</x:v>
      </x:c>
      <x:c r="D137" s="9" t="n">
        <x:v>2</x:v>
      </x:c>
      <x:c r="E137" s="9" t="n">
        <x:v>142724</x:v>
      </x:c>
      <x:c r="F137" s="9" t="n">
        <x:v>785</x:v>
      </x:c>
      <x:c r="G137" s="9" t="n">
        <x:v>112474</x:v>
      </x:c>
      <x:c r="H137" s="9" t="n">
        <x:v>28950</x:v>
      </x:c>
      <x:c r="I137" s="9" t="n">
        <x:v>409</x:v>
      </x:c>
      <x:c r="J137" s="9" t="n">
        <x:v>106</x:v>
      </x:c>
      <x:c r="K137" s="9" t="n">
        <x:f>F137+G137+I137+J137</x:f>
        <x:v>113774</x:v>
      </x:c>
      <x:c r="L137" s="10" t="n">
        <x:f>K137/Sources!$B$4*1000</x:f>
        <x:v>31.78448657580782</x:v>
      </x:c>
      <x:c r="M137" s="10" t="n">
        <x:f>E137/Sources!$B$4*1000</x:f>
        <x:v>39.87210665042624</x:v>
      </x:c>
      <x:c r="N137" s="9" t="n">
        <x:f>Sources!$B$6-K137</x:f>
        <x:v>-54038</x:v>
      </x:c>
    </x:row>
    <x:row r="138" ht="23" customHeight="1">
      <x:c r="A138" s="9" t="n">
        <x:v>137</x:v>
      </x:c>
      <x:c r="B138" s="9" t="n">
        <x:v>405</x:v>
      </x:c>
      <x:c r="C138" s="9" t="n">
        <x:v>1031</x:v>
      </x:c>
      <x:c r="D138" s="9" t="n">
        <x:v>2</x:v>
      </x:c>
      <x:c r="E138" s="9" t="n">
        <x:v>71372</x:v>
      </x:c>
      <x:c r="F138" s="9" t="n">
        <x:v>785</x:v>
      </x:c>
      <x:c r="G138" s="9" t="n">
        <x:v>37154</x:v>
      </x:c>
      <x:c r="H138" s="9" t="n">
        <x:v>32910</x:v>
      </x:c>
      <x:c r="I138" s="9" t="n">
        <x:v>416.9999999925494</x:v>
      </x:c>
      <x:c r="J138" s="9" t="n">
        <x:v>106.00000000745058</x:v>
      </x:c>
      <x:c r="K138" s="9" t="n">
        <x:f>F138+G138+I138+J138</x:f>
        <x:v>38462</x:v>
      </x:c>
      <x:c r="L138" s="10" t="n">
        <x:f>K138/Sources!$B$4*1000</x:f>
        <x:v>10.74494104697664</x:v>
      </x:c>
      <x:c r="M138" s="10" t="n">
        <x:f>E138/Sources!$B$4*1000</x:f>
        <x:v>19.93884697636152</x:v>
      </x:c>
      <x:c r="N138" s="9" t="n">
        <x:f>Sources!$B$6-K138</x:f>
        <x:v>21274</x:v>
      </x:c>
    </x:row>
    <x:row r="139" ht="23" customHeight="1">
      <x:c r="A139" s="9" t="n">
        <x:v>138</x:v>
      </x:c>
      <x:c r="B139" s="9" t="n">
        <x:v>407</x:v>
      </x:c>
      <x:c r="C139" s="9" t="n">
        <x:v>1031</x:v>
      </x:c>
      <x:c r="D139" s="9" t="n">
        <x:v>1</x:v>
      </x:c>
      <x:c r="E139" s="9" t="n">
        <x:v>142720</x:v>
      </x:c>
      <x:c r="F139" s="9" t="n">
        <x:v>785</x:v>
      </x:c>
      <x:c r="G139" s="9" t="n">
        <x:v>72660</x:v>
      </x:c>
      <x:c r="H139" s="9" t="n">
        <x:v>68760</x:v>
      </x:c>
      <x:c r="I139" s="9" t="n">
        <x:v>409</x:v>
      </x:c>
      <x:c r="J139" s="9" t="n">
        <x:v>106</x:v>
      </x:c>
      <x:c r="K139" s="9" t="n">
        <x:f>F139+G139+I139+J139</x:f>
        <x:v>73960</x:v>
      </x:c>
      <x:c r="L139" s="10" t="n">
        <x:f>K139/Sources!$B$4*1000</x:f>
        <x:v>20.66184389356748</x:v>
      </x:c>
      <x:c r="M139" s="10" t="n">
        <x:f>E139/Sources!$B$4*1000</x:f>
        <x:v>39.87098918996688</x:v>
      </x:c>
      <x:c r="N139" s="9" t="n">
        <x:f>Sources!$B$6-K139</x:f>
        <x:v>-14224</x:v>
      </x:c>
    </x:row>
    <x:row r="140" ht="23" customHeight="1">
      <x:c r="A140" s="9" t="n">
        <x:v>139</x:v>
      </x:c>
      <x:c r="B140" s="9" t="n">
        <x:v>411</x:v>
      </x:c>
      <x:c r="C140" s="9" t="n">
        <x:v>1031</x:v>
      </x:c>
      <x:c r="D140" s="9" t="n">
        <x:v>2</x:v>
      </x:c>
      <x:c r="E140" s="9" t="n">
        <x:v>142734.99999999255</x:v>
      </x:c>
      <x:c r="F140" s="9" t="n">
        <x:v>785</x:v>
      </x:c>
      <x:c r="G140" s="9" t="n">
        <x:v>110792</x:v>
      </x:c>
      <x:c r="H140" s="9" t="n">
        <x:v>30635</x:v>
      </x:c>
      <x:c r="I140" s="9" t="n">
        <x:v>417</x:v>
      </x:c>
      <x:c r="J140" s="9" t="n">
        <x:v>105.99999999254942</x:v>
      </x:c>
      <x:c r="K140" s="9" t="n">
        <x:f>F140+G140+I140+J140</x:f>
        <x:v>112099.99999999255</x:v>
      </x:c>
      <x:c r="L140" s="10" t="n">
        <x:f>K140/Sources!$B$4*1000</x:f>
        <x:v>31.316829373563554</x:v>
      </x:c>
      <x:c r="M140" s="10" t="n">
        <x:f>E140/Sources!$B$4*1000</x:f>
        <x:v>39.8751796666874</x:v>
      </x:c>
      <x:c r="N140" s="9" t="n">
        <x:f>Sources!$B$6-K140</x:f>
        <x:v>-52363.99999999255</x:v>
      </x:c>
    </x:row>
    <x:row r="141" ht="23" customHeight="1">
      <x:c r="A141" s="9" t="n">
        <x:v>140</x:v>
      </x:c>
      <x:c r="B141" s="9" t="n">
        <x:v>415</x:v>
      </x:c>
      <x:c r="C141" s="9" t="n">
        <x:v>1031</x:v>
      </x:c>
      <x:c r="D141" s="9" t="n">
        <x:v>2</x:v>
      </x:c>
      <x:c r="E141" s="9" t="n">
        <x:v>71355.00000000745</x:v>
      </x:c>
      <x:c r="F141" s="9" t="n">
        <x:v>785</x:v>
      </x:c>
      <x:c r="G141" s="9" t="n">
        <x:v>37030</x:v>
      </x:c>
      <x:c r="H141" s="9" t="n">
        <x:v>33025</x:v>
      </x:c>
      <x:c r="I141" s="9" t="n">
        <x:v>409</x:v>
      </x:c>
      <x:c r="J141" s="9" t="n">
        <x:v>106.00000000745058</x:v>
      </x:c>
      <x:c r="K141" s="9" t="n">
        <x:f>F141+G141+I141+J141</x:f>
        <x:v>38330.00000000745</x:v>
      </x:c>
      <x:c r="L141" s="10" t="n">
        <x:f>K141/Sources!$B$4*1000</x:f>
        <x:v>10.70806485181984</x:v>
      </x:c>
      <x:c r="M141" s="10" t="n">
        <x:f>E141/Sources!$B$4*1000</x:f>
        <x:v>19.93409776941132</x:v>
      </x:c>
      <x:c r="N141" s="9" t="n">
        <x:f>Sources!$B$6-K141</x:f>
        <x:v>21405.99999999255</x:v>
      </x:c>
    </x:row>
    <x:row r="142" ht="23" customHeight="1">
      <x:c r="A142" s="9" t="n">
        <x:v>141</x:v>
      </x:c>
      <x:c r="B142" s="9" t="n">
        <x:v>417</x:v>
      </x:c>
      <x:c r="C142" s="9" t="n">
        <x:v>1031</x:v>
      </x:c>
      <x:c r="D142" s="9" t="n">
        <x:v>1</x:v>
      </x:c>
      <x:c r="E142" s="9" t="n">
        <x:v>142734.99999999255</x:v>
      </x:c>
      <x:c r="F142" s="9" t="n">
        <x:v>785</x:v>
      </x:c>
      <x:c r="G142" s="9" t="n">
        <x:v>112562</x:v>
      </x:c>
      <x:c r="H142" s="9" t="n">
        <x:v>28865</x:v>
      </x:c>
      <x:c r="I142" s="9" t="n">
        <x:v>417</x:v>
      </x:c>
      <x:c r="J142" s="9" t="n">
        <x:v>105.99999999254942</x:v>
      </x:c>
      <x:c r="K142" s="9" t="n">
        <x:f>F142+G142+I142+J142</x:f>
        <x:v>113869.99999999255</x:v>
      </x:c>
      <x:c r="L142" s="10" t="n">
        <x:f>K142/Sources!$B$4*1000</x:f>
        <x:v>31.81130562683038</x:v>
      </x:c>
      <x:c r="M142" s="10" t="n">
        <x:f>E142/Sources!$B$4*1000</x:f>
        <x:v>39.8751796666874</x:v>
      </x:c>
      <x:c r="N142" s="9" t="n">
        <x:f>Sources!$B$6-K142</x:f>
        <x:v>-54133.99999999255</x:v>
      </x:c>
    </x:row>
    <x:row r="143" ht="23" customHeight="1">
      <x:c r="A143" s="9" t="n">
        <x:v>142</x:v>
      </x:c>
      <x:c r="B143" s="9" t="n">
        <x:v>421</x:v>
      </x:c>
      <x:c r="C143" s="9" t="n">
        <x:v>1031</x:v>
      </x:c>
      <x:c r="D143" s="9" t="n">
        <x:v>2</x:v>
      </x:c>
      <x:c r="E143" s="9" t="n">
        <x:v>142720.00000000745</x:v>
      </x:c>
      <x:c r="F143" s="9" t="n">
        <x:v>785.0000000074506</x:v>
      </x:c>
      <x:c r="G143" s="9" t="n">
        <x:v>89025</x:v>
      </x:c>
      <x:c r="H143" s="9" t="n">
        <x:v>52395</x:v>
      </x:c>
      <x:c r="I143" s="9" t="n">
        <x:v>409</x:v>
      </x:c>
      <x:c r="J143" s="9" t="n">
        <x:v>106</x:v>
      </x:c>
      <x:c r="K143" s="9" t="n">
        <x:f>F143+G143+I143+J143</x:f>
        <x:v>90325.00000000745</x:v>
      </x:c>
      <x:c r="L143" s="10" t="n">
        <x:f>K143/Sources!$B$4*1000</x:f>
        <x:v>25.2336539979264</x:v>
      </x:c>
      <x:c r="M143" s="10" t="n">
        <x:f>E143/Sources!$B$4*1000</x:f>
        <x:v>39.87098918996896</x:v>
      </x:c>
      <x:c r="N143" s="9" t="n">
        <x:f>Sources!$B$6-K143</x:f>
        <x:v>-30589.00000000745</x:v>
      </x:c>
    </x:row>
    <x:row r="144" ht="23" customHeight="1">
      <x:c r="A144" s="9" t="n">
        <x:v>143</x:v>
      </x:c>
      <x:c r="B144" s="9" t="n">
        <x:v>425</x:v>
      </x:c>
      <x:c r="C144" s="9" t="n">
        <x:v>1031</x:v>
      </x:c>
      <x:c r="D144" s="9" t="n">
        <x:v>2</x:v>
      </x:c>
      <x:c r="E144" s="9" t="n">
        <x:v>71372</x:v>
      </x:c>
      <x:c r="F144" s="9" t="n">
        <x:v>784.9999999925494</x:v>
      </x:c>
      <x:c r="G144" s="9" t="n">
        <x:v>61469.00000000745</x:v>
      </x:c>
      <x:c r="H144" s="9" t="n">
        <x:v>8595</x:v>
      </x:c>
      <x:c r="I144" s="9" t="n">
        <x:v>417</x:v>
      </x:c>
      <x:c r="J144" s="9" t="n">
        <x:v>106</x:v>
      </x:c>
      <x:c r="K144" s="9" t="n">
        <x:f>F144+G144+I144+J144</x:f>
        <x:v>62777</x:v>
      </x:c>
      <x:c r="L144" s="10" t="n">
        <x:f>K144/Sources!$B$4*1000</x:f>
        <x:v>17.537703814311595</x:v>
      </x:c>
      <x:c r="M144" s="10" t="n">
        <x:f>E144/Sources!$B$4*1000</x:f>
        <x:v>19.93884697636152</x:v>
      </x:c>
      <x:c r="N144" s="9" t="n">
        <x:f>Sources!$B$6-K144</x:f>
        <x:v>-3041</x:v>
      </x:c>
    </x:row>
    <x:row r="145" ht="23" customHeight="1">
      <x:c r="A145" s="9" t="n">
        <x:v>144</x:v>
      </x:c>
      <x:c r="B145" s="9" t="n">
        <x:v>427</x:v>
      </x:c>
      <x:c r="C145" s="9" t="n">
        <x:v>1031</x:v>
      </x:c>
      <x:c r="D145" s="9" t="n">
        <x:v>1</x:v>
      </x:c>
      <x:c r="E145" s="9" t="n">
        <x:v>142718.99999999255</x:v>
      </x:c>
      <x:c r="F145" s="9" t="n">
        <x:v>785</x:v>
      </x:c>
      <x:c r="G145" s="9" t="n">
        <x:v>86219</x:v>
      </x:c>
      <x:c r="H145" s="9" t="n">
        <x:v>55200</x:v>
      </x:c>
      <x:c r="I145" s="9" t="n">
        <x:v>409</x:v>
      </x:c>
      <x:c r="J145" s="9" t="n">
        <x:v>105.99999999254942</x:v>
      </x:c>
      <x:c r="K145" s="9" t="n">
        <x:f>F145+G145+I145+J145</x:f>
        <x:v>87518.99999999255</x:v>
      </x:c>
      <x:c r="L145" s="10" t="n">
        <x:f>K145/Sources!$B$4*1000</x:f>
        <x:v>24.449755485681155</x:v>
      </x:c>
      <x:c r="M145" s="10" t="n">
        <x:f>E145/Sources!$B$4*1000</x:f>
        <x:v>39.87070982484995</x:v>
      </x:c>
      <x:c r="N145" s="9" t="n">
        <x:f>Sources!$B$6-K145</x:f>
        <x:v>-27782.99999999255</x:v>
      </x:c>
    </x:row>
    <x:row r="146" ht="23" customHeight="1">
      <x:c r="A146" s="9" t="n">
        <x:v>145</x:v>
      </x:c>
      <x:c r="B146" s="9" t="n">
        <x:v>431</x:v>
      </x:c>
      <x:c r="C146" s="9" t="n">
        <x:v>1031</x:v>
      </x:c>
      <x:c r="D146" s="9" t="n">
        <x:v>2</x:v>
      </x:c>
      <x:c r="E146" s="9" t="n">
        <x:v>142738.00000000745</x:v>
      </x:c>
      <x:c r="F146" s="9" t="n">
        <x:v>785.0000000074506</x:v>
      </x:c>
      <x:c r="G146" s="9" t="n">
        <x:v>72729.99999999255</x:v>
      </x:c>
      <x:c r="H146" s="9" t="n">
        <x:v>68700.00000000745</x:v>
      </x:c>
      <x:c r="I146" s="9" t="n">
        <x:v>417.0000000074506</x:v>
      </x:c>
      <x:c r="J146" s="9" t="n">
        <x:v>105.99999999254942</x:v>
      </x:c>
      <x:c r="K146" s="9" t="n">
        <x:f>F146+G146+I146+J146</x:f>
        <x:v>74038</x:v>
      </x:c>
      <x:c r="L146" s="10" t="n">
        <x:f>K146/Sources!$B$4*1000</x:f>
        <x:v>20.683634372525</x:v>
      </x:c>
      <x:c r="M146" s="10" t="n">
        <x:f>E146/Sources!$B$4*1000</x:f>
        <x:v>39.87601776203608</x:v>
      </x:c>
      <x:c r="N146" s="9" t="n">
        <x:f>Sources!$B$6-K146</x:f>
        <x:v>-14302</x:v>
      </x:c>
    </x:row>
    <x:row r="147" ht="23" customHeight="1">
      <x:c r="A147" s="9" t="n">
        <x:v>146</x:v>
      </x:c>
      <x:c r="B147" s="9" t="n">
        <x:v>435</x:v>
      </x:c>
      <x:c r="C147" s="9" t="n">
        <x:v>1031</x:v>
      </x:c>
      <x:c r="D147" s="9" t="n">
        <x:v>2</x:v>
      </x:c>
      <x:c r="E147" s="9" t="n">
        <x:v>71356</x:v>
      </x:c>
      <x:c r="F147" s="9" t="n">
        <x:v>784.9999999925494</x:v>
      </x:c>
      <x:c r="G147" s="9" t="n">
        <x:v>61316.00000000745</x:v>
      </x:c>
      <x:c r="H147" s="9" t="n">
        <x:v>8740</x:v>
      </x:c>
      <x:c r="I147" s="9" t="n">
        <x:v>409</x:v>
      </x:c>
      <x:c r="J147" s="9" t="n">
        <x:v>106</x:v>
      </x:c>
      <x:c r="K147" s="9" t="n">
        <x:f>F147+G147+I147+J147</x:f>
        <x:v>62616</x:v>
      </x:c>
      <x:c r="L147" s="10" t="n">
        <x:f>K147/Sources!$B$4*1000</x:f>
        <x:v>17.49272603082235</x:v>
      </x:c>
      <x:c r="M147" s="10" t="n">
        <x:f>E147/Sources!$B$4*1000</x:f>
        <x:v>19.93437713452408</x:v>
      </x:c>
      <x:c r="N147" s="9" t="n">
        <x:f>Sources!$B$6-K147</x:f>
        <x:v>-2880</x:v>
      </x:c>
    </x:row>
    <x:row r="148" ht="23" customHeight="1">
      <x:c r="A148" s="9" t="n">
        <x:v>147</x:v>
      </x:c>
      <x:c r="B148" s="9" t="n">
        <x:v>437</x:v>
      </x:c>
      <x:c r="C148" s="9" t="n">
        <x:v>1031</x:v>
      </x:c>
      <x:c r="D148" s="9" t="n">
        <x:v>1</x:v>
      </x:c>
      <x:c r="E148" s="9" t="n">
        <x:v>142734</x:v>
      </x:c>
      <x:c r="F148" s="9" t="n">
        <x:v>785</x:v>
      </x:c>
      <x:c r="G148" s="9" t="n">
        <x:v>89235.99999999255</x:v>
      </x:c>
      <x:c r="H148" s="9" t="n">
        <x:v>52190.00000000745</x:v>
      </x:c>
      <x:c r="I148" s="9" t="n">
        <x:v>417</x:v>
      </x:c>
      <x:c r="J148" s="9" t="n">
        <x:v>106</x:v>
      </x:c>
      <x:c r="K148" s="9" t="n">
        <x:f>F148+G148+I148+J148</x:f>
        <x:v>90543.99999999255</x:v>
      </x:c>
      <x:c r="L148" s="10" t="n">
        <x:f>K148/Sources!$B$4*1000</x:f>
        <x:v>25.2948349580722</x:v>
      </x:c>
      <x:c r="M148" s="10" t="n">
        <x:f>E148/Sources!$B$4*1000</x:f>
        <x:v>39.87490030157464</x:v>
      </x:c>
      <x:c r="N148" s="9" t="n">
        <x:f>Sources!$B$6-K148</x:f>
        <x:v>-30807.99999999255</x:v>
      </x:c>
    </x:row>
    <x:row r="149" ht="23" customHeight="1">
      <x:c r="A149" s="9" t="n">
        <x:v>148</x:v>
      </x:c>
      <x:c r="B149" s="9" t="n">
        <x:v>441</x:v>
      </x:c>
      <x:c r="C149" s="9" t="n">
        <x:v>1031</x:v>
      </x:c>
      <x:c r="D149" s="9" t="n">
        <x:v>2</x:v>
      </x:c>
      <x:c r="E149" s="9" t="n">
        <x:v>142721</x:v>
      </x:c>
      <x:c r="F149" s="9" t="n">
        <x:v>785</x:v>
      </x:c>
      <x:c r="G149" s="9" t="n">
        <x:v>112351.00000000745</x:v>
      </x:c>
      <x:c r="H149" s="9" t="n">
        <x:v>29070.00000000745</x:v>
      </x:c>
      <x:c r="I149" s="9" t="n">
        <x:v>409</x:v>
      </x:c>
      <x:c r="J149" s="9" t="n">
        <x:v>105.99999998509884</x:v>
      </x:c>
      <x:c r="K149" s="9" t="n">
        <x:f>F149+G149+I149+J149</x:f>
        <x:v>113650.99999999255</x:v>
      </x:c>
      <x:c r="L149" s="10" t="n">
        <x:f>K149/Sources!$B$4*1000</x:f>
        <x:v>31.750124666680417</x:v>
      </x:c>
      <x:c r="M149" s="10" t="n">
        <x:f>E149/Sources!$B$4*1000</x:f>
        <x:v>39.87126855508172</x:v>
      </x:c>
      <x:c r="N149" s="9" t="n">
        <x:f>Sources!$B$6-K149</x:f>
        <x:v>-53914.99999999255</x:v>
      </x:c>
    </x:row>
    <x:row r="150" ht="23" customHeight="1">
      <x:c r="A150" s="9" t="n">
        <x:v>149</x:v>
      </x:c>
      <x:c r="B150" s="9" t="n">
        <x:v>445</x:v>
      </x:c>
      <x:c r="C150" s="9" t="n">
        <x:v>1031</x:v>
      </x:c>
      <x:c r="D150" s="9" t="n">
        <x:v>2</x:v>
      </x:c>
      <x:c r="E150" s="9" t="n">
        <x:v>71374.99999999255</x:v>
      </x:c>
      <x:c r="F150" s="9" t="n">
        <x:v>784.9999999925494</x:v>
      </x:c>
      <x:c r="G150" s="9" t="n">
        <x:v>37192</x:v>
      </x:c>
      <x:c r="H150" s="9" t="n">
        <x:v>32875.00000000745</x:v>
      </x:c>
      <x:c r="I150" s="9" t="n">
        <x:v>417</x:v>
      </x:c>
      <x:c r="J150" s="9" t="n">
        <x:v>105.99999999254942</x:v>
      </x:c>
      <x:c r="K150" s="9" t="n">
        <x:f>F150+G150+I150+J150</x:f>
        <x:v>38499.9999999851</x:v>
      </x:c>
      <x:c r="L150" s="10" t="n">
        <x:f>K150/Sources!$B$4*1000</x:f>
        <x:v>10.7555569213364</x:v>
      </x:c>
      <x:c r="M150" s="10" t="n">
        <x:f>E150/Sources!$B$4*1000</x:f>
        <x:v>19.939685071703963</x:v>
      </x:c>
      <x:c r="N150" s="9" t="n">
        <x:f>Sources!$B$6-K150</x:f>
        <x:v>21236.0000000149</x:v>
      </x:c>
    </x:row>
    <x:row r="151" ht="23" customHeight="1">
      <x:c r="A151" s="9" t="n">
        <x:v>150</x:v>
      </x:c>
      <x:c r="B151" s="9" t="n">
        <x:v>447</x:v>
      </x:c>
      <x:c r="C151" s="9" t="n">
        <x:v>1031</x:v>
      </x:c>
      <x:c r="D151" s="9" t="n">
        <x:v>1</x:v>
      </x:c>
      <x:c r="E151" s="9" t="n">
        <x:v>142718.00000000745</x:v>
      </x:c>
      <x:c r="F151" s="9" t="n">
        <x:v>785.0000000074506</x:v>
      </x:c>
      <x:c r="G151" s="9" t="n">
        <x:v>72698</x:v>
      </x:c>
      <x:c r="H151" s="9" t="n">
        <x:v>68720</x:v>
      </x:c>
      <x:c r="I151" s="9" t="n">
        <x:v>409</x:v>
      </x:c>
      <x:c r="J151" s="9" t="n">
        <x:v>106</x:v>
      </x:c>
      <x:c r="K151" s="9" t="n">
        <x:f>F151+G151+I151+J151</x:f>
        <x:v>73998.00000000745</x:v>
      </x:c>
      <x:c r="L151" s="10" t="n">
        <x:f>K151/Sources!$B$4*1000</x:f>
        <x:v>20.672459767933482</x:v>
      </x:c>
      <x:c r="M151" s="10" t="n">
        <x:f>E151/Sources!$B$4*1000</x:f>
        <x:v>39.87043045973928</x:v>
      </x:c>
      <x:c r="N151" s="9" t="n">
        <x:f>Sources!$B$6-K151</x:f>
        <x:v>-14262.00000000745</x:v>
      </x:c>
    </x:row>
    <x:row r="152" ht="23" customHeight="1">
      <x:c r="A152" s="9" t="n">
        <x:v>151</x:v>
      </x:c>
      <x:c r="B152" s="9" t="n">
        <x:v>451</x:v>
      </x:c>
      <x:c r="C152" s="9" t="n">
        <x:v>1031</x:v>
      </x:c>
      <x:c r="D152" s="9" t="n">
        <x:v>2</x:v>
      </x:c>
      <x:c r="E152" s="9" t="n">
        <x:v>142734</x:v>
      </x:c>
      <x:c r="F152" s="9" t="n">
        <x:v>785</x:v>
      </x:c>
      <x:c r="G152" s="9" t="n">
        <x:v>110811</x:v>
      </x:c>
      <x:c r="H152" s="9" t="n">
        <x:v>30615</x:v>
      </x:c>
      <x:c r="I152" s="9" t="n">
        <x:v>417</x:v>
      </x:c>
      <x:c r="J152" s="9" t="n">
        <x:v>106</x:v>
      </x:c>
      <x:c r="K152" s="9" t="n">
        <x:f>F152+G152+I152+J152</x:f>
        <x:v>112119</x:v>
      </x:c>
      <x:c r="L152" s="10" t="n">
        <x:f>K152/Sources!$B$4*1000</x:f>
        <x:v>31.322137310747593</x:v>
      </x:c>
      <x:c r="M152" s="10" t="n">
        <x:f>E152/Sources!$B$4*1000</x:f>
        <x:v>39.87490030157464</x:v>
      </x:c>
      <x:c r="N152" s="9" t="n">
        <x:f>Sources!$B$6-K152</x:f>
        <x:v>-52383</x:v>
      </x:c>
    </x:row>
    <x:row r="153" ht="23" customHeight="1">
      <x:c r="A153" s="9" t="n">
        <x:v>152</x:v>
      </x:c>
      <x:c r="B153" s="9" t="n">
        <x:v>455</x:v>
      </x:c>
      <x:c r="C153" s="9" t="n">
        <x:v>1031</x:v>
      </x:c>
      <x:c r="D153" s="9" t="n">
        <x:v>2</x:v>
      </x:c>
      <x:c r="E153" s="9" t="n">
        <x:v>71358.99999999255</x:v>
      </x:c>
      <x:c r="F153" s="9" t="n">
        <x:v>785</x:v>
      </x:c>
      <x:c r="G153" s="9" t="n">
        <x:v>37049</x:v>
      </x:c>
      <x:c r="H153" s="9" t="n">
        <x:v>33010</x:v>
      </x:c>
      <x:c r="I153" s="9" t="n">
        <x:v>409</x:v>
      </x:c>
      <x:c r="J153" s="9" t="n">
        <x:v>105.99999999254942</x:v>
      </x:c>
      <x:c r="K153" s="9" t="n">
        <x:f>F153+G153+I153+J153</x:f>
        <x:v>38348.99999999255</x:v>
      </x:c>
      <x:c r="L153" s="10" t="n">
        <x:f>K153/Sources!$B$4*1000</x:f>
        <x:v>10.713372788997638</x:v>
      </x:c>
      <x:c r="M153" s="10" t="n">
        <x:f>E153/Sources!$B$4*1000</x:f>
        <x:v>19.93521522986652</x:v>
      </x:c>
      <x:c r="N153" s="9" t="n">
        <x:f>Sources!$B$6-K153</x:f>
        <x:v>21387.00000000745</x:v>
      </x:c>
    </x:row>
    <x:row r="154" ht="23" customHeight="1">
      <x:c r="A154" s="9" t="n">
        <x:v>153</x:v>
      </x:c>
      <x:c r="B154" s="9" t="n">
        <x:v>457</x:v>
      </x:c>
      <x:c r="C154" s="9" t="n">
        <x:v>1031</x:v>
      </x:c>
      <x:c r="D154" s="9" t="n">
        <x:v>1</x:v>
      </x:c>
      <x:c r="E154" s="9" t="n">
        <x:v>142734.00000000745</x:v>
      </x:c>
      <x:c r="F154" s="9" t="n">
        <x:v>785.0000000074506</x:v>
      </x:c>
      <x:c r="G154" s="9" t="n">
        <x:v>112571</x:v>
      </x:c>
      <x:c r="H154" s="9" t="n">
        <x:v>28855</x:v>
      </x:c>
      <x:c r="I154" s="9" t="n">
        <x:v>417</x:v>
      </x:c>
      <x:c r="J154" s="9" t="n">
        <x:v>106</x:v>
      </x:c>
      <x:c r="K154" s="9" t="n">
        <x:f>F154+G154+I154+J154</x:f>
        <x:v>113879.00000000745</x:v>
      </x:c>
      <x:c r="L154" s="10" t="n">
        <x:f>K154/Sources!$B$4*1000</x:f>
        <x:v>31.8138199128681</x:v>
      </x:c>
      <x:c r="M154" s="10" t="n">
        <x:f>E154/Sources!$B$4*1000</x:f>
        <x:v>39.87490030157672</x:v>
      </x:c>
      <x:c r="N154" s="9" t="n">
        <x:f>Sources!$B$6-K154</x:f>
        <x:v>-54143.00000000745</x:v>
      </x:c>
    </x:row>
    <x:row r="155" ht="23" customHeight="1">
      <x:c r="A155" s="9" t="n">
        <x:v>154</x:v>
      </x:c>
      <x:c r="B155" s="9" t="n">
        <x:v>461</x:v>
      </x:c>
      <x:c r="C155" s="9" t="n">
        <x:v>1031</x:v>
      </x:c>
      <x:c r="D155" s="9" t="n">
        <x:v>2</x:v>
      </x:c>
      <x:c r="E155" s="9" t="n">
        <x:v>142718.99999999255</x:v>
      </x:c>
      <x:c r="F155" s="9" t="n">
        <x:v>785</x:v>
      </x:c>
      <x:c r="G155" s="9" t="n">
        <x:v>89043.99999999255</x:v>
      </x:c>
      <x:c r="H155" s="9" t="n">
        <x:v>52375.00000000745</x:v>
      </x:c>
      <x:c r="I155" s="9" t="n">
        <x:v>409</x:v>
      </x:c>
      <x:c r="J155" s="9" t="n">
        <x:v>105.99999999254942</x:v>
      </x:c>
      <x:c r="K155" s="9" t="n">
        <x:f>F155+G155+I155+J155</x:f>
        <x:v>90343.9999999851</x:v>
      </x:c>
      <x:c r="L155" s="10" t="n">
        <x:f>K155/Sources!$B$4*1000</x:f>
        <x:v>25.238961935102115</x:v>
      </x:c>
      <x:c r="M155" s="10" t="n">
        <x:f>E155/Sources!$B$4*1000</x:f>
        <x:v>39.87070982484995</x:v>
      </x:c>
      <x:c r="N155" s="9" t="n">
        <x:f>Sources!$B$6-K155</x:f>
        <x:v>-30607.9999999851</x:v>
      </x:c>
    </x:row>
    <x:row r="156" ht="23" customHeight="1">
      <x:c r="A156" s="9" t="n">
        <x:v>155</x:v>
      </x:c>
      <x:c r="B156" s="9" t="n">
        <x:v>465</x:v>
      </x:c>
      <x:c r="C156" s="9" t="n">
        <x:v>1031</x:v>
      </x:c>
      <x:c r="D156" s="9" t="n">
        <x:v>2</x:v>
      </x:c>
      <x:c r="E156" s="9" t="n">
        <x:v>71376.00000000745</x:v>
      </x:c>
      <x:c r="F156" s="9" t="n">
        <x:v>785.0000000074506</x:v>
      </x:c>
      <x:c r="G156" s="9" t="n">
        <x:v>61478</x:v>
      </x:c>
      <x:c r="H156" s="9" t="n">
        <x:v>8590</x:v>
      </x:c>
      <x:c r="I156" s="9" t="n">
        <x:v>417</x:v>
      </x:c>
      <x:c r="J156" s="9" t="n">
        <x:v>106</x:v>
      </x:c>
      <x:c r="K156" s="9" t="n">
        <x:f>F156+G156+I156+J156</x:f>
        <x:v>62786.00000000745</x:v>
      </x:c>
      <x:c r="L156" s="10" t="n">
        <x:f>K156/Sources!$B$4*1000</x:f>
        <x:v>17.540218100347236</x:v>
      </x:c>
      <x:c r="M156" s="10" t="n">
        <x:f>E156/Sources!$B$4*1000</x:f>
        <x:v>19.93996443682296</x:v>
      </x:c>
      <x:c r="N156" s="9" t="n">
        <x:f>Sources!$B$6-K156</x:f>
        <x:v>-3050.0000000074506</x:v>
      </x:c>
    </x:row>
    <x:row r="157" ht="23" customHeight="1">
      <x:c r="A157" s="9" t="n">
        <x:v>156</x:v>
      </x:c>
      <x:c r="B157" s="9" t="n">
        <x:v>467</x:v>
      </x:c>
      <x:c r="C157" s="9" t="n">
        <x:v>1031</x:v>
      </x:c>
      <x:c r="D157" s="9" t="n">
        <x:v>1</x:v>
      </x:c>
      <x:c r="E157" s="9" t="n">
        <x:v>142718</x:v>
      </x:c>
      <x:c r="F157" s="9" t="n">
        <x:v>785</x:v>
      </x:c>
      <x:c r="G157" s="9" t="n">
        <x:v>86238</x:v>
      </x:c>
      <x:c r="H157" s="9" t="n">
        <x:v>55180</x:v>
      </x:c>
      <x:c r="I157" s="9" t="n">
        <x:v>409</x:v>
      </x:c>
      <x:c r="J157" s="9" t="n">
        <x:v>106</x:v>
      </x:c>
      <x:c r="K157" s="9" t="n">
        <x:f>F157+G157+I157+J157</x:f>
        <x:v>87538</x:v>
      </x:c>
      <x:c r="L157" s="10" t="n">
        <x:f>K157/Sources!$B$4*1000</x:f>
        <x:v>24.455063422865198</x:v>
      </x:c>
      <x:c r="M157" s="10" t="n">
        <x:f>E157/Sources!$B$4*1000</x:f>
        <x:v>39.8704304597372</x:v>
      </x:c>
      <x:c r="N157" s="9" t="n">
        <x:f>Sources!$B$6-K157</x:f>
        <x:v>-27802</x:v>
      </x:c>
    </x:row>
    <x:row r="158" ht="23" customHeight="1">
      <x:c r="A158" s="9" t="n">
        <x:v>157</x:v>
      </x:c>
      <x:c r="B158" s="9" t="n">
        <x:v>471</x:v>
      </x:c>
      <x:c r="C158" s="9" t="n">
        <x:v>1031</x:v>
      </x:c>
      <x:c r="D158" s="9" t="n">
        <x:v>2</x:v>
      </x:c>
      <x:c r="E158" s="9" t="n">
        <x:v>142737</x:v>
      </x:c>
      <x:c r="F158" s="9" t="n">
        <x:v>785</x:v>
      </x:c>
      <x:c r="G158" s="9" t="n">
        <x:v>72748.99999999255</x:v>
      </x:c>
      <x:c r="H158" s="9" t="n">
        <x:v>68680.00000000745</x:v>
      </x:c>
      <x:c r="I158" s="9" t="n">
        <x:v>417</x:v>
      </x:c>
      <x:c r="J158" s="9" t="n">
        <x:v>106</x:v>
      </x:c>
      <x:c r="K158" s="9" t="n">
        <x:f>F158+G158+I158+J158</x:f>
        <x:v>74056.99999999255</x:v>
      </x:c>
      <x:c r="L158" s="10" t="n">
        <x:f>K158/Sources!$B$4*1000</x:f>
        <x:v>20.688942309704878</x:v>
      </x:c>
      <x:c r="M158" s="10" t="n">
        <x:f>E158/Sources!$B$4*1000</x:f>
        <x:v>39.87573839691916</x:v>
      </x:c>
      <x:c r="N158" s="9" t="n">
        <x:f>Sources!$B$6-K158</x:f>
        <x:v>-14320.99999999255</x:v>
      </x:c>
    </x:row>
    <x:row r="159" ht="23" customHeight="1">
      <x:c r="A159" s="9" t="n">
        <x:v>158</x:v>
      </x:c>
      <x:c r="B159" s="9" t="n">
        <x:v>475</x:v>
      </x:c>
      <x:c r="C159" s="9" t="n">
        <x:v>1031</x:v>
      </x:c>
      <x:c r="D159" s="9" t="n">
        <x:v>2</x:v>
      </x:c>
      <x:c r="E159" s="9" t="n">
        <x:v>71355</x:v>
      </x:c>
      <x:c r="F159" s="9" t="n">
        <x:v>785</x:v>
      </x:c>
      <x:c r="G159" s="9" t="n">
        <x:v>61334.99999999255</x:v>
      </x:c>
      <x:c r="H159" s="9" t="n">
        <x:v>8720.00000000745</x:v>
      </x:c>
      <x:c r="I159" s="9" t="n">
        <x:v>409</x:v>
      </x:c>
      <x:c r="J159" s="9" t="n">
        <x:v>106</x:v>
      </x:c>
      <x:c r="K159" s="9" t="n">
        <x:f>F159+G159+I159+J159</x:f>
        <x:v>62634.99999999255</x:v>
      </x:c>
      <x:c r="L159" s="10" t="n">
        <x:f>K159/Sources!$B$4*1000</x:f>
        <x:v>17.498033968002233</x:v>
      </x:c>
      <x:c r="M159" s="10" t="n">
        <x:f>E159/Sources!$B$4*1000</x:f>
        <x:v>19.934097769409238</x:v>
      </x:c>
      <x:c r="N159" s="9" t="n">
        <x:f>Sources!$B$6-K159</x:f>
        <x:v>-2898.9999999925494</x:v>
      </x:c>
    </x:row>
    <x:row r="160" ht="23" customHeight="1">
      <x:c r="A160" s="9" t="n">
        <x:v>159</x:v>
      </x:c>
      <x:c r="B160" s="9" t="n">
        <x:v>477</x:v>
      </x:c>
      <x:c r="C160" s="9" t="n">
        <x:v>1031</x:v>
      </x:c>
      <x:c r="D160" s="9" t="n">
        <x:v>1</x:v>
      </x:c>
      <x:c r="E160" s="9" t="n">
        <x:v>142737.99999999255</x:v>
      </x:c>
      <x:c r="F160" s="9" t="n">
        <x:v>784.9999999925494</x:v>
      </x:c>
      <x:c r="G160" s="9" t="n">
        <x:v>89255.00000000745</x:v>
      </x:c>
      <x:c r="H160" s="9" t="n">
        <x:v>52175</x:v>
      </x:c>
      <x:c r="I160" s="9" t="n">
        <x:v>417</x:v>
      </x:c>
      <x:c r="J160" s="9" t="n">
        <x:v>105.99999999254942</x:v>
      </x:c>
      <x:c r="K160" s="9" t="n">
        <x:f>F160+G160+I160+J160</x:f>
        <x:v>90562.99999999255</x:v>
      </x:c>
      <x:c r="L160" s="10" t="n">
        <x:f>K160/Sources!$B$4*1000</x:f>
        <x:v>25.30014289525416</x:v>
      </x:c>
      <x:c r="M160" s="10" t="n">
        <x:f>E160/Sources!$B$4*1000</x:f>
        <x:v>39.87601776203192</x:v>
      </x:c>
      <x:c r="N160" s="9" t="n">
        <x:f>Sources!$B$6-K160</x:f>
        <x:v>-30826.99999999255</x:v>
      </x:c>
    </x:row>
    <x:row r="161" ht="23" customHeight="1">
      <x:c r="A161" s="9" t="n">
        <x:v>160</x:v>
      </x:c>
      <x:c r="B161" s="9" t="n">
        <x:v>477</x:v>
      </x:c>
      <x:c r="C161" s="9" t="n">
        <x:v>1035</x:v>
      </x:c>
      <x:c r="D161" s="9" t="n">
        <x:v>2</x:v>
      </x:c>
      <x:c r="E161" s="9" t="n">
        <x:v>142720.00000000745</x:v>
      </x:c>
      <x:c r="F161" s="9" t="n">
        <x:v>785</x:v>
      </x:c>
      <x:c r="G161" s="9" t="n">
        <x:v>95520</x:v>
      </x:c>
      <x:c r="H161" s="9" t="n">
        <x:v>45900</x:v>
      </x:c>
      <x:c r="I161" s="9" t="n">
        <x:v>409</x:v>
      </x:c>
      <x:c r="J161" s="9" t="n">
        <x:v>106.00000000745058</x:v>
      </x:c>
      <x:c r="K161" s="9" t="n">
        <x:f>F161+G161+I161+J161</x:f>
        <x:v>96820.00000000745</x:v>
      </x:c>
      <x:c r="L161" s="10" t="n">
        <x:f>K161/Sources!$B$4*1000</x:f>
        <x:v>27.048130418812296</x:v>
      </x:c>
      <x:c r="M161" s="10" t="n">
        <x:f>E161/Sources!$B$4*1000</x:f>
        <x:v>39.87098918996896</x:v>
      </x:c>
      <x:c r="N161" s="9" t="n">
        <x:f>Sources!$B$6-K161</x:f>
        <x:v>-37084.00000000745</x:v>
      </x:c>
    </x:row>
    <x:row r="162" ht="23" customHeight="1">
      <x:c r="A162" s="9" t="n">
        <x:v>161</x:v>
      </x:c>
      <x:c r="B162" s="9" t="n">
        <x:v>477</x:v>
      </x:c>
      <x:c r="C162" s="9" t="n">
        <x:v>1039</x:v>
      </x:c>
      <x:c r="D162" s="9" t="n">
        <x:v>2</x:v>
      </x:c>
      <x:c r="E162" s="9" t="n">
        <x:v>71369</x:v>
      </x:c>
      <x:c r="F162" s="9" t="n">
        <x:v>784.9999999925494</x:v>
      </x:c>
      <x:c r="G162" s="9" t="n">
        <x:v>27841.00000000745</x:v>
      </x:c>
      <x:c r="H162" s="9" t="n">
        <x:v>42220</x:v>
      </x:c>
      <x:c r="I162" s="9" t="n">
        <x:v>417</x:v>
      </x:c>
      <x:c r="J162" s="9" t="n">
        <x:v>106</x:v>
      </x:c>
      <x:c r="K162" s="9" t="n">
        <x:f>F162+G162+I162+J162</x:f>
        <x:v>29149</x:v>
      </x:c>
      <x:c r="L162" s="10" t="n">
        <x:f>K162/Sources!$B$4*1000</x:f>
        <x:v>8.143213732471585</x:v>
      </x:c>
      <x:c r="M162" s="10" t="n">
        <x:f>E162/Sources!$B$4*1000</x:f>
        <x:v>19.938008881016998</x:v>
      </x:c>
      <x:c r="N162" s="9" t="n">
        <x:f>Sources!$B$6-K162</x:f>
        <x:v>30587</x:v>
      </x:c>
    </x:row>
    <x:row r="163" ht="23" customHeight="1">
      <x:c r="A163" s="9" t="n">
        <x:v>162</x:v>
      </x:c>
      <x:c r="B163" s="9" t="n">
        <x:v>477</x:v>
      </x:c>
      <x:c r="C163" s="9" t="n">
        <x:v>1041</x:v>
      </x:c>
      <x:c r="D163" s="9" t="n">
        <x:v>1</x:v>
      </x:c>
      <x:c r="E163" s="9" t="n">
        <x:v>71356</x:v>
      </x:c>
      <x:c r="F163" s="9" t="n">
        <x:v>785</x:v>
      </x:c>
      <x:c r="G163" s="9" t="n">
        <x:v>67191</x:v>
      </x:c>
      <x:c r="H163" s="9" t="n">
        <x:v>2865</x:v>
      </x:c>
      <x:c r="I163" s="9" t="n">
        <x:v>409</x:v>
      </x:c>
      <x:c r="J163" s="9" t="n">
        <x:v>106</x:v>
      </x:c>
      <x:c r="K163" s="9" t="n">
        <x:f>F163+G163+I163+J163</x:f>
        <x:v>68491</x:v>
      </x:c>
      <x:c r="L163" s="10" t="n">
        <x:f>K163/Sources!$B$4*1000</x:f>
        <x:v>19.133996080507437</x:v>
      </x:c>
      <x:c r="M163" s="10" t="n">
        <x:f>E163/Sources!$B$4*1000</x:f>
        <x:v>19.93437713452408</x:v>
      </x:c>
      <x:c r="N163" s="9" t="n">
        <x:f>Sources!$B$6-K163</x:f>
        <x:v>-8755</x:v>
      </x:c>
    </x:row>
    <x:row r="164" ht="23" customHeight="1">
      <x:c r="A164" s="9" t="n">
        <x:v>163</x:v>
      </x:c>
      <x:c r="B164" s="9" t="n">
        <x:v>477</x:v>
      </x:c>
      <x:c r="C164" s="9" t="n">
        <x:v>1043</x:v>
      </x:c>
      <x:c r="D164" s="9" t="n">
        <x:v>1</x:v>
      </x:c>
      <x:c r="E164" s="9" t="n">
        <x:v>71371</x:v>
      </x:c>
      <x:c r="F164" s="9" t="n">
        <x:v>785</x:v>
      </x:c>
      <x:c r="G164" s="9" t="n">
        <x:v>56053</x:v>
      </x:c>
      <x:c r="H164" s="9" t="n">
        <x:v>14010</x:v>
      </x:c>
      <x:c r="I164" s="9" t="n">
        <x:v>417</x:v>
      </x:c>
      <x:c r="J164" s="9" t="n">
        <x:v>106</x:v>
      </x:c>
      <x:c r="K164" s="9" t="n">
        <x:f>F164+G164+I164+J164</x:f>
        <x:v>57361</x:v>
      </x:c>
      <x:c r="L164" s="10" t="n">
        <x:f>K164/Sources!$B$4*1000</x:f>
        <x:v>16.024662352338076</x:v>
      </x:c>
      <x:c r="M164" s="10" t="n">
        <x:f>E164/Sources!$B$4*1000</x:f>
        <x:v>19.93856761124668</x:v>
      </x:c>
      <x:c r="N164" s="9" t="n">
        <x:f>Sources!$B$6-K164</x:f>
        <x:v>2375</x:v>
      </x:c>
    </x:row>
    <x:row r="165" ht="23" customHeight="1">
      <x:c r="A165" s="9" t="n">
        <x:v>164</x:v>
      </x:c>
      <x:c r="B165" s="9" t="n">
        <x:v>477</x:v>
      </x:c>
      <x:c r="C165" s="9" t="n">
        <x:v>1045</x:v>
      </x:c>
      <x:c r="D165" s="9" t="n">
        <x:v>1</x:v>
      </x:c>
      <x:c r="E165" s="9" t="n">
        <x:v>71355.99999999255</x:v>
      </x:c>
      <x:c r="F165" s="9" t="n">
        <x:v>785</x:v>
      </x:c>
      <x:c r="G165" s="9" t="n">
        <x:v>52531</x:v>
      </x:c>
      <x:c r="H165" s="9" t="n">
        <x:v>17525</x:v>
      </x:c>
      <x:c r="I165" s="9" t="n">
        <x:v>409</x:v>
      </x:c>
      <x:c r="J165" s="9" t="n">
        <x:v>105.99999999254942</x:v>
      </x:c>
      <x:c r="K165" s="9" t="n">
        <x:f>F165+G165+I165+J165</x:f>
        <x:v>53830.99999999255</x:v>
      </x:c>
      <x:c r="L165" s="10" t="n">
        <x:f>K165/Sources!$B$4*1000</x:f>
        <x:v>15.038503496950744</x:v>
      </x:c>
      <x:c r="M165" s="10" t="n">
        <x:f>E165/Sources!$B$4*1000</x:f>
        <x:v>19.934377134522002</x:v>
      </x:c>
      <x:c r="N165" s="9" t="n">
        <x:f>Sources!$B$6-K165</x:f>
        <x:v>5905.000000007451</x:v>
      </x:c>
    </x:row>
    <x:row r="166" ht="23" customHeight="1">
      <x:c r="A166" s="9" t="n">
        <x:v>165</x:v>
      </x:c>
      <x:c r="B166" s="9" t="n">
        <x:v>477</x:v>
      </x:c>
      <x:c r="C166" s="9" t="n">
        <x:v>1047</x:v>
      </x:c>
      <x:c r="D166" s="9" t="n">
        <x:v>1</x:v>
      </x:c>
      <x:c r="E166" s="9" t="n">
        <x:v>71374.00000000745</x:v>
      </x:c>
      <x:c r="F166" s="9" t="n">
        <x:v>785.0000000074506</x:v>
      </x:c>
      <x:c r="G166" s="9" t="n">
        <x:v>54256</x:v>
      </x:c>
      <x:c r="H166" s="9" t="n">
        <x:v>15810</x:v>
      </x:c>
      <x:c r="I166" s="9" t="n">
        <x:v>416.9999999925494</x:v>
      </x:c>
      <x:c r="J166" s="9" t="n">
        <x:v>106.00000000745058</x:v>
      </x:c>
      <x:c r="K166" s="9" t="n">
        <x:f>F166+G166+I166+J166</x:f>
        <x:v>55564.00000000745</x:v>
      </x:c>
      <x:c r="L166" s="10" t="n">
        <x:f>K166/Sources!$B$4*1000</x:f>
        <x:v>15.522643240972652</x:v>
      </x:c>
      <x:c r="M166" s="10" t="n">
        <x:f>E166/Sources!$B$4*1000</x:f>
        <x:v>19.93940570659328</x:v>
      </x:c>
      <x:c r="N166" s="9" t="n">
        <x:f>Sources!$B$6-K166</x:f>
        <x:v>4171.999999992549</x:v>
      </x:c>
    </x:row>
    <x:row r="167" ht="23" customHeight="1">
      <x:c r="A167" s="9" t="n">
        <x:v>166</x:v>
      </x:c>
      <x:c r="B167" s="9" t="n">
        <x:v>477</x:v>
      </x:c>
      <x:c r="C167" s="9" t="n">
        <x:v>1049</x:v>
      </x:c>
      <x:c r="D167" s="9" t="n">
        <x:v>1</x:v>
      </x:c>
      <x:c r="E167" s="9" t="n">
        <x:v>71357</x:v>
      </x:c>
      <x:c r="F167" s="9" t="n">
        <x:v>785</x:v>
      </x:c>
      <x:c r="G167" s="9" t="n">
        <x:v>67166.99999999255</x:v>
      </x:c>
      <x:c r="H167" s="9" t="n">
        <x:v>2890</x:v>
      </x:c>
      <x:c r="I167" s="9" t="n">
        <x:v>409</x:v>
      </x:c>
      <x:c r="J167" s="9" t="n">
        <x:v>106.00000000745058</x:v>
      </x:c>
      <x:c r="K167" s="9" t="n">
        <x:f>F167+G167+I167+J167</x:f>
        <x:v>68467</x:v>
      </x:c>
      <x:c r="L167" s="10" t="n">
        <x:f>K167/Sources!$B$4*1000</x:f>
        <x:v>19.12729131775128</x:v>
      </x:c>
      <x:c r="M167" s="10" t="n">
        <x:f>E167/Sources!$B$4*1000</x:f>
        <x:v>19.93465649963892</x:v>
      </x:c>
      <x:c r="N167" s="9" t="n">
        <x:f>Sources!$B$6-K167</x:f>
        <x:v>-8731</x:v>
      </x:c>
    </x:row>
    <x:row r="168" ht="23" customHeight="1">
      <x:c r="A168" s="9" t="n">
        <x:v>167</x:v>
      </x:c>
      <x:c r="B168" s="9" t="n">
        <x:v>477</x:v>
      </x:c>
      <x:c r="C168" s="9" t="n">
        <x:v>1051</x:v>
      </x:c>
      <x:c r="D168" s="9" t="n">
        <x:v>1</x:v>
      </x:c>
      <x:c r="E168" s="9" t="n">
        <x:v>71371</x:v>
      </x:c>
      <x:c r="F168" s="9" t="n">
        <x:v>785</x:v>
      </x:c>
      <x:c r="G168" s="9" t="n">
        <x:v>56053</x:v>
      </x:c>
      <x:c r="H168" s="9" t="n">
        <x:v>14010</x:v>
      </x:c>
      <x:c r="I168" s="9" t="n">
        <x:v>417</x:v>
      </x:c>
      <x:c r="J168" s="9" t="n">
        <x:v>106</x:v>
      </x:c>
      <x:c r="K168" s="9" t="n">
        <x:f>F168+G168+I168+J168</x:f>
        <x:v>57361</x:v>
      </x:c>
      <x:c r="L168" s="10" t="n">
        <x:f>K168/Sources!$B$4*1000</x:f>
        <x:v>16.024662352338076</x:v>
      </x:c>
      <x:c r="M168" s="10" t="n">
        <x:f>E168/Sources!$B$4*1000</x:f>
        <x:v>19.93856761124668</x:v>
      </x:c>
      <x:c r="N168" s="9" t="n">
        <x:f>Sources!$B$6-K168</x:f>
        <x:v>2375</x:v>
      </x:c>
    </x:row>
    <x:row r="169" ht="23" customHeight="1">
      <x:c r="A169" s="9" t="n">
        <x:v>168</x:v>
      </x:c>
      <x:c r="B169" s="9" t="n">
        <x:v>477</x:v>
      </x:c>
      <x:c r="C169" s="9" t="n">
        <x:v>1053</x:v>
      </x:c>
      <x:c r="D169" s="9" t="n">
        <x:v>1</x:v>
      </x:c>
      <x:c r="E169" s="9" t="n">
        <x:v>71355.99999999255</x:v>
      </x:c>
      <x:c r="F169" s="9" t="n">
        <x:v>785</x:v>
      </x:c>
      <x:c r="G169" s="9" t="n">
        <x:v>52531</x:v>
      </x:c>
      <x:c r="H169" s="9" t="n">
        <x:v>17525</x:v>
      </x:c>
      <x:c r="I169" s="9" t="n">
        <x:v>409</x:v>
      </x:c>
      <x:c r="J169" s="9" t="n">
        <x:v>105.99999999254942</x:v>
      </x:c>
      <x:c r="K169" s="9" t="n">
        <x:f>F169+G169+I169+J169</x:f>
        <x:v>53830.99999999255</x:v>
      </x:c>
      <x:c r="L169" s="10" t="n">
        <x:f>K169/Sources!$B$4*1000</x:f>
        <x:v>15.038503496950744</x:v>
      </x:c>
      <x:c r="M169" s="10" t="n">
        <x:f>E169/Sources!$B$4*1000</x:f>
        <x:v>19.934377134522002</x:v>
      </x:c>
      <x:c r="N169" s="9" t="n">
        <x:f>Sources!$B$6-K169</x:f>
        <x:v>5905.000000007451</x:v>
      </x:c>
    </x:row>
    <x:row r="170" ht="23" customHeight="1">
      <x:c r="A170" s="9" t="n">
        <x:v>169</x:v>
      </x:c>
      <x:c r="B170" s="9" t="n">
        <x:v>477</x:v>
      </x:c>
      <x:c r="C170" s="9" t="n">
        <x:v>1055</x:v>
      </x:c>
      <x:c r="D170" s="9" t="n">
        <x:v>1</x:v>
      </x:c>
      <x:c r="E170" s="9" t="n">
        <x:v>71374.00000000745</x:v>
      </x:c>
      <x:c r="F170" s="9" t="n">
        <x:v>785.0000000074506</x:v>
      </x:c>
      <x:c r="G170" s="9" t="n">
        <x:v>54256</x:v>
      </x:c>
      <x:c r="H170" s="9" t="n">
        <x:v>15810</x:v>
      </x:c>
      <x:c r="I170" s="9" t="n">
        <x:v>416.9999999925494</x:v>
      </x:c>
      <x:c r="J170" s="9" t="n">
        <x:v>106.00000000745058</x:v>
      </x:c>
      <x:c r="K170" s="9" t="n">
        <x:f>F170+G170+I170+J170</x:f>
        <x:v>55564.00000000745</x:v>
      </x:c>
      <x:c r="L170" s="10" t="n">
        <x:f>K170/Sources!$B$4*1000</x:f>
        <x:v>15.522643240972652</x:v>
      </x:c>
      <x:c r="M170" s="10" t="n">
        <x:f>E170/Sources!$B$4*1000</x:f>
        <x:v>19.93940570659328</x:v>
      </x:c>
      <x:c r="N170" s="9" t="n">
        <x:f>Sources!$B$6-K170</x:f>
        <x:v>4171.999999992549</x:v>
      </x:c>
    </x:row>
    <x:row r="171" ht="23" customHeight="1">
      <x:c r="A171" s="9" t="n">
        <x:v>170</x:v>
      </x:c>
      <x:c r="B171" s="9" t="n">
        <x:v>477</x:v>
      </x:c>
      <x:c r="C171" s="9" t="n">
        <x:v>1057</x:v>
      </x:c>
      <x:c r="D171" s="9" t="n">
        <x:v>1</x:v>
      </x:c>
      <x:c r="E171" s="9" t="n">
        <x:v>71352</x:v>
      </x:c>
      <x:c r="F171" s="9" t="n">
        <x:v>785</x:v>
      </x:c>
      <x:c r="G171" s="9" t="n">
        <x:v>67167</x:v>
      </x:c>
      <x:c r="H171" s="9" t="n">
        <x:v>2885</x:v>
      </x:c>
      <x:c r="I171" s="9" t="n">
        <x:v>409</x:v>
      </x:c>
      <x:c r="J171" s="9" t="n">
        <x:v>106</x:v>
      </x:c>
      <x:c r="K171" s="9" t="n">
        <x:f>F171+G171+I171+J171</x:f>
        <x:v>68467</x:v>
      </x:c>
      <x:c r="L171" s="10" t="n">
        <x:f>K171/Sources!$B$4*1000</x:f>
        <x:v>19.12729131775128</x:v>
      </x:c>
      <x:c r="M171" s="10" t="n">
        <x:f>E171/Sources!$B$4*1000</x:f>
        <x:v>19.93325967406472</x:v>
      </x:c>
      <x:c r="N171" s="9" t="n">
        <x:f>Sources!$B$6-K171</x:f>
        <x:v>-8731</x:v>
      </x:c>
    </x:row>
    <x:row r="172" ht="23" customHeight="1">
      <x:c r="A172" s="9" t="n">
        <x:v>171</x:v>
      </x:c>
      <x:c r="B172" s="9" t="n">
        <x:v>477</x:v>
      </x:c>
      <x:c r="C172" s="9" t="n">
        <x:v>1059</x:v>
      </x:c>
      <x:c r="D172" s="9" t="n">
        <x:v>1</x:v>
      </x:c>
      <x:c r="E172" s="9" t="n">
        <x:v>71376</x:v>
      </x:c>
      <x:c r="F172" s="9" t="n">
        <x:v>785</x:v>
      </x:c>
      <x:c r="G172" s="9" t="n">
        <x:v>56053</x:v>
      </x:c>
      <x:c r="H172" s="9" t="n">
        <x:v>14015</x:v>
      </x:c>
      <x:c r="I172" s="9" t="n">
        <x:v>417</x:v>
      </x:c>
      <x:c r="J172" s="9" t="n">
        <x:v>106</x:v>
      </x:c>
      <x:c r="K172" s="9" t="n">
        <x:f>F172+G172+I172+J172</x:f>
        <x:v>57361</x:v>
      </x:c>
      <x:c r="L172" s="10" t="n">
        <x:f>K172/Sources!$B$4*1000</x:f>
        <x:v>16.024662352338076</x:v>
      </x:c>
      <x:c r="M172" s="10" t="n">
        <x:f>E172/Sources!$B$4*1000</x:f>
        <x:v>19.939964436820883</x:v>
      </x:c>
      <x:c r="N172" s="9" t="n">
        <x:f>Sources!$B$6-K172</x:f>
        <x:v>2375</x:v>
      </x:c>
    </x:row>
    <x:row r="173" ht="23" customHeight="1">
      <x:c r="A173" s="9" t="n">
        <x:v>172</x:v>
      </x:c>
      <x:c r="B173" s="9" t="n">
        <x:v>477</x:v>
      </x:c>
      <x:c r="C173" s="9" t="n">
        <x:v>1061</x:v>
      </x:c>
      <x:c r="D173" s="9" t="n">
        <x:v>1</x:v>
      </x:c>
      <x:c r="E173" s="9" t="n">
        <x:v>71355.99999999255</x:v>
      </x:c>
      <x:c r="F173" s="9" t="n">
        <x:v>785</x:v>
      </x:c>
      <x:c r="G173" s="9" t="n">
        <x:v>52531</x:v>
      </x:c>
      <x:c r="H173" s="9" t="n">
        <x:v>17525</x:v>
      </x:c>
      <x:c r="I173" s="9" t="n">
        <x:v>409</x:v>
      </x:c>
      <x:c r="J173" s="9" t="n">
        <x:v>105.99999999254942</x:v>
      </x:c>
      <x:c r="K173" s="9" t="n">
        <x:f>F173+G173+I173+J173</x:f>
        <x:v>53830.99999999255</x:v>
      </x:c>
      <x:c r="L173" s="10" t="n">
        <x:f>K173/Sources!$B$4*1000</x:f>
        <x:v>15.038503496950744</x:v>
      </x:c>
      <x:c r="M173" s="10" t="n">
        <x:f>E173/Sources!$B$4*1000</x:f>
        <x:v>19.934377134522002</x:v>
      </x:c>
      <x:c r="N173" s="9" t="n">
        <x:f>Sources!$B$6-K173</x:f>
        <x:v>5905.000000007451</x:v>
      </x:c>
    </x:row>
    <x:row r="174" ht="23" customHeight="1">
      <x:c r="A174" s="9" t="n">
        <x:v>173</x:v>
      </x:c>
      <x:c r="B174" s="9" t="n">
        <x:v>477</x:v>
      </x:c>
      <x:c r="C174" s="9" t="n">
        <x:v>1063</x:v>
      </x:c>
      <x:c r="D174" s="9" t="n">
        <x:v>1</x:v>
      </x:c>
      <x:c r="E174" s="9" t="n">
        <x:v>71369.00000000745</x:v>
      </x:c>
      <x:c r="F174" s="9" t="n">
        <x:v>785</x:v>
      </x:c>
      <x:c r="G174" s="9" t="n">
        <x:v>54256</x:v>
      </x:c>
      <x:c r="H174" s="9" t="n">
        <x:v>15805</x:v>
      </x:c>
      <x:c r="I174" s="9" t="n">
        <x:v>416.9999999925494</x:v>
      </x:c>
      <x:c r="J174" s="9" t="n">
        <x:v>106.00000001490116</x:v>
      </x:c>
      <x:c r="K174" s="9" t="n">
        <x:f>F174+G174+I174+J174</x:f>
        <x:v>55564.00000000745</x:v>
      </x:c>
      <x:c r="L174" s="10" t="n">
        <x:f>K174/Sources!$B$4*1000</x:f>
        <x:v>15.522643240972652</x:v>
      </x:c>
      <x:c r="M174" s="10" t="n">
        <x:f>E174/Sources!$B$4*1000</x:f>
        <x:v>19.93800888101908</x:v>
      </x:c>
      <x:c r="N174" s="9" t="n">
        <x:f>Sources!$B$6-K174</x:f>
        <x:v>4171.999999992549</x:v>
      </x:c>
    </x:row>
    <x:row r="175" ht="23" customHeight="1">
      <x:c r="A175" s="9" t="n">
        <x:v>174</x:v>
      </x:c>
      <x:c r="B175" s="9" t="n">
        <x:v>477</x:v>
      </x:c>
      <x:c r="C175" s="9" t="n">
        <x:v>1065</x:v>
      </x:c>
      <x:c r="D175" s="9" t="n">
        <x:v>1</x:v>
      </x:c>
      <x:c r="E175" s="9" t="n">
        <x:v>71357</x:v>
      </x:c>
      <x:c r="F175" s="9" t="n">
        <x:v>785</x:v>
      </x:c>
      <x:c r="G175" s="9" t="n">
        <x:v>67167</x:v>
      </x:c>
      <x:c r="H175" s="9" t="n">
        <x:v>2890</x:v>
      </x:c>
      <x:c r="I175" s="9" t="n">
        <x:v>409</x:v>
      </x:c>
      <x:c r="J175" s="9" t="n">
        <x:v>106</x:v>
      </x:c>
      <x:c r="K175" s="9" t="n">
        <x:f>F175+G175+I175+J175</x:f>
        <x:v>68467</x:v>
      </x:c>
      <x:c r="L175" s="10" t="n">
        <x:f>K175/Sources!$B$4*1000</x:f>
        <x:v>19.12729131775128</x:v>
      </x:c>
      <x:c r="M175" s="10" t="n">
        <x:f>E175/Sources!$B$4*1000</x:f>
        <x:v>19.93465649963892</x:v>
      </x:c>
      <x:c r="N175" s="9" t="n">
        <x:f>Sources!$B$6-K175</x:f>
        <x:v>-8731</x:v>
      </x:c>
    </x:row>
    <x:row r="176" ht="23" customHeight="1">
      <x:c r="A176" s="9" t="n">
        <x:v>175</x:v>
      </x:c>
      <x:c r="B176" s="9" t="n">
        <x:v>477</x:v>
      </x:c>
      <x:c r="C176" s="9" t="n">
        <x:v>1067</x:v>
      </x:c>
      <x:c r="D176" s="9" t="n">
        <x:v>1</x:v>
      </x:c>
      <x:c r="E176" s="9" t="n">
        <x:v>71371</x:v>
      </x:c>
      <x:c r="F176" s="9" t="n">
        <x:v>785</x:v>
      </x:c>
      <x:c r="G176" s="9" t="n">
        <x:v>56053</x:v>
      </x:c>
      <x:c r="H176" s="9" t="n">
        <x:v>14010</x:v>
      </x:c>
      <x:c r="I176" s="9" t="n">
        <x:v>417</x:v>
      </x:c>
      <x:c r="J176" s="9" t="n">
        <x:v>106</x:v>
      </x:c>
      <x:c r="K176" s="9" t="n">
        <x:f>F176+G176+I176+J176</x:f>
        <x:v>57361</x:v>
      </x:c>
      <x:c r="L176" s="10" t="n">
        <x:f>K176/Sources!$B$4*1000</x:f>
        <x:v>16.024662352338076</x:v>
      </x:c>
      <x:c r="M176" s="10" t="n">
        <x:f>E176/Sources!$B$4*1000</x:f>
        <x:v>19.93856761124668</x:v>
      </x:c>
      <x:c r="N176" s="9" t="n">
        <x:f>Sources!$B$6-K176</x:f>
        <x:v>2375</x:v>
      </x:c>
    </x:row>
    <x:row r="177" ht="23" customHeight="1">
      <x:c r="A177" s="9" t="n">
        <x:v>176</x:v>
      </x:c>
      <x:c r="B177" s="9" t="n">
        <x:v>477</x:v>
      </x:c>
      <x:c r="C177" s="9" t="n">
        <x:v>1069</x:v>
      </x:c>
      <x:c r="D177" s="9" t="n">
        <x:v>1</x:v>
      </x:c>
      <x:c r="E177" s="9" t="n">
        <x:v>71355.99999999255</x:v>
      </x:c>
      <x:c r="F177" s="9" t="n">
        <x:v>785</x:v>
      </x:c>
      <x:c r="G177" s="9" t="n">
        <x:v>52531</x:v>
      </x:c>
      <x:c r="H177" s="9" t="n">
        <x:v>17525</x:v>
      </x:c>
      <x:c r="I177" s="9" t="n">
        <x:v>409</x:v>
      </x:c>
      <x:c r="J177" s="9" t="n">
        <x:v>105.99999999254942</x:v>
      </x:c>
      <x:c r="K177" s="9" t="n">
        <x:f>F177+G177+I177+J177</x:f>
        <x:v>53830.99999999255</x:v>
      </x:c>
      <x:c r="L177" s="10" t="n">
        <x:f>K177/Sources!$B$4*1000</x:f>
        <x:v>15.038503496950744</x:v>
      </x:c>
      <x:c r="M177" s="10" t="n">
        <x:f>E177/Sources!$B$4*1000</x:f>
        <x:v>19.934377134522002</x:v>
      </x:c>
      <x:c r="N177" s="9" t="n">
        <x:f>Sources!$B$6-K177</x:f>
        <x:v>5905.000000007451</x:v>
      </x:c>
    </x:row>
    <x:row r="178" ht="23" customHeight="1">
      <x:c r="A178" s="9" t="n">
        <x:v>177</x:v>
      </x:c>
      <x:c r="B178" s="9" t="n">
        <x:v>477</x:v>
      </x:c>
      <x:c r="C178" s="9" t="n">
        <x:v>1071</x:v>
      </x:c>
      <x:c r="D178" s="9" t="n">
        <x:v>1</x:v>
      </x:c>
      <x:c r="E178" s="9" t="n">
        <x:v>71374.00000000745</x:v>
      </x:c>
      <x:c r="F178" s="9" t="n">
        <x:v>785</x:v>
      </x:c>
      <x:c r="G178" s="9" t="n">
        <x:v>54256</x:v>
      </x:c>
      <x:c r="H178" s="9" t="n">
        <x:v>15810</x:v>
      </x:c>
      <x:c r="I178" s="9" t="n">
        <x:v>416.9999999925494</x:v>
      </x:c>
      <x:c r="J178" s="9" t="n">
        <x:v>106.00000001490116</x:v>
      </x:c>
      <x:c r="K178" s="9" t="n">
        <x:f>F178+G178+I178+J178</x:f>
        <x:v>55564.00000000745</x:v>
      </x:c>
      <x:c r="L178" s="10" t="n">
        <x:f>K178/Sources!$B$4*1000</x:f>
        <x:v>15.522643240972652</x:v>
      </x:c>
      <x:c r="M178" s="10" t="n">
        <x:f>E178/Sources!$B$4*1000</x:f>
        <x:v>19.93940570659328</x:v>
      </x:c>
      <x:c r="N178" s="9" t="n">
        <x:f>Sources!$B$6-K178</x:f>
        <x:v>4171.999999992549</x:v>
      </x:c>
    </x:row>
    <x:row r="179" ht="23" customHeight="1">
      <x:c r="A179" s="9" t="n">
        <x:v>178</x:v>
      </x:c>
      <x:c r="B179" s="9" t="n">
        <x:v>477</x:v>
      </x:c>
      <x:c r="C179" s="9" t="n">
        <x:v>1073</x:v>
      </x:c>
      <x:c r="D179" s="9" t="n">
        <x:v>1</x:v>
      </x:c>
      <x:c r="E179" s="9" t="n">
        <x:v>71357</x:v>
      </x:c>
      <x:c r="F179" s="9" t="n">
        <x:v>785.0000000074506</x:v>
      </x:c>
      <x:c r="G179" s="9" t="n">
        <x:v>67167</x:v>
      </x:c>
      <x:c r="H179" s="9" t="n">
        <x:v>2890</x:v>
      </x:c>
      <x:c r="I179" s="9" t="n">
        <x:v>409</x:v>
      </x:c>
      <x:c r="J179" s="9" t="n">
        <x:v>105.99999999254942</x:v>
      </x:c>
      <x:c r="K179" s="9" t="n">
        <x:f>F179+G179+I179+J179</x:f>
        <x:v>68467</x:v>
      </x:c>
      <x:c r="L179" s="10" t="n">
        <x:f>K179/Sources!$B$4*1000</x:f>
        <x:v>19.12729131775128</x:v>
      </x:c>
      <x:c r="M179" s="10" t="n">
        <x:f>E179/Sources!$B$4*1000</x:f>
        <x:v>19.93465649963892</x:v>
      </x:c>
      <x:c r="N179" s="9" t="n">
        <x:f>Sources!$B$6-K179</x:f>
        <x:v>-8731</x:v>
      </x:c>
    </x:row>
    <x:row r="180" ht="23" customHeight="1">
      <x:c r="A180" s="9" t="n">
        <x:v>179</x:v>
      </x:c>
      <x:c r="B180" s="9" t="n">
        <x:v>477</x:v>
      </x:c>
      <x:c r="C180" s="9" t="n">
        <x:v>1075</x:v>
      </x:c>
      <x:c r="D180" s="9" t="n">
        <x:v>1</x:v>
      </x:c>
      <x:c r="E180" s="9" t="n">
        <x:v>71371</x:v>
      </x:c>
      <x:c r="F180" s="9" t="n">
        <x:v>785</x:v>
      </x:c>
      <x:c r="G180" s="9" t="n">
        <x:v>56053</x:v>
      </x:c>
      <x:c r="H180" s="9" t="n">
        <x:v>14010</x:v>
      </x:c>
      <x:c r="I180" s="9" t="n">
        <x:v>417</x:v>
      </x:c>
      <x:c r="J180" s="9" t="n">
        <x:v>106</x:v>
      </x:c>
      <x:c r="K180" s="9" t="n">
        <x:f>F180+G180+I180+J180</x:f>
        <x:v>57361</x:v>
      </x:c>
      <x:c r="L180" s="10" t="n">
        <x:f>K180/Sources!$B$4*1000</x:f>
        <x:v>16.024662352338076</x:v>
      </x:c>
      <x:c r="M180" s="10" t="n">
        <x:f>E180/Sources!$B$4*1000</x:f>
        <x:v>19.93856761124668</x:v>
      </x:c>
      <x:c r="N180" s="9" t="n">
        <x:f>Sources!$B$6-K180</x:f>
        <x:v>2375</x:v>
      </x:c>
    </x:row>
    <x:row r="181" ht="23" customHeight="1">
      <x:c r="A181" s="9" t="n">
        <x:v>180</x:v>
      </x:c>
      <x:c r="B181" s="9" t="n">
        <x:v>477</x:v>
      </x:c>
      <x:c r="C181" s="9" t="n">
        <x:v>1077</x:v>
      </x:c>
      <x:c r="D181" s="9" t="n">
        <x:v>1</x:v>
      </x:c>
      <x:c r="E181" s="9" t="n">
        <x:v>71356</x:v>
      </x:c>
      <x:c r="F181" s="9" t="n">
        <x:v>785</x:v>
      </x:c>
      <x:c r="G181" s="9" t="n">
        <x:v>52531</x:v>
      </x:c>
      <x:c r="H181" s="9" t="n">
        <x:v>17525</x:v>
      </x:c>
      <x:c r="I181" s="9" t="n">
        <x:v>409</x:v>
      </x:c>
      <x:c r="J181" s="9" t="n">
        <x:v>106</x:v>
      </x:c>
      <x:c r="K181" s="9" t="n">
        <x:f>F181+G181+I181+J181</x:f>
        <x:v>53831</x:v>
      </x:c>
      <x:c r="L181" s="10" t="n">
        <x:f>K181/Sources!$B$4*1000</x:f>
        <x:v>15.038503496952824</x:v>
      </x:c>
      <x:c r="M181" s="10" t="n">
        <x:f>E181/Sources!$B$4*1000</x:f>
        <x:v>19.93437713452408</x:v>
      </x:c>
      <x:c r="N181" s="9" t="n">
        <x:f>Sources!$B$6-K181</x:f>
        <x:v>5905</x:v>
      </x:c>
    </x:row>
    <x:row r="182" ht="23" customHeight="1">
      <x:c r="A182" s="9" t="n">
        <x:v>181</x:v>
      </x:c>
      <x:c r="B182" s="9" t="n">
        <x:v>477</x:v>
      </x:c>
      <x:c r="C182" s="9" t="n">
        <x:v>1079</x:v>
      </x:c>
      <x:c r="D182" s="9" t="n">
        <x:v>1</x:v>
      </x:c>
      <x:c r="E182" s="9" t="n">
        <x:v>71369</x:v>
      </x:c>
      <x:c r="F182" s="9" t="n">
        <x:v>785</x:v>
      </x:c>
      <x:c r="G182" s="9" t="n">
        <x:v>54256</x:v>
      </x:c>
      <x:c r="H182" s="9" t="n">
        <x:v>15805</x:v>
      </x:c>
      <x:c r="I182" s="9" t="n">
        <x:v>416.9999999925494</x:v>
      </x:c>
      <x:c r="J182" s="9" t="n">
        <x:v>106.00000000745058</x:v>
      </x:c>
      <x:c r="K182" s="9" t="n">
        <x:f>F182+G182+I182+J182</x:f>
        <x:v>55564</x:v>
      </x:c>
      <x:c r="L182" s="10" t="n">
        <x:f>K182/Sources!$B$4*1000</x:f>
        <x:v>15.52264324097057</x:v>
      </x:c>
      <x:c r="M182" s="10" t="n">
        <x:f>E182/Sources!$B$4*1000</x:f>
        <x:v>19.938008881016998</x:v>
      </x:c>
      <x:c r="N182" s="9" t="n">
        <x:f>Sources!$B$6-K182</x:f>
        <x:v>4172</x:v>
      </x:c>
    </x:row>
    <x:row r="183" ht="23" customHeight="1">
      <x:c r="A183" s="9" t="n">
        <x:v>182</x:v>
      </x:c>
      <x:c r="B183" s="9" t="n">
        <x:v>477</x:v>
      </x:c>
      <x:c r="C183" s="9" t="n">
        <x:v>1081</x:v>
      </x:c>
      <x:c r="D183" s="9" t="n">
        <x:v>1</x:v>
      </x:c>
      <x:c r="E183" s="9" t="n">
        <x:v>71357</x:v>
      </x:c>
      <x:c r="F183" s="9" t="n">
        <x:v>785.0000000074506</x:v>
      </x:c>
      <x:c r="G183" s="9" t="n">
        <x:v>67167</x:v>
      </x:c>
      <x:c r="H183" s="9" t="n">
        <x:v>2890</x:v>
      </x:c>
      <x:c r="I183" s="9" t="n">
        <x:v>409</x:v>
      </x:c>
      <x:c r="J183" s="9" t="n">
        <x:v>105.99999999254942</x:v>
      </x:c>
      <x:c r="K183" s="9" t="n">
        <x:f>F183+G183+I183+J183</x:f>
        <x:v>68467</x:v>
      </x:c>
      <x:c r="L183" s="10" t="n">
        <x:f>K183/Sources!$B$4*1000</x:f>
        <x:v>19.12729131775128</x:v>
      </x:c>
      <x:c r="M183" s="10" t="n">
        <x:f>E183/Sources!$B$4*1000</x:f>
        <x:v>19.93465649963892</x:v>
      </x:c>
      <x:c r="N183" s="9" t="n">
        <x:f>Sources!$B$6-K183</x:f>
        <x:v>-8731</x:v>
      </x:c>
    </x:row>
    <x:row r="184" ht="23" customHeight="1">
      <x:c r="A184" s="9" t="n">
        <x:v>183</x:v>
      </x:c>
      <x:c r="B184" s="9" t="n">
        <x:v>477</x:v>
      </x:c>
      <x:c r="C184" s="9" t="n">
        <x:v>1083</x:v>
      </x:c>
      <x:c r="D184" s="9" t="n">
        <x:v>1</x:v>
      </x:c>
      <x:c r="E184" s="9" t="n">
        <x:v>71371</x:v>
      </x:c>
      <x:c r="F184" s="9" t="n">
        <x:v>785</x:v>
      </x:c>
      <x:c r="G184" s="9" t="n">
        <x:v>56053</x:v>
      </x:c>
      <x:c r="H184" s="9" t="n">
        <x:v>14010</x:v>
      </x:c>
      <x:c r="I184" s="9" t="n">
        <x:v>417</x:v>
      </x:c>
      <x:c r="J184" s="9" t="n">
        <x:v>106</x:v>
      </x:c>
      <x:c r="K184" s="9" t="n">
        <x:f>F184+G184+I184+J184</x:f>
        <x:v>57361</x:v>
      </x:c>
      <x:c r="L184" s="10" t="n">
        <x:f>K184/Sources!$B$4*1000</x:f>
        <x:v>16.024662352338076</x:v>
      </x:c>
      <x:c r="M184" s="10" t="n">
        <x:f>E184/Sources!$B$4*1000</x:f>
        <x:v>19.93856761124668</x:v>
      </x:c>
      <x:c r="N184" s="9" t="n">
        <x:f>Sources!$B$6-K184</x:f>
        <x:v>2375</x:v>
      </x:c>
    </x:row>
    <x:row r="185" ht="23" customHeight="1">
      <x:c r="A185" s="9" t="n">
        <x:v>184</x:v>
      </x:c>
      <x:c r="B185" s="9" t="n">
        <x:v>477</x:v>
      </x:c>
      <x:c r="C185" s="9" t="n">
        <x:v>1085</x:v>
      </x:c>
      <x:c r="D185" s="9" t="n">
        <x:v>1</x:v>
      </x:c>
      <x:c r="E185" s="9" t="n">
        <x:v>71356</x:v>
      </x:c>
      <x:c r="F185" s="9" t="n">
        <x:v>785</x:v>
      </x:c>
      <x:c r="G185" s="9" t="n">
        <x:v>52531</x:v>
      </x:c>
      <x:c r="H185" s="9" t="n">
        <x:v>17525</x:v>
      </x:c>
      <x:c r="I185" s="9" t="n">
        <x:v>409</x:v>
      </x:c>
      <x:c r="J185" s="9" t="n">
        <x:v>106</x:v>
      </x:c>
      <x:c r="K185" s="9" t="n">
        <x:f>F185+G185+I185+J185</x:f>
        <x:v>53831</x:v>
      </x:c>
      <x:c r="L185" s="10" t="n">
        <x:f>K185/Sources!$B$4*1000</x:f>
        <x:v>15.038503496952824</x:v>
      </x:c>
      <x:c r="M185" s="10" t="n">
        <x:f>E185/Sources!$B$4*1000</x:f>
        <x:v>19.93437713452408</x:v>
      </x:c>
      <x:c r="N185" s="9" t="n">
        <x:f>Sources!$B$6-K185</x:f>
        <x:v>5905</x:v>
      </x:c>
    </x:row>
    <x:row r="186" ht="23" customHeight="1">
      <x:c r="A186" s="9" t="n">
        <x:v>185</x:v>
      </x:c>
      <x:c r="B186" s="9" t="n">
        <x:v>477</x:v>
      </x:c>
      <x:c r="C186" s="9" t="n">
        <x:v>1087</x:v>
      </x:c>
      <x:c r="D186" s="9" t="n">
        <x:v>1</x:v>
      </x:c>
      <x:c r="E186" s="9" t="n">
        <x:v>71373.99999999255</x:v>
      </x:c>
      <x:c r="F186" s="9" t="n">
        <x:v>785</x:v>
      </x:c>
      <x:c r="G186" s="9" t="n">
        <x:v>54256</x:v>
      </x:c>
      <x:c r="H186" s="9" t="n">
        <x:v>15810</x:v>
      </x:c>
      <x:c r="I186" s="9" t="n">
        <x:v>417</x:v>
      </x:c>
      <x:c r="J186" s="9" t="n">
        <x:v>105.99999999254942</x:v>
      </x:c>
      <x:c r="K186" s="9" t="n">
        <x:f>F186+G186+I186+J186</x:f>
        <x:v>55563.99999999255</x:v>
      </x:c>
      <x:c r="L186" s="10" t="n">
        <x:f>K186/Sources!$B$4*1000</x:f>
        <x:v>15.522643240968488</x:v>
      </x:c>
      <x:c r="M186" s="10" t="n">
        <x:f>E186/Sources!$B$4*1000</x:f>
        <x:v>19.93940570658912</x:v>
      </x:c>
      <x:c r="N186" s="9" t="n">
        <x:f>Sources!$B$6-K186</x:f>
        <x:v>4172.000000007451</x:v>
      </x:c>
    </x:row>
    <x:row r="187" ht="23" customHeight="1">
      <x:c r="A187" s="9" t="n">
        <x:v>186</x:v>
      </x:c>
      <x:c r="B187" s="9" t="n">
        <x:v>477</x:v>
      </x:c>
      <x:c r="C187" s="9" t="n">
        <x:v>1089</x:v>
      </x:c>
      <x:c r="D187" s="9" t="n">
        <x:v>1</x:v>
      </x:c>
      <x:c r="E187" s="9" t="n">
        <x:v>71357.00000000745</x:v>
      </x:c>
      <x:c r="F187" s="9" t="n">
        <x:v>785.0000000074506</x:v>
      </x:c>
      <x:c r="G187" s="9" t="n">
        <x:v>67167</x:v>
      </x:c>
      <x:c r="H187" s="9" t="n">
        <x:v>2890</x:v>
      </x:c>
      <x:c r="I187" s="9" t="n">
        <x:v>409</x:v>
      </x:c>
      <x:c r="J187" s="9" t="n">
        <x:v>106</x:v>
      </x:c>
      <x:c r="K187" s="9" t="n">
        <x:f>F187+G187+I187+J187</x:f>
        <x:v>68467.00000000745</x:v>
      </x:c>
      <x:c r="L187" s="10" t="n">
        <x:f>K187/Sources!$B$4*1000</x:f>
        <x:v>19.12729131775336</x:v>
      </x:c>
      <x:c r="M187" s="10" t="n">
        <x:f>E187/Sources!$B$4*1000</x:f>
        <x:v>19.934656499641</x:v>
      </x:c>
      <x:c r="N187" s="9" t="n">
        <x:f>Sources!$B$6-K187</x:f>
        <x:v>-8731.00000000745</x:v>
      </x:c>
    </x:row>
    <x:row r="188" ht="23" customHeight="1">
      <x:c r="A188" s="9" t="n">
        <x:v>187</x:v>
      </x:c>
      <x:c r="B188" s="9" t="n">
        <x:v>477</x:v>
      </x:c>
      <x:c r="C188" s="9" t="n">
        <x:v>1091</x:v>
      </x:c>
      <x:c r="D188" s="9" t="n">
        <x:v>1</x:v>
      </x:c>
      <x:c r="E188" s="9" t="n">
        <x:v>71371</x:v>
      </x:c>
      <x:c r="F188" s="9" t="n">
        <x:v>785</x:v>
      </x:c>
      <x:c r="G188" s="9" t="n">
        <x:v>56053</x:v>
      </x:c>
      <x:c r="H188" s="9" t="n">
        <x:v>14010</x:v>
      </x:c>
      <x:c r="I188" s="9" t="n">
        <x:v>417</x:v>
      </x:c>
      <x:c r="J188" s="9" t="n">
        <x:v>106</x:v>
      </x:c>
      <x:c r="K188" s="9" t="n">
        <x:f>F188+G188+I188+J188</x:f>
        <x:v>57361</x:v>
      </x:c>
      <x:c r="L188" s="10" t="n">
        <x:f>K188/Sources!$B$4*1000</x:f>
        <x:v>16.024662352338076</x:v>
      </x:c>
      <x:c r="M188" s="10" t="n">
        <x:f>E188/Sources!$B$4*1000</x:f>
        <x:v>19.93856761124668</x:v>
      </x:c>
      <x:c r="N188" s="9" t="n">
        <x:f>Sources!$B$6-K188</x:f>
        <x:v>2375</x:v>
      </x:c>
    </x:row>
    <x:row r="189" ht="23" customHeight="1">
      <x:c r="A189" s="9" t="n">
        <x:v>188</x:v>
      </x:c>
      <x:c r="B189" s="9" t="n">
        <x:v>477</x:v>
      </x:c>
      <x:c r="C189" s="9" t="n">
        <x:v>1093</x:v>
      </x:c>
      <x:c r="D189" s="9" t="n">
        <x:v>1</x:v>
      </x:c>
      <x:c r="E189" s="9" t="n">
        <x:v>71356</x:v>
      </x:c>
      <x:c r="F189" s="9" t="n">
        <x:v>785</x:v>
      </x:c>
      <x:c r="G189" s="9" t="n">
        <x:v>52531</x:v>
      </x:c>
      <x:c r="H189" s="9" t="n">
        <x:v>17525</x:v>
      </x:c>
      <x:c r="I189" s="9" t="n">
        <x:v>409</x:v>
      </x:c>
      <x:c r="J189" s="9" t="n">
        <x:v>106</x:v>
      </x:c>
      <x:c r="K189" s="9" t="n">
        <x:f>F189+G189+I189+J189</x:f>
        <x:v>53831</x:v>
      </x:c>
      <x:c r="L189" s="10" t="n">
        <x:f>K189/Sources!$B$4*1000</x:f>
        <x:v>15.038503496952824</x:v>
      </x:c>
      <x:c r="M189" s="10" t="n">
        <x:f>E189/Sources!$B$4*1000</x:f>
        <x:v>19.93437713452408</x:v>
      </x:c>
      <x:c r="N189" s="9" t="n">
        <x:f>Sources!$B$6-K189</x:f>
        <x:v>5905</x:v>
      </x:c>
    </x:row>
    <x:row r="190" ht="23" customHeight="1">
      <x:c r="A190" s="9" t="n">
        <x:v>189</x:v>
      </x:c>
      <x:c r="B190" s="9" t="n">
        <x:v>477</x:v>
      </x:c>
      <x:c r="C190" s="9" t="n">
        <x:v>1095</x:v>
      </x:c>
      <x:c r="D190" s="9" t="n">
        <x:v>1</x:v>
      </x:c>
      <x:c r="E190" s="9" t="n">
        <x:v>71373.99999999255</x:v>
      </x:c>
      <x:c r="F190" s="9" t="n">
        <x:v>785</x:v>
      </x:c>
      <x:c r="G190" s="9" t="n">
        <x:v>54256</x:v>
      </x:c>
      <x:c r="H190" s="9" t="n">
        <x:v>15810</x:v>
      </x:c>
      <x:c r="I190" s="9" t="n">
        <x:v>417</x:v>
      </x:c>
      <x:c r="J190" s="9" t="n">
        <x:v>105.99999999254942</x:v>
      </x:c>
      <x:c r="K190" s="9" t="n">
        <x:f>F190+G190+I190+J190</x:f>
        <x:v>55563.99999999255</x:v>
      </x:c>
      <x:c r="L190" s="10" t="n">
        <x:f>K190/Sources!$B$4*1000</x:f>
        <x:v>15.522643240968488</x:v>
      </x:c>
      <x:c r="M190" s="10" t="n">
        <x:f>E190/Sources!$B$4*1000</x:f>
        <x:v>19.93940570658912</x:v>
      </x:c>
      <x:c r="N190" s="9" t="n">
        <x:f>Sources!$B$6-K190</x:f>
        <x:v>4172.000000007451</x:v>
      </x:c>
    </x:row>
    <x:row r="191" ht="23" customHeight="1">
      <x:c r="A191" s="9" t="n">
        <x:v>190</x:v>
      </x:c>
      <x:c r="B191" s="9" t="n">
        <x:v>477</x:v>
      </x:c>
      <x:c r="C191" s="9" t="n">
        <x:v>1097</x:v>
      </x:c>
      <x:c r="D191" s="9" t="n">
        <x:v>1</x:v>
      </x:c>
      <x:c r="E191" s="9" t="n">
        <x:v>71352.00000000745</x:v>
      </x:c>
      <x:c r="F191" s="9" t="n">
        <x:v>785.0000000074506</x:v>
      </x:c>
      <x:c r="G191" s="9" t="n">
        <x:v>67167</x:v>
      </x:c>
      <x:c r="H191" s="9" t="n">
        <x:v>2885</x:v>
      </x:c>
      <x:c r="I191" s="9" t="n">
        <x:v>409</x:v>
      </x:c>
      <x:c r="J191" s="9" t="n">
        <x:v>106</x:v>
      </x:c>
      <x:c r="K191" s="9" t="n">
        <x:f>F191+G191+I191+J191</x:f>
        <x:v>68467.00000000745</x:v>
      </x:c>
      <x:c r="L191" s="10" t="n">
        <x:f>K191/Sources!$B$4*1000</x:f>
        <x:v>19.12729131775336</x:v>
      </x:c>
      <x:c r="M191" s="10" t="n">
        <x:f>E191/Sources!$B$4*1000</x:f>
        <x:v>19.9332596740668</x:v>
      </x:c>
      <x:c r="N191" s="9" t="n">
        <x:f>Sources!$B$6-K191</x:f>
        <x:v>-8731.00000000745</x:v>
      </x:c>
    </x:row>
    <x:row r="192" ht="23" customHeight="1">
      <x:c r="A192" s="9" t="n">
        <x:v>191</x:v>
      </x:c>
      <x:c r="B192" s="9" t="n">
        <x:v>477</x:v>
      </x:c>
      <x:c r="C192" s="9" t="n">
        <x:v>1099</x:v>
      </x:c>
      <x:c r="D192" s="9" t="n">
        <x:v>1</x:v>
      </x:c>
      <x:c r="E192" s="9" t="n">
        <x:v>71376</x:v>
      </x:c>
      <x:c r="F192" s="9" t="n">
        <x:v>785</x:v>
      </x:c>
      <x:c r="G192" s="9" t="n">
        <x:v>56053</x:v>
      </x:c>
      <x:c r="H192" s="9" t="n">
        <x:v>14015</x:v>
      </x:c>
      <x:c r="I192" s="9" t="n">
        <x:v>417</x:v>
      </x:c>
      <x:c r="J192" s="9" t="n">
        <x:v>106</x:v>
      </x:c>
      <x:c r="K192" s="9" t="n">
        <x:f>F192+G192+I192+J192</x:f>
        <x:v>57361</x:v>
      </x:c>
      <x:c r="L192" s="10" t="n">
        <x:f>K192/Sources!$B$4*1000</x:f>
        <x:v>16.024662352338076</x:v>
      </x:c>
      <x:c r="M192" s="10" t="n">
        <x:f>E192/Sources!$B$4*1000</x:f>
        <x:v>19.939964436820883</x:v>
      </x:c>
      <x:c r="N192" s="9" t="n">
        <x:f>Sources!$B$6-K192</x:f>
        <x:v>2375</x:v>
      </x:c>
    </x:row>
    <x:row r="193" ht="23" customHeight="1">
      <x:c r="A193" s="9" t="n">
        <x:v>192</x:v>
      </x:c>
      <x:c r="B193" s="9" t="n">
        <x:v>477</x:v>
      </x:c>
      <x:c r="C193" s="9" t="n">
        <x:v>1101</x:v>
      </x:c>
      <x:c r="D193" s="9" t="n">
        <x:v>1</x:v>
      </x:c>
      <x:c r="E193" s="9" t="n">
        <x:v>71356</x:v>
      </x:c>
      <x:c r="F193" s="9" t="n">
        <x:v>785</x:v>
      </x:c>
      <x:c r="G193" s="9" t="n">
        <x:v>52531.00000000745</x:v>
      </x:c>
      <x:c r="H193" s="9" t="n">
        <x:v>17525</x:v>
      </x:c>
      <x:c r="I193" s="9" t="n">
        <x:v>409</x:v>
      </x:c>
      <x:c r="J193" s="9" t="n">
        <x:v>105.99999999254942</x:v>
      </x:c>
      <x:c r="K193" s="9" t="n">
        <x:f>F193+G193+I193+J193</x:f>
        <x:v>53831</x:v>
      </x:c>
      <x:c r="L193" s="10" t="n">
        <x:f>K193/Sources!$B$4*1000</x:f>
        <x:v>15.038503496952824</x:v>
      </x:c>
      <x:c r="M193" s="10" t="n">
        <x:f>E193/Sources!$B$4*1000</x:f>
        <x:v>19.93437713452408</x:v>
      </x:c>
      <x:c r="N193" s="9" t="n">
        <x:f>Sources!$B$6-K193</x:f>
        <x:v>5905</x:v>
      </x:c>
    </x:row>
    <x:row r="194" ht="23" customHeight="1">
      <x:c r="A194" s="9" t="n">
        <x:v>193</x:v>
      </x:c>
      <x:c r="B194" s="9" t="n">
        <x:v>477</x:v>
      </x:c>
      <x:c r="C194" s="9" t="n">
        <x:v>1103</x:v>
      </x:c>
      <x:c r="D194" s="9" t="n">
        <x:v>1</x:v>
      </x:c>
      <x:c r="E194" s="9" t="n">
        <x:v>71368.99999999255</x:v>
      </x:c>
      <x:c r="F194" s="9" t="n">
        <x:v>785</x:v>
      </x:c>
      <x:c r="G194" s="9" t="n">
        <x:v>54256</x:v>
      </x:c>
      <x:c r="H194" s="9" t="n">
        <x:v>15805</x:v>
      </x:c>
      <x:c r="I194" s="9" t="n">
        <x:v>417</x:v>
      </x:c>
      <x:c r="J194" s="9" t="n">
        <x:v>105.99999999254942</x:v>
      </x:c>
      <x:c r="K194" s="9" t="n">
        <x:f>F194+G194+I194+J194</x:f>
        <x:v>55563.99999999255</x:v>
      </x:c>
      <x:c r="L194" s="10" t="n">
        <x:f>K194/Sources!$B$4*1000</x:f>
        <x:v>15.522643240968488</x:v>
      </x:c>
      <x:c r="M194" s="10" t="n">
        <x:f>E194/Sources!$B$4*1000</x:f>
        <x:v>19.93800888101492</x:v>
      </x:c>
      <x:c r="N194" s="9" t="n">
        <x:f>Sources!$B$6-K194</x:f>
        <x:v>4172.000000007451</x:v>
      </x:c>
    </x:row>
    <x:row r="195" ht="23" customHeight="1">
      <x:c r="A195" s="9" t="n">
        <x:v>194</x:v>
      </x:c>
      <x:c r="B195" s="9" t="n">
        <x:v>477</x:v>
      </x:c>
      <x:c r="C195" s="9" t="n">
        <x:v>1105</x:v>
      </x:c>
      <x:c r="D195" s="9" t="n">
        <x:v>1</x:v>
      </x:c>
      <x:c r="E195" s="9" t="n">
        <x:v>71357.00000000745</x:v>
      </x:c>
      <x:c r="F195" s="9" t="n">
        <x:v>785.0000000074506</x:v>
      </x:c>
      <x:c r="G195" s="9" t="n">
        <x:v>67167</x:v>
      </x:c>
      <x:c r="H195" s="9" t="n">
        <x:v>2890</x:v>
      </x:c>
      <x:c r="I195" s="9" t="n">
        <x:v>409</x:v>
      </x:c>
      <x:c r="J195" s="9" t="n">
        <x:v>106</x:v>
      </x:c>
      <x:c r="K195" s="9" t="n">
        <x:f>F195+G195+I195+J195</x:f>
        <x:v>68467.00000000745</x:v>
      </x:c>
      <x:c r="L195" s="10" t="n">
        <x:f>K195/Sources!$B$4*1000</x:f>
        <x:v>19.12729131775336</x:v>
      </x:c>
      <x:c r="M195" s="10" t="n">
        <x:f>E195/Sources!$B$4*1000</x:f>
        <x:v>19.934656499641</x:v>
      </x:c>
      <x:c r="N195" s="9" t="n">
        <x:f>Sources!$B$6-K195</x:f>
        <x:v>-8731.00000000745</x:v>
      </x:c>
    </x:row>
    <x:row r="196" ht="23" customHeight="1">
      <x:c r="A196" s="9" t="n">
        <x:v>195</x:v>
      </x:c>
      <x:c r="B196" s="9" t="n">
        <x:v>477</x:v>
      </x:c>
      <x:c r="C196" s="9" t="n">
        <x:v>1107</x:v>
      </x:c>
      <x:c r="D196" s="9" t="n">
        <x:v>1</x:v>
      </x:c>
      <x:c r="E196" s="9" t="n">
        <x:v>71371</x:v>
      </x:c>
      <x:c r="F196" s="9" t="n">
        <x:v>785</x:v>
      </x:c>
      <x:c r="G196" s="9" t="n">
        <x:v>56053.00000000745</x:v>
      </x:c>
      <x:c r="H196" s="9" t="n">
        <x:v>14010</x:v>
      </x:c>
      <x:c r="I196" s="9" t="n">
        <x:v>417</x:v>
      </x:c>
      <x:c r="J196" s="9" t="n">
        <x:v>105.99999999254942</x:v>
      </x:c>
      <x:c r="K196" s="9" t="n">
        <x:f>F196+G196+I196+J196</x:f>
        <x:v>57361</x:v>
      </x:c>
      <x:c r="L196" s="10" t="n">
        <x:f>K196/Sources!$B$4*1000</x:f>
        <x:v>16.024662352338076</x:v>
      </x:c>
      <x:c r="M196" s="10" t="n">
        <x:f>E196/Sources!$B$4*1000</x:f>
        <x:v>19.93856761124668</x:v>
      </x:c>
      <x:c r="N196" s="9" t="n">
        <x:f>Sources!$B$6-K196</x:f>
        <x:v>2375</x:v>
      </x:c>
    </x:row>
    <x:row r="197" ht="23" customHeight="1">
      <x:c r="A197" s="9" t="n">
        <x:v>196</x:v>
      </x:c>
      <x:c r="B197" s="9" t="n">
        <x:v>477</x:v>
      </x:c>
      <x:c r="C197" s="9" t="n">
        <x:v>1109</x:v>
      </x:c>
      <x:c r="D197" s="9" t="n">
        <x:v>1</x:v>
      </x:c>
      <x:c r="E197" s="9" t="n">
        <x:v>71356</x:v>
      </x:c>
      <x:c r="F197" s="9" t="n">
        <x:v>785</x:v>
      </x:c>
      <x:c r="G197" s="9" t="n">
        <x:v>52531.00000000745</x:v>
      </x:c>
      <x:c r="H197" s="9" t="n">
        <x:v>17525</x:v>
      </x:c>
      <x:c r="I197" s="9" t="n">
        <x:v>409</x:v>
      </x:c>
      <x:c r="J197" s="9" t="n">
        <x:v>105.99999999254942</x:v>
      </x:c>
      <x:c r="K197" s="9" t="n">
        <x:f>F197+G197+I197+J197</x:f>
        <x:v>53831</x:v>
      </x:c>
      <x:c r="L197" s="10" t="n">
        <x:f>K197/Sources!$B$4*1000</x:f>
        <x:v>15.038503496952824</x:v>
      </x:c>
      <x:c r="M197" s="10" t="n">
        <x:f>E197/Sources!$B$4*1000</x:f>
        <x:v>19.93437713452408</x:v>
      </x:c>
      <x:c r="N197" s="9" t="n">
        <x:f>Sources!$B$6-K197</x:f>
        <x:v>5905</x:v>
      </x:c>
    </x:row>
    <x:row r="198" ht="23" customHeight="1">
      <x:c r="A198" s="9" t="n">
        <x:v>197</x:v>
      </x:c>
      <x:c r="B198" s="9" t="n">
        <x:v>477</x:v>
      </x:c>
      <x:c r="C198" s="9" t="n">
        <x:v>1111</x:v>
      </x:c>
      <x:c r="D198" s="9" t="n">
        <x:v>1</x:v>
      </x:c>
      <x:c r="E198" s="9" t="n">
        <x:v>71373.99999999255</x:v>
      </x:c>
      <x:c r="F198" s="9" t="n">
        <x:v>785</x:v>
      </x:c>
      <x:c r="G198" s="9" t="n">
        <x:v>54256</x:v>
      </x:c>
      <x:c r="H198" s="9" t="n">
        <x:v>15810</x:v>
      </x:c>
      <x:c r="I198" s="9" t="n">
        <x:v>417</x:v>
      </x:c>
      <x:c r="J198" s="9" t="n">
        <x:v>105.99999999254942</x:v>
      </x:c>
      <x:c r="K198" s="9" t="n">
        <x:f>F198+G198+I198+J198</x:f>
        <x:v>55563.99999999255</x:v>
      </x:c>
      <x:c r="L198" s="10" t="n">
        <x:f>K198/Sources!$B$4*1000</x:f>
        <x:v>15.522643240968488</x:v>
      </x:c>
      <x:c r="M198" s="10" t="n">
        <x:f>E198/Sources!$B$4*1000</x:f>
        <x:v>19.93940570658912</x:v>
      </x:c>
      <x:c r="N198" s="9" t="n">
        <x:f>Sources!$B$6-K198</x:f>
        <x:v>4172.000000007451</x:v>
      </x:c>
    </x:row>
    <x:row r="199" ht="23" customHeight="1">
      <x:c r="A199" s="9" t="n">
        <x:v>198</x:v>
      </x:c>
      <x:c r="B199" s="9" t="n">
        <x:v>477</x:v>
      </x:c>
      <x:c r="C199" s="9" t="n">
        <x:v>1113</x:v>
      </x:c>
      <x:c r="D199" s="9" t="n">
        <x:v>1</x:v>
      </x:c>
      <x:c r="E199" s="9" t="n">
        <x:v>71357.00000000745</x:v>
      </x:c>
      <x:c r="F199" s="9" t="n">
        <x:v>785</x:v>
      </x:c>
      <x:c r="G199" s="9" t="n">
        <x:v>67167</x:v>
      </x:c>
      <x:c r="H199" s="9" t="n">
        <x:v>2890</x:v>
      </x:c>
      <x:c r="I199" s="9" t="n">
        <x:v>409</x:v>
      </x:c>
      <x:c r="J199" s="9" t="n">
        <x:v>106.00000000745058</x:v>
      </x:c>
      <x:c r="K199" s="9" t="n">
        <x:f>F199+G199+I199+J199</x:f>
        <x:v>68467.00000000745</x:v>
      </x:c>
      <x:c r="L199" s="10" t="n">
        <x:f>K199/Sources!$B$4*1000</x:f>
        <x:v>19.12729131775336</x:v>
      </x:c>
      <x:c r="M199" s="10" t="n">
        <x:f>E199/Sources!$B$4*1000</x:f>
        <x:v>19.934656499641</x:v>
      </x:c>
      <x:c r="N199" s="9" t="n">
        <x:f>Sources!$B$6-K199</x:f>
        <x:v>-8731.00000000745</x:v>
      </x:c>
    </x:row>
    <x:row r="200" ht="23" customHeight="1">
      <x:c r="A200" s="9" t="n">
        <x:v>199</x:v>
      </x:c>
      <x:c r="B200" s="9" t="n">
        <x:v>477</x:v>
      </x:c>
      <x:c r="C200" s="9" t="n">
        <x:v>1115</x:v>
      </x:c>
      <x:c r="D200" s="9" t="n">
        <x:v>1</x:v>
      </x:c>
      <x:c r="E200" s="9" t="n">
        <x:v>71371</x:v>
      </x:c>
      <x:c r="F200" s="9" t="n">
        <x:v>784.9999999925494</x:v>
      </x:c>
      <x:c r="G200" s="9" t="n">
        <x:v>56053.00000000745</x:v>
      </x:c>
      <x:c r="H200" s="9" t="n">
        <x:v>14010</x:v>
      </x:c>
      <x:c r="I200" s="9" t="n">
        <x:v>417</x:v>
      </x:c>
      <x:c r="J200" s="9" t="n">
        <x:v>106</x:v>
      </x:c>
      <x:c r="K200" s="9" t="n">
        <x:f>F200+G200+I200+J200</x:f>
        <x:v>57361</x:v>
      </x:c>
      <x:c r="L200" s="10" t="n">
        <x:f>K200/Sources!$B$4*1000</x:f>
        <x:v>16.024662352338076</x:v>
      </x:c>
      <x:c r="M200" s="10" t="n">
        <x:f>E200/Sources!$B$4*1000</x:f>
        <x:v>19.93856761124668</x:v>
      </x:c>
      <x:c r="N200" s="9" t="n">
        <x:f>Sources!$B$6-K200</x:f>
        <x:v>2375</x:v>
      </x:c>
    </x:row>
    <x:row r="201" ht="23" customHeight="1">
      <x:c r="A201" s="9" t="n">
        <x:v>200</x:v>
      </x:c>
      <x:c r="B201" s="9" t="n">
        <x:v>477</x:v>
      </x:c>
      <x:c r="C201" s="9" t="n">
        <x:v>1117</x:v>
      </x:c>
      <x:c r="D201" s="9" t="n">
        <x:v>1</x:v>
      </x:c>
      <x:c r="E201" s="9" t="n">
        <x:v>71356</x:v>
      </x:c>
      <x:c r="F201" s="9" t="n">
        <x:v>784.9999999925494</x:v>
      </x:c>
      <x:c r="G201" s="9" t="n">
        <x:v>52531.00000000745</x:v>
      </x:c>
      <x:c r="H201" s="9" t="n">
        <x:v>17525.00000000745</x:v>
      </x:c>
      <x:c r="I201" s="9" t="n">
        <x:v>409</x:v>
      </x:c>
      <x:c r="J201" s="9" t="n">
        <x:v>105.99999999254942</x:v>
      </x:c>
      <x:c r="K201" s="9" t="n">
        <x:f>F201+G201+I201+J201</x:f>
        <x:v>53830.99999999255</x:v>
      </x:c>
      <x:c r="L201" s="10" t="n">
        <x:f>K201/Sources!$B$4*1000</x:f>
        <x:v>15.038503496950744</x:v>
      </x:c>
      <x:c r="M201" s="10" t="n">
        <x:f>E201/Sources!$B$4*1000</x:f>
        <x:v>19.93437713452408</x:v>
      </x:c>
      <x:c r="N201" s="9" t="n">
        <x:f>Sources!$B$6-K201</x:f>
        <x:v>5905.000000007451</x:v>
      </x:c>
    </x:row>
    <x:row r="202" ht="23" customHeight="1">
      <x:c r="A202" s="9" t="n">
        <x:v>201</x:v>
      </x:c>
      <x:c r="B202" s="9" t="n">
        <x:v>477</x:v>
      </x:c>
      <x:c r="C202" s="9" t="n">
        <x:v>1119</x:v>
      </x:c>
      <x:c r="D202" s="9" t="n">
        <x:v>1</x:v>
      </x:c>
      <x:c r="E202" s="9" t="n">
        <x:v>71368.99999999255</x:v>
      </x:c>
      <x:c r="F202" s="9" t="n">
        <x:v>785</x:v>
      </x:c>
      <x:c r="G202" s="9" t="n">
        <x:v>54256</x:v>
      </x:c>
      <x:c r="H202" s="9" t="n">
        <x:v>15805</x:v>
      </x:c>
      <x:c r="I202" s="9" t="n">
        <x:v>417</x:v>
      </x:c>
      <x:c r="J202" s="9" t="n">
        <x:v>105.99999999254942</x:v>
      </x:c>
      <x:c r="K202" s="9" t="n">
        <x:f>F202+G202+I202+J202</x:f>
        <x:v>55563.99999999255</x:v>
      </x:c>
      <x:c r="L202" s="10" t="n">
        <x:f>K202/Sources!$B$4*1000</x:f>
        <x:v>15.522643240968488</x:v>
      </x:c>
      <x:c r="M202" s="10" t="n">
        <x:f>E202/Sources!$B$4*1000</x:f>
        <x:v>19.93800888101492</x:v>
      </x:c>
      <x:c r="N202" s="9" t="n">
        <x:f>Sources!$B$6-K202</x:f>
        <x:v>4172.000000007451</x:v>
      </x:c>
    </x:row>
    <x:row r="203" ht="23" customHeight="1">
      <x:c r="A203" s="9" t="n">
        <x:v>202</x:v>
      </x:c>
      <x:c r="B203" s="9" t="n">
        <x:v>477</x:v>
      </x:c>
      <x:c r="C203" s="9" t="n">
        <x:v>1121</x:v>
      </x:c>
      <x:c r="D203" s="9" t="n">
        <x:v>1</x:v>
      </x:c>
      <x:c r="E203" s="9" t="n">
        <x:v>71357.00000000745</x:v>
      </x:c>
      <x:c r="F203" s="9" t="n">
        <x:v>785</x:v>
      </x:c>
      <x:c r="G203" s="9" t="n">
        <x:v>67167</x:v>
      </x:c>
      <x:c r="H203" s="9" t="n">
        <x:v>2890</x:v>
      </x:c>
      <x:c r="I203" s="9" t="n">
        <x:v>409</x:v>
      </x:c>
      <x:c r="J203" s="9" t="n">
        <x:v>106.00000000745058</x:v>
      </x:c>
      <x:c r="K203" s="9" t="n">
        <x:f>F203+G203+I203+J203</x:f>
        <x:v>68467.00000000745</x:v>
      </x:c>
      <x:c r="L203" s="10" t="n">
        <x:f>K203/Sources!$B$4*1000</x:f>
        <x:v>19.12729131775336</x:v>
      </x:c>
      <x:c r="M203" s="10" t="n">
        <x:f>E203/Sources!$B$4*1000</x:f>
        <x:v>19.934656499641</x:v>
      </x:c>
      <x:c r="N203" s="9" t="n">
        <x:f>Sources!$B$6-K203</x:f>
        <x:v>-8731.00000000745</x:v>
      </x:c>
    </x:row>
    <x:row r="204" ht="23" customHeight="1">
      <x:c r="A204" s="9" t="n">
        <x:v>203</x:v>
      </x:c>
      <x:c r="B204" s="9" t="n">
        <x:v>477</x:v>
      </x:c>
      <x:c r="C204" s="9" t="n">
        <x:v>1123</x:v>
      </x:c>
      <x:c r="D204" s="9" t="n">
        <x:v>1</x:v>
      </x:c>
      <x:c r="E204" s="9" t="n">
        <x:v>71371</x:v>
      </x:c>
      <x:c r="F204" s="9" t="n">
        <x:v>784.9999999925494</x:v>
      </x:c>
      <x:c r="G204" s="9" t="n">
        <x:v>56053.00000000745</x:v>
      </x:c>
      <x:c r="H204" s="9" t="n">
        <x:v>14010</x:v>
      </x:c>
      <x:c r="I204" s="9" t="n">
        <x:v>417</x:v>
      </x:c>
      <x:c r="J204" s="9" t="n">
        <x:v>106</x:v>
      </x:c>
      <x:c r="K204" s="9" t="n">
        <x:f>F204+G204+I204+J204</x:f>
        <x:v>57361</x:v>
      </x:c>
      <x:c r="L204" s="10" t="n">
        <x:f>K204/Sources!$B$4*1000</x:f>
        <x:v>16.024662352338076</x:v>
      </x:c>
      <x:c r="M204" s="10" t="n">
        <x:f>E204/Sources!$B$4*1000</x:f>
        <x:v>19.93856761124668</x:v>
      </x:c>
      <x:c r="N204" s="9" t="n">
        <x:f>Sources!$B$6-K204</x:f>
        <x:v>2375</x:v>
      </x:c>
    </x:row>
    <x:row r="205" ht="23" customHeight="1">
      <x:c r="A205" s="9" t="n">
        <x:v>204</x:v>
      </x:c>
      <x:c r="B205" s="9" t="n">
        <x:v>477</x:v>
      </x:c>
      <x:c r="C205" s="9" t="n">
        <x:v>1125</x:v>
      </x:c>
      <x:c r="D205" s="9" t="n">
        <x:v>1</x:v>
      </x:c>
      <x:c r="E205" s="9" t="n">
        <x:v>71356</x:v>
      </x:c>
      <x:c r="F205" s="9" t="n">
        <x:v>784.9999999925494</x:v>
      </x:c>
      <x:c r="G205" s="9" t="n">
        <x:v>52531.00000000745</x:v>
      </x:c>
      <x:c r="H205" s="9" t="n">
        <x:v>17525.00000000745</x:v>
      </x:c>
      <x:c r="I205" s="9" t="n">
        <x:v>409</x:v>
      </x:c>
      <x:c r="J205" s="9" t="n">
        <x:v>105.99999999254942</x:v>
      </x:c>
      <x:c r="K205" s="9" t="n">
        <x:f>F205+G205+I205+J205</x:f>
        <x:v>53830.99999999255</x:v>
      </x:c>
      <x:c r="L205" s="10" t="n">
        <x:f>K205/Sources!$B$4*1000</x:f>
        <x:v>15.038503496950744</x:v>
      </x:c>
      <x:c r="M205" s="10" t="n">
        <x:f>E205/Sources!$B$4*1000</x:f>
        <x:v>19.93437713452408</x:v>
      </x:c>
      <x:c r="N205" s="9" t="n">
        <x:f>Sources!$B$6-K205</x:f>
        <x:v>5905.000000007451</x:v>
      </x:c>
    </x:row>
    <x:row r="206" ht="23" customHeight="1">
      <x:c r="A206" s="9" t="n">
        <x:v>205</x:v>
      </x:c>
      <x:c r="B206" s="9" t="n">
        <x:v>477</x:v>
      </x:c>
      <x:c r="C206" s="9" t="n">
        <x:v>1127</x:v>
      </x:c>
      <x:c r="D206" s="9" t="n">
        <x:v>1</x:v>
      </x:c>
      <x:c r="E206" s="9" t="n">
        <x:v>71374</x:v>
      </x:c>
      <x:c r="F206" s="9" t="n">
        <x:v>785</x:v>
      </x:c>
      <x:c r="G206" s="9" t="n">
        <x:v>54256</x:v>
      </x:c>
      <x:c r="H206" s="9" t="n">
        <x:v>15810</x:v>
      </x:c>
      <x:c r="I206" s="9" t="n">
        <x:v>417</x:v>
      </x:c>
      <x:c r="J206" s="9" t="n">
        <x:v>106</x:v>
      </x:c>
      <x:c r="K206" s="9" t="n">
        <x:f>F206+G206+I206+J206</x:f>
        <x:v>55564</x:v>
      </x:c>
      <x:c r="L206" s="10" t="n">
        <x:f>K206/Sources!$B$4*1000</x:f>
        <x:v>15.52264324097057</x:v>
      </x:c>
      <x:c r="M206" s="10" t="n">
        <x:f>E206/Sources!$B$4*1000</x:f>
        <x:v>19.939405706591202</x:v>
      </x:c>
      <x:c r="N206" s="9" t="n">
        <x:f>Sources!$B$6-K206</x:f>
        <x:v>4172</x:v>
      </x:c>
    </x:row>
    <x:row r="207" ht="23" customHeight="1">
      <x:c r="A207" s="9" t="n">
        <x:v>206</x:v>
      </x:c>
      <x:c r="B207" s="9" t="n">
        <x:v>477</x:v>
      </x:c>
      <x:c r="C207" s="9" t="n">
        <x:v>1129</x:v>
      </x:c>
      <x:c r="D207" s="9" t="n">
        <x:v>1</x:v>
      </x:c>
      <x:c r="E207" s="9" t="n">
        <x:v>71357</x:v>
      </x:c>
      <x:c r="F207" s="9" t="n">
        <x:v>785</x:v>
      </x:c>
      <x:c r="G207" s="9" t="n">
        <x:v>67167</x:v>
      </x:c>
      <x:c r="H207" s="9" t="n">
        <x:v>2890</x:v>
      </x:c>
      <x:c r="I207" s="9" t="n">
        <x:v>409</x:v>
      </x:c>
      <x:c r="J207" s="9" t="n">
        <x:v>106</x:v>
      </x:c>
      <x:c r="K207" s="9" t="n">
        <x:f>F207+G207+I207+J207</x:f>
        <x:v>68467</x:v>
      </x:c>
      <x:c r="L207" s="10" t="n">
        <x:f>K207/Sources!$B$4*1000</x:f>
        <x:v>19.12729131775128</x:v>
      </x:c>
      <x:c r="M207" s="10" t="n">
        <x:f>E207/Sources!$B$4*1000</x:f>
        <x:v>19.93465649963892</x:v>
      </x:c>
      <x:c r="N207" s="9" t="n">
        <x:f>Sources!$B$6-K207</x:f>
        <x:v>-8731</x:v>
      </x:c>
    </x:row>
    <x:row r="208" ht="23" customHeight="1">
      <x:c r="A208" s="9" t="n">
        <x:v>207</x:v>
      </x:c>
      <x:c r="B208" s="9" t="n">
        <x:v>477</x:v>
      </x:c>
      <x:c r="C208" s="9" t="n">
        <x:v>1131</x:v>
      </x:c>
      <x:c r="D208" s="9" t="n">
        <x:v>1</x:v>
      </x:c>
      <x:c r="E208" s="9" t="n">
        <x:v>71371</x:v>
      </x:c>
      <x:c r="F208" s="9" t="n">
        <x:v>784.9999999925494</x:v>
      </x:c>
      <x:c r="G208" s="9" t="n">
        <x:v>56053.00000000745</x:v>
      </x:c>
      <x:c r="H208" s="9" t="n">
        <x:v>14010</x:v>
      </x:c>
      <x:c r="I208" s="9" t="n">
        <x:v>417.0000000074506</x:v>
      </x:c>
      <x:c r="J208" s="9" t="n">
        <x:v>105.99999999254942</x:v>
      </x:c>
      <x:c r="K208" s="9" t="n">
        <x:f>F208+G208+I208+J208</x:f>
        <x:v>57361</x:v>
      </x:c>
      <x:c r="L208" s="10" t="n">
        <x:f>K208/Sources!$B$4*1000</x:f>
        <x:v>16.024662352338076</x:v>
      </x:c>
      <x:c r="M208" s="10" t="n">
        <x:f>E208/Sources!$B$4*1000</x:f>
        <x:v>19.93856761124668</x:v>
      </x:c>
      <x:c r="N208" s="9" t="n">
        <x:f>Sources!$B$6-K208</x:f>
        <x:v>2375</x:v>
      </x:c>
    </x:row>
    <x:row r="209" ht="23" customHeight="1">
      <x:c r="A209" s="9" t="n">
        <x:v>208</x:v>
      </x:c>
      <x:c r="B209" s="9" t="n">
        <x:v>477</x:v>
      </x:c>
      <x:c r="C209" s="9" t="n">
        <x:v>1133</x:v>
      </x:c>
      <x:c r="D209" s="9" t="n">
        <x:v>1</x:v>
      </x:c>
      <x:c r="E209" s="9" t="n">
        <x:v>71356</x:v>
      </x:c>
      <x:c r="F209" s="9" t="n">
        <x:v>784.9999999925494</x:v>
      </x:c>
      <x:c r="G209" s="9" t="n">
        <x:v>52531</x:v>
      </x:c>
      <x:c r="H209" s="9" t="n">
        <x:v>17525.00000000745</x:v>
      </x:c>
      <x:c r="I209" s="9" t="n">
        <x:v>409</x:v>
      </x:c>
      <x:c r="J209" s="9" t="n">
        <x:v>106</x:v>
      </x:c>
      <x:c r="K209" s="9" t="n">
        <x:f>F209+G209+I209+J209</x:f>
        <x:v>53830.99999999255</x:v>
      </x:c>
      <x:c r="L209" s="10" t="n">
        <x:f>K209/Sources!$B$4*1000</x:f>
        <x:v>15.038503496950744</x:v>
      </x:c>
      <x:c r="M209" s="10" t="n">
        <x:f>E209/Sources!$B$4*1000</x:f>
        <x:v>19.93437713452408</x:v>
      </x:c>
      <x:c r="N209" s="9" t="n">
        <x:f>Sources!$B$6-K209</x:f>
        <x:v>5905.000000007451</x:v>
      </x:c>
    </x:row>
    <x:row r="210" ht="23" customHeight="1">
      <x:c r="A210" s="9" t="n">
        <x:v>209</x:v>
      </x:c>
      <x:c r="B210" s="9" t="n">
        <x:v>477</x:v>
      </x:c>
      <x:c r="C210" s="9" t="n">
        <x:v>1135</x:v>
      </x:c>
      <x:c r="D210" s="9" t="n">
        <x:v>1</x:v>
      </x:c>
      <x:c r="E210" s="9" t="n">
        <x:v>71374</x:v>
      </x:c>
      <x:c r="F210" s="9" t="n">
        <x:v>785</x:v>
      </x:c>
      <x:c r="G210" s="9" t="n">
        <x:v>54256</x:v>
      </x:c>
      <x:c r="H210" s="9" t="n">
        <x:v>15810</x:v>
      </x:c>
      <x:c r="I210" s="9" t="n">
        <x:v>417</x:v>
      </x:c>
      <x:c r="J210" s="9" t="n">
        <x:v>106</x:v>
      </x:c>
      <x:c r="K210" s="9" t="n">
        <x:f>F210+G210+I210+J210</x:f>
        <x:v>55564</x:v>
      </x:c>
      <x:c r="L210" s="10" t="n">
        <x:f>K210/Sources!$B$4*1000</x:f>
        <x:v>15.52264324097057</x:v>
      </x:c>
      <x:c r="M210" s="10" t="n">
        <x:f>E210/Sources!$B$4*1000</x:f>
        <x:v>19.939405706591202</x:v>
      </x:c>
      <x:c r="N210" s="9" t="n">
        <x:f>Sources!$B$6-K210</x:f>
        <x:v>4172</x:v>
      </x:c>
    </x:row>
    <x:row r="211" ht="23" customHeight="1">
      <x:c r="A211" s="9" t="n">
        <x:v>210</x:v>
      </x:c>
      <x:c r="B211" s="9" t="n">
        <x:v>477</x:v>
      </x:c>
      <x:c r="C211" s="9" t="n">
        <x:v>1137</x:v>
      </x:c>
      <x:c r="D211" s="9" t="n">
        <x:v>1</x:v>
      </x:c>
      <x:c r="E211" s="9" t="n">
        <x:v>71352</x:v>
      </x:c>
      <x:c r="F211" s="9" t="n">
        <x:v>785</x:v>
      </x:c>
      <x:c r="G211" s="9" t="n">
        <x:v>67167</x:v>
      </x:c>
      <x:c r="H211" s="9" t="n">
        <x:v>2885</x:v>
      </x:c>
      <x:c r="I211" s="9" t="n">
        <x:v>409</x:v>
      </x:c>
      <x:c r="J211" s="9" t="n">
        <x:v>106</x:v>
      </x:c>
      <x:c r="K211" s="9" t="n">
        <x:f>F211+G211+I211+J211</x:f>
        <x:v>68467</x:v>
      </x:c>
      <x:c r="L211" s="10" t="n">
        <x:f>K211/Sources!$B$4*1000</x:f>
        <x:v>19.12729131775128</x:v>
      </x:c>
      <x:c r="M211" s="10" t="n">
        <x:f>E211/Sources!$B$4*1000</x:f>
        <x:v>19.93325967406472</x:v>
      </x:c>
      <x:c r="N211" s="9" t="n">
        <x:f>Sources!$B$6-K211</x:f>
        <x:v>-8731</x:v>
      </x:c>
    </x:row>
    <x:row r="212" ht="23" customHeight="1">
      <x:c r="A212" s="9" t="n">
        <x:v>211</x:v>
      </x:c>
      <x:c r="B212" s="9" t="n">
        <x:v>477</x:v>
      </x:c>
      <x:c r="C212" s="9" t="n">
        <x:v>1139</x:v>
      </x:c>
      <x:c r="D212" s="9" t="n">
        <x:v>1</x:v>
      </x:c>
      <x:c r="E212" s="9" t="n">
        <x:v>71376</x:v>
      </x:c>
      <x:c r="F212" s="9" t="n">
        <x:v>784.9999999925494</x:v>
      </x:c>
      <x:c r="G212" s="9" t="n">
        <x:v>56053.00000000745</x:v>
      </x:c>
      <x:c r="H212" s="9" t="n">
        <x:v>14015</x:v>
      </x:c>
      <x:c r="I212" s="9" t="n">
        <x:v>417.0000000074506</x:v>
      </x:c>
      <x:c r="J212" s="9" t="n">
        <x:v>105.99999999254942</x:v>
      </x:c>
      <x:c r="K212" s="9" t="n">
        <x:f>F212+G212+I212+J212</x:f>
        <x:v>57361</x:v>
      </x:c>
      <x:c r="L212" s="10" t="n">
        <x:f>K212/Sources!$B$4*1000</x:f>
        <x:v>16.024662352338076</x:v>
      </x:c>
      <x:c r="M212" s="10" t="n">
        <x:f>E212/Sources!$B$4*1000</x:f>
        <x:v>19.939964436820883</x:v>
      </x:c>
      <x:c r="N212" s="9" t="n">
        <x:f>Sources!$B$6-K212</x:f>
        <x:v>2375</x:v>
      </x:c>
    </x:row>
    <x:row r="213" ht="23" customHeight="1">
      <x:c r="A213" s="9" t="n">
        <x:v>212</x:v>
      </x:c>
      <x:c r="B213" s="9" t="n">
        <x:v>477</x:v>
      </x:c>
      <x:c r="C213" s="9" t="n">
        <x:v>1141</x:v>
      </x:c>
      <x:c r="D213" s="9" t="n">
        <x:v>1</x:v>
      </x:c>
      <x:c r="E213" s="9" t="n">
        <x:v>71356</x:v>
      </x:c>
      <x:c r="F213" s="9" t="n">
        <x:v>784.9999999925494</x:v>
      </x:c>
      <x:c r="G213" s="9" t="n">
        <x:v>52531</x:v>
      </x:c>
      <x:c r="H213" s="9" t="n">
        <x:v>17525.00000000745</x:v>
      </x:c>
      <x:c r="I213" s="9" t="n">
        <x:v>409</x:v>
      </x:c>
      <x:c r="J213" s="9" t="n">
        <x:v>106</x:v>
      </x:c>
      <x:c r="K213" s="9" t="n">
        <x:f>F213+G213+I213+J213</x:f>
        <x:v>53830.99999999255</x:v>
      </x:c>
      <x:c r="L213" s="10" t="n">
        <x:f>K213/Sources!$B$4*1000</x:f>
        <x:v>15.038503496950744</x:v>
      </x:c>
      <x:c r="M213" s="10" t="n">
        <x:f>E213/Sources!$B$4*1000</x:f>
        <x:v>19.93437713452408</x:v>
      </x:c>
      <x:c r="N213" s="9" t="n">
        <x:f>Sources!$B$6-K213</x:f>
        <x:v>5905.000000007451</x:v>
      </x:c>
    </x:row>
    <x:row r="214" ht="23" customHeight="1">
      <x:c r="A214" s="9" t="n">
        <x:v>213</x:v>
      </x:c>
      <x:c r="B214" s="9" t="n">
        <x:v>477</x:v>
      </x:c>
      <x:c r="C214" s="9" t="n">
        <x:v>1143</x:v>
      </x:c>
      <x:c r="D214" s="9" t="n">
        <x:v>1</x:v>
      </x:c>
      <x:c r="E214" s="9" t="n">
        <x:v>71369</x:v>
      </x:c>
      <x:c r="F214" s="9" t="n">
        <x:v>785</x:v>
      </x:c>
      <x:c r="G214" s="9" t="n">
        <x:v>54256</x:v>
      </x:c>
      <x:c r="H214" s="9" t="n">
        <x:v>15805</x:v>
      </x:c>
      <x:c r="I214" s="9" t="n">
        <x:v>417</x:v>
      </x:c>
      <x:c r="J214" s="9" t="n">
        <x:v>106</x:v>
      </x:c>
      <x:c r="K214" s="9" t="n">
        <x:f>F214+G214+I214+J214</x:f>
        <x:v>55564</x:v>
      </x:c>
      <x:c r="L214" s="10" t="n">
        <x:f>K214/Sources!$B$4*1000</x:f>
        <x:v>15.52264324097057</x:v>
      </x:c>
      <x:c r="M214" s="10" t="n">
        <x:f>E214/Sources!$B$4*1000</x:f>
        <x:v>19.938008881016998</x:v>
      </x:c>
      <x:c r="N214" s="9" t="n">
        <x:f>Sources!$B$6-K214</x:f>
        <x:v>4172</x:v>
      </x:c>
    </x:row>
    <x:row r="215" ht="23" customHeight="1">
      <x:c r="A215" s="9" t="n">
        <x:v>214</x:v>
      </x:c>
      <x:c r="B215" s="9" t="n">
        <x:v>477</x:v>
      </x:c>
      <x:c r="C215" s="9" t="n">
        <x:v>1145</x:v>
      </x:c>
      <x:c r="D215" s="9" t="n">
        <x:v>1</x:v>
      </x:c>
      <x:c r="E215" s="9" t="n">
        <x:v>71357</x:v>
      </x:c>
      <x:c r="F215" s="9" t="n">
        <x:v>785</x:v>
      </x:c>
      <x:c r="G215" s="9" t="n">
        <x:v>67167</x:v>
      </x:c>
      <x:c r="H215" s="9" t="n">
        <x:v>2890</x:v>
      </x:c>
      <x:c r="I215" s="9" t="n">
        <x:v>409.0000000074506</x:v>
      </x:c>
      <x:c r="J215" s="9" t="n">
        <x:v>105.99999999254942</x:v>
      </x:c>
      <x:c r="K215" s="9" t="n">
        <x:f>F215+G215+I215+J215</x:f>
        <x:v>68467</x:v>
      </x:c>
      <x:c r="L215" s="10" t="n">
        <x:f>K215/Sources!$B$4*1000</x:f>
        <x:v>19.12729131775128</x:v>
      </x:c>
      <x:c r="M215" s="10" t="n">
        <x:f>E215/Sources!$B$4*1000</x:f>
        <x:v>19.93465649963892</x:v>
      </x:c>
      <x:c r="N215" s="9" t="n">
        <x:f>Sources!$B$6-K215</x:f>
        <x:v>-8731</x:v>
      </x:c>
    </x:row>
    <x:row r="216" ht="23" customHeight="1">
      <x:c r="A216" s="9" t="n">
        <x:v>215</x:v>
      </x:c>
      <x:c r="B216" s="9" t="n">
        <x:v>477</x:v>
      </x:c>
      <x:c r="C216" s="9" t="n">
        <x:v>1147</x:v>
      </x:c>
      <x:c r="D216" s="9" t="n">
        <x:v>1</x:v>
      </x:c>
      <x:c r="E216" s="9" t="n">
        <x:v>71371</x:v>
      </x:c>
      <x:c r="F216" s="9" t="n">
        <x:v>784.9999999925494</x:v>
      </x:c>
      <x:c r="G216" s="9" t="n">
        <x:v>56053</x:v>
      </x:c>
      <x:c r="H216" s="9" t="n">
        <x:v>14010</x:v>
      </x:c>
      <x:c r="I216" s="9" t="n">
        <x:v>417.0000000074506</x:v>
      </x:c>
      <x:c r="J216" s="9" t="n">
        <x:v>106</x:v>
      </x:c>
      <x:c r="K216" s="9" t="n">
        <x:f>F216+G216+I216+J216</x:f>
        <x:v>57361</x:v>
      </x:c>
      <x:c r="L216" s="10" t="n">
        <x:f>K216/Sources!$B$4*1000</x:f>
        <x:v>16.024662352338076</x:v>
      </x:c>
      <x:c r="M216" s="10" t="n">
        <x:f>E216/Sources!$B$4*1000</x:f>
        <x:v>19.93856761124668</x:v>
      </x:c>
      <x:c r="N216" s="9" t="n">
        <x:f>Sources!$B$6-K216</x:f>
        <x:v>2375</x:v>
      </x:c>
    </x:row>
    <x:row r="217" ht="23" customHeight="1">
      <x:c r="A217" s="9" t="n">
        <x:v>216</x:v>
      </x:c>
      <x:c r="B217" s="9" t="n">
        <x:v>477</x:v>
      </x:c>
      <x:c r="C217" s="9" t="n">
        <x:v>1149</x:v>
      </x:c>
      <x:c r="D217" s="9" t="n">
        <x:v>1</x:v>
      </x:c>
      <x:c r="E217" s="9" t="n">
        <x:v>71356</x:v>
      </x:c>
      <x:c r="F217" s="9" t="n">
        <x:v>784.9999999925494</x:v>
      </x:c>
      <x:c r="G217" s="9" t="n">
        <x:v>52531</x:v>
      </x:c>
      <x:c r="H217" s="9" t="n">
        <x:v>17525.00000000745</x:v>
      </x:c>
      <x:c r="I217" s="9" t="n">
        <x:v>409</x:v>
      </x:c>
      <x:c r="J217" s="9" t="n">
        <x:v>106</x:v>
      </x:c>
      <x:c r="K217" s="9" t="n">
        <x:f>F217+G217+I217+J217</x:f>
        <x:v>53830.99999999255</x:v>
      </x:c>
      <x:c r="L217" s="10" t="n">
        <x:f>K217/Sources!$B$4*1000</x:f>
        <x:v>15.038503496950744</x:v>
      </x:c>
      <x:c r="M217" s="10" t="n">
        <x:f>E217/Sources!$B$4*1000</x:f>
        <x:v>19.93437713452408</x:v>
      </x:c>
      <x:c r="N217" s="9" t="n">
        <x:f>Sources!$B$6-K217</x:f>
        <x:v>5905.000000007451</x:v>
      </x:c>
    </x:row>
    <x:row r="218" ht="23" customHeight="1">
      <x:c r="A218" s="9" t="n">
        <x:v>217</x:v>
      </x:c>
      <x:c r="B218" s="9" t="n">
        <x:v>477</x:v>
      </x:c>
      <x:c r="C218" s="9" t="n">
        <x:v>1151</x:v>
      </x:c>
      <x:c r="D218" s="9" t="n">
        <x:v>1</x:v>
      </x:c>
      <x:c r="E218" s="9" t="n">
        <x:v>71374</x:v>
      </x:c>
      <x:c r="F218" s="9" t="n">
        <x:v>785</x:v>
      </x:c>
      <x:c r="G218" s="9" t="n">
        <x:v>54256</x:v>
      </x:c>
      <x:c r="H218" s="9" t="n">
        <x:v>15810</x:v>
      </x:c>
      <x:c r="I218" s="9" t="n">
        <x:v>417</x:v>
      </x:c>
      <x:c r="J218" s="9" t="n">
        <x:v>106</x:v>
      </x:c>
      <x:c r="K218" s="9" t="n">
        <x:f>F218+G218+I218+J218</x:f>
        <x:v>55564</x:v>
      </x:c>
      <x:c r="L218" s="10" t="n">
        <x:f>K218/Sources!$B$4*1000</x:f>
        <x:v>15.52264324097057</x:v>
      </x:c>
      <x:c r="M218" s="10" t="n">
        <x:f>E218/Sources!$B$4*1000</x:f>
        <x:v>19.939405706591202</x:v>
      </x:c>
      <x:c r="N218" s="9" t="n">
        <x:f>Sources!$B$6-K218</x:f>
        <x:v>4172</x:v>
      </x:c>
    </x:row>
    <x:row r="219" ht="23" customHeight="1">
      <x:c r="A219" s="9" t="n">
        <x:v>218</x:v>
      </x:c>
      <x:c r="B219" s="9" t="n">
        <x:v>477</x:v>
      </x:c>
      <x:c r="C219" s="9" t="n">
        <x:v>1153</x:v>
      </x:c>
      <x:c r="D219" s="9" t="n">
        <x:v>1</x:v>
      </x:c>
      <x:c r="E219" s="9" t="n">
        <x:v>71357</x:v>
      </x:c>
      <x:c r="F219" s="9" t="n">
        <x:v>785</x:v>
      </x:c>
      <x:c r="G219" s="9" t="n">
        <x:v>67167</x:v>
      </x:c>
      <x:c r="H219" s="9" t="n">
        <x:v>2889.9999999925494</x:v>
      </x:c>
      <x:c r="I219" s="9" t="n">
        <x:v>409.0000000074506</x:v>
      </x:c>
      <x:c r="J219" s="9" t="n">
        <x:v>106</x:v>
      </x:c>
      <x:c r="K219" s="9" t="n">
        <x:f>F219+G219+I219+J219</x:f>
        <x:v>68467.00000000745</x:v>
      </x:c>
      <x:c r="L219" s="10" t="n">
        <x:f>K219/Sources!$B$4*1000</x:f>
        <x:v>19.12729131775336</x:v>
      </x:c>
      <x:c r="M219" s="10" t="n">
        <x:f>E219/Sources!$B$4*1000</x:f>
        <x:v>19.93465649963892</x:v>
      </x:c>
      <x:c r="N219" s="9" t="n">
        <x:f>Sources!$B$6-K219</x:f>
        <x:v>-8731.00000000745</x:v>
      </x:c>
    </x:row>
    <x:row r="220" ht="23" customHeight="1">
      <x:c r="A220" s="9" t="n">
        <x:v>219</x:v>
      </x:c>
      <x:c r="B220" s="9" t="n">
        <x:v>477</x:v>
      </x:c>
      <x:c r="C220" s="9" t="n">
        <x:v>1155</x:v>
      </x:c>
      <x:c r="D220" s="9" t="n">
        <x:v>1</x:v>
      </x:c>
      <x:c r="E220" s="9" t="n">
        <x:v>71371</x:v>
      </x:c>
      <x:c r="F220" s="9" t="n">
        <x:v>785</x:v>
      </x:c>
      <x:c r="G220" s="9" t="n">
        <x:v>56052.99999999255</x:v>
      </x:c>
      <x:c r="H220" s="9" t="n">
        <x:v>14010</x:v>
      </x:c>
      <x:c r="I220" s="9" t="n">
        <x:v>417.0000000074506</x:v>
      </x:c>
      <x:c r="J220" s="9" t="n">
        <x:v>106</x:v>
      </x:c>
      <x:c r="K220" s="9" t="n">
        <x:f>F220+G220+I220+J220</x:f>
        <x:v>57361</x:v>
      </x:c>
      <x:c r="L220" s="10" t="n">
        <x:f>K220/Sources!$B$4*1000</x:f>
        <x:v>16.024662352338076</x:v>
      </x:c>
      <x:c r="M220" s="10" t="n">
        <x:f>E220/Sources!$B$4*1000</x:f>
        <x:v>19.93856761124668</x:v>
      </x:c>
      <x:c r="N220" s="9" t="n">
        <x:f>Sources!$B$6-K220</x:f>
        <x:v>2375</x:v>
      </x:c>
    </x:row>
    <x:row r="221" ht="23" customHeight="1">
      <x:c r="A221" s="9" t="n">
        <x:v>220</x:v>
      </x:c>
      <x:c r="B221" s="9" t="n">
        <x:v>477</x:v>
      </x:c>
      <x:c r="C221" s="9" t="n">
        <x:v>1157</x:v>
      </x:c>
      <x:c r="D221" s="9" t="n">
        <x:v>1</x:v>
      </x:c>
      <x:c r="E221" s="9" t="n">
        <x:v>71356</x:v>
      </x:c>
      <x:c r="F221" s="9" t="n">
        <x:v>785</x:v>
      </x:c>
      <x:c r="G221" s="9" t="n">
        <x:v>52530.99999999255</x:v>
      </x:c>
      <x:c r="H221" s="9" t="n">
        <x:v>17525.00000000745</x:v>
      </x:c>
      <x:c r="I221" s="9" t="n">
        <x:v>409</x:v>
      </x:c>
      <x:c r="J221" s="9" t="n">
        <x:v>106</x:v>
      </x:c>
      <x:c r="K221" s="9" t="n">
        <x:f>F221+G221+I221+J221</x:f>
        <x:v>53830.99999999255</x:v>
      </x:c>
      <x:c r="L221" s="10" t="n">
        <x:f>K221/Sources!$B$4*1000</x:f>
        <x:v>15.038503496950744</x:v>
      </x:c>
      <x:c r="M221" s="10" t="n">
        <x:f>E221/Sources!$B$4*1000</x:f>
        <x:v>19.93437713452408</x:v>
      </x:c>
      <x:c r="N221" s="9" t="n">
        <x:f>Sources!$B$6-K221</x:f>
        <x:v>5905.000000007451</x:v>
      </x:c>
    </x:row>
    <x:row r="222" ht="23" customHeight="1">
      <x:c r="A222" s="9" t="n">
        <x:v>221</x:v>
      </x:c>
      <x:c r="B222" s="9" t="n">
        <x:v>477</x:v>
      </x:c>
      <x:c r="C222" s="9" t="n">
        <x:v>1159</x:v>
      </x:c>
      <x:c r="D222" s="9" t="n">
        <x:v>1</x:v>
      </x:c>
      <x:c r="E222" s="9" t="n">
        <x:v>71369</x:v>
      </x:c>
      <x:c r="F222" s="9" t="n">
        <x:v>784.9999999925494</x:v>
      </x:c>
      <x:c r="G222" s="9" t="n">
        <x:v>54256.00000000745</x:v>
      </x:c>
      <x:c r="H222" s="9" t="n">
        <x:v>15805</x:v>
      </x:c>
      <x:c r="I222" s="9" t="n">
        <x:v>417</x:v>
      </x:c>
      <x:c r="J222" s="9" t="n">
        <x:v>106</x:v>
      </x:c>
      <x:c r="K222" s="9" t="n">
        <x:f>F222+G222+I222+J222</x:f>
        <x:v>55564</x:v>
      </x:c>
      <x:c r="L222" s="10" t="n">
        <x:f>K222/Sources!$B$4*1000</x:f>
        <x:v>15.52264324097057</x:v>
      </x:c>
      <x:c r="M222" s="10" t="n">
        <x:f>E222/Sources!$B$4*1000</x:f>
        <x:v>19.938008881016998</x:v>
      </x:c>
      <x:c r="N222" s="9" t="n">
        <x:f>Sources!$B$6-K222</x:f>
        <x:v>4172</x:v>
      </x:c>
    </x:row>
    <x:row r="223" ht="23" customHeight="1">
      <x:c r="A223" s="9" t="n">
        <x:v>222</x:v>
      </x:c>
      <x:c r="B223" s="9" t="n">
        <x:v>477</x:v>
      </x:c>
      <x:c r="C223" s="9" t="n">
        <x:v>1161</x:v>
      </x:c>
      <x:c r="D223" s="9" t="n">
        <x:v>1</x:v>
      </x:c>
      <x:c r="E223" s="9" t="n">
        <x:v>71357</x:v>
      </x:c>
      <x:c r="F223" s="9" t="n">
        <x:v>785</x:v>
      </x:c>
      <x:c r="G223" s="9" t="n">
        <x:v>67167</x:v>
      </x:c>
      <x:c r="H223" s="9" t="n">
        <x:v>2889.9999999925494</x:v>
      </x:c>
      <x:c r="I223" s="9" t="n">
        <x:v>409.0000000074506</x:v>
      </x:c>
      <x:c r="J223" s="9" t="n">
        <x:v>106</x:v>
      </x:c>
      <x:c r="K223" s="9" t="n">
        <x:f>F223+G223+I223+J223</x:f>
        <x:v>68467.00000000745</x:v>
      </x:c>
      <x:c r="L223" s="10" t="n">
        <x:f>K223/Sources!$B$4*1000</x:f>
        <x:v>19.12729131775336</x:v>
      </x:c>
      <x:c r="M223" s="10" t="n">
        <x:f>E223/Sources!$B$4*1000</x:f>
        <x:v>19.93465649963892</x:v>
      </x:c>
      <x:c r="N223" s="9" t="n">
        <x:f>Sources!$B$6-K223</x:f>
        <x:v>-8731.00000000745</x:v>
      </x:c>
    </x:row>
    <x:row r="224" ht="23" customHeight="1">
      <x:c r="A224" s="9" t="n">
        <x:v>223</x:v>
      </x:c>
      <x:c r="B224" s="9" t="n">
        <x:v>477</x:v>
      </x:c>
      <x:c r="C224" s="9" t="n">
        <x:v>1163</x:v>
      </x:c>
      <x:c r="D224" s="9" t="n">
        <x:v>1</x:v>
      </x:c>
      <x:c r="E224" s="9" t="n">
        <x:v>71371</x:v>
      </x:c>
      <x:c r="F224" s="9" t="n">
        <x:v>784.9999999925494</x:v>
      </x:c>
      <x:c r="G224" s="9" t="n">
        <x:v>56052.99999999255</x:v>
      </x:c>
      <x:c r="H224" s="9" t="n">
        <x:v>14010</x:v>
      </x:c>
      <x:c r="I224" s="9" t="n">
        <x:v>417.0000000074506</x:v>
      </x:c>
      <x:c r="J224" s="9" t="n">
        <x:v>106.00000000745058</x:v>
      </x:c>
      <x:c r="K224" s="9" t="n">
        <x:f>F224+G224+I224+J224</x:f>
        <x:v>57361</x:v>
      </x:c>
      <x:c r="L224" s="10" t="n">
        <x:f>K224/Sources!$B$4*1000</x:f>
        <x:v>16.024662352338076</x:v>
      </x:c>
      <x:c r="M224" s="10" t="n">
        <x:f>E224/Sources!$B$4*1000</x:f>
        <x:v>19.93856761124668</x:v>
      </x:c>
      <x:c r="N224" s="9" t="n">
        <x:f>Sources!$B$6-K224</x:f>
        <x:v>2375</x:v>
      </x:c>
    </x:row>
    <x:row r="225" ht="23" customHeight="1">
      <x:c r="A225" s="9" t="n">
        <x:v>224</x:v>
      </x:c>
      <x:c r="B225" s="9" t="n">
        <x:v>475</x:v>
      </x:c>
      <x:c r="C225" s="9" t="n">
        <x:v>1163</x:v>
      </x:c>
      <x:c r="D225" s="9" t="n">
        <x:v>1</x:v>
      </x:c>
      <x:c r="E225" s="9" t="n">
        <x:v>142720</x:v>
      </x:c>
      <x:c r="F225" s="9" t="n">
        <x:v>818</x:v>
      </x:c>
      <x:c r="G225" s="9" t="n">
        <x:v>79482</x:v>
      </x:c>
      <x:c r="H225" s="9" t="n">
        <x:v>61905</x:v>
      </x:c>
      <x:c r="I225" s="9" t="n">
        <x:v>409</x:v>
      </x:c>
      <x:c r="J225" s="9" t="n">
        <x:v>106</x:v>
      </x:c>
      <x:c r="K225" s="9" t="n">
        <x:f>F225+G225+I225+J225</x:f>
        <x:v>80815</x:v>
      </x:c>
      <x:c r="L225" s="10" t="n">
        <x:f>K225/Sources!$B$4*1000</x:f>
        <x:v>22.576891755795778</x:v>
      </x:c>
      <x:c r="M225" s="10" t="n">
        <x:f>E225/Sources!$B$4*1000</x:f>
        <x:v>39.87098918996688</x:v>
      </x:c>
      <x:c r="N225" s="9" t="n">
        <x:f>Sources!$B$6-K225</x:f>
        <x:v>-21079</x:v>
      </x:c>
    </x:row>
    <x:row r="226" ht="23" customHeight="1">
      <x:c r="A226" s="9" t="n">
        <x:v>225</x:v>
      </x:c>
      <x:c r="B226" s="9" t="n">
        <x:v>471</x:v>
      </x:c>
      <x:c r="C226" s="9" t="n">
        <x:v>1163</x:v>
      </x:c>
      <x:c r="D226" s="9" t="n">
        <x:v>2</x:v>
      </x:c>
      <x:c r="E226" s="9" t="n">
        <x:v>142739.99999999255</x:v>
      </x:c>
      <x:c r="F226" s="9" t="n">
        <x:v>818</x:v>
      </x:c>
      <x:c r="G226" s="9" t="n">
        <x:v>107384</x:v>
      </x:c>
      <x:c r="H226" s="9" t="n">
        <x:v>34015</x:v>
      </x:c>
      <x:c r="I226" s="9" t="n">
        <x:v>416.9999999925494</x:v>
      </x:c>
      <x:c r="J226" s="9" t="n">
        <x:v>106</x:v>
      </x:c>
      <x:c r="K226" s="9" t="n">
        <x:f>F226+G226+I226+J226</x:f>
        <x:v>108724.99999999255</x:v>
      </x:c>
      <x:c r="L226" s="10" t="n">
        <x:f>K226/Sources!$B$4*1000</x:f>
        <x:v>30.373972110978503</x:v>
      </x:c>
      <x:c r="M226" s="10" t="n">
        <x:f>E226/Sources!$B$4*1000</x:f>
        <x:v>39.876576492261606</x:v>
      </x:c>
      <x:c r="N226" s="9" t="n">
        <x:f>Sources!$B$6-K226</x:f>
        <x:v>-48988.99999999255</x:v>
      </x:c>
    </x:row>
    <x:row r="227" ht="23" customHeight="1">
      <x:c r="A227" s="9" t="n">
        <x:v>226</x:v>
      </x:c>
      <x:c r="B227" s="9" t="n">
        <x:v>467</x:v>
      </x:c>
      <x:c r="C227" s="9" t="n">
        <x:v>1163</x:v>
      </x:c>
      <x:c r="D227" s="9" t="n">
        <x:v>2</x:v>
      </x:c>
      <x:c r="E227" s="9" t="n">
        <x:v>71355.00000000745</x:v>
      </x:c>
      <x:c r="F227" s="9" t="n">
        <x:v>818.0000000074506</x:v>
      </x:c>
      <x:c r="G227" s="9" t="n">
        <x:v>36962</x:v>
      </x:c>
      <x:c r="H227" s="9" t="n">
        <x:v>33060</x:v>
      </x:c>
      <x:c r="I227" s="9" t="n">
        <x:v>409</x:v>
      </x:c>
      <x:c r="J227" s="9" t="n">
        <x:v>106</x:v>
      </x:c>
      <x:c r="K227" s="9" t="n">
        <x:f>F227+G227+I227+J227</x:f>
        <x:v>38295.00000000745</x:v>
      </x:c>
      <x:c r="L227" s="10" t="n">
        <x:f>K227/Sources!$B$4*1000</x:f>
        <x:v>10.69828707280044</x:v>
      </x:c>
      <x:c r="M227" s="10" t="n">
        <x:f>E227/Sources!$B$4*1000</x:f>
        <x:v>19.93409776941132</x:v>
      </x:c>
      <x:c r="N227" s="9" t="n">
        <x:f>Sources!$B$6-K227</x:f>
        <x:v>21440.99999999255</x:v>
      </x:c>
    </x:row>
    <x:row r="228" ht="23" customHeight="1">
      <x:c r="A228" s="9" t="n">
        <x:v>227</x:v>
      </x:c>
      <x:c r="B228" s="9" t="n">
        <x:v>465</x:v>
      </x:c>
      <x:c r="C228" s="9" t="n">
        <x:v>1163</x:v>
      </x:c>
      <x:c r="D228" s="9" t="n">
        <x:v>1</x:v>
      </x:c>
      <x:c r="E228" s="9" t="n">
        <x:v>142735</x:v>
      </x:c>
      <x:c r="F228" s="9" t="n">
        <x:v>818</x:v>
      </x:c>
      <x:c r="G228" s="9" t="n">
        <x:v>79988.99999999255</x:v>
      </x:c>
      <x:c r="H228" s="9" t="n">
        <x:v>61405.00000000745</x:v>
      </x:c>
      <x:c r="I228" s="9" t="n">
        <x:v>416.9999999925494</x:v>
      </x:c>
      <x:c r="J228" s="9" t="n">
        <x:v>106.00000000745058</x:v>
      </x:c>
      <x:c r="K228" s="9" t="n">
        <x:f>F228+G228+I228+J228</x:f>
        <x:v>81329.99999999255</x:v>
      </x:c>
      <x:c r="L228" s="10" t="n">
        <x:f>K228/Sources!$B$4*1000</x:f>
        <x:v>22.720764789936304</x:v>
      </x:c>
      <x:c r="M228" s="10" t="n">
        <x:f>E228/Sources!$B$4*1000</x:f>
        <x:v>39.875179666689476</x:v>
      </x:c>
      <x:c r="N228" s="9" t="n">
        <x:f>Sources!$B$6-K228</x:f>
        <x:v>-21593.99999999255</x:v>
      </x:c>
    </x:row>
    <x:row r="229" ht="23" customHeight="1">
      <x:c r="A229" s="9" t="n">
        <x:v>228</x:v>
      </x:c>
      <x:c r="B229" s="9" t="n">
        <x:v>461</x:v>
      </x:c>
      <x:c r="C229" s="9" t="n">
        <x:v>1163</x:v>
      </x:c>
      <x:c r="D229" s="9" t="n">
        <x:v>2</x:v>
      </x:c>
      <x:c r="E229" s="9" t="n">
        <x:v>142720</x:v>
      </x:c>
      <x:c r="F229" s="9" t="n">
        <x:v>818</x:v>
      </x:c>
      <x:c r="G229" s="9" t="n">
        <x:v>101677</x:v>
      </x:c>
      <x:c r="H229" s="9" t="n">
        <x:v>39710</x:v>
      </x:c>
      <x:c r="I229" s="9" t="n">
        <x:v>409</x:v>
      </x:c>
      <x:c r="J229" s="9" t="n">
        <x:v>106</x:v>
      </x:c>
      <x:c r="K229" s="9" t="n">
        <x:f>F229+G229+I229+J229</x:f>
        <x:v>103010</x:v>
      </x:c>
      <x:c r="L229" s="10" t="n">
        <x:f>K229/Sources!$B$4*1000</x:f>
        <x:v>28.777400479669904</x:v>
      </x:c>
      <x:c r="M229" s="10" t="n">
        <x:f>E229/Sources!$B$4*1000</x:f>
        <x:v>39.87098918996688</x:v>
      </x:c>
      <x:c r="N229" s="9" t="n">
        <x:f>Sources!$B$6-K229</x:f>
        <x:v>-43274</x:v>
      </x:c>
    </x:row>
    <x:row r="230" ht="23" customHeight="1">
      <x:c r="A230" s="9" t="n">
        <x:v>229</x:v>
      </x:c>
      <x:c r="B230" s="9" t="n">
        <x:v>457</x:v>
      </x:c>
      <x:c r="C230" s="9" t="n">
        <x:v>1163</x:v>
      </x:c>
      <x:c r="D230" s="9" t="n">
        <x:v>2</x:v>
      </x:c>
      <x:c r="E230" s="9" t="n">
        <x:v>71371</x:v>
      </x:c>
      <x:c r="F230" s="9" t="n">
        <x:v>817.9999999925494</x:v>
      </x:c>
      <x:c r="G230" s="9" t="n">
        <x:v>37105.00000000745</x:v>
      </x:c>
      <x:c r="H230" s="9" t="n">
        <x:v>32925</x:v>
      </x:c>
      <x:c r="I230" s="9" t="n">
        <x:v>417</x:v>
      </x:c>
      <x:c r="J230" s="9" t="n">
        <x:v>106</x:v>
      </x:c>
      <x:c r="K230" s="9" t="n">
        <x:f>F230+G230+I230+J230</x:f>
        <x:v>38446</x:v>
      </x:c>
      <x:c r="L230" s="10" t="n">
        <x:f>K230/Sources!$B$4*1000</x:f>
        <x:v>10.740471205139201</x:v>
      </x:c>
      <x:c r="M230" s="10" t="n">
        <x:f>E230/Sources!$B$4*1000</x:f>
        <x:v>19.93856761124668</x:v>
      </x:c>
      <x:c r="N230" s="9" t="n">
        <x:f>Sources!$B$6-K230</x:f>
        <x:v>21290</x:v>
      </x:c>
    </x:row>
    <x:row r="231" ht="23" customHeight="1">
      <x:c r="A231" s="9" t="n">
        <x:v>230</x:v>
      </x:c>
      <x:c r="B231" s="9" t="n">
        <x:v>455</x:v>
      </x:c>
      <x:c r="C231" s="9" t="n">
        <x:v>1163</x:v>
      </x:c>
      <x:c r="D231" s="9" t="n">
        <x:v>1</x:v>
      </x:c>
      <x:c r="E231" s="9" t="n">
        <x:v>142721</x:v>
      </x:c>
      <x:c r="F231" s="9" t="n">
        <x:v>817.9999999925494</x:v>
      </x:c>
      <x:c r="G231" s="9" t="n">
        <x:v>107173.00000000745</x:v>
      </x:c>
      <x:c r="H231" s="9" t="n">
        <x:v>34215</x:v>
      </x:c>
      <x:c r="I231" s="9" t="n">
        <x:v>409</x:v>
      </x:c>
      <x:c r="J231" s="9" t="n">
        <x:v>106</x:v>
      </x:c>
      <x:c r="K231" s="9" t="n">
        <x:f>F231+G231+I231+J231</x:f>
        <x:v>108506</x:v>
      </x:c>
      <x:c r="L231" s="10" t="n">
        <x:f>K231/Sources!$B$4*1000</x:f>
        <x:v>30.31279115083062</x:v>
      </x:c>
      <x:c r="M231" s="10" t="n">
        <x:f>E231/Sources!$B$4*1000</x:f>
        <x:v>39.87126855508172</x:v>
      </x:c>
      <x:c r="N231" s="9" t="n">
        <x:f>Sources!$B$6-K231</x:f>
        <x:v>-48770</x:v>
      </x:c>
    </x:row>
    <x:row r="232" ht="23" customHeight="1">
      <x:c r="A232" s="9" t="n">
        <x:v>231</x:v>
      </x:c>
      <x:c r="B232" s="9" t="n">
        <x:v>451</x:v>
      </x:c>
      <x:c r="C232" s="9" t="n">
        <x:v>1163</x:v>
      </x:c>
      <x:c r="D232" s="9" t="n">
        <x:v>2</x:v>
      </x:c>
      <x:c r="E232" s="9" t="n">
        <x:v>142735</x:v>
      </x:c>
      <x:c r="F232" s="9" t="n">
        <x:v>818</x:v>
      </x:c>
      <x:c r="G232" s="9" t="n">
        <x:v>87974</x:v>
      </x:c>
      <x:c r="H232" s="9" t="n">
        <x:v>53420</x:v>
      </x:c>
      <x:c r="I232" s="9" t="n">
        <x:v>417</x:v>
      </x:c>
      <x:c r="J232" s="9" t="n">
        <x:v>106</x:v>
      </x:c>
      <x:c r="K232" s="9" t="n">
        <x:f>F232+G232+I232+J232</x:f>
        <x:v>89315</x:v>
      </x:c>
      <x:c r="L232" s="10" t="n">
        <x:f>K232/Sources!$B$4*1000</x:f>
        <x:v>24.9514952319359</x:v>
      </x:c>
      <x:c r="M232" s="10" t="n">
        <x:f>E232/Sources!$B$4*1000</x:f>
        <x:v>39.875179666689476</x:v>
      </x:c>
      <x:c r="N232" s="9" t="n">
        <x:f>Sources!$B$6-K232</x:f>
        <x:v>-29579</x:v>
      </x:c>
    </x:row>
    <x:row r="233" ht="23" customHeight="1">
      <x:c r="A233" s="9" t="n">
        <x:v>232</x:v>
      </x:c>
      <x:c r="B233" s="9" t="n">
        <x:v>447</x:v>
      </x:c>
      <x:c r="C233" s="9" t="n">
        <x:v>1163</x:v>
      </x:c>
      <x:c r="D233" s="9" t="n">
        <x:v>2</x:v>
      </x:c>
      <x:c r="E233" s="9" t="n">
        <x:v>71359</x:v>
      </x:c>
      <x:c r="F233" s="9" t="n">
        <x:v>818</x:v>
      </x:c>
      <x:c r="G233" s="9" t="n">
        <x:v>60656.00000000745</x:v>
      </x:c>
      <x:c r="H233" s="9" t="n">
        <x:v>9369.99999999255</x:v>
      </x:c>
      <x:c r="I233" s="9" t="n">
        <x:v>408.9999999925494</x:v>
      </x:c>
      <x:c r="J233" s="9" t="n">
        <x:v>106.00000000745058</x:v>
      </x:c>
      <x:c r="K233" s="9" t="n">
        <x:f>F233+G233+I233+J233</x:f>
        <x:v>61989.00000000745</x:v>
      </x:c>
      <x:c r="L233" s="10" t="n">
        <x:f>K233/Sources!$B$4*1000</x:f>
        <x:v>17.317564103819745</x:v>
      </x:c>
      <x:c r="M233" s="10" t="n">
        <x:f>E233/Sources!$B$4*1000</x:f>
        <x:v>19.9352152298686</x:v>
      </x:c>
      <x:c r="N233" s="9" t="n">
        <x:f>Sources!$B$6-K233</x:f>
        <x:v>-2253.0000000074506</x:v>
      </x:c>
    </x:row>
    <x:row r="234" ht="23" customHeight="1">
      <x:c r="A234" s="9" t="n">
        <x:v>233</x:v>
      </x:c>
      <x:c r="B234" s="9" t="n">
        <x:v>445</x:v>
      </x:c>
      <x:c r="C234" s="9" t="n">
        <x:v>1163</x:v>
      </x:c>
      <x:c r="D234" s="9" t="n">
        <x:v>1</x:v>
      </x:c>
      <x:c r="E234" s="9" t="n">
        <x:v>142736</x:v>
      </x:c>
      <x:c r="F234" s="9" t="n">
        <x:v>818</x:v>
      </x:c>
      <x:c r="G234" s="9" t="n">
        <x:v>78270</x:v>
      </x:c>
      <x:c r="H234" s="9" t="n">
        <x:v>63125</x:v>
      </x:c>
      <x:c r="I234" s="9" t="n">
        <x:v>417</x:v>
      </x:c>
      <x:c r="J234" s="9" t="n">
        <x:v>106</x:v>
      </x:c>
      <x:c r="K234" s="9" t="n">
        <x:f>F234+G234+I234+J234</x:f>
        <x:v>79611</x:v>
      </x:c>
      <x:c r="L234" s="10" t="n">
        <x:f>K234/Sources!$B$4*1000</x:f>
        <x:v>22.240536157528403</x:v>
      </x:c>
      <x:c r="M234" s="10" t="n">
        <x:f>E234/Sources!$B$4*1000</x:f>
        <x:v>39.87545903180432</x:v>
      </x:c>
      <x:c r="N234" s="9" t="n">
        <x:f>Sources!$B$6-K234</x:f>
        <x:v>-19875</x:v>
      </x:c>
    </x:row>
    <x:row r="235" ht="23" customHeight="1">
      <x:c r="A235" s="9" t="n">
        <x:v>234</x:v>
      </x:c>
      <x:c r="B235" s="9" t="n">
        <x:v>441</x:v>
      </x:c>
      <x:c r="C235" s="9" t="n">
        <x:v>1163</x:v>
      </x:c>
      <x:c r="D235" s="9" t="n">
        <x:v>2</x:v>
      </x:c>
      <x:c r="E235" s="9" t="n">
        <x:v>142717</x:v>
      </x:c>
      <x:c r="F235" s="9" t="n">
        <x:v>818</x:v>
      </x:c>
      <x:c r="G235" s="9" t="n">
        <x:v>79929</x:v>
      </x:c>
      <x:c r="H235" s="9" t="n">
        <x:v>61454.99999999255</x:v>
      </x:c>
      <x:c r="I235" s="9" t="n">
        <x:v>408.9999999925494</x:v>
      </x:c>
      <x:c r="J235" s="9" t="n">
        <x:v>106.00000001490116</x:v>
      </x:c>
      <x:c r="K235" s="9" t="n">
        <x:f>F235+G235+I235+J235</x:f>
        <x:v>81262.00000000745</x:v>
      </x:c>
      <x:c r="L235" s="10" t="n">
        <x:f>K235/Sources!$B$4*1000</x:f>
        <x:v>22.70176796213135</x:v>
      </x:c>
      <x:c r="M235" s="10" t="n">
        <x:f>E235/Sources!$B$4*1000</x:f>
        <x:v>39.87015109462236</x:v>
      </x:c>
      <x:c r="N235" s="9" t="n">
        <x:f>Sources!$B$6-K235</x:f>
        <x:v>-21526.00000000745</x:v>
      </x:c>
    </x:row>
    <x:row r="236" ht="23" customHeight="1">
      <x:c r="A236" s="9" t="n">
        <x:v>235</x:v>
      </x:c>
      <x:c r="B236" s="9" t="n">
        <x:v>437</x:v>
      </x:c>
      <x:c r="C236" s="9" t="n">
        <x:v>1163</x:v>
      </x:c>
      <x:c r="D236" s="9" t="n">
        <x:v>2</x:v>
      </x:c>
      <x:c r="E236" s="9" t="n">
        <x:v>71371</x:v>
      </x:c>
      <x:c r="F236" s="9" t="n">
        <x:v>818</x:v>
      </x:c>
      <x:c r="G236" s="9" t="n">
        <x:v>60780</x:v>
      </x:c>
      <x:c r="H236" s="9" t="n">
        <x:v>9250</x:v>
      </x:c>
      <x:c r="I236" s="9" t="n">
        <x:v>416.9999999925494</x:v>
      </x:c>
      <x:c r="J236" s="9" t="n">
        <x:v>106.00000000745058</x:v>
      </x:c>
      <x:c r="K236" s="9" t="n">
        <x:f>F236+G236+I236+J236</x:f>
        <x:v>62121</x:v>
      </x:c>
      <x:c r="L236" s="10" t="n">
        <x:f>K236/Sources!$B$4*1000</x:f>
        <x:v>17.35444029897655</x:v>
      </x:c>
      <x:c r="M236" s="10" t="n">
        <x:f>E236/Sources!$B$4*1000</x:f>
        <x:v>19.93856761124668</x:v>
      </x:c>
      <x:c r="N236" s="9" t="n">
        <x:f>Sources!$B$6-K236</x:f>
        <x:v>-2385</x:v>
      </x:c>
    </x:row>
    <x:row r="237" ht="23" customHeight="1">
      <x:c r="A237" s="9" t="n">
        <x:v>236</x:v>
      </x:c>
      <x:c r="B237" s="9" t="n">
        <x:v>435</x:v>
      </x:c>
      <x:c r="C237" s="9" t="n">
        <x:v>1163</x:v>
      </x:c>
      <x:c r="D237" s="9" t="n">
        <x:v>1</x:v>
      </x:c>
      <x:c r="E237" s="9" t="n">
        <x:v>142722</x:v>
      </x:c>
      <x:c r="F237" s="9" t="n">
        <x:v>818</x:v>
      </x:c>
      <x:c r="G237" s="9" t="n">
        <x:v>87744</x:v>
      </x:c>
      <x:c r="H237" s="9" t="n">
        <x:v>53645</x:v>
      </x:c>
      <x:c r="I237" s="9" t="n">
        <x:v>409</x:v>
      </x:c>
      <x:c r="J237" s="9" t="n">
        <x:v>106</x:v>
      </x:c>
      <x:c r="K237" s="9" t="n">
        <x:f>F237+G237+I237+J237</x:f>
        <x:v>89077</x:v>
      </x:c>
      <x:c r="L237" s="10" t="n">
        <x:f>K237/Sources!$B$4*1000</x:f>
        <x:v>24.88500633460398</x:v>
      </x:c>
      <x:c r="M237" s="10" t="n">
        <x:f>E237/Sources!$B$4*1000</x:f>
        <x:v>39.871547920196555</x:v>
      </x:c>
      <x:c r="N237" s="9" t="n">
        <x:f>Sources!$B$6-K237</x:f>
        <x:v>-29341</x:v>
      </x:c>
    </x:row>
    <x:row r="238" ht="23" customHeight="1">
      <x:c r="A238" s="9" t="n">
        <x:v>237</x:v>
      </x:c>
      <x:c r="B238" s="9" t="n">
        <x:v>431</x:v>
      </x:c>
      <x:c r="C238" s="9" t="n">
        <x:v>1163</x:v>
      </x:c>
      <x:c r="D238" s="9" t="n">
        <x:v>2</x:v>
      </x:c>
      <x:c r="E238" s="9" t="n">
        <x:v>142736</x:v>
      </x:c>
      <x:c r="F238" s="9" t="n">
        <x:v>818</x:v>
      </x:c>
      <x:c r="G238" s="9" t="n">
        <x:v>107365</x:v>
      </x:c>
      <x:c r="H238" s="9" t="n">
        <x:v>34030</x:v>
      </x:c>
      <x:c r="I238" s="9" t="n">
        <x:v>416.9999999925494</x:v>
      </x:c>
      <x:c r="J238" s="9" t="n">
        <x:v>106.00000000745058</x:v>
      </x:c>
      <x:c r="K238" s="9" t="n">
        <x:f>F238+G238+I238+J238</x:f>
        <x:v>108706</x:v>
      </x:c>
      <x:c r="L238" s="10" t="n">
        <x:f>K238/Sources!$B$4*1000</x:f>
        <x:v>30.368664173798624</x:v>
      </x:c>
      <x:c r="M238" s="10" t="n">
        <x:f>E238/Sources!$B$4*1000</x:f>
        <x:v>39.87545903180432</x:v>
      </x:c>
      <x:c r="N238" s="9" t="n">
        <x:f>Sources!$B$6-K238</x:f>
        <x:v>-48970</x:v>
      </x:c>
    </x:row>
    <x:row r="239" ht="23" customHeight="1">
      <x:c r="A239" s="9" t="n">
        <x:v>238</x:v>
      </x:c>
      <x:c r="B239" s="9" t="n">
        <x:v>427</x:v>
      </x:c>
      <x:c r="C239" s="9" t="n">
        <x:v>1163</x:v>
      </x:c>
      <x:c r="D239" s="9" t="n">
        <x:v>2</x:v>
      </x:c>
      <x:c r="E239" s="9" t="n">
        <x:v>71356</x:v>
      </x:c>
      <x:c r="F239" s="9" t="n">
        <x:v>818.0000000074506</x:v>
      </x:c>
      <x:c r="G239" s="9" t="n">
        <x:v>36943</x:v>
      </x:c>
      <x:c r="H239" s="9" t="n">
        <x:v>33079.99999999255</x:v>
      </x:c>
      <x:c r="I239" s="9" t="n">
        <x:v>409.0000000074506</x:v>
      </x:c>
      <x:c r="J239" s="9" t="n">
        <x:v>105.99999999254942</x:v>
      </x:c>
      <x:c r="K239" s="9" t="n">
        <x:f>F239+G239+I239+J239</x:f>
        <x:v>38276.00000000745</x:v>
      </x:c>
      <x:c r="L239" s="10" t="n">
        <x:f>K239/Sources!$B$4*1000</x:f>
        <x:v>10.69297913561848</x:v>
      </x:c>
      <x:c r="M239" s="10" t="n">
        <x:f>E239/Sources!$B$4*1000</x:f>
        <x:v>19.93437713452408</x:v>
      </x:c>
      <x:c r="N239" s="9" t="n">
        <x:f>Sources!$B$6-K239</x:f>
        <x:v>21459.99999999255</x:v>
      </x:c>
    </x:row>
    <x:row r="240" ht="23" customHeight="1">
      <x:c r="A240" s="9" t="n">
        <x:v>239</x:v>
      </x:c>
      <x:c r="B240" s="9" t="n">
        <x:v>425</x:v>
      </x:c>
      <x:c r="C240" s="9" t="n">
        <x:v>1163</x:v>
      </x:c>
      <x:c r="D240" s="9" t="n">
        <x:v>1</x:v>
      </x:c>
      <x:c r="E240" s="9" t="n">
        <x:v>142735.99999999255</x:v>
      </x:c>
      <x:c r="F240" s="9" t="n">
        <x:v>818</x:v>
      </x:c>
      <x:c r="G240" s="9" t="n">
        <x:v>79979.99999999255</x:v>
      </x:c>
      <x:c r="H240" s="9" t="n">
        <x:v>61415</x:v>
      </x:c>
      <x:c r="I240" s="9" t="n">
        <x:v>417</x:v>
      </x:c>
      <x:c r="J240" s="9" t="n">
        <x:v>106</x:v>
      </x:c>
      <x:c r="K240" s="9" t="n">
        <x:f>F240+G240+I240+J240</x:f>
        <x:v>81320.99999999255</x:v>
      </x:c>
      <x:c r="L240" s="10" t="n">
        <x:f>K240/Sources!$B$4*1000</x:f>
        <x:v>22.718250503902745</x:v>
      </x:c>
      <x:c r="M240" s="10" t="n">
        <x:f>E240/Sources!$B$4*1000</x:f>
        <x:v>39.875459031802244</x:v>
      </x:c>
      <x:c r="N240" s="9" t="n">
        <x:f>Sources!$B$6-K240</x:f>
        <x:v>-21584.99999999255</x:v>
      </x:c>
    </x:row>
    <x:row r="241" ht="23" customHeight="1">
      <x:c r="A241" s="9" t="n">
        <x:v>240</x:v>
      </x:c>
      <x:c r="B241" s="9" t="n">
        <x:v>421</x:v>
      </x:c>
      <x:c r="C241" s="9" t="n">
        <x:v>1163</x:v>
      </x:c>
      <x:c r="D241" s="9" t="n">
        <x:v>2</x:v>
      </x:c>
      <x:c r="E241" s="9" t="n">
        <x:v>142721.00000000745</x:v>
      </x:c>
      <x:c r="F241" s="9" t="n">
        <x:v>818.0000000074506</x:v>
      </x:c>
      <x:c r="G241" s="9" t="n">
        <x:v>101657.99999999255</x:v>
      </x:c>
      <x:c r="H241" s="9" t="n">
        <x:v>39730.00000000745</x:v>
      </x:c>
      <x:c r="I241" s="9" t="n">
        <x:v>409</x:v>
      </x:c>
      <x:c r="J241" s="9" t="n">
        <x:v>106</x:v>
      </x:c>
      <x:c r="K241" s="9" t="n">
        <x:f>F241+G241+I241+J241</x:f>
        <x:v>102991</x:v>
      </x:c>
      <x:c r="L241" s="10" t="n">
        <x:f>K241/Sources!$B$4*1000</x:f>
        <x:v>28.772092542487943</x:v>
      </x:c>
      <x:c r="M241" s="10" t="n">
        <x:f>E241/Sources!$B$4*1000</x:f>
        <x:v>39.8712685550838</x:v>
      </x:c>
      <x:c r="N241" s="9" t="n">
        <x:f>Sources!$B$6-K241</x:f>
        <x:v>-43255</x:v>
      </x:c>
    </x:row>
    <x:row r="242" ht="23" customHeight="1">
      <x:c r="A242" s="9" t="n">
        <x:v>241</x:v>
      </x:c>
      <x:c r="B242" s="9" t="n">
        <x:v>417</x:v>
      </x:c>
      <x:c r="C242" s="9" t="n">
        <x:v>1163</x:v>
      </x:c>
      <x:c r="D242" s="9" t="n">
        <x:v>2</x:v>
      </x:c>
      <x:c r="E242" s="9" t="n">
        <x:v>71372</x:v>
      </x:c>
      <x:c r="F242" s="9" t="n">
        <x:v>818</x:v>
      </x:c>
      <x:c r="G242" s="9" t="n">
        <x:v>37096</x:v>
      </x:c>
      <x:c r="H242" s="9" t="n">
        <x:v>32935</x:v>
      </x:c>
      <x:c r="I242" s="9" t="n">
        <x:v>417</x:v>
      </x:c>
      <x:c r="J242" s="9" t="n">
        <x:v>106</x:v>
      </x:c>
      <x:c r="K242" s="9" t="n">
        <x:f>F242+G242+I242+J242</x:f>
        <x:v>38437</x:v>
      </x:c>
      <x:c r="L242" s="10" t="n">
        <x:f>K242/Sources!$B$4*1000</x:f>
        <x:v>10.73795691910564</x:v>
      </x:c>
      <x:c r="M242" s="10" t="n">
        <x:f>E242/Sources!$B$4*1000</x:f>
        <x:v>19.93884697636152</x:v>
      </x:c>
      <x:c r="N242" s="9" t="n">
        <x:f>Sources!$B$6-K242</x:f>
        <x:v>21299</x:v>
      </x:c>
    </x:row>
    <x:row r="243" ht="23" customHeight="1">
      <x:c r="A243" s="9" t="n">
        <x:v>242</x:v>
      </x:c>
      <x:c r="B243" s="9" t="n">
        <x:v>415</x:v>
      </x:c>
      <x:c r="C243" s="9" t="n">
        <x:v>1163</x:v>
      </x:c>
      <x:c r="D243" s="9" t="n">
        <x:v>1</x:v>
      </x:c>
      <x:c r="E243" s="9" t="n">
        <x:v>142717</x:v>
      </x:c>
      <x:c r="F243" s="9" t="n">
        <x:v>818</x:v>
      </x:c>
      <x:c r="G243" s="9" t="n">
        <x:v>107154</x:v>
      </x:c>
      <x:c r="H243" s="9" t="n">
        <x:v>34230</x:v>
      </x:c>
      <x:c r="I243" s="9" t="n">
        <x:v>409</x:v>
      </x:c>
      <x:c r="J243" s="9" t="n">
        <x:v>106</x:v>
      </x:c>
      <x:c r="K243" s="9" t="n">
        <x:f>F243+G243+I243+J243</x:f>
        <x:v>108487</x:v>
      </x:c>
      <x:c r="L243" s="10" t="n">
        <x:f>K243/Sources!$B$4*1000</x:f>
        <x:v>30.30748321364866</x:v>
      </x:c>
      <x:c r="M243" s="10" t="n">
        <x:f>E243/Sources!$B$4*1000</x:f>
        <x:v>39.87015109462236</x:v>
      </x:c>
      <x:c r="N243" s="9" t="n">
        <x:f>Sources!$B$6-K243</x:f>
        <x:v>-48751</x:v>
      </x:c>
    </x:row>
    <x:row r="244" ht="23" customHeight="1">
      <x:c r="A244" s="9" t="n">
        <x:v>243</x:v>
      </x:c>
      <x:c r="B244" s="9" t="n">
        <x:v>411</x:v>
      </x:c>
      <x:c r="C244" s="9" t="n">
        <x:v>1163</x:v>
      </x:c>
      <x:c r="D244" s="9" t="n">
        <x:v>2</x:v>
      </x:c>
      <x:c r="E244" s="9" t="n">
        <x:v>142736</x:v>
      </x:c>
      <x:c r="F244" s="9" t="n">
        <x:v>817.9999999925494</x:v>
      </x:c>
      <x:c r="G244" s="9" t="n">
        <x:v>87955</x:v>
      </x:c>
      <x:c r="H244" s="9" t="n">
        <x:v>53439.99999999255</x:v>
      </x:c>
      <x:c r="I244" s="9" t="n">
        <x:v>417</x:v>
      </x:c>
      <x:c r="J244" s="9" t="n">
        <x:v>106.00000001490116</x:v>
      </x:c>
      <x:c r="K244" s="9" t="n">
        <x:f>F244+G244+I244+J244</x:f>
        <x:v>89296.00000000745</x:v>
      </x:c>
      <x:c r="L244" s="10" t="n">
        <x:f>K244/Sources!$B$4*1000</x:f>
        <x:v>24.946187294756022</x:v>
      </x:c>
      <x:c r="M244" s="10" t="n">
        <x:f>E244/Sources!$B$4*1000</x:f>
        <x:v>39.87545903180432</x:v>
      </x:c>
      <x:c r="N244" s="9" t="n">
        <x:f>Sources!$B$6-K244</x:f>
        <x:v>-29560.00000000745</x:v>
      </x:c>
    </x:row>
    <x:row r="245" ht="23" customHeight="1">
      <x:c r="A245" s="9" t="n">
        <x:v>244</x:v>
      </x:c>
      <x:c r="B245" s="9" t="n">
        <x:v>407</x:v>
      </x:c>
      <x:c r="C245" s="9" t="n">
        <x:v>1163</x:v>
      </x:c>
      <x:c r="D245" s="9" t="n">
        <x:v>2</x:v>
      </x:c>
      <x:c r="E245" s="9" t="n">
        <x:v>71356</x:v>
      </x:c>
      <x:c r="F245" s="9" t="n">
        <x:v>818</x:v>
      </x:c>
      <x:c r="G245" s="9" t="n">
        <x:v>60617.99999999255</x:v>
      </x:c>
      <x:c r="H245" s="9" t="n">
        <x:v>9405.00000000745</x:v>
      </x:c>
      <x:c r="I245" s="9" t="n">
        <x:v>409</x:v>
      </x:c>
      <x:c r="J245" s="9" t="n">
        <x:v>106</x:v>
      </x:c>
      <x:c r="K245" s="9" t="n">
        <x:f>F245+G245+I245+J245</x:f>
        <x:v>61950.99999999255</x:v>
      </x:c>
      <x:c r="L245" s="10" t="n">
        <x:f>K245/Sources!$B$4*1000</x:f>
        <x:v>17.306948229451663</x:v>
      </x:c>
      <x:c r="M245" s="10" t="n">
        <x:f>E245/Sources!$B$4*1000</x:f>
        <x:v>19.93437713452408</x:v>
      </x:c>
      <x:c r="N245" s="9" t="n">
        <x:f>Sources!$B$6-K245</x:f>
        <x:v>-2214.9999999925494</x:v>
      </x:c>
    </x:row>
    <x:row r="246" ht="23" customHeight="1">
      <x:c r="A246" s="9" t="n">
        <x:v>245</x:v>
      </x:c>
      <x:c r="B246" s="9" t="n">
        <x:v>405</x:v>
      </x:c>
      <x:c r="C246" s="9" t="n">
        <x:v>1163</x:v>
      </x:c>
      <x:c r="D246" s="9" t="n">
        <x:v>1</x:v>
      </x:c>
      <x:c r="E246" s="9" t="n">
        <x:v>142737.99999999255</x:v>
      </x:c>
      <x:c r="F246" s="9" t="n">
        <x:v>818</x:v>
      </x:c>
      <x:c r="G246" s="9" t="n">
        <x:v>78231.99999999255</x:v>
      </x:c>
      <x:c r="H246" s="9" t="n">
        <x:v>63165.00000000745</x:v>
      </x:c>
      <x:c r="I246" s="9" t="n">
        <x:v>417</x:v>
      </x:c>
      <x:c r="J246" s="9" t="n">
        <x:v>105.99999999254942</x:v>
      </x:c>
      <x:c r="K246" s="9" t="n">
        <x:f>F246+G246+I246+J246</x:f>
        <x:v>79572.9999999851</x:v>
      </x:c>
      <x:c r="L246" s="10" t="n">
        <x:f>K246/Sources!$B$4*1000</x:f>
        <x:v>22.229920283160318</x:v>
      </x:c>
      <x:c r="M246" s="10" t="n">
        <x:f>E246/Sources!$B$4*1000</x:f>
        <x:v>39.87601776203192</x:v>
      </x:c>
      <x:c r="N246" s="9" t="n">
        <x:f>Sources!$B$6-K246</x:f>
        <x:v>-19836.9999999851</x:v>
      </x:c>
    </x:row>
    <x:row r="247" ht="23" customHeight="1">
      <x:c r="A247" s="9" t="n">
        <x:v>246</x:v>
      </x:c>
      <x:c r="B247" s="9" t="n">
        <x:v>401</x:v>
      </x:c>
      <x:c r="C247" s="9" t="n">
        <x:v>1163</x:v>
      </x:c>
      <x:c r="D247" s="9" t="n">
        <x:v>2</x:v>
      </x:c>
      <x:c r="E247" s="9" t="n">
        <x:v>142720.00000000745</x:v>
      </x:c>
      <x:c r="F247" s="9" t="n">
        <x:v>818</x:v>
      </x:c>
      <x:c r="G247" s="9" t="n">
        <x:v>80052</x:v>
      </x:c>
      <x:c r="H247" s="9" t="n">
        <x:v>61335</x:v>
      </x:c>
      <x:c r="I247" s="9" t="n">
        <x:v>409.0000000074506</x:v>
      </x:c>
      <x:c r="J247" s="9" t="n">
        <x:v>106</x:v>
      </x:c>
      <x:c r="K247" s="9" t="n">
        <x:f>F247+G247+I247+J247</x:f>
        <x:v>81385.00000000745</x:v>
      </x:c>
      <x:c r="L247" s="10" t="n">
        <x:f>K247/Sources!$B$4*1000</x:f>
        <x:v>22.73612987125667</x:v>
      </x:c>
      <x:c r="M247" s="10" t="n">
        <x:f>E247/Sources!$B$4*1000</x:f>
        <x:v>39.87098918996896</x:v>
      </x:c>
      <x:c r="N247" s="9" t="n">
        <x:f>Sources!$B$6-K247</x:f>
        <x:v>-21649.00000000745</x:v>
      </x:c>
    </x:row>
    <x:row r="248" ht="23" customHeight="1">
      <x:c r="A248" s="9" t="n">
        <x:v>247</x:v>
      </x:c>
      <x:c r="B248" s="9" t="n">
        <x:v>397</x:v>
      </x:c>
      <x:c r="C248" s="9" t="n">
        <x:v>1163</x:v>
      </x:c>
      <x:c r="D248" s="9" t="n">
        <x:v>2</x:v>
      </x:c>
      <x:c r="E248" s="9" t="n">
        <x:v>71372</x:v>
      </x:c>
      <x:c r="F248" s="9" t="n">
        <x:v>818</x:v>
      </x:c>
      <x:c r="G248" s="9" t="n">
        <x:v>60761</x:v>
      </x:c>
      <x:c r="H248" s="9" t="n">
        <x:v>9270</x:v>
      </x:c>
      <x:c r="I248" s="9" t="n">
        <x:v>417</x:v>
      </x:c>
      <x:c r="J248" s="9" t="n">
        <x:v>106</x:v>
      </x:c>
      <x:c r="K248" s="9" t="n">
        <x:f>F248+G248+I248+J248</x:f>
        <x:v>62102</x:v>
      </x:c>
      <x:c r="L248" s="10" t="n">
        <x:f>K248/Sources!$B$4*1000</x:f>
        <x:v>17.349132361794588</x:v>
      </x:c>
      <x:c r="M248" s="10" t="n">
        <x:f>E248/Sources!$B$4*1000</x:f>
        <x:v>19.93884697636152</x:v>
      </x:c>
      <x:c r="N248" s="9" t="n">
        <x:f>Sources!$B$6-K248</x:f>
        <x:v>-2366</x:v>
      </x:c>
    </x:row>
    <x:row r="249" ht="23" customHeight="1">
      <x:c r="A249" s="9" t="n">
        <x:v>248</x:v>
      </x:c>
      <x:c r="B249" s="9" t="n">
        <x:v>395</x:v>
      </x:c>
      <x:c r="C249" s="9" t="n">
        <x:v>1163</x:v>
      </x:c>
      <x:c r="D249" s="9" t="n">
        <x:v>1</x:v>
      </x:c>
      <x:c r="E249" s="9" t="n">
        <x:v>142718</x:v>
      </x:c>
      <x:c r="F249" s="9" t="n">
        <x:v>817.9999999925494</x:v>
      </x:c>
      <x:c r="G249" s="9" t="n">
        <x:v>87725.00000000745</x:v>
      </x:c>
      <x:c r="H249" s="9" t="n">
        <x:v>53660</x:v>
      </x:c>
      <x:c r="I249" s="9" t="n">
        <x:v>409</x:v>
      </x:c>
      <x:c r="J249" s="9" t="n">
        <x:v>106</x:v>
      </x:c>
      <x:c r="K249" s="9" t="n">
        <x:f>F249+G249+I249+J249</x:f>
        <x:v>89058</x:v>
      </x:c>
      <x:c r="L249" s="10" t="n">
        <x:f>K249/Sources!$B$4*1000</x:f>
        <x:v>24.87969839742202</x:v>
      </x:c>
      <x:c r="M249" s="10" t="n">
        <x:f>E249/Sources!$B$4*1000</x:f>
        <x:v>39.8704304597372</x:v>
      </x:c>
      <x:c r="N249" s="9" t="n">
        <x:f>Sources!$B$6-K249</x:f>
        <x:v>-29322</x:v>
      </x:c>
    </x:row>
    <x:row r="250" ht="23" customHeight="1">
      <x:c r="A250" s="9" t="n">
        <x:v>249</x:v>
      </x:c>
      <x:c r="B250" s="9" t="n">
        <x:v>391</x:v>
      </x:c>
      <x:c r="C250" s="9" t="n">
        <x:v>1163</x:v>
      </x:c>
      <x:c r="D250" s="9" t="n">
        <x:v>2</x:v>
      </x:c>
      <x:c r="E250" s="9" t="n">
        <x:v>142737</x:v>
      </x:c>
      <x:c r="F250" s="9" t="n">
        <x:v>818</x:v>
      </x:c>
      <x:c r="G250" s="9" t="n">
        <x:v>107346</x:v>
      </x:c>
      <x:c r="H250" s="9" t="n">
        <x:v>34050</x:v>
      </x:c>
      <x:c r="I250" s="9" t="n">
        <x:v>417</x:v>
      </x:c>
      <x:c r="J250" s="9" t="n">
        <x:v>106</x:v>
      </x:c>
      <x:c r="K250" s="9" t="n">
        <x:f>F250+G250+I250+J250</x:f>
        <x:v>108687</x:v>
      </x:c>
      <x:c r="L250" s="10" t="n">
        <x:f>K250/Sources!$B$4*1000</x:f>
        <x:v>30.363356236616664</x:v>
      </x:c>
      <x:c r="M250" s="10" t="n">
        <x:f>E250/Sources!$B$4*1000</x:f>
        <x:v>39.87573839691916</x:v>
      </x:c>
      <x:c r="N250" s="9" t="n">
        <x:f>Sources!$B$6-K250</x:f>
        <x:v>-48951</x:v>
      </x:c>
    </x:row>
    <x:row r="251" ht="23" customHeight="1">
      <x:c r="A251" s="9" t="n">
        <x:v>250</x:v>
      </x:c>
      <x:c r="B251" s="9" t="n">
        <x:v>387</x:v>
      </x:c>
      <x:c r="C251" s="9" t="n">
        <x:v>1163</x:v>
      </x:c>
      <x:c r="D251" s="9" t="n">
        <x:v>2</x:v>
      </x:c>
      <x:c r="E251" s="9" t="n">
        <x:v>71357</x:v>
      </x:c>
      <x:c r="F251" s="9" t="n">
        <x:v>818</x:v>
      </x:c>
      <x:c r="G251" s="9" t="n">
        <x:v>36924</x:v>
      </x:c>
      <x:c r="H251" s="9" t="n">
        <x:v>33100</x:v>
      </x:c>
      <x:c r="I251" s="9" t="n">
        <x:v>408.9999999925494</x:v>
      </x:c>
      <x:c r="J251" s="9" t="n">
        <x:v>106.00000000745058</x:v>
      </x:c>
      <x:c r="K251" s="9" t="n">
        <x:f>F251+G251+I251+J251</x:f>
        <x:v>38257</x:v>
      </x:c>
      <x:c r="L251" s="10" t="n">
        <x:f>K251/Sources!$B$4*1000</x:f>
        <x:v>10.687671198434439</x:v>
      </x:c>
      <x:c r="M251" s="10" t="n">
        <x:f>E251/Sources!$B$4*1000</x:f>
        <x:v>19.93465649963892</x:v>
      </x:c>
      <x:c r="N251" s="9" t="n">
        <x:f>Sources!$B$6-K251</x:f>
        <x:v>21479</x:v>
      </x:c>
    </x:row>
    <x:row r="252" ht="23" customHeight="1">
      <x:c r="A252" s="9" t="n">
        <x:v>251</x:v>
      </x:c>
      <x:c r="B252" s="9" t="n">
        <x:v>385</x:v>
      </x:c>
      <x:c r="C252" s="9" t="n">
        <x:v>1163</x:v>
      </x:c>
      <x:c r="D252" s="9" t="n">
        <x:v>1</x:v>
      </x:c>
      <x:c r="E252" s="9" t="n">
        <x:v>142733.99999999255</x:v>
      </x:c>
      <x:c r="F252" s="9" t="n">
        <x:v>818</x:v>
      </x:c>
      <x:c r="G252" s="9" t="n">
        <x:v>80103</x:v>
      </x:c>
      <x:c r="H252" s="9" t="n">
        <x:v>61290</x:v>
      </x:c>
      <x:c r="I252" s="9" t="n">
        <x:v>416.9999999925494</x:v>
      </x:c>
      <x:c r="J252" s="9" t="n">
        <x:v>106</x:v>
      </x:c>
      <x:c r="K252" s="9" t="n">
        <x:f>F252+G252+I252+J252</x:f>
        <x:v>81443.99999999255</x:v>
      </x:c>
      <x:c r="L252" s="10" t="n">
        <x:f>K252/Sources!$B$4*1000</x:f>
        <x:v>22.752612413028064</x:v>
      </x:c>
      <x:c r="M252" s="10" t="n">
        <x:f>E252/Sources!$B$4*1000</x:f>
        <x:v>39.874900301572566</x:v>
      </x:c>
      <x:c r="N252" s="9" t="n">
        <x:f>Sources!$B$6-K252</x:f>
        <x:v>-21707.99999999255</x:v>
      </x:c>
    </x:row>
    <x:row r="253" ht="23" customHeight="1">
      <x:c r="A253" s="9" t="n">
        <x:v>252</x:v>
      </x:c>
      <x:c r="B253" s="9" t="n">
        <x:v>381</x:v>
      </x:c>
      <x:c r="C253" s="9" t="n">
        <x:v>1163</x:v>
      </x:c>
      <x:c r="D253" s="9" t="n">
        <x:v>2</x:v>
      </x:c>
      <x:c r="E253" s="9" t="n">
        <x:v>142722.00000000745</x:v>
      </x:c>
      <x:c r="F253" s="9" t="n">
        <x:v>818.0000000074506</x:v>
      </x:c>
      <x:c r="G253" s="9" t="n">
        <x:v>101639</x:v>
      </x:c>
      <x:c r="H253" s="9" t="n">
        <x:v>39749.99999999255</x:v>
      </x:c>
      <x:c r="I253" s="9" t="n">
        <x:v>409.0000000074506</x:v>
      </x:c>
      <x:c r="J253" s="9" t="n">
        <x:v>106</x:v>
      </x:c>
      <x:c r="K253" s="9" t="n">
        <x:f>F253+G253+I253+J253</x:f>
        <x:v>102972.0000000149</x:v>
      </x:c>
      <x:c r="L253" s="10" t="n">
        <x:f>K253/Sources!$B$4*1000</x:f>
        <x:v>28.766784605310146</x:v>
      </x:c>
      <x:c r="M253" s="10" t="n">
        <x:f>E253/Sources!$B$4*1000</x:f>
        <x:v>39.87154792019864</x:v>
      </x:c>
      <x:c r="N253" s="9" t="n">
        <x:f>Sources!$B$6-K253</x:f>
        <x:v>-43236.0000000149</x:v>
      </x:c>
    </x:row>
    <x:row r="254" ht="23" customHeight="1">
      <x:c r="A254" s="9" t="n">
        <x:v>253</x:v>
      </x:c>
      <x:c r="B254" s="9" t="n">
        <x:v>377</x:v>
      </x:c>
      <x:c r="C254" s="9" t="n">
        <x:v>1163</x:v>
      </x:c>
      <x:c r="D254" s="9" t="n">
        <x:v>2</x:v>
      </x:c>
      <x:c r="E254" s="9" t="n">
        <x:v>71369.99999999255</x:v>
      </x:c>
      <x:c r="F254" s="9" t="n">
        <x:v>818</x:v>
      </x:c>
      <x:c r="G254" s="9" t="n">
        <x:v>37219</x:v>
      </x:c>
      <x:c r="H254" s="9" t="n">
        <x:v>32810.00000000745</x:v>
      </x:c>
      <x:c r="I254" s="9" t="n">
        <x:v>417</x:v>
      </x:c>
      <x:c r="J254" s="9" t="n">
        <x:v>105.99999998509884</x:v>
      </x:c>
      <x:c r="K254" s="9" t="n">
        <x:f>F254+G254+I254+J254</x:f>
        <x:v>38559.9999999851</x:v>
      </x:c>
      <x:c r="L254" s="10" t="n">
        <x:f>K254/Sources!$B$4*1000</x:f>
        <x:v>10.7723188282268</x:v>
      </x:c>
      <x:c r="M254" s="10" t="n">
        <x:f>E254/Sources!$B$4*1000</x:f>
        <x:v>19.938288246129762</x:v>
      </x:c>
      <x:c r="N254" s="9" t="n">
        <x:f>Sources!$B$6-K254</x:f>
        <x:v>21176.0000000149</x:v>
      </x:c>
    </x:row>
    <x:row r="255" ht="23" customHeight="1">
      <x:c r="A255" s="9" t="n">
        <x:v>254</x:v>
      </x:c>
      <x:c r="B255" s="9" t="n">
        <x:v>375</x:v>
      </x:c>
      <x:c r="C255" s="9" t="n">
        <x:v>1163</x:v>
      </x:c>
      <x:c r="D255" s="9" t="n">
        <x:v>1</x:v>
      </x:c>
      <x:c r="E255" s="9" t="n">
        <x:v>142724</x:v>
      </x:c>
      <x:c r="F255" s="9" t="n">
        <x:v>818.0000000074506</x:v>
      </x:c>
      <x:c r="G255" s="9" t="n">
        <x:v>107116</x:v>
      </x:c>
      <x:c r="H255" s="9" t="n">
        <x:v>34275</x:v>
      </x:c>
      <x:c r="I255" s="9" t="n">
        <x:v>409</x:v>
      </x:c>
      <x:c r="J255" s="9" t="n">
        <x:v>105.99999999254942</x:v>
      </x:c>
      <x:c r="K255" s="9" t="n">
        <x:f>F255+G255+I255+J255</x:f>
        <x:v>108449</x:v>
      </x:c>
      <x:c r="L255" s="10" t="n">
        <x:f>K255/Sources!$B$4*1000</x:f>
        <x:v>30.29686733928474</x:v>
      </x:c>
      <x:c r="M255" s="10" t="n">
        <x:f>E255/Sources!$B$4*1000</x:f>
        <x:v>39.87210665042624</x:v>
      </x:c>
      <x:c r="N255" s="9" t="n">
        <x:f>Sources!$B$6-K255</x:f>
        <x:v>-48713</x:v>
      </x:c>
    </x:row>
    <x:row r="256" ht="23" customHeight="1">
      <x:c r="A256" s="9" t="n">
        <x:v>255</x:v>
      </x:c>
      <x:c r="B256" s="9" t="n">
        <x:v>371</x:v>
      </x:c>
      <x:c r="C256" s="9" t="n">
        <x:v>1163</x:v>
      </x:c>
      <x:c r="D256" s="9" t="n">
        <x:v>2</x:v>
      </x:c>
      <x:c r="E256" s="9" t="n">
        <x:v>142733.00000000745</x:v>
      </x:c>
      <x:c r="F256" s="9" t="n">
        <x:v>818.0000000074506</x:v>
      </x:c>
      <x:c r="G256" s="9" t="n">
        <x:v>87927</x:v>
      </x:c>
      <x:c r="H256" s="9" t="n">
        <x:v>53465</x:v>
      </x:c>
      <x:c r="I256" s="9" t="n">
        <x:v>417.0000000074506</x:v>
      </x:c>
      <x:c r="J256" s="9" t="n">
        <x:v>105.99999999254942</x:v>
      </x:c>
      <x:c r="K256" s="9" t="n">
        <x:f>F256+G256+I256+J256</x:f>
        <x:v>89268.00000000745</x:v>
      </x:c>
      <x:c r="L256" s="10" t="n">
        <x:f>K256/Sources!$B$4*1000</x:f>
        <x:v>24.938365071540503</x:v>
      </x:c>
      <x:c r="M256" s="10" t="n">
        <x:f>E256/Sources!$B$4*1000</x:f>
        <x:v>39.87462093646188</x:v>
      </x:c>
      <x:c r="N256" s="9" t="n">
        <x:f>Sources!$B$6-K256</x:f>
        <x:v>-29532.00000000745</x:v>
      </x:c>
    </x:row>
    <x:row r="257" ht="23" customHeight="1">
      <x:c r="A257" s="9" t="n">
        <x:v>256</x:v>
      </x:c>
      <x:c r="B257" s="9" t="n">
        <x:v>367</x:v>
      </x:c>
      <x:c r="C257" s="9" t="n">
        <x:v>1163</x:v>
      </x:c>
      <x:c r="D257" s="9" t="n">
        <x:v>2</x:v>
      </x:c>
      <x:c r="E257" s="9" t="n">
        <x:v>71356.99999999255</x:v>
      </x:c>
      <x:c r="F257" s="9" t="n">
        <x:v>818</x:v>
      </x:c>
      <x:c r="G257" s="9" t="n">
        <x:v>60598.99999999255</x:v>
      </x:c>
      <x:c r="H257" s="9" t="n">
        <x:v>9425.00000000745</x:v>
      </x:c>
      <x:c r="I257" s="9" t="n">
        <x:v>408.9999999925494</x:v>
      </x:c>
      <x:c r="J257" s="9" t="n">
        <x:v>106</x:v>
      </x:c>
      <x:c r="K257" s="9" t="n">
        <x:f>F257+G257+I257+J257</x:f>
        <x:v>61931.9999999851</x:v>
      </x:c>
      <x:c r="L257" s="10" t="n">
        <x:f>K257/Sources!$B$4*1000</x:f>
        <x:v>17.30164029226762</x:v>
      </x:c>
      <x:c r="M257" s="10" t="n">
        <x:f>E257/Sources!$B$4*1000</x:f>
        <x:v>19.93465649963684</x:v>
      </x:c>
      <x:c r="N257" s="9" t="n">
        <x:f>Sources!$B$6-K257</x:f>
        <x:v>-2195.999999985099</x:v>
      </x:c>
    </x:row>
    <x:row r="258" ht="23" customHeight="1">
      <x:c r="A258" s="9" t="n">
        <x:v>257</x:v>
      </x:c>
      <x:c r="B258" s="9" t="n">
        <x:v>365</x:v>
      </x:c>
      <x:c r="C258" s="9" t="n">
        <x:v>1163</x:v>
      </x:c>
      <x:c r="D258" s="9" t="n">
        <x:v>1</x:v>
      </x:c>
      <x:c r="E258" s="9" t="n">
        <x:v>142734</x:v>
      </x:c>
      <x:c r="F258" s="9" t="n">
        <x:v>818.0000000074506</x:v>
      </x:c>
      <x:c r="G258" s="9" t="n">
        <x:v>78213</x:v>
      </x:c>
      <x:c r="H258" s="9" t="n">
        <x:v>63180</x:v>
      </x:c>
      <x:c r="I258" s="9" t="n">
        <x:v>417</x:v>
      </x:c>
      <x:c r="J258" s="9" t="n">
        <x:v>105.99999999254942</x:v>
      </x:c>
      <x:c r="K258" s="9" t="n">
        <x:f>F258+G258+I258+J258</x:f>
        <x:v>79554</x:v>
      </x:c>
      <x:c r="L258" s="10" t="n">
        <x:f>K258/Sources!$B$4*1000</x:f>
        <x:v>22.22461234598252</x:v>
      </x:c>
      <x:c r="M258" s="10" t="n">
        <x:f>E258/Sources!$B$4*1000</x:f>
        <x:v>39.87490030157464</x:v>
      </x:c>
      <x:c r="N258" s="9" t="n">
        <x:f>Sources!$B$6-K258</x:f>
        <x:v>-19818</x:v>
      </x:c>
    </x:row>
    <x:row r="259" ht="23" customHeight="1">
      <x:c r="A259" s="9" t="n">
        <x:v>258</x:v>
      </x:c>
      <x:c r="B259" s="9" t="n">
        <x:v>361</x:v>
      </x:c>
      <x:c r="C259" s="9" t="n">
        <x:v>1163</x:v>
      </x:c>
      <x:c r="D259" s="9" t="n">
        <x:v>2</x:v>
      </x:c>
      <x:c r="E259" s="9" t="n">
        <x:v>142721.00000000745</x:v>
      </x:c>
      <x:c r="F259" s="9" t="n">
        <x:v>818.0000000074506</x:v>
      </x:c>
      <x:c r="G259" s="9" t="n">
        <x:v>80032.99999999255</x:v>
      </x:c>
      <x:c r="H259" s="9" t="n">
        <x:v>61355.00000000745</x:v>
      </x:c>
      <x:c r="I259" s="9" t="n">
        <x:v>409</x:v>
      </x:c>
      <x:c r="J259" s="9" t="n">
        <x:v>106</x:v>
      </x:c>
      <x:c r="K259" s="9" t="n">
        <x:f>F259+G259+I259+J259</x:f>
        <x:v>81366</x:v>
      </x:c>
      <x:c r="L259" s="10" t="n">
        <x:f>K259/Sources!$B$4*1000</x:f>
        <x:v>22.730821934072626</x:v>
      </x:c>
      <x:c r="M259" s="10" t="n">
        <x:f>E259/Sources!$B$4*1000</x:f>
        <x:v>39.8712685550838</x:v>
      </x:c>
      <x:c r="N259" s="9" t="n">
        <x:f>Sources!$B$6-K259</x:f>
        <x:v>-21630</x:v>
      </x:c>
    </x:row>
    <x:row r="260" ht="23" customHeight="1">
      <x:c r="A260" s="9" t="n">
        <x:v>259</x:v>
      </x:c>
      <x:c r="B260" s="9" t="n">
        <x:v>357</x:v>
      </x:c>
      <x:c r="C260" s="9" t="n">
        <x:v>1163</x:v>
      </x:c>
      <x:c r="D260" s="9" t="n">
        <x:v>2</x:v>
      </x:c>
      <x:c r="E260" s="9" t="n">
        <x:v>71373</x:v>
      </x:c>
      <x:c r="F260" s="9" t="n">
        <x:v>818</x:v>
      </x:c>
      <x:c r="G260" s="9" t="n">
        <x:v>60742</x:v>
      </x:c>
      <x:c r="H260" s="9" t="n">
        <x:v>9290</x:v>
      </x:c>
      <x:c r="I260" s="9" t="n">
        <x:v>417</x:v>
      </x:c>
      <x:c r="J260" s="9" t="n">
        <x:v>106</x:v>
      </x:c>
      <x:c r="K260" s="9" t="n">
        <x:f>F260+G260+I260+J260</x:f>
        <x:v>62083</x:v>
      </x:c>
      <x:c r="L260" s="10" t="n">
        <x:f>K260/Sources!$B$4*1000</x:f>
        <x:v>17.343824424612627</x:v>
      </x:c>
      <x:c r="M260" s="10" t="n">
        <x:f>E260/Sources!$B$4*1000</x:f>
        <x:v>19.939126341476364</x:v>
      </x:c>
      <x:c r="N260" s="9" t="n">
        <x:f>Sources!$B$6-K260</x:f>
        <x:v>-2347</x:v>
      </x:c>
    </x:row>
    <x:row r="261" ht="23" customHeight="1">
      <x:c r="A261" s="9" t="n">
        <x:v>260</x:v>
      </x:c>
      <x:c r="B261" s="9" t="n">
        <x:v>357</x:v>
      </x:c>
      <x:c r="C261" s="9" t="n">
        <x:v>1161</x:v>
      </x:c>
      <x:c r="D261" s="9" t="n">
        <x:v>1</x:v>
      </x:c>
      <x:c r="E261" s="9" t="n">
        <x:v>142721</x:v>
      </x:c>
      <x:c r="F261" s="9" t="n">
        <x:v>817.9999999925494</x:v>
      </x:c>
      <x:c r="G261" s="9" t="n">
        <x:v>85058</x:v>
      </x:c>
      <x:c r="H261" s="9" t="n">
        <x:v>56330.00000000745</x:v>
      </x:c>
      <x:c r="I261" s="9" t="n">
        <x:v>409</x:v>
      </x:c>
      <x:c r="J261" s="9" t="n">
        <x:v>106</x:v>
      </x:c>
      <x:c r="K261" s="9" t="n">
        <x:f>F261+G261+I261+J261</x:f>
        <x:v>86390.99999999255</x:v>
      </x:c>
      <x:c r="L261" s="10" t="n">
        <x:f>K261/Sources!$B$4*1000</x:f>
        <x:v>24.13463163614162</x:v>
      </x:c>
      <x:c r="M261" s="10" t="n">
        <x:f>E261/Sources!$B$4*1000</x:f>
        <x:v>39.87126855508172</x:v>
      </x:c>
      <x:c r="N261" s="9" t="n">
        <x:f>Sources!$B$6-K261</x:f>
        <x:v>-26654.99999999255</x:v>
      </x:c>
    </x:row>
    <x:row r="262" ht="23" customHeight="1">
      <x:c r="A262" s="9" t="n">
        <x:v>261</x:v>
      </x:c>
      <x:c r="B262" s="9" t="n">
        <x:v>357</x:v>
      </x:c>
      <x:c r="C262" s="9" t="n">
        <x:v>1157</x:v>
      </x:c>
      <x:c r="D262" s="9" t="n">
        <x:v>2</x:v>
      </x:c>
      <x:c r="E262" s="9" t="n">
        <x:v>71369</x:v>
      </x:c>
      <x:c r="F262" s="9" t="n">
        <x:v>818</x:v>
      </x:c>
      <x:c r="G262" s="9" t="n">
        <x:v>69708</x:v>
      </x:c>
      <x:c r="H262" s="9" t="n">
        <x:v>320</x:v>
      </x:c>
      <x:c r="I262" s="9" t="n">
        <x:v>417</x:v>
      </x:c>
      <x:c r="J262" s="9" t="n">
        <x:v>106</x:v>
      </x:c>
      <x:c r="K262" s="9" t="n">
        <x:f>F262+G262+I262+J262</x:f>
        <x:v>71049</x:v>
      </x:c>
      <x:c r="L262" s="10" t="n">
        <x:f>K262/Sources!$B$4*1000</x:f>
        <x:v>19.848612044268194</x:v>
      </x:c>
      <x:c r="M262" s="10" t="n">
        <x:f>E262/Sources!$B$4*1000</x:f>
        <x:v>19.938008881016998</x:v>
      </x:c>
      <x:c r="N262" s="9" t="n">
        <x:f>Sources!$B$6-K262</x:f>
        <x:v>-11313</x:v>
      </x:c>
    </x:row>
    <x:row r="263" ht="23" customHeight="1">
      <x:c r="A263" s="9" t="n">
        <x:v>262</x:v>
      </x:c>
      <x:c r="B263" s="9" t="n">
        <x:v>357</x:v>
      </x:c>
      <x:c r="C263" s="9" t="n">
        <x:v>1155</x:v>
      </x:c>
      <x:c r="D263" s="9" t="n">
        <x:v>1</x:v>
      </x:c>
      <x:c r="E263" s="9" t="n">
        <x:v>71360</x:v>
      </x:c>
      <x:c r="F263" s="9" t="n">
        <x:v>817.9999999925494</x:v>
      </x:c>
      <x:c r="G263" s="9" t="n">
        <x:v>55977.00000000745</x:v>
      </x:c>
      <x:c r="H263" s="9" t="n">
        <x:v>14050</x:v>
      </x:c>
      <x:c r="I263" s="9" t="n">
        <x:v>409</x:v>
      </x:c>
      <x:c r="J263" s="9" t="n">
        <x:v>106</x:v>
      </x:c>
      <x:c r="K263" s="9" t="n">
        <x:f>F263+G263+I263+J263</x:f>
        <x:v>57310</x:v>
      </x:c>
      <x:c r="L263" s="10" t="n">
        <x:f>K263/Sources!$B$4*1000</x:f>
        <x:v>16.010414731481237</x:v>
      </x:c>
      <x:c r="M263" s="10" t="n">
        <x:f>E263/Sources!$B$4*1000</x:f>
        <x:v>19.93549459498344</x:v>
      </x:c>
      <x:c r="N263" s="9" t="n">
        <x:f>Sources!$B$6-K263</x:f>
        <x:v>2426</x:v>
      </x:c>
    </x:row>
    <x:row r="264" ht="23" customHeight="1">
      <x:c r="A264" s="9" t="n">
        <x:v>263</x:v>
      </x:c>
      <x:c r="B264" s="9" t="n">
        <x:v>357</x:v>
      </x:c>
      <x:c r="C264" s="9" t="n">
        <x:v>1153</x:v>
      </x:c>
      <x:c r="D264" s="9" t="n">
        <x:v>1</x:v>
      </x:c>
      <x:c r="E264" s="9" t="n">
        <x:v>71372</x:v>
      </x:c>
      <x:c r="F264" s="9" t="n">
        <x:v>818</x:v>
      </x:c>
      <x:c r="G264" s="9" t="n">
        <x:v>49941</x:v>
      </x:c>
      <x:c r="H264" s="9" t="n">
        <x:v>20090</x:v>
      </x:c>
      <x:c r="I264" s="9" t="n">
        <x:v>417</x:v>
      </x:c>
      <x:c r="J264" s="9" t="n">
        <x:v>106</x:v>
      </x:c>
      <x:c r="K264" s="9" t="n">
        <x:f>F264+G264+I264+J264</x:f>
        <x:v>51282</x:v>
      </x:c>
      <x:c r="L264" s="10" t="n">
        <x:f>K264/Sources!$B$4*1000</x:f>
        <x:v>14.326401819225627</x:v>
      </x:c>
      <x:c r="M264" s="10" t="n">
        <x:f>E264/Sources!$B$4*1000</x:f>
        <x:v>19.93884697636152</x:v>
      </x:c>
      <x:c r="N264" s="9" t="n">
        <x:f>Sources!$B$6-K264</x:f>
        <x:v>8454</x:v>
      </x:c>
    </x:row>
    <x:row r="265" ht="23" customHeight="1">
      <x:c r="A265" s="9" t="n">
        <x:v>264</x:v>
      </x:c>
      <x:c r="B265" s="9" t="n">
        <x:v>357</x:v>
      </x:c>
      <x:c r="C265" s="9" t="n">
        <x:v>1151</x:v>
      </x:c>
      <x:c r="D265" s="9" t="n">
        <x:v>1</x:v>
      </x:c>
      <x:c r="E265" s="9" t="n">
        <x:v>142718.99999999255</x:v>
      </x:c>
      <x:c r="F265" s="9" t="n">
        <x:v>818</x:v>
      </x:c>
      <x:c r="G265" s="9" t="n">
        <x:v>71530.99999999255</x:v>
      </x:c>
      <x:c r="H265" s="9" t="n">
        <x:v>69855.00000000745</x:v>
      </x:c>
      <x:c r="I265" s="9" t="n">
        <x:v>409</x:v>
      </x:c>
      <x:c r="J265" s="9" t="n">
        <x:v>105.99999999254942</x:v>
      </x:c>
      <x:c r="K265" s="9" t="n">
        <x:f>F265+G265+I265+J265</x:f>
        <x:v>72863.9999999851</x:v>
      </x:c>
      <x:c r="L265" s="10" t="n">
        <x:f>K265/Sources!$B$4*1000</x:f>
        <x:v>20.35565972769866</x:v>
      </x:c>
      <x:c r="M265" s="10" t="n">
        <x:f>E265/Sources!$B$4*1000</x:f>
        <x:v>39.87070982484995</x:v>
      </x:c>
      <x:c r="N265" s="9" t="n">
        <x:f>Sources!$B$6-K265</x:f>
        <x:v>-13127.999999985099</x:v>
      </x:c>
    </x:row>
    <x:row r="266" ht="23" customHeight="1">
      <x:c r="A266" s="9" t="n">
        <x:v>265</x:v>
      </x:c>
      <x:c r="B266" s="9" t="n">
        <x:v>357</x:v>
      </x:c>
      <x:c r="C266" s="9" t="n">
        <x:v>1147</x:v>
      </x:c>
      <x:c r="D266" s="9" t="n">
        <x:v>2</x:v>
      </x:c>
      <x:c r="E266" s="9" t="n">
        <x:v>71369.00000000745</x:v>
      </x:c>
      <x:c r="F266" s="9" t="n">
        <x:v>818.0000000074506</x:v>
      </x:c>
      <x:c r="G266" s="9" t="n">
        <x:v>56002.99999999255</x:v>
      </x:c>
      <x:c r="H266" s="9" t="n">
        <x:v>14025.00000000745</x:v>
      </x:c>
      <x:c r="I266" s="9" t="n">
        <x:v>416.9999999925494</x:v>
      </x:c>
      <x:c r="J266" s="9" t="n">
        <x:v>106.00000000745058</x:v>
      </x:c>
      <x:c r="K266" s="9" t="n">
        <x:f>F266+G266+I266+J266</x:f>
        <x:v>57344</x:v>
      </x:c>
      <x:c r="L266" s="10" t="n">
        <x:f>K266/Sources!$B$4*1000</x:f>
        <x:v>16.019913145385797</x:v>
      </x:c>
      <x:c r="M266" s="10" t="n">
        <x:f>E266/Sources!$B$4*1000</x:f>
        <x:v>19.93800888101908</x:v>
      </x:c>
      <x:c r="N266" s="9" t="n">
        <x:f>Sources!$B$6-K266</x:f>
        <x:v>2392</x:v>
      </x:c>
    </x:row>
    <x:row r="267" ht="23" customHeight="1">
      <x:c r="A267" s="9" t="n">
        <x:v>266</x:v>
      </x:c>
      <x:c r="B267" s="9" t="n">
        <x:v>357</x:v>
      </x:c>
      <x:c r="C267" s="9" t="n">
        <x:v>1145</x:v>
      </x:c>
      <x:c r="D267" s="9" t="n">
        <x:v>1</x:v>
      </x:c>
      <x:c r="E267" s="9" t="n">
        <x:v>71359.99999999255</x:v>
      </x:c>
      <x:c r="F267" s="9" t="n">
        <x:v>818</x:v>
      </x:c>
      <x:c r="G267" s="9" t="n">
        <x:v>50102</x:v>
      </x:c>
      <x:c r="H267" s="9" t="n">
        <x:v>19925</x:v>
      </x:c>
      <x:c r="I267" s="9" t="n">
        <x:v>409</x:v>
      </x:c>
      <x:c r="J267" s="9" t="n">
        <x:v>105.99999999254942</x:v>
      </x:c>
      <x:c r="K267" s="9" t="n">
        <x:f>F267+G267+I267+J267</x:f>
        <x:v>51434.99999999255</x:v>
      </x:c>
      <x:c r="L267" s="10" t="n">
        <x:f>K267/Sources!$B$4*1000</x:f>
        <x:v>14.369144681794069</x:v>
      </x:c>
      <x:c r="M267" s="10" t="n">
        <x:f>E267/Sources!$B$4*1000</x:f>
        <x:v>19.93549459498136</x:v>
      </x:c>
      <x:c r="N267" s="9" t="n">
        <x:f>Sources!$B$6-K267</x:f>
        <x:v>8301.00000000745</x:v>
      </x:c>
    </x:row>
    <x:row r="268" ht="23" customHeight="1">
      <x:c r="A268" s="9" t="n">
        <x:v>267</x:v>
      </x:c>
      <x:c r="B268" s="9" t="n">
        <x:v>357</x:v>
      </x:c>
      <x:c r="C268" s="9" t="n">
        <x:v>1143</x:v>
      </x:c>
      <x:c r="D268" s="9" t="n">
        <x:v>1</x:v>
      </x:c>
      <x:c r="E268" s="9" t="n">
        <x:v>142733.00000000745</x:v>
      </x:c>
      <x:c r="F268" s="9" t="n">
        <x:v>818.0000000074506</x:v>
      </x:c>
      <x:c r="G268" s="9" t="n">
        <x:v>71557</x:v>
      </x:c>
      <x:c r="H268" s="9" t="n">
        <x:v>69835</x:v>
      </x:c>
      <x:c r="I268" s="9" t="n">
        <x:v>417.0000000074506</x:v>
      </x:c>
      <x:c r="J268" s="9" t="n">
        <x:v>105.99999999254942</x:v>
      </x:c>
      <x:c r="K268" s="9" t="n">
        <x:f>F268+G268+I268+J268</x:f>
        <x:v>72898.00000000745</x:v>
      </x:c>
      <x:c r="L268" s="10" t="n">
        <x:f>K268/Sources!$B$4*1000</x:f>
        <x:v>20.365158141609466</x:v>
      </x:c>
      <x:c r="M268" s="10" t="n">
        <x:f>E268/Sources!$B$4*1000</x:f>
        <x:v>39.87462093646188</x:v>
      </x:c>
      <x:c r="N268" s="9" t="n">
        <x:f>Sources!$B$6-K268</x:f>
        <x:v>-13162.00000000745</x:v>
      </x:c>
    </x:row>
    <x:row r="269" ht="23" customHeight="1">
      <x:c r="A269" s="9" t="n">
        <x:v>268</x:v>
      </x:c>
      <x:c r="B269" s="9" t="n">
        <x:v>357</x:v>
      </x:c>
      <x:c r="C269" s="9" t="n">
        <x:v>1139</x:v>
      </x:c>
      <x:c r="D269" s="9" t="n">
        <x:v>2</x:v>
      </x:c>
      <x:c r="E269" s="9" t="n">
        <x:v>71355</x:v>
      </x:c>
      <x:c r="F269" s="9" t="n">
        <x:v>818</x:v>
      </x:c>
      <x:c r="G269" s="9" t="n">
        <x:v>55977</x:v>
      </x:c>
      <x:c r="H269" s="9" t="n">
        <x:v>14044.99999999255</x:v>
      </x:c>
      <x:c r="I269" s="9" t="n">
        <x:v>409.0000000074506</x:v>
      </x:c>
      <x:c r="J269" s="9" t="n">
        <x:v>106</x:v>
      </x:c>
      <x:c r="K269" s="9" t="n">
        <x:f>F269+G269+I269+J269</x:f>
        <x:v>57310.00000000745</x:v>
      </x:c>
      <x:c r="L269" s="10" t="n">
        <x:f>K269/Sources!$B$4*1000</x:f>
        <x:v>16.010414731483316</x:v>
      </x:c>
      <x:c r="M269" s="10" t="n">
        <x:f>E269/Sources!$B$4*1000</x:f>
        <x:v>19.934097769409238</x:v>
      </x:c>
      <x:c r="N269" s="9" t="n">
        <x:f>Sources!$B$6-K269</x:f>
        <x:v>2425.9999999925494</x:v>
      </x:c>
    </x:row>
    <x:row r="270" ht="23" customHeight="1">
      <x:c r="A270" s="9" t="n">
        <x:v>269</x:v>
      </x:c>
      <x:c r="B270" s="9" t="n">
        <x:v>357</x:v>
      </x:c>
      <x:c r="C270" s="9" t="n">
        <x:v>1137</x:v>
      </x:c>
      <x:c r="D270" s="9" t="n">
        <x:v>1</x:v>
      </x:c>
      <x:c r="E270" s="9" t="n">
        <x:v>71374</x:v>
      </x:c>
      <x:c r="F270" s="9" t="n">
        <x:v>818</x:v>
      </x:c>
      <x:c r="G270" s="9" t="n">
        <x:v>50123</x:v>
      </x:c>
      <x:c r="H270" s="9" t="n">
        <x:v>19909.99999999255</x:v>
      </x:c>
      <x:c r="I270" s="9" t="n">
        <x:v>417.0000000074506</x:v>
      </x:c>
      <x:c r="J270" s="9" t="n">
        <x:v>106</x:v>
      </x:c>
      <x:c r="K270" s="9" t="n">
        <x:f>F270+G270+I270+J270</x:f>
        <x:v>51464.00000000745</x:v>
      </x:c>
      <x:c r="L270" s="10" t="n">
        <x:f>K270/Sources!$B$4*1000</x:f>
        <x:v>14.377246270128591</x:v>
      </x:c>
      <x:c r="M270" s="10" t="n">
        <x:f>E270/Sources!$B$4*1000</x:f>
        <x:v>19.939405706591202</x:v>
      </x:c>
      <x:c r="N270" s="9" t="n">
        <x:f>Sources!$B$6-K270</x:f>
        <x:v>8271.99999999255</x:v>
      </x:c>
    </x:row>
    <x:row r="271" ht="23" customHeight="1">
      <x:c r="A271" s="9" t="n">
        <x:v>270</x:v>
      </x:c>
      <x:c r="B271" s="9" t="n">
        <x:v>357</x:v>
      </x:c>
      <x:c r="C271" s="9" t="n">
        <x:v>1135</x:v>
      </x:c>
      <x:c r="D271" s="9" t="n">
        <x:v>1</x:v>
      </x:c>
      <x:c r="E271" s="9" t="n">
        <x:v>142719</x:v>
      </x:c>
      <x:c r="F271" s="9" t="n">
        <x:v>818</x:v>
      </x:c>
      <x:c r="G271" s="9" t="n">
        <x:v>71531</x:v>
      </x:c>
      <x:c r="H271" s="9" t="n">
        <x:v>69855</x:v>
      </x:c>
      <x:c r="I271" s="9" t="n">
        <x:v>409</x:v>
      </x:c>
      <x:c r="J271" s="9" t="n">
        <x:v>106</x:v>
      </x:c>
      <x:c r="K271" s="9" t="n">
        <x:f>F271+G271+I271+J271</x:f>
        <x:v>72864</x:v>
      </x:c>
      <x:c r="L271" s="10" t="n">
        <x:f>K271/Sources!$B$4*1000</x:f>
        <x:v>20.35565972770282</x:v>
      </x:c>
      <x:c r="M271" s="10" t="n">
        <x:f>E271/Sources!$B$4*1000</x:f>
        <x:v>39.870709824852035</x:v>
      </x:c>
      <x:c r="N271" s="9" t="n">
        <x:f>Sources!$B$6-K271</x:f>
        <x:v>-13128</x:v>
      </x:c>
    </x:row>
    <x:row r="272" ht="23" customHeight="1">
      <x:c r="A272" s="9" t="n">
        <x:v>271</x:v>
      </x:c>
      <x:c r="B272" s="9" t="n">
        <x:v>357</x:v>
      </x:c>
      <x:c r="C272" s="9" t="n">
        <x:v>1131</x:v>
      </x:c>
      <x:c r="D272" s="9" t="n">
        <x:v>2</x:v>
      </x:c>
      <x:c r="E272" s="9" t="n">
        <x:v>71374</x:v>
      </x:c>
      <x:c r="F272" s="9" t="n">
        <x:v>818</x:v>
      </x:c>
      <x:c r="G272" s="9" t="n">
        <x:v>56003</x:v>
      </x:c>
      <x:c r="H272" s="9" t="n">
        <x:v>14030</x:v>
      </x:c>
      <x:c r="I272" s="9" t="n">
        <x:v>417</x:v>
      </x:c>
      <x:c r="J272" s="9" t="n">
        <x:v>106</x:v>
      </x:c>
      <x:c r="K272" s="9" t="n">
        <x:f>F272+G272+I272+J272</x:f>
        <x:v>57344</x:v>
      </x:c>
      <x:c r="L272" s="10" t="n">
        <x:f>K272/Sources!$B$4*1000</x:f>
        <x:v>16.019913145385797</x:v>
      </x:c>
      <x:c r="M272" s="10" t="n">
        <x:f>E272/Sources!$B$4*1000</x:f>
        <x:v>19.939405706591202</x:v>
      </x:c>
      <x:c r="N272" s="9" t="n">
        <x:f>Sources!$B$6-K272</x:f>
        <x:v>2392</x:v>
      </x:c>
    </x:row>
    <x:row r="273" ht="23" customHeight="1">
      <x:c r="A273" s="9" t="n">
        <x:v>272</x:v>
      </x:c>
      <x:c r="B273" s="9" t="n">
        <x:v>357</x:v>
      </x:c>
      <x:c r="C273" s="9" t="n">
        <x:v>1129</x:v>
      </x:c>
      <x:c r="D273" s="9" t="n">
        <x:v>1</x:v>
      </x:c>
      <x:c r="E273" s="9" t="n">
        <x:v>71355</x:v>
      </x:c>
      <x:c r="F273" s="9" t="n">
        <x:v>817.9999999925494</x:v>
      </x:c>
      <x:c r="G273" s="9" t="n">
        <x:v>50102.00000000745</x:v>
      </x:c>
      <x:c r="H273" s="9" t="n">
        <x:v>19920</x:v>
      </x:c>
      <x:c r="I273" s="9" t="n">
        <x:v>409</x:v>
      </x:c>
      <x:c r="J273" s="9" t="n">
        <x:v>106</x:v>
      </x:c>
      <x:c r="K273" s="9" t="n">
        <x:f>F273+G273+I273+J273</x:f>
        <x:v>51435</x:v>
      </x:c>
      <x:c r="L273" s="10" t="n">
        <x:f>K273/Sources!$B$4*1000</x:f>
        <x:v>14.369144681796149</x:v>
      </x:c>
      <x:c r="M273" s="10" t="n">
        <x:f>E273/Sources!$B$4*1000</x:f>
        <x:v>19.934097769409238</x:v>
      </x:c>
      <x:c r="N273" s="9" t="n">
        <x:f>Sources!$B$6-K273</x:f>
        <x:v>8301</x:v>
      </x:c>
    </x:row>
    <x:row r="274" ht="23" customHeight="1">
      <x:c r="A274" s="9" t="n">
        <x:v>273</x:v>
      </x:c>
      <x:c r="B274" s="9" t="n">
        <x:v>357</x:v>
      </x:c>
      <x:c r="C274" s="9" t="n">
        <x:v>1127</x:v>
      </x:c>
      <x:c r="D274" s="9" t="n">
        <x:v>1</x:v>
      </x:c>
      <x:c r="E274" s="9" t="n">
        <x:v>142737.99999999255</x:v>
      </x:c>
      <x:c r="F274" s="9" t="n">
        <x:v>818</x:v>
      </x:c>
      <x:c r="G274" s="9" t="n">
        <x:v>71557</x:v>
      </x:c>
      <x:c r="H274" s="9" t="n">
        <x:v>69840</x:v>
      </x:c>
      <x:c r="I274" s="9" t="n">
        <x:v>417</x:v>
      </x:c>
      <x:c r="J274" s="9" t="n">
        <x:v>105.99999999254942</x:v>
      </x:c>
      <x:c r="K274" s="9" t="n">
        <x:f>F274+G274+I274+J274</x:f>
        <x:v>72897.99999999255</x:v>
      </x:c>
      <x:c r="L274" s="10" t="n">
        <x:f>K274/Sources!$B$4*1000</x:f>
        <x:v>20.365158141605303</x:v>
      </x:c>
      <x:c r="M274" s="10" t="n">
        <x:f>E274/Sources!$B$4*1000</x:f>
        <x:v>39.87601776203192</x:v>
      </x:c>
      <x:c r="N274" s="9" t="n">
        <x:f>Sources!$B$6-K274</x:f>
        <x:v>-13161.99999999255</x:v>
      </x:c>
    </x:row>
    <x:row r="275" ht="23" customHeight="1">
      <x:c r="A275" s="9" t="n">
        <x:v>274</x:v>
      </x:c>
      <x:c r="B275" s="9" t="n">
        <x:v>357</x:v>
      </x:c>
      <x:c r="C275" s="9" t="n">
        <x:v>1123</x:v>
      </x:c>
      <x:c r="D275" s="9" t="n">
        <x:v>2</x:v>
      </x:c>
      <x:c r="E275" s="9" t="n">
        <x:v>71355.00000000745</x:v>
      </x:c>
      <x:c r="F275" s="9" t="n">
        <x:v>818.0000000074506</x:v>
      </x:c>
      <x:c r="G275" s="9" t="n">
        <x:v>55976.99999999255</x:v>
      </x:c>
      <x:c r="H275" s="9" t="n">
        <x:v>14045.00000000745</x:v>
      </x:c>
      <x:c r="I275" s="9" t="n">
        <x:v>409</x:v>
      </x:c>
      <x:c r="J275" s="9" t="n">
        <x:v>106</x:v>
      </x:c>
      <x:c r="K275" s="9" t="n">
        <x:f>F275+G275+I275+J275</x:f>
        <x:v>57310</x:v>
      </x:c>
      <x:c r="L275" s="10" t="n">
        <x:f>K275/Sources!$B$4*1000</x:f>
        <x:v>16.010414731481237</x:v>
      </x:c>
      <x:c r="M275" s="10" t="n">
        <x:f>E275/Sources!$B$4*1000</x:f>
        <x:v>19.93409776941132</x:v>
      </x:c>
      <x:c r="N275" s="9" t="n">
        <x:f>Sources!$B$6-K275</x:f>
        <x:v>2426</x:v>
      </x:c>
    </x:row>
    <x:row r="276" ht="23" customHeight="1">
      <x:c r="A276" s="9" t="n">
        <x:v>275</x:v>
      </x:c>
      <x:c r="B276" s="9" t="n">
        <x:v>357</x:v>
      </x:c>
      <x:c r="C276" s="9" t="n">
        <x:v>1121</x:v>
      </x:c>
      <x:c r="D276" s="9" t="n">
        <x:v>1</x:v>
      </x:c>
      <x:c r="E276" s="9" t="n">
        <x:v>71368.99999999255</x:v>
      </x:c>
      <x:c r="F276" s="9" t="n">
        <x:v>817.9999999925494</x:v>
      </x:c>
      <x:c r="G276" s="9" t="n">
        <x:v>50123.00000000745</x:v>
      </x:c>
      <x:c r="H276" s="9" t="n">
        <x:v>19905</x:v>
      </x:c>
      <x:c r="I276" s="9" t="n">
        <x:v>417</x:v>
      </x:c>
      <x:c r="J276" s="9" t="n">
        <x:v>105.99999999254942</x:v>
      </x:c>
      <x:c r="K276" s="9" t="n">
        <x:f>F276+G276+I276+J276</x:f>
        <x:v>51463.99999999255</x:v>
      </x:c>
      <x:c r="L276" s="10" t="n">
        <x:f>K276/Sources!$B$4*1000</x:f>
        <x:v>14.377246270124429</x:v>
      </x:c>
      <x:c r="M276" s="10" t="n">
        <x:f>E276/Sources!$B$4*1000</x:f>
        <x:v>19.93800888101492</x:v>
      </x:c>
      <x:c r="N276" s="9" t="n">
        <x:f>Sources!$B$6-K276</x:f>
        <x:v>8272.00000000745</x:v>
      </x:c>
    </x:row>
    <x:row r="277" ht="23" customHeight="1">
      <x:c r="A277" s="9" t="n">
        <x:v>276</x:v>
      </x:c>
      <x:c r="B277" s="9" t="n">
        <x:v>357</x:v>
      </x:c>
      <x:c r="C277" s="9" t="n">
        <x:v>1119</x:v>
      </x:c>
      <x:c r="D277" s="9" t="n">
        <x:v>1</x:v>
      </x:c>
      <x:c r="E277" s="9" t="n">
        <x:v>142724</x:v>
      </x:c>
      <x:c r="F277" s="9" t="n">
        <x:v>818.0000000074506</x:v>
      </x:c>
      <x:c r="G277" s="9" t="n">
        <x:v>71531</x:v>
      </x:c>
      <x:c r="H277" s="9" t="n">
        <x:v>69860.00000000745</x:v>
      </x:c>
      <x:c r="I277" s="9" t="n">
        <x:v>409</x:v>
      </x:c>
      <x:c r="J277" s="9" t="n">
        <x:v>105.99999998509884</x:v>
      </x:c>
      <x:c r="K277" s="9" t="n">
        <x:f>F277+G277+I277+J277</x:f>
        <x:v>72863.99999999255</x:v>
      </x:c>
      <x:c r="L277" s="10" t="n">
        <x:f>K277/Sources!$B$4*1000</x:f>
        <x:v>20.35565972770074</x:v>
      </x:c>
      <x:c r="M277" s="10" t="n">
        <x:f>E277/Sources!$B$4*1000</x:f>
        <x:v>39.87210665042624</x:v>
      </x:c>
      <x:c r="N277" s="9" t="n">
        <x:f>Sources!$B$6-K277</x:f>
        <x:v>-13127.99999999255</x:v>
      </x:c>
    </x:row>
    <x:row r="278" ht="23" customHeight="1">
      <x:c r="A278" s="9" t="n">
        <x:v>277</x:v>
      </x:c>
      <x:c r="B278" s="9" t="n">
        <x:v>357</x:v>
      </x:c>
      <x:c r="C278" s="9" t="n">
        <x:v>1115</x:v>
      </x:c>
      <x:c r="D278" s="9" t="n">
        <x:v>2</x:v>
      </x:c>
      <x:c r="E278" s="9" t="n">
        <x:v>71369.00000000745</x:v>
      </x:c>
      <x:c r="F278" s="9" t="n">
        <x:v>818.0000000074506</x:v>
      </x:c>
      <x:c r="G278" s="9" t="n">
        <x:v>56002.99999999255</x:v>
      </x:c>
      <x:c r="H278" s="9" t="n">
        <x:v>14025.00000000745</x:v>
      </x:c>
      <x:c r="I278" s="9" t="n">
        <x:v>416.9999999925494</x:v>
      </x:c>
      <x:c r="J278" s="9" t="n">
        <x:v>106.00000000745058</x:v>
      </x:c>
      <x:c r="K278" s="9" t="n">
        <x:f>F278+G278+I278+J278</x:f>
        <x:v>57344</x:v>
      </x:c>
      <x:c r="L278" s="10" t="n">
        <x:f>K278/Sources!$B$4*1000</x:f>
        <x:v>16.019913145385797</x:v>
      </x:c>
      <x:c r="M278" s="10" t="n">
        <x:f>E278/Sources!$B$4*1000</x:f>
        <x:v>19.93800888101908</x:v>
      </x:c>
      <x:c r="N278" s="9" t="n">
        <x:f>Sources!$B$6-K278</x:f>
        <x:v>2392</x:v>
      </x:c>
    </x:row>
    <x:row r="279" ht="23" customHeight="1">
      <x:c r="A279" s="9" t="n">
        <x:v>278</x:v>
      </x:c>
      <x:c r="B279" s="9" t="n">
        <x:v>357</x:v>
      </x:c>
      <x:c r="C279" s="9" t="n">
        <x:v>1113</x:v>
      </x:c>
      <x:c r="D279" s="9" t="n">
        <x:v>1</x:v>
      </x:c>
      <x:c r="E279" s="9" t="n">
        <x:v>71354.99999999255</x:v>
      </x:c>
      <x:c r="F279" s="9" t="n">
        <x:v>818</x:v>
      </x:c>
      <x:c r="G279" s="9" t="n">
        <x:v>50102</x:v>
      </x:c>
      <x:c r="H279" s="9" t="n">
        <x:v>19920</x:v>
      </x:c>
      <x:c r="I279" s="9" t="n">
        <x:v>408.9999999925494</x:v>
      </x:c>
      <x:c r="J279" s="9" t="n">
        <x:v>106</x:v>
      </x:c>
      <x:c r="K279" s="9" t="n">
        <x:f>F279+G279+I279+J279</x:f>
        <x:v>51434.99999999255</x:v>
      </x:c>
      <x:c r="L279" s="10" t="n">
        <x:f>K279/Sources!$B$4*1000</x:f>
        <x:v>14.369144681794069</x:v>
      </x:c>
      <x:c r="M279" s="10" t="n">
        <x:f>E279/Sources!$B$4*1000</x:f>
        <x:v>19.93409776940716</x:v>
      </x:c>
      <x:c r="N279" s="9" t="n">
        <x:f>Sources!$B$6-K279</x:f>
        <x:v>8301.00000000745</x:v>
      </x:c>
    </x:row>
    <x:row r="280" ht="23" customHeight="1">
      <x:c r="A280" s="9" t="n">
        <x:v>279</x:v>
      </x:c>
      <x:c r="B280" s="9" t="n">
        <x:v>357</x:v>
      </x:c>
      <x:c r="C280" s="9" t="n">
        <x:v>1111</x:v>
      </x:c>
      <x:c r="D280" s="9" t="n">
        <x:v>1</x:v>
      </x:c>
      <x:c r="E280" s="9" t="n">
        <x:v>142738.00000000745</x:v>
      </x:c>
      <x:c r="F280" s="9" t="n">
        <x:v>818.0000000074506</x:v>
      </x:c>
      <x:c r="G280" s="9" t="n">
        <x:v>71557</x:v>
      </x:c>
      <x:c r="H280" s="9" t="n">
        <x:v>69840</x:v>
      </x:c>
      <x:c r="I280" s="9" t="n">
        <x:v>417.0000000074506</x:v>
      </x:c>
      <x:c r="J280" s="9" t="n">
        <x:v>105.99999999254942</x:v>
      </x:c>
      <x:c r="K280" s="9" t="n">
        <x:f>F280+G280+I280+J280</x:f>
        <x:v>72898.00000000745</x:v>
      </x:c>
      <x:c r="L280" s="10" t="n">
        <x:f>K280/Sources!$B$4*1000</x:f>
        <x:v>20.365158141609466</x:v>
      </x:c>
      <x:c r="M280" s="10" t="n">
        <x:f>E280/Sources!$B$4*1000</x:f>
        <x:v>39.87601776203608</x:v>
      </x:c>
      <x:c r="N280" s="9" t="n">
        <x:f>Sources!$B$6-K280</x:f>
        <x:v>-13162.00000000745</x:v>
      </x:c>
    </x:row>
    <x:row r="281" ht="23" customHeight="1">
      <x:c r="A281" s="9" t="n">
        <x:v>280</x:v>
      </x:c>
      <x:c r="B281" s="9" t="n">
        <x:v>357</x:v>
      </x:c>
      <x:c r="C281" s="9" t="n">
        <x:v>1107</x:v>
      </x:c>
      <x:c r="D281" s="9" t="n">
        <x:v>2</x:v>
      </x:c>
      <x:c r="E281" s="9" t="n">
        <x:v>71355</x:v>
      </x:c>
      <x:c r="F281" s="9" t="n">
        <x:v>818</x:v>
      </x:c>
      <x:c r="G281" s="9" t="n">
        <x:v>55977</x:v>
      </x:c>
      <x:c r="H281" s="9" t="n">
        <x:v>14044.99999999255</x:v>
      </x:c>
      <x:c r="I281" s="9" t="n">
        <x:v>409.0000000074506</x:v>
      </x:c>
      <x:c r="J281" s="9" t="n">
        <x:v>106</x:v>
      </x:c>
      <x:c r="K281" s="9" t="n">
        <x:f>F281+G281+I281+J281</x:f>
        <x:v>57310.00000000745</x:v>
      </x:c>
      <x:c r="L281" s="10" t="n">
        <x:f>K281/Sources!$B$4*1000</x:f>
        <x:v>16.010414731483316</x:v>
      </x:c>
      <x:c r="M281" s="10" t="n">
        <x:f>E281/Sources!$B$4*1000</x:f>
        <x:v>19.934097769409238</x:v>
      </x:c>
      <x:c r="N281" s="9" t="n">
        <x:f>Sources!$B$6-K281</x:f>
        <x:v>2425.9999999925494</x:v>
      </x:c>
    </x:row>
    <x:row r="282" ht="23" customHeight="1">
      <x:c r="A282" s="9" t="n">
        <x:v>281</x:v>
      </x:c>
      <x:c r="B282" s="9" t="n">
        <x:v>357</x:v>
      </x:c>
      <x:c r="C282" s="9" t="n">
        <x:v>1105</x:v>
      </x:c>
      <x:c r="D282" s="9" t="n">
        <x:v>1</x:v>
      </x:c>
      <x:c r="E282" s="9" t="n">
        <x:v>71374</x:v>
      </x:c>
      <x:c r="F282" s="9" t="n">
        <x:v>818</x:v>
      </x:c>
      <x:c r="G282" s="9" t="n">
        <x:v>50123</x:v>
      </x:c>
      <x:c r="H282" s="9" t="n">
        <x:v>19909.99999999255</x:v>
      </x:c>
      <x:c r="I282" s="9" t="n">
        <x:v>417.0000000074506</x:v>
      </x:c>
      <x:c r="J282" s="9" t="n">
        <x:v>106</x:v>
      </x:c>
      <x:c r="K282" s="9" t="n">
        <x:f>F282+G282+I282+J282</x:f>
        <x:v>51464.00000000745</x:v>
      </x:c>
      <x:c r="L282" s="10" t="n">
        <x:f>K282/Sources!$B$4*1000</x:f>
        <x:v>14.377246270128591</x:v>
      </x:c>
      <x:c r="M282" s="10" t="n">
        <x:f>E282/Sources!$B$4*1000</x:f>
        <x:v>19.939405706591202</x:v>
      </x:c>
      <x:c r="N282" s="9" t="n">
        <x:f>Sources!$B$6-K282</x:f>
        <x:v>8271.99999999255</x:v>
      </x:c>
    </x:row>
    <x:row r="283" ht="23" customHeight="1">
      <x:c r="A283" s="9" t="n">
        <x:v>282</x:v>
      </x:c>
      <x:c r="B283" s="9" t="n">
        <x:v>357</x:v>
      </x:c>
      <x:c r="C283" s="9" t="n">
        <x:v>1103</x:v>
      </x:c>
      <x:c r="D283" s="9" t="n">
        <x:v>1</x:v>
      </x:c>
      <x:c r="E283" s="9" t="n">
        <x:v>142719</x:v>
      </x:c>
      <x:c r="F283" s="9" t="n">
        <x:v>818</x:v>
      </x:c>
      <x:c r="G283" s="9" t="n">
        <x:v>71531</x:v>
      </x:c>
      <x:c r="H283" s="9" t="n">
        <x:v>69855</x:v>
      </x:c>
      <x:c r="I283" s="9" t="n">
        <x:v>409</x:v>
      </x:c>
      <x:c r="J283" s="9" t="n">
        <x:v>106</x:v>
      </x:c>
      <x:c r="K283" s="9" t="n">
        <x:f>F283+G283+I283+J283</x:f>
        <x:v>72864</x:v>
      </x:c>
      <x:c r="L283" s="10" t="n">
        <x:f>K283/Sources!$B$4*1000</x:f>
        <x:v>20.35565972770282</x:v>
      </x:c>
      <x:c r="M283" s="10" t="n">
        <x:f>E283/Sources!$B$4*1000</x:f>
        <x:v>39.870709824852035</x:v>
      </x:c>
      <x:c r="N283" s="9" t="n">
        <x:f>Sources!$B$6-K283</x:f>
        <x:v>-13128</x:v>
      </x:c>
    </x:row>
    <x:row r="284" ht="23" customHeight="1">
      <x:c r="A284" s="9" t="n">
        <x:v>283</x:v>
      </x:c>
      <x:c r="B284" s="9" t="n">
        <x:v>357</x:v>
      </x:c>
      <x:c r="C284" s="9" t="n">
        <x:v>1099</x:v>
      </x:c>
      <x:c r="D284" s="9" t="n">
        <x:v>2</x:v>
      </x:c>
      <x:c r="E284" s="9" t="n">
        <x:v>71374</x:v>
      </x:c>
      <x:c r="F284" s="9" t="n">
        <x:v>817.9999999925494</x:v>
      </x:c>
      <x:c r="G284" s="9" t="n">
        <x:v>56003</x:v>
      </x:c>
      <x:c r="H284" s="9" t="n">
        <x:v>14030</x:v>
      </x:c>
      <x:c r="I284" s="9" t="n">
        <x:v>417</x:v>
      </x:c>
      <x:c r="J284" s="9" t="n">
        <x:v>106.00000000745058</x:v>
      </x:c>
      <x:c r="K284" s="9" t="n">
        <x:f>F284+G284+I284+J284</x:f>
        <x:v>57344</x:v>
      </x:c>
      <x:c r="L284" s="10" t="n">
        <x:f>K284/Sources!$B$4*1000</x:f>
        <x:v>16.019913145385797</x:v>
      </x:c>
      <x:c r="M284" s="10" t="n">
        <x:f>E284/Sources!$B$4*1000</x:f>
        <x:v>19.939405706591202</x:v>
      </x:c>
      <x:c r="N284" s="9" t="n">
        <x:f>Sources!$B$6-K284</x:f>
        <x:v>2392</x:v>
      </x:c>
    </x:row>
    <x:row r="285" ht="23" customHeight="1">
      <x:c r="A285" s="9" t="n">
        <x:v>284</x:v>
      </x:c>
      <x:c r="B285" s="9" t="n">
        <x:v>357</x:v>
      </x:c>
      <x:c r="C285" s="9" t="n">
        <x:v>1097</x:v>
      </x:c>
      <x:c r="D285" s="9" t="n">
        <x:v>1</x:v>
      </x:c>
      <x:c r="E285" s="9" t="n">
        <x:v>71355</x:v>
      </x:c>
      <x:c r="F285" s="9" t="n">
        <x:v>817.9999999925494</x:v>
      </x:c>
      <x:c r="G285" s="9" t="n">
        <x:v>50102.00000000745</x:v>
      </x:c>
      <x:c r="H285" s="9" t="n">
        <x:v>19920</x:v>
      </x:c>
      <x:c r="I285" s="9" t="n">
        <x:v>409</x:v>
      </x:c>
      <x:c r="J285" s="9" t="n">
        <x:v>106</x:v>
      </x:c>
      <x:c r="K285" s="9" t="n">
        <x:f>F285+G285+I285+J285</x:f>
        <x:v>51435</x:v>
      </x:c>
      <x:c r="L285" s="10" t="n">
        <x:f>K285/Sources!$B$4*1000</x:f>
        <x:v>14.369144681796149</x:v>
      </x:c>
      <x:c r="M285" s="10" t="n">
        <x:f>E285/Sources!$B$4*1000</x:f>
        <x:v>19.934097769409238</x:v>
      </x:c>
      <x:c r="N285" s="9" t="n">
        <x:f>Sources!$B$6-K285</x:f>
        <x:v>8301</x:v>
      </x:c>
    </x:row>
    <x:row r="286" ht="23" customHeight="1">
      <x:c r="A286" s="9" t="n">
        <x:v>285</x:v>
      </x:c>
      <x:c r="B286" s="9" t="n">
        <x:v>357</x:v>
      </x:c>
      <x:c r="C286" s="9" t="n">
        <x:v>1095</x:v>
      </x:c>
      <x:c r="D286" s="9" t="n">
        <x:v>1</x:v>
      </x:c>
      <x:c r="E286" s="9" t="n">
        <x:v>142732.99999999255</x:v>
      </x:c>
      <x:c r="F286" s="9" t="n">
        <x:v>818</x:v>
      </x:c>
      <x:c r="G286" s="9" t="n">
        <x:v>71557</x:v>
      </x:c>
      <x:c r="H286" s="9" t="n">
        <x:v>69835</x:v>
      </x:c>
      <x:c r="I286" s="9" t="n">
        <x:v>416.9999999925494</x:v>
      </x:c>
      <x:c r="J286" s="9" t="n">
        <x:v>106</x:v>
      </x:c>
      <x:c r="K286" s="9" t="n">
        <x:f>F286+G286+I286+J286</x:f>
        <x:v>72897.99999999255</x:v>
      </x:c>
      <x:c r="L286" s="10" t="n">
        <x:f>K286/Sources!$B$4*1000</x:f>
        <x:v>20.365158141605303</x:v>
      </x:c>
      <x:c r="M286" s="10" t="n">
        <x:f>E286/Sources!$B$4*1000</x:f>
        <x:v>39.874620936457724</x:v>
      </x:c>
      <x:c r="N286" s="9" t="n">
        <x:f>Sources!$B$6-K286</x:f>
        <x:v>-13161.99999999255</x:v>
      </x:c>
    </x:row>
    <x:row r="287" ht="23" customHeight="1">
      <x:c r="A287" s="9" t="n">
        <x:v>286</x:v>
      </x:c>
      <x:c r="B287" s="9" t="n">
        <x:v>357</x:v>
      </x:c>
      <x:c r="C287" s="9" t="n">
        <x:v>1091</x:v>
      </x:c>
      <x:c r="D287" s="9" t="n">
        <x:v>2</x:v>
      </x:c>
      <x:c r="E287" s="9" t="n">
        <x:v>71360.00000000745</x:v>
      </x:c>
      <x:c r="F287" s="9" t="n">
        <x:v>818.0000000074506</x:v>
      </x:c>
      <x:c r="G287" s="9" t="n">
        <x:v>55976.99999999255</x:v>
      </x:c>
      <x:c r="H287" s="9" t="n">
        <x:v>14050.00000000745</x:v>
      </x:c>
      <x:c r="I287" s="9" t="n">
        <x:v>409</x:v>
      </x:c>
      <x:c r="J287" s="9" t="n">
        <x:v>106</x:v>
      </x:c>
      <x:c r="K287" s="9" t="n">
        <x:f>F287+G287+I287+J287</x:f>
        <x:v>57310</x:v>
      </x:c>
      <x:c r="L287" s="10" t="n">
        <x:f>K287/Sources!$B$4*1000</x:f>
        <x:v>16.010414731481237</x:v>
      </x:c>
      <x:c r="M287" s="10" t="n">
        <x:f>E287/Sources!$B$4*1000</x:f>
        <x:v>19.93549459498552</x:v>
      </x:c>
      <x:c r="N287" s="9" t="n">
        <x:f>Sources!$B$6-K287</x:f>
        <x:v>2426</x:v>
      </x:c>
    </x:row>
    <x:row r="288" ht="23" customHeight="1">
      <x:c r="A288" s="9" t="n">
        <x:v>287</x:v>
      </x:c>
      <x:c r="B288" s="9" t="n">
        <x:v>357</x:v>
      </x:c>
      <x:c r="C288" s="9" t="n">
        <x:v>1089</x:v>
      </x:c>
      <x:c r="D288" s="9" t="n">
        <x:v>1</x:v>
      </x:c>
      <x:c r="E288" s="9" t="n">
        <x:v>71368.99999999255</x:v>
      </x:c>
      <x:c r="F288" s="9" t="n">
        <x:v>817.9999999925494</x:v>
      </x:c>
      <x:c r="G288" s="9" t="n">
        <x:v>50123</x:v>
      </x:c>
      <x:c r="H288" s="9" t="n">
        <x:v>19905.00000000745</x:v>
      </x:c>
      <x:c r="I288" s="9" t="n">
        <x:v>416.9999999925494</x:v>
      </x:c>
      <x:c r="J288" s="9" t="n">
        <x:v>106</x:v>
      </x:c>
      <x:c r="K288" s="9" t="n">
        <x:f>F288+G288+I288+J288</x:f>
        <x:v>51463.9999999851</x:v>
      </x:c>
      <x:c r="L288" s="10" t="n">
        <x:f>K288/Sources!$B$4*1000</x:f>
        <x:v>14.377246270122347</x:v>
      </x:c>
      <x:c r="M288" s="10" t="n">
        <x:f>E288/Sources!$B$4*1000</x:f>
        <x:v>19.93800888101492</x:v>
      </x:c>
      <x:c r="N288" s="9" t="n">
        <x:f>Sources!$B$6-K288</x:f>
        <x:v>8272.000000014901</x:v>
      </x:c>
    </x:row>
    <x:row r="289" ht="23" customHeight="1">
      <x:c r="A289" s="9" t="n">
        <x:v>288</x:v>
      </x:c>
      <x:c r="B289" s="9" t="n">
        <x:v>357</x:v>
      </x:c>
      <x:c r="C289" s="9" t="n">
        <x:v>1087</x:v>
      </x:c>
      <x:c r="D289" s="9" t="n">
        <x:v>1</x:v>
      </x:c>
      <x:c r="E289" s="9" t="n">
        <x:v>142719.00000000745</x:v>
      </x:c>
      <x:c r="F289" s="9" t="n">
        <x:v>818.0000000074506</x:v>
      </x:c>
      <x:c r="G289" s="9" t="n">
        <x:v>71531</x:v>
      </x:c>
      <x:c r="H289" s="9" t="n">
        <x:v>69855</x:v>
      </x:c>
      <x:c r="I289" s="9" t="n">
        <x:v>408.9999999925494</x:v>
      </x:c>
      <x:c r="J289" s="9" t="n">
        <x:v>106.00000000745058</x:v>
      </x:c>
      <x:c r="K289" s="9" t="n">
        <x:f>F289+G289+I289+J289</x:f>
        <x:v>72864.00000000745</x:v>
      </x:c>
      <x:c r="L289" s="10" t="n">
        <x:f>K289/Sources!$B$4*1000</x:f>
        <x:v>20.355659727704904</x:v>
      </x:c>
      <x:c r="M289" s="10" t="n">
        <x:f>E289/Sources!$B$4*1000</x:f>
        <x:v>39.87070982485412</x:v>
      </x:c>
      <x:c r="N289" s="9" t="n">
        <x:f>Sources!$B$6-K289</x:f>
        <x:v>-13128.00000000745</x:v>
      </x:c>
    </x:row>
    <x:row r="290" ht="23" customHeight="1">
      <x:c r="A290" s="9" t="n">
        <x:v>289</x:v>
      </x:c>
      <x:c r="B290" s="9" t="n">
        <x:v>357</x:v>
      </x:c>
      <x:c r="C290" s="9" t="n">
        <x:v>1083</x:v>
      </x:c>
      <x:c r="D290" s="9" t="n">
        <x:v>2</x:v>
      </x:c>
      <x:c r="E290" s="9" t="n">
        <x:v>71374</x:v>
      </x:c>
      <x:c r="F290" s="9" t="n">
        <x:v>818.0000000074506</x:v>
      </x:c>
      <x:c r="G290" s="9" t="n">
        <x:v>56003</x:v>
      </x:c>
      <x:c r="H290" s="9" t="n">
        <x:v>14029.99999999255</x:v>
      </x:c>
      <x:c r="I290" s="9" t="n">
        <x:v>417.0000000074506</x:v>
      </x:c>
      <x:c r="J290" s="9" t="n">
        <x:v>105.99999999254942</x:v>
      </x:c>
      <x:c r="K290" s="9" t="n">
        <x:f>F290+G290+I290+J290</x:f>
        <x:v>57344.00000000745</x:v>
      </x:c>
      <x:c r="L290" s="10" t="n">
        <x:f>K290/Sources!$B$4*1000</x:f>
        <x:v>16.01991314538788</x:v>
      </x:c>
      <x:c r="M290" s="10" t="n">
        <x:f>E290/Sources!$B$4*1000</x:f>
        <x:v>19.939405706591202</x:v>
      </x:c>
      <x:c r="N290" s="9" t="n">
        <x:f>Sources!$B$6-K290</x:f>
        <x:v>2391.9999999925494</x:v>
      </x:c>
    </x:row>
    <x:row r="291" ht="23" customHeight="1">
      <x:c r="A291" s="9" t="n">
        <x:v>290</x:v>
      </x:c>
      <x:c r="B291" s="9" t="n">
        <x:v>357</x:v>
      </x:c>
      <x:c r="C291" s="9" t="n">
        <x:v>1081</x:v>
      </x:c>
      <x:c r="D291" s="9" t="n">
        <x:v>1</x:v>
      </x:c>
      <x:c r="E291" s="9" t="n">
        <x:v>71354.99999999255</x:v>
      </x:c>
      <x:c r="F291" s="9" t="n">
        <x:v>818</x:v>
      </x:c>
      <x:c r="G291" s="9" t="n">
        <x:v>50102</x:v>
      </x:c>
      <x:c r="H291" s="9" t="n">
        <x:v>19920</x:v>
      </x:c>
      <x:c r="I291" s="9" t="n">
        <x:v>408.9999999925494</x:v>
      </x:c>
      <x:c r="J291" s="9" t="n">
        <x:v>106</x:v>
      </x:c>
      <x:c r="K291" s="9" t="n">
        <x:f>F291+G291+I291+J291</x:f>
        <x:v>51434.99999999255</x:v>
      </x:c>
      <x:c r="L291" s="10" t="n">
        <x:f>K291/Sources!$B$4*1000</x:f>
        <x:v>14.369144681794069</x:v>
      </x:c>
      <x:c r="M291" s="10" t="n">
        <x:f>E291/Sources!$B$4*1000</x:f>
        <x:v>19.93409776940716</x:v>
      </x:c>
      <x:c r="N291" s="9" t="n">
        <x:f>Sources!$B$6-K291</x:f>
        <x:v>8301.00000000745</x:v>
      </x:c>
    </x:row>
    <x:row r="292" ht="23" customHeight="1">
      <x:c r="A292" s="9" t="n">
        <x:v>291</x:v>
      </x:c>
      <x:c r="B292" s="9" t="n">
        <x:v>357</x:v>
      </x:c>
      <x:c r="C292" s="9" t="n">
        <x:v>1079</x:v>
      </x:c>
      <x:c r="D292" s="9" t="n">
        <x:v>1</x:v>
      </x:c>
      <x:c r="E292" s="9" t="n">
        <x:v>142738.00000000745</x:v>
      </x:c>
      <x:c r="F292" s="9" t="n">
        <x:v>818.0000000074506</x:v>
      </x:c>
      <x:c r="G292" s="9" t="n">
        <x:v>71557</x:v>
      </x:c>
      <x:c r="H292" s="9" t="n">
        <x:v>69840</x:v>
      </x:c>
      <x:c r="I292" s="9" t="n">
        <x:v>417</x:v>
      </x:c>
      <x:c r="J292" s="9" t="n">
        <x:v>106</x:v>
      </x:c>
      <x:c r="K292" s="9" t="n">
        <x:f>F292+G292+I292+J292</x:f>
        <x:v>72898.00000000745</x:v>
      </x:c>
      <x:c r="L292" s="10" t="n">
        <x:f>K292/Sources!$B$4*1000</x:f>
        <x:v>20.365158141609466</x:v>
      </x:c>
      <x:c r="M292" s="10" t="n">
        <x:f>E292/Sources!$B$4*1000</x:f>
        <x:v>39.87601776203608</x:v>
      </x:c>
      <x:c r="N292" s="9" t="n">
        <x:f>Sources!$B$6-K292</x:f>
        <x:v>-13162.00000000745</x:v>
      </x:c>
    </x:row>
    <x:row r="293" ht="23" customHeight="1">
      <x:c r="A293" s="9" t="n">
        <x:v>292</x:v>
      </x:c>
      <x:c r="B293" s="9" t="n">
        <x:v>357</x:v>
      </x:c>
      <x:c r="C293" s="9" t="n">
        <x:v>1079</x:v>
      </x:c>
      <x:c r="D293" s="9" t="n">
        <x:v>2</x:v>
      </x:c>
      <x:c r="E293" s="9" t="n">
        <x:v>71353.99999999255</x:v>
      </x:c>
      <x:c r="F293" s="9" t="n">
        <x:v>778</x:v>
      </x:c>
      <x:c r="G293" s="9" t="n">
        <x:v>55751</x:v>
      </x:c>
      <x:c r="H293" s="9" t="n">
        <x:v>14310</x:v>
      </x:c>
      <x:c r="I293" s="9" t="n">
        <x:v>409</x:v>
      </x:c>
      <x:c r="J293" s="9" t="n">
        <x:v>105.99999999254942</x:v>
      </x:c>
      <x:c r="K293" s="9" t="n">
        <x:f>F293+G293+I293+J293</x:f>
        <x:v>57043.99999999255</x:v>
      </x:c>
      <x:c r="L293" s="10" t="n">
        <x:f>K293/Sources!$B$4*1000</x:f>
        <x:v>15.936103610931712</x:v>
      </x:c>
      <x:c r="M293" s="10" t="n">
        <x:f>E293/Sources!$B$4*1000</x:f>
        <x:v>19.93381840429232</x:v>
      </x:c>
      <x:c r="N293" s="9" t="n">
        <x:f>Sources!$B$6-K293</x:f>
        <x:v>2692.0000000074506</x:v>
      </x:c>
    </x:row>
    <x:row r="294" ht="23" customHeight="1">
      <x:c r="A294" s="9" t="n">
        <x:v>293</x:v>
      </x:c>
      <x:c r="B294" s="9" t="n">
        <x:v>357</x:v>
      </x:c>
      <x:c r="C294" s="9" t="n">
        <x:v>1079</x:v>
      </x:c>
      <x:c r="D294" s="9" t="n">
        <x:v>1</x:v>
      </x:c>
      <x:c r="E294" s="9" t="n">
        <x:v>71373.00000000745</x:v>
      </x:c>
      <x:c r="F294" s="9" t="n">
        <x:v>778.0000000074506</x:v>
      </x:c>
      <x:c r="G294" s="9" t="n">
        <x:v>26467</x:v>
      </x:c>
      <x:c r="H294" s="9" t="n">
        <x:v>43605</x:v>
      </x:c>
      <x:c r="I294" s="9" t="n">
        <x:v>417</x:v>
      </x:c>
      <x:c r="J294" s="9" t="n">
        <x:v>106</x:v>
      </x:c>
      <x:c r="K294" s="9" t="n">
        <x:f>F294+G294+I294+J294</x:f>
        <x:v>27768.00000000745</x:v>
      </x:c>
      <x:c r="L294" s="10" t="n">
        <x:f>K294/Sources!$B$4*1000</x:f>
        <x:v>7.757410508879606</x:v>
      </x:c>
      <x:c r="M294" s="10" t="n">
        <x:f>E294/Sources!$B$4*1000</x:f>
        <x:v>19.939126341478442</x:v>
      </x:c>
      <x:c r="N294" s="9" t="n">
        <x:f>Sources!$B$6-K294</x:f>
        <x:v>31967.99999999255</x:v>
      </x:c>
    </x:row>
    <x:row r="295" ht="23" customHeight="1">
      <x:c r="A295" s="9" t="n">
        <x:v>294</x:v>
      </x:c>
      <x:c r="B295" s="9" t="n">
        <x:v>357</x:v>
      </x:c>
      <x:c r="C295" s="9" t="n">
        <x:v>1079</x:v>
      </x:c>
      <x:c r="D295" s="9" t="n">
        <x:v>1</x:v>
      </x:c>
      <x:c r="E295" s="9" t="n">
        <x:v>71354</x:v>
      </x:c>
      <x:c r="F295" s="9" t="n">
        <x:v>778</x:v>
      </x:c>
      <x:c r="G295" s="9" t="n">
        <x:v>26445.99999999255</x:v>
      </x:c>
      <x:c r="H295" s="9" t="n">
        <x:v>43614.99999999255</x:v>
      </x:c>
      <x:c r="I295" s="9" t="n">
        <x:v>408.9999999925494</x:v>
      </x:c>
      <x:c r="J295" s="9" t="n">
        <x:v>106.00000002235174</x:v>
      </x:c>
      <x:c r="K295" s="9" t="n">
        <x:f>F295+G295+I295+J295</x:f>
        <x:v>27739.00000000745</x:v>
      </x:c>
      <x:c r="L295" s="10" t="n">
        <x:f>K295/Sources!$B$4*1000</x:f>
        <x:v>7.749308920549246</x:v>
      </x:c>
      <x:c r="M295" s="10" t="n">
        <x:f>E295/Sources!$B$4*1000</x:f>
        <x:v>19.9338184042944</x:v>
      </x:c>
      <x:c r="N295" s="9" t="n">
        <x:f>Sources!$B$6-K295</x:f>
        <x:v>31996.99999999255</x:v>
      </x:c>
    </x:row>
    <x:row r="296" ht="23" customHeight="1">
      <x:c r="A296" s="9" t="n">
        <x:v>295</x:v>
      </x:c>
      <x:c r="B296" s="9" t="n">
        <x:v>357</x:v>
      </x:c>
      <x:c r="C296" s="9" t="n">
        <x:v>1079</x:v>
      </x:c>
      <x:c r="D296" s="9" t="n">
        <x:v>1</x:v>
      </x:c>
      <x:c r="E296" s="9" t="n">
        <x:v>71372.99999999255</x:v>
      </x:c>
      <x:c r="F296" s="9" t="n">
        <x:v>777.9999999925494</x:v>
      </x:c>
      <x:c r="G296" s="9" t="n">
        <x:v>26467.00000000745</x:v>
      </x:c>
      <x:c r="H296" s="9" t="n">
        <x:v>43605</x:v>
      </x:c>
      <x:c r="I296" s="9" t="n">
        <x:v>417</x:v>
      </x:c>
      <x:c r="J296" s="9" t="n">
        <x:v>105.99999999254942</x:v>
      </x:c>
      <x:c r="K296" s="9" t="n">
        <x:f>F296+G296+I296+J296</x:f>
        <x:v>27767.99999999255</x:v>
      </x:c>
      <x:c r="L296" s="10" t="n">
        <x:f>K296/Sources!$B$4*1000</x:f>
        <x:v>7.757410508875443</x:v>
      </x:c>
      <x:c r="M296" s="10" t="n">
        <x:f>E296/Sources!$B$4*1000</x:f>
        <x:v>19.93912634147428</x:v>
      </x:c>
      <x:c r="N296" s="9" t="n">
        <x:f>Sources!$B$6-K296</x:f>
        <x:v>31968.00000000745</x:v>
      </x:c>
    </x:row>
    <x:row r="297" ht="23" customHeight="1">
      <x:c r="A297" s="9" t="n">
        <x:v>296</x:v>
      </x:c>
      <x:c r="B297" s="9" t="n">
        <x:v>357</x:v>
      </x:c>
      <x:c r="C297" s="9" t="n">
        <x:v>1079</x:v>
      </x:c>
      <x:c r="D297" s="9" t="n">
        <x:v>1</x:v>
      </x:c>
      <x:c r="E297" s="9" t="n">
        <x:v>71359.00000000745</x:v>
      </x:c>
      <x:c r="F297" s="9" t="n">
        <x:v>778.0000000074506</x:v>
      </x:c>
      <x:c r="G297" s="9" t="n">
        <x:v>26445.99999999255</x:v>
      </x:c>
      <x:c r="H297" s="9" t="n">
        <x:v>43620</x:v>
      </x:c>
      <x:c r="I297" s="9" t="n">
        <x:v>409.0000000074506</x:v>
      </x:c>
      <x:c r="J297" s="9" t="n">
        <x:v>106</x:v>
      </x:c>
      <x:c r="K297" s="9" t="n">
        <x:f>F297+G297+I297+J297</x:f>
        <x:v>27739.00000000745</x:v>
      </x:c>
      <x:c r="L297" s="10" t="n">
        <x:f>K297/Sources!$B$4*1000</x:f>
        <x:v>7.749308920549246</x:v>
      </x:c>
      <x:c r="M297" s="10" t="n">
        <x:f>E297/Sources!$B$4*1000</x:f>
        <x:v>19.935215229870682</x:v>
      </x:c>
      <x:c r="N297" s="9" t="n">
        <x:f>Sources!$B$6-K297</x:f>
        <x:v>31996.99999999255</x:v>
      </x:c>
    </x:row>
    <x:row r="298" ht="23" customHeight="1">
      <x:c r="A298" s="9" t="n">
        <x:v>297</x:v>
      </x:c>
      <x:c r="B298" s="9" t="n">
        <x:v>357</x:v>
      </x:c>
      <x:c r="C298" s="9" t="n">
        <x:v>1079</x:v>
      </x:c>
      <x:c r="D298" s="9" t="n">
        <x:v>1</x:v>
      </x:c>
      <x:c r="E298" s="9" t="n">
        <x:v>71368</x:v>
      </x:c>
      <x:c r="F298" s="9" t="n">
        <x:v>778</x:v>
      </x:c>
      <x:c r="G298" s="9" t="n">
        <x:v>26467.00000000745</x:v>
      </x:c>
      <x:c r="H298" s="9" t="n">
        <x:v>43600</x:v>
      </x:c>
      <x:c r="I298" s="9" t="n">
        <x:v>416.9999999925494</x:v>
      </x:c>
      <x:c r="J298" s="9" t="n">
        <x:v>106</x:v>
      </x:c>
      <x:c r="K298" s="9" t="n">
        <x:f>F298+G298+I298+J298</x:f>
        <x:v>27768</x:v>
      </x:c>
      <x:c r="L298" s="10" t="n">
        <x:f>K298/Sources!$B$4*1000</x:f>
        <x:v>7.757410508877525</x:v>
      </x:c>
      <x:c r="M298" s="10" t="n">
        <x:f>E298/Sources!$B$4*1000</x:f>
        <x:v>19.93772951590216</x:v>
      </x:c>
      <x:c r="N298" s="9" t="n">
        <x:f>Sources!$B$6-K298</x:f>
        <x:v>31968</x:v>
      </x:c>
    </x:row>
    <x:row r="299" ht="23" customHeight="1">
      <x:c r="A299" s="9" t="n">
        <x:v>298</x:v>
      </x:c>
      <x:c r="B299" s="9" t="n">
        <x:v>357</x:v>
      </x:c>
      <x:c r="C299" s="9" t="n">
        <x:v>1079</x:v>
      </x:c>
      <x:c r="D299" s="9" t="n">
        <x:v>1</x:v>
      </x:c>
      <x:c r="E299" s="9" t="n">
        <x:v>71359</x:v>
      </x:c>
      <x:c r="F299" s="9" t="n">
        <x:v>778</x:v>
      </x:c>
      <x:c r="G299" s="9" t="n">
        <x:v>26446.00000000745</x:v>
      </x:c>
      <x:c r="H299" s="9" t="n">
        <x:v>43620</x:v>
      </x:c>
      <x:c r="I299" s="9" t="n">
        <x:v>409</x:v>
      </x:c>
      <x:c r="J299" s="9" t="n">
        <x:v>105.99999999254942</x:v>
      </x:c>
      <x:c r="K299" s="9" t="n">
        <x:f>F299+G299+I299+J299</x:f>
        <x:v>27739</x:v>
      </x:c>
      <x:c r="L299" s="10" t="n">
        <x:f>K299/Sources!$B$4*1000</x:f>
        <x:v>7.749308920547165</x:v>
      </x:c>
      <x:c r="M299" s="10" t="n">
        <x:f>E299/Sources!$B$4*1000</x:f>
        <x:v>19.9352152298686</x:v>
      </x:c>
      <x:c r="N299" s="9" t="n">
        <x:f>Sources!$B$6-K299</x:f>
        <x:v>31997</x:v>
      </x:c>
    </x:row>
    <x:row r="300" ht="23" customHeight="1">
      <x:c r="A300" s="9" t="n">
        <x:v>299</x:v>
      </x:c>
      <x:c r="B300" s="9" t="n">
        <x:v>357</x:v>
      </x:c>
      <x:c r="C300" s="9" t="n">
        <x:v>1079</x:v>
      </x:c>
      <x:c r="D300" s="9" t="n">
        <x:v>1</x:v>
      </x:c>
      <x:c r="E300" s="9" t="n">
        <x:v>71373</x:v>
      </x:c>
      <x:c r="F300" s="9" t="n">
        <x:v>778</x:v>
      </x:c>
      <x:c r="G300" s="9" t="n">
        <x:v>26467</x:v>
      </x:c>
      <x:c r="H300" s="9" t="n">
        <x:v>43604.99999999255</x:v>
      </x:c>
      <x:c r="I300" s="9" t="n">
        <x:v>417</x:v>
      </x:c>
      <x:c r="J300" s="9" t="n">
        <x:v>106.00000000745058</x:v>
      </x:c>
      <x:c r="K300" s="9" t="n">
        <x:f>F300+G300+I300+J300</x:f>
        <x:v>27768.00000000745</x:v>
      </x:c>
      <x:c r="L300" s="10" t="n">
        <x:f>K300/Sources!$B$4*1000</x:f>
        <x:v>7.757410508879606</x:v>
      </x:c>
      <x:c r="M300" s="10" t="n">
        <x:f>E300/Sources!$B$4*1000</x:f>
        <x:v>19.939126341476364</x:v>
      </x:c>
      <x:c r="N300" s="9" t="n">
        <x:f>Sources!$B$6-K300</x:f>
        <x:v>31967.99999999255</x:v>
      </x:c>
    </x:row>
    <x:row r="301" ht="23" customHeight="1">
      <x:c r="A301" s="9" t="n">
        <x:v>300</x:v>
      </x:c>
      <x:c r="B301" s="9" t="n">
        <x:v>357</x:v>
      </x:c>
      <x:c r="C301" s="9" t="n">
        <x:v>1079</x:v>
      </x:c>
      <x:c r="D301" s="9" t="n">
        <x:v>1</x:v>
      </x:c>
      <x:c r="E301" s="9" t="n">
        <x:v>71354</x:v>
      </x:c>
      <x:c r="F301" s="9" t="n">
        <x:v>777.9999999925494</x:v>
      </x:c>
      <x:c r="G301" s="9" t="n">
        <x:v>26446.00000000745</x:v>
      </x:c>
      <x:c r="H301" s="9" t="n">
        <x:v>43615</x:v>
      </x:c>
      <x:c r="I301" s="9" t="n">
        <x:v>409</x:v>
      </x:c>
      <x:c r="J301" s="9" t="n">
        <x:v>106</x:v>
      </x:c>
      <x:c r="K301" s="9" t="n">
        <x:f>F301+G301+I301+J301</x:f>
        <x:v>27739</x:v>
      </x:c>
      <x:c r="L301" s="10" t="n">
        <x:f>K301/Sources!$B$4*1000</x:f>
        <x:v>7.749308920547165</x:v>
      </x:c>
      <x:c r="M301" s="10" t="n">
        <x:f>E301/Sources!$B$4*1000</x:f>
        <x:v>19.9338184042944</x:v>
      </x:c>
      <x:c r="N301" s="9" t="n">
        <x:f>Sources!$B$6-K301</x:f>
        <x:v>31997</x:v>
      </x:c>
    </x:row>
    <x:row r="302" ht="23" customHeight="1">
      <x:c r="A302" s="9" t="n">
        <x:v>301</x:v>
      </x:c>
      <x:c r="B302" s="9" t="n">
        <x:v>357</x:v>
      </x:c>
      <x:c r="C302" s="9" t="n">
        <x:v>1079</x:v>
      </x:c>
      <x:c r="D302" s="9" t="n">
        <x:v>1</x:v>
      </x:c>
      <x:c r="E302" s="9" t="n">
        <x:v>71373</x:v>
      </x:c>
      <x:c r="F302" s="9" t="n">
        <x:v>778</x:v>
      </x:c>
      <x:c r="G302" s="9" t="n">
        <x:v>26466.99999999255</x:v>
      </x:c>
      <x:c r="H302" s="9" t="n">
        <x:v>43605</x:v>
      </x:c>
      <x:c r="I302" s="9" t="n">
        <x:v>417.0000000074506</x:v>
      </x:c>
      <x:c r="J302" s="9" t="n">
        <x:v>106</x:v>
      </x:c>
      <x:c r="K302" s="9" t="n">
        <x:f>F302+G302+I302+J302</x:f>
        <x:v>27768</x:v>
      </x:c>
      <x:c r="L302" s="10" t="n">
        <x:f>K302/Sources!$B$4*1000</x:f>
        <x:v>7.757410508877525</x:v>
      </x:c>
      <x:c r="M302" s="10" t="n">
        <x:f>E302/Sources!$B$4*1000</x:f>
        <x:v>19.939126341476364</x:v>
      </x:c>
      <x:c r="N302" s="9" t="n">
        <x:f>Sources!$B$6-K302</x:f>
        <x:v>31968</x:v>
      </x:c>
    </x:row>
    <x:row r="303" ht="23" customHeight="1">
      <x:c r="A303" s="9" t="n">
        <x:v>302</x:v>
      </x:c>
      <x:c r="B303" s="9" t="n">
        <x:v>357</x:v>
      </x:c>
      <x:c r="C303" s="9" t="n">
        <x:v>1079</x:v>
      </x:c>
      <x:c r="D303" s="9" t="n">
        <x:v>1</x:v>
      </x:c>
      <x:c r="E303" s="9" t="n">
        <x:v>71353.99999999255</x:v>
      </x:c>
      <x:c r="F303" s="9" t="n">
        <x:v>778</x:v>
      </x:c>
      <x:c r="G303" s="9" t="n">
        <x:v>26446</x:v>
      </x:c>
      <x:c r="H303" s="9" t="n">
        <x:v>43615</x:v>
      </x:c>
      <x:c r="I303" s="9" t="n">
        <x:v>409</x:v>
      </x:c>
      <x:c r="J303" s="9" t="n">
        <x:v>105.99999999254942</x:v>
      </x:c>
      <x:c r="K303" s="9" t="n">
        <x:f>F303+G303+I303+J303</x:f>
        <x:v>27738.99999999255</x:v>
      </x:c>
      <x:c r="L303" s="10" t="n">
        <x:f>K303/Sources!$B$4*1000</x:f>
        <x:v>7.749308920545083</x:v>
      </x:c>
      <x:c r="M303" s="10" t="n">
        <x:f>E303/Sources!$B$4*1000</x:f>
        <x:v>19.93381840429232</x:v>
      </x:c>
      <x:c r="N303" s="9" t="n">
        <x:f>Sources!$B$6-K303</x:f>
        <x:v>31997.00000000745</x:v>
      </x:c>
    </x:row>
    <x:row r="304" ht="23" customHeight="1">
      <x:c r="A304" s="9" t="n">
        <x:v>303</x:v>
      </x:c>
      <x:c r="B304" s="9" t="n">
        <x:v>357</x:v>
      </x:c>
      <x:c r="C304" s="9" t="n">
        <x:v>1079</x:v>
      </x:c>
      <x:c r="D304" s="9" t="n">
        <x:v>1</x:v>
      </x:c>
      <x:c r="E304" s="9" t="n">
        <x:v>71373.00000000745</x:v>
      </x:c>
      <x:c r="F304" s="9" t="n">
        <x:v>778</x:v>
      </x:c>
      <x:c r="G304" s="9" t="n">
        <x:v>26467</x:v>
      </x:c>
      <x:c r="H304" s="9" t="n">
        <x:v>43605</x:v>
      </x:c>
      <x:c r="I304" s="9" t="n">
        <x:v>417</x:v>
      </x:c>
      <x:c r="J304" s="9" t="n">
        <x:v>106.00000000745058</x:v>
      </x:c>
      <x:c r="K304" s="9" t="n">
        <x:f>F304+G304+I304+J304</x:f>
        <x:v>27768.00000000745</x:v>
      </x:c>
      <x:c r="L304" s="10" t="n">
        <x:f>K304/Sources!$B$4*1000</x:f>
        <x:v>7.757410508879606</x:v>
      </x:c>
      <x:c r="M304" s="10" t="n">
        <x:f>E304/Sources!$B$4*1000</x:f>
        <x:v>19.939126341478442</x:v>
      </x:c>
      <x:c r="N304" s="9" t="n">
        <x:f>Sources!$B$6-K304</x:f>
        <x:v>31967.99999999255</x:v>
      </x:c>
    </x:row>
    <x:row r="305" ht="23" customHeight="1">
      <x:c r="A305" s="9" t="n">
        <x:v>304</x:v>
      </x:c>
      <x:c r="B305" s="9" t="n">
        <x:v>357</x:v>
      </x:c>
      <x:c r="C305" s="9" t="n">
        <x:v>1079</x:v>
      </x:c>
      <x:c r="D305" s="9" t="n">
        <x:v>1</x:v>
      </x:c>
      <x:c r="E305" s="9" t="n">
        <x:v>71353.99999999255</x:v>
      </x:c>
      <x:c r="F305" s="9" t="n">
        <x:v>778</x:v>
      </x:c>
      <x:c r="G305" s="9" t="n">
        <x:v>26446</x:v>
      </x:c>
      <x:c r="H305" s="9" t="n">
        <x:v>43615</x:v>
      </x:c>
      <x:c r="I305" s="9" t="n">
        <x:v>408.9999999925494</x:v>
      </x:c>
      <x:c r="J305" s="9" t="n">
        <x:v>106</x:v>
      </x:c>
      <x:c r="K305" s="9" t="n">
        <x:f>F305+G305+I305+J305</x:f>
        <x:v>27738.99999999255</x:v>
      </x:c>
      <x:c r="L305" s="10" t="n">
        <x:f>K305/Sources!$B$4*1000</x:f>
        <x:v>7.749308920545083</x:v>
      </x:c>
      <x:c r="M305" s="10" t="n">
        <x:f>E305/Sources!$B$4*1000</x:f>
        <x:v>19.93381840429232</x:v>
      </x:c>
      <x:c r="N305" s="9" t="n">
        <x:f>Sources!$B$6-K305</x:f>
        <x:v>31997.00000000745</x:v>
      </x:c>
    </x:row>
    <x:row r="306" ht="23" customHeight="1">
      <x:c r="A306" s="9" t="n">
        <x:v>305</x:v>
      </x:c>
      <x:c r="B306" s="9" t="n">
        <x:v>357</x:v>
      </x:c>
      <x:c r="C306" s="9" t="n">
        <x:v>1079</x:v>
      </x:c>
      <x:c r="D306" s="9" t="n">
        <x:v>1</x:v>
      </x:c>
      <x:c r="E306" s="9" t="n">
        <x:v>71373</x:v>
      </x:c>
      <x:c r="F306" s="9" t="n">
        <x:v>778</x:v>
      </x:c>
      <x:c r="G306" s="9" t="n">
        <x:v>26467.00000000745</x:v>
      </x:c>
      <x:c r="H306" s="9" t="n">
        <x:v>43605</x:v>
      </x:c>
      <x:c r="I306" s="9" t="n">
        <x:v>417</x:v>
      </x:c>
      <x:c r="J306" s="9" t="n">
        <x:v>105.99999999254942</x:v>
      </x:c>
      <x:c r="K306" s="9" t="n">
        <x:f>F306+G306+I306+J306</x:f>
        <x:v>27768</x:v>
      </x:c>
      <x:c r="L306" s="10" t="n">
        <x:f>K306/Sources!$B$4*1000</x:f>
        <x:v>7.757410508877525</x:v>
      </x:c>
      <x:c r="M306" s="10" t="n">
        <x:f>E306/Sources!$B$4*1000</x:f>
        <x:v>19.939126341476364</x:v>
      </x:c>
      <x:c r="N306" s="9" t="n">
        <x:f>Sources!$B$6-K306</x:f>
        <x:v>31968</x:v>
      </x:c>
    </x:row>
    <x:row r="307" ht="23" customHeight="1">
      <x:c r="A307" s="9" t="n">
        <x:v>306</x:v>
      </x:c>
      <x:c r="B307" s="9" t="n">
        <x:v>357</x:v>
      </x:c>
      <x:c r="C307" s="9" t="n">
        <x:v>1079</x:v>
      </x:c>
      <x:c r="D307" s="9" t="n">
        <x:v>1</x:v>
      </x:c>
      <x:c r="E307" s="9" t="n">
        <x:v>71359.00000000745</x:v>
      </x:c>
      <x:c r="F307" s="9" t="n">
        <x:v>778</x:v>
      </x:c>
      <x:c r="G307" s="9" t="n">
        <x:v>26445.99999999255</x:v>
      </x:c>
      <x:c r="H307" s="9" t="n">
        <x:v>43620</x:v>
      </x:c>
      <x:c r="I307" s="9" t="n">
        <x:v>409</x:v>
      </x:c>
      <x:c r="J307" s="9" t="n">
        <x:v>106.00000001490116</x:v>
      </x:c>
      <x:c r="K307" s="9" t="n">
        <x:f>F307+G307+I307+J307</x:f>
        <x:v>27739.00000000745</x:v>
      </x:c>
      <x:c r="L307" s="10" t="n">
        <x:f>K307/Sources!$B$4*1000</x:f>
        <x:v>7.749308920549246</x:v>
      </x:c>
      <x:c r="M307" s="10" t="n">
        <x:f>E307/Sources!$B$4*1000</x:f>
        <x:v>19.935215229870682</x:v>
      </x:c>
      <x:c r="N307" s="9" t="n">
        <x:f>Sources!$B$6-K307</x:f>
        <x:v>31996.99999999255</x:v>
      </x:c>
    </x:row>
    <x:row r="308" ht="23" customHeight="1">
      <x:c r="A308" s="9" t="n">
        <x:v>307</x:v>
      </x:c>
      <x:c r="B308" s="9" t="n">
        <x:v>357</x:v>
      </x:c>
      <x:c r="C308" s="9" t="n">
        <x:v>1079</x:v>
      </x:c>
      <x:c r="D308" s="9" t="n">
        <x:v>1</x:v>
      </x:c>
      <x:c r="E308" s="9" t="n">
        <x:v>71367.99999999255</x:v>
      </x:c>
      <x:c r="F308" s="9" t="n">
        <x:v>777.9999999925494</x:v>
      </x:c>
      <x:c r="G308" s="9" t="n">
        <x:v>26467.00000000745</x:v>
      </x:c>
      <x:c r="H308" s="9" t="n">
        <x:v>43600</x:v>
      </x:c>
      <x:c r="I308" s="9" t="n">
        <x:v>416.9999999925494</x:v>
      </x:c>
      <x:c r="J308" s="9" t="n">
        <x:v>106</x:v>
      </x:c>
      <x:c r="K308" s="9" t="n">
        <x:f>F308+G308+I308+J308</x:f>
        <x:v>27767.99999999255</x:v>
      </x:c>
      <x:c r="L308" s="10" t="n">
        <x:f>K308/Sources!$B$4*1000</x:f>
        <x:v>7.757410508875443</x:v>
      </x:c>
      <x:c r="M308" s="10" t="n">
        <x:f>E308/Sources!$B$4*1000</x:f>
        <x:v>19.93772951590008</x:v>
      </x:c>
      <x:c r="N308" s="9" t="n">
        <x:f>Sources!$B$6-K308</x:f>
        <x:v>31968.00000000745</x:v>
      </x:c>
    </x:row>
    <x:row r="309" ht="23" customHeight="1">
      <x:c r="A309" s="9" t="n">
        <x:v>308</x:v>
      </x:c>
      <x:c r="B309" s="9" t="n">
        <x:v>357</x:v>
      </x:c>
      <x:c r="C309" s="9" t="n">
        <x:v>1079</x:v>
      </x:c>
      <x:c r="D309" s="9" t="n">
        <x:v>1</x:v>
      </x:c>
      <x:c r="E309" s="9" t="n">
        <x:v>71359.00000000745</x:v>
      </x:c>
      <x:c r="F309" s="9" t="n">
        <x:v>778</x:v>
      </x:c>
      <x:c r="G309" s="9" t="n">
        <x:v>26446</x:v>
      </x:c>
      <x:c r="H309" s="9" t="n">
        <x:v>43620</x:v>
      </x:c>
      <x:c r="I309" s="9" t="n">
        <x:v>409.0000000074506</x:v>
      </x:c>
      <x:c r="J309" s="9" t="n">
        <x:v>106</x:v>
      </x:c>
      <x:c r="K309" s="9" t="n">
        <x:f>F309+G309+I309+J309</x:f>
        <x:v>27739.00000000745</x:v>
      </x:c>
      <x:c r="L309" s="10" t="n">
        <x:f>K309/Sources!$B$4*1000</x:f>
        <x:v>7.749308920549246</x:v>
      </x:c>
      <x:c r="M309" s="10" t="n">
        <x:f>E309/Sources!$B$4*1000</x:f>
        <x:v>19.935215229870682</x:v>
      </x:c>
      <x:c r="N309" s="9" t="n">
        <x:f>Sources!$B$6-K309</x:f>
        <x:v>31996.99999999255</x:v>
      </x:c>
    </x:row>
    <x:row r="310" ht="23" customHeight="1">
      <x:c r="A310" s="9" t="n">
        <x:v>309</x:v>
      </x:c>
      <x:c r="B310" s="9" t="n">
        <x:v>357</x:v>
      </x:c>
      <x:c r="C310" s="9" t="n">
        <x:v>1079</x:v>
      </x:c>
      <x:c r="D310" s="9" t="n">
        <x:v>1</x:v>
      </x:c>
      <x:c r="E310" s="9" t="n">
        <x:v>71373</x:v>
      </x:c>
      <x:c r="F310" s="9" t="n">
        <x:v>778</x:v>
      </x:c>
      <x:c r="G310" s="9" t="n">
        <x:v>26467</x:v>
      </x:c>
      <x:c r="H310" s="9" t="n">
        <x:v>43605</x:v>
      </x:c>
      <x:c r="I310" s="9" t="n">
        <x:v>416.9999999925494</x:v>
      </x:c>
      <x:c r="J310" s="9" t="n">
        <x:v>106.00000000745058</x:v>
      </x:c>
      <x:c r="K310" s="9" t="n">
        <x:f>F310+G310+I310+J310</x:f>
        <x:v>27768</x:v>
      </x:c>
      <x:c r="L310" s="10" t="n">
        <x:f>K310/Sources!$B$4*1000</x:f>
        <x:v>7.757410508877525</x:v>
      </x:c>
      <x:c r="M310" s="10" t="n">
        <x:f>E310/Sources!$B$4*1000</x:f>
        <x:v>19.939126341476364</x:v>
      </x:c>
      <x:c r="N310" s="9" t="n">
        <x:f>Sources!$B$6-K310</x:f>
        <x:v>31968</x:v>
      </x:c>
    </x:row>
    <x:row r="311" ht="23" customHeight="1">
      <x:c r="A311" s="9" t="n">
        <x:v>310</x:v>
      </x:c>
      <x:c r="B311" s="9" t="n">
        <x:v>357</x:v>
      </x:c>
      <x:c r="C311" s="9" t="n">
        <x:v>1079</x:v>
      </x:c>
      <x:c r="D311" s="9" t="n">
        <x:v>1</x:v>
      </x:c>
      <x:c r="E311" s="9" t="n">
        <x:v>71354</x:v>
      </x:c>
      <x:c r="F311" s="9" t="n">
        <x:v>777.9999999925494</x:v>
      </x:c>
      <x:c r="G311" s="9" t="n">
        <x:v>26446.00000000745</x:v>
      </x:c>
      <x:c r="H311" s="9" t="n">
        <x:v>43615</x:v>
      </x:c>
      <x:c r="I311" s="9" t="n">
        <x:v>409</x:v>
      </x:c>
      <x:c r="J311" s="9" t="n">
        <x:v>106</x:v>
      </x:c>
      <x:c r="K311" s="9" t="n">
        <x:f>F311+G311+I311+J311</x:f>
        <x:v>27739</x:v>
      </x:c>
      <x:c r="L311" s="10" t="n">
        <x:f>K311/Sources!$B$4*1000</x:f>
        <x:v>7.749308920547165</x:v>
      </x:c>
      <x:c r="M311" s="10" t="n">
        <x:f>E311/Sources!$B$4*1000</x:f>
        <x:v>19.9338184042944</x:v>
      </x:c>
      <x:c r="N311" s="9" t="n">
        <x:f>Sources!$B$6-K311</x:f>
        <x:v>31997</x:v>
      </x:c>
    </x:row>
    <x:row r="312" ht="23" customHeight="1">
      <x:c r="A312" s="9" t="n">
        <x:v>311</x:v>
      </x:c>
      <x:c r="B312" s="9" t="n">
        <x:v>357</x:v>
      </x:c>
      <x:c r="C312" s="9" t="n">
        <x:v>1079</x:v>
      </x:c>
      <x:c r="D312" s="9" t="n">
        <x:v>1</x:v>
      </x:c>
      <x:c r="E312" s="9" t="n">
        <x:v>71373</x:v>
      </x:c>
      <x:c r="F312" s="9" t="n">
        <x:v>778</x:v>
      </x:c>
      <x:c r="G312" s="9" t="n">
        <x:v>26466.99999999255</x:v>
      </x:c>
      <x:c r="H312" s="9" t="n">
        <x:v>43604.99999999255</x:v>
      </x:c>
      <x:c r="I312" s="9" t="n">
        <x:v>417.0000000074506</x:v>
      </x:c>
      <x:c r="J312" s="9" t="n">
        <x:v>106.00000000745058</x:v>
      </x:c>
      <x:c r="K312" s="9" t="n">
        <x:f>F312+G312+I312+J312</x:f>
        <x:v>27768.00000000745</x:v>
      </x:c>
      <x:c r="L312" s="10" t="n">
        <x:f>K312/Sources!$B$4*1000</x:f>
        <x:v>7.757410508879606</x:v>
      </x:c>
      <x:c r="M312" s="10" t="n">
        <x:f>E312/Sources!$B$4*1000</x:f>
        <x:v>19.939126341476364</x:v>
      </x:c>
      <x:c r="N312" s="9" t="n">
        <x:f>Sources!$B$6-K312</x:f>
        <x:v>31967.99999999255</x:v>
      </x:c>
    </x:row>
    <x:row r="313" ht="23" customHeight="1">
      <x:c r="A313" s="9" t="n">
        <x:v>312</x:v>
      </x:c>
      <x:c r="B313" s="9" t="n">
        <x:v>357</x:v>
      </x:c>
      <x:c r="C313" s="9" t="n">
        <x:v>1079</x:v>
      </x:c>
      <x:c r="D313" s="9" t="n">
        <x:v>1</x:v>
      </x:c>
      <x:c r="E313" s="9" t="n">
        <x:v>71354</x:v>
      </x:c>
      <x:c r="F313" s="9" t="n">
        <x:v>778</x:v>
      </x:c>
      <x:c r="G313" s="9" t="n">
        <x:v>26446</x:v>
      </x:c>
      <x:c r="H313" s="9" t="n">
        <x:v>43615</x:v>
      </x:c>
      <x:c r="I313" s="9" t="n">
        <x:v>409</x:v>
      </x:c>
      <x:c r="J313" s="9" t="n">
        <x:v>106</x:v>
      </x:c>
      <x:c r="K313" s="9" t="n">
        <x:f>F313+G313+I313+J313</x:f>
        <x:v>27739</x:v>
      </x:c>
      <x:c r="L313" s="10" t="n">
        <x:f>K313/Sources!$B$4*1000</x:f>
        <x:v>7.749308920547165</x:v>
      </x:c>
      <x:c r="M313" s="10" t="n">
        <x:f>E313/Sources!$B$4*1000</x:f>
        <x:v>19.9338184042944</x:v>
      </x:c>
      <x:c r="N313" s="9" t="n">
        <x:f>Sources!$B$6-K313</x:f>
        <x:v>31997</x:v>
      </x:c>
    </x:row>
  </x:sheetData>
  <x:conditionalFormatting sqref="N6:N313">
    <x:cfRule type="cellIs" dxfId="1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2276fa75d5b476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3" hidden="0" customWidth="1"/>
    <x:col min="2" max="2" width="24" hidden="0" customWidth="1"/>
    <x:col min="3" max="3" width="3" hidden="0" customWidth="1"/>
    <x:col min="4" max="4" width="117" hidden="0" customWidth="1"/>
  </x:cols>
  <x:sheetData>
    <x:row r="1" ht="23" customHeight="1">
      <x:c r="A1" s="1"/>
      <x:c r="B1" s="1"/>
      <x:c r="C1" s="1"/>
      <x:c r="D1" s="1"/>
    </x:row>
    <x:row r="2" ht="23" customHeight="1">
      <x:c r="A2" s="2" t="str">
        <x:v>Inputs, provenance and acceptance</x:v>
      </x:c>
      <x:c r="B2" s="1"/>
      <x:c r="C2" s="1"/>
      <x:c r="D2" s="1"/>
    </x:row>
    <x:row r="3" ht="36" customHeight="1">
      <x:c r="A3" s="7" t="str">
        <x:v>Input</x:v>
      </x:c>
      <x:c r="B3" s="7" t="str">
        <x:v>Value</x:v>
      </x:c>
      <x:c r="C3" s="1"/>
      <x:c r="D3" s="1"/>
    </x:row>
    <x:row r="4" ht="23" customHeight="1">
      <x:c r="A4" s="1" t="str">
        <x:v>CPU clock (Hz)</x:v>
      </x:c>
      <x:c r="B4" s="13" t="n">
        <x:v>3579545</x:v>
      </x:c>
      <x:c r="C4" s="1"/>
      <x:c r="D4" s="16" t="str">
        <x:v>Clock and scanline model: scripts/msx/inputs.py; ROM selects R9=$82 (50 Hz).</x:v>
      </x:c>
    </x:row>
    <x:row r="5" ht="23" customHeight="1">
      <x:c r="A5" s="1" t="str">
        <x:v>Current refresh (cycles)</x:v>
      </x:c>
      <x:c r="B5" s="13" t="n">
        <x:v>71364</x:v>
      </x:c>
      <x:c r="C5" s="1"/>
      <x:c r="D5" s="16"/>
    </x:row>
    <x:row r="6" ht="23" customHeight="1">
      <x:c r="A6" s="1" t="str">
        <x:v>60 Hz draw interval (cycles)</x:v>
      </x:c>
      <x:c r="B6" s="13" t="n">
        <x:v>59736</x:v>
      </x:c>
      <x:c r="C6" s="1"/>
      <x:c r="D6" s="16" t="str">
        <x:v>262 × 228 cycles is the proposed 60 Hz comparison; no 60 Hz gameplay validation yet.</x:v>
      </x:c>
    </x:row>
    <x:row r="7" ht="23" customHeight="1">
      <x:c r="A7" s="1" t="str">
        <x:v>VBlank reserve (cycles)</x:v>
      </x:c>
      <x:c r="B7" s="14" t="n">
        <x:v>5000</x:v>
      </x:c>
      <x:c r="C7" s="1"/>
      <x:c r="D7" s="16" t="str">
        <x:v>Interpretation of the user budget: 5,000 cycles; actual usable VBlank deadline remains to be measured.</x:v>
      </x:c>
    </x:row>
    <x:row r="8" ht="23" customHeight="1">
      <x:c r="A8" s="1" t="str">
        <x:v>Target gameplay FPS</x:v>
      </x:c>
      <x:c r="B8" s="13" t="n">
        <x:v>30</x:v>
      </x:c>
      <x:c r="C8" s="1"/>
      <x:c r="D8" s="16"/>
    </x:row>
    <x:row r="9" ht="23" customHeight="1">
      <x:c r="A9" s="1" t="str">
        <x:v>Current nominal video Hz</x:v>
      </x:c>
      <x:c r="B9" s="13" t="n">
        <x:v>50</x:v>
      </x:c>
      <x:c r="C9" s="1"/>
      <x:c r="D9" s="16"/>
    </x:row>
    <x:row r="10" ht="23" customHeight="1">
      <x:c r="A10" s="1" t="str">
        <x:v>Current lines / refresh</x:v>
      </x:c>
      <x:c r="B10" s="13" t="n">
        <x:v>313</x:v>
      </x:c>
      <x:c r="C10" s="1"/>
      <x:c r="D10" s="16"/>
    </x:row>
    <x:row r="11" ht="23" customHeight="1">
      <x:c r="A11" s="1" t="str">
        <x:v>CPU clocks / scanline</x:v>
      </x:c>
      <x:c r="B11" s="13" t="n">
        <x:v>228</x:v>
      </x:c>
      <x:c r="C11" s="1"/>
      <x:c r="D11" s="16"/>
    </x:row>
    <x:row r="12" ht="23" customHeight="1">
      <x:c r="A12" s="1" t="str">
        <x:v>Target lines / refresh</x:v>
      </x:c>
      <x:c r="B12" s="13" t="n">
        <x:v>262</x:v>
      </x:c>
      <x:c r="C12" s="1"/>
      <x:c r="D12" s="16"/>
    </x:row>
    <x:row r="13" ht="23" customHeight="1">
      <x:c r="A13" s="1"/>
      <x:c r="B13" s="1"/>
      <x:c r="C13" s="1"/>
      <x:c r="D13" s="16"/>
    </x:row>
    <x:row r="14" ht="23" customHeight="1">
      <x:c r="A14" s="1"/>
      <x:c r="B14" s="1"/>
      <x:c r="C14" s="1"/>
      <x:c r="D14" s="16"/>
    </x:row>
    <x:row r="15" ht="36" customHeight="1">
      <x:c r="A15" s="7" t="str">
        <x:v>Measurement</x:v>
      </x:c>
      <x:c r="B15" s="7" t="str">
        <x:v>Source / value</x:v>
      </x:c>
      <x:c r="C15" s="1"/>
      <x:c r="D15" s="16"/>
    </x:row>
    <x:row r="16" ht="23" customHeight="1">
      <x:c r="A16" s="1" t="str">
        <x:v>Measured presentations</x:v>
      </x:c>
      <x:c r="B16" s="1" t="n">
        <x:v>308</x:v>
      </x:c>
      <x:c r="C16" s="1"/>
      <x:c r="D16" s="16" t="str">
        <x:v>continuous keys, 1/2 px per tick; frames 5..312</x:v>
      </x:c>
    </x:row>
    <x:row r="17" ht="23" customHeight="1">
      <x:c r="A17" s="1" t="str">
        <x:v>Machine</x:v>
      </x:c>
      <x:c r="B17" s="1" t="str">
        <x:v>Panasonic_FS-A1WSX_NR128</x:v>
      </x:c>
      <x:c r="C17" s="1"/>
      <x:c r="D17" s="16" t="str">
        <x:v>Contributor ROM; no graphics or original ROM bytes are embedded in this workbook.</x:v>
      </x:c>
    </x:row>
    <x:row r="18" ht="23" customHeight="1">
      <x:c r="A18" s="1" t="str">
        <x:v>Emulator</x:v>
      </x:c>
      <x:c r="B18" s="1" t="str">
        <x:v>openMSX 21.0</x:v>
      </x:c>
      <x:c r="C18" s="1"/>
      <x:c r="D18" s="16" t="str">
        <x:v>Measured using emulated time × clock, not host wall time or opcode-table estimates.</x:v>
      </x:c>
    </x:row>
    <x:row r="19" ht="23" customHeight="1">
      <x:c r="A19" s="1" t="str">
        <x:v>ROM SHA-256</x:v>
      </x:c>
      <x:c r="B19" s="1" t="str">
        <x:v>See row 30</x:v>
      </x:c>
      <x:c r="C19" s="1"/>
      <x:c r="D19" s="16" t="str">
        <x:v>clock_irq measures ISR body through RETI; hardware entry and vector jump are excluded from its row.</x:v>
      </x:c>
    </x:row>
    <x:row r="20" ht="23" customHeight="1">
      <x:c r="A20" s="1" t="str">
        <x:v>Raw run directory</x:v>
      </x:c>
      <x:c r="B20" s="1" t="str">
        <x:v>See row 31</x:v>
      </x:c>
      <x:c r="C20" s="1"/>
      <x:c r="D20" s="16" t="str">
        <x:v>calls.tsv records every call; frames.tsv and control-frames.tsv retain independent frame observations.</x:v>
      </x:c>
    </x:row>
    <x:row r="21" ht="23" customHeight="1">
      <x:c r="A21" s="1" t="str">
        <x:v>Summary JSON</x:v>
      </x:c>
      <x:c r="B21" s="1" t="str">
        <x:v>See row 32</x:v>
      </x:c>
      <x:c r="C21" s="1"/>
      <x:c r="D21" s="16" t="str">
        <x:v>profile.py asserts nested-cost reconciliation, complete routine coverage and control-run agreement.</x:v>
      </x:c>
    </x:row>
    <x:row r="22" ht="23" customHeight="1">
      <x:c r="A22" s="1"/>
      <x:c r="B22" s="1"/>
      <x:c r="C22" s="1"/>
      <x:c r="D22" s="16"/>
    </x:row>
    <x:row r="23" ht="23" customHeight="1">
      <x:c r="A23" s="1"/>
      <x:c r="B23" s="1"/>
      <x:c r="C23" s="1"/>
      <x:c r="D23" s="16"/>
    </x:row>
    <x:row r="24" ht="23" customHeight="1">
      <x:c r="A24" s="1" t="str">
        <x:v>Acceptance rules</x:v>
      </x:c>
      <x:c r="B24" s="1"/>
      <x:c r="C24" s="1"/>
      <x:c r="D24" s="16" t="str">
        <x:v>Performance priority: approach 30 FPS with measured worst-case margins.</x:v>
      </x:c>
    </x:row>
    <x:row r="25" ht="23" customHeight="1">
      <x:c r="A25" s="1"/>
      <x:c r="B25" s="1"/>
      <x:c r="C25" s="1"/>
      <x:c r="D25" s="16" t="str">
        <x:v>User has final acceptance of every graphical or perceptual concession.</x:v>
      </x:c>
    </x:row>
    <x:row r="26" ht="23" customHeight="1">
      <x:c r="A26" s="1"/>
      <x:c r="B26" s="1"/>
      <x:c r="C26" s="1"/>
      <x:c r="D26" s="16" t="str">
        <x:v>Existing SCREEN 4 and right-edge simplifications are approved only for the laboratory.</x:v>
      </x:c>
    </x:row>
    <x:row r="27" ht="23" customHeight="1">
      <x:c r="A27" s="1"/>
      <x:c r="B27" s="1"/>
      <x:c r="C27" s="1"/>
      <x:c r="D27" s="16" t="str">
        <x:v>Flag pauses are scheduling candidates; define event duration, bounded work and resume behavior.</x:v>
      </x:c>
    </x:row>
    <x:row r="28" ht="23" customHeight="1">
      <x:c r="A28" s="1"/>
      <x:c r="B28" s="1"/>
      <x:c r="C28" s="1"/>
      <x:c r="D28" s="16" t="str">
        <x:v>No physical hardware test; production AI, sound and flag capture are outside this workload.</x:v>
      </x:c>
    </x:row>
    <x:row r="29" ht="23" customHeight="1">
      <x:c r="A29" s="1"/>
      <x:c r="B29" s="1"/>
      <x:c r="C29" s="1"/>
      <x:c r="D29" s="1"/>
    </x:row>
    <x:row r="30" ht="23" customHeight="1">
      <x:c r="A30" s="15" t="str">
        <x:v>e20f246393198bb80b63b0d85d3b49eb1c3d6da8dca61ca0835d2325608e2843</x:v>
      </x:c>
      <x:c r="B30" s="1"/>
      <x:c r="C30" s="1"/>
      <x:c r="D30" s="1"/>
    </x:row>
    <x:row r="31" ht="23" customHeight="1">
      <x:c r="A31" s="15" t="str">
        <x:v>/Users/sandersouza/Developer/msx-gamePorts/newrallyx/references/experiments/fixed-hud/profile-m9umw_8l</x:v>
      </x:c>
      <x:c r="B31" s="1"/>
      <x:c r="C31" s="1"/>
      <x:c r="D31" s="1"/>
    </x:row>
    <x:row r="32">
      <x:c r="A32" s="15" t="str">
        <x:v>/Users/sandersouza/Developer/msx-gamePorts/newrallyx/references/experiments/fixed-hud/profile-m9umw_8l/summary.json</x:v>
      </x:c>
    </x:row>
  </x:sheetData>
  <x:pageMargins left="0.7" right="0.7" top="0.75" bottom="0.75" header="0.3" footer="0.3"/>
</x:worksheet>
</file>