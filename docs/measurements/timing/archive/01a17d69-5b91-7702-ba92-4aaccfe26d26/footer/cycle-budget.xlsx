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9b57a6726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c1a73d866f644333"/>
    <x:sheet xmlns:r="http://schemas.openxmlformats.org/officeDocument/2006/relationships" name="Movement" sheetId="2" r:id="R492e7b33527243e7"/>
    <x:sheet xmlns:r="http://schemas.openxmlformats.org/officeDocument/2006/relationships" name="Routines" sheetId="3" r:id="R26ee52dbfbb04cd5"/>
    <x:sheet xmlns:r="http://schemas.openxmlformats.org/officeDocument/2006/relationships" name="Frames" sheetId="4" r:id="Rff0aa96e8e554203"/>
    <x:sheet xmlns:r="http://schemas.openxmlformats.org/officeDocument/2006/relationships" name="Sources" sheetId="5" r:id="R650f9ae4425c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#,##0"/>
    <x:numFmt numFmtId="202" formatCode="0.000"/>
    <x:numFmt numFmtId="203" formatCode="0.0%"/>
    <x:numFmt numFmtId="204" formatCode="0"/>
  </x:numFmts>
  <x:fonts count="7">
    <x:font>
      <x:sz val="11"/>
      <x:name val="Carlito"/>
    </x:font>
    <x:font>
      <x:sz val="11"/>
      <x:color rgb="FF183153"/>
      <x:name val="Arial"/>
    </x:font>
    <x:font>
      <x:b/>
      <x:sz val="18"/>
      <x:color rgb="FF183153"/>
      <x:name val="Arial"/>
    </x:font>
    <x:font>
      <x:b/>
      <x:sz val="10"/>
      <x:color rgb="FFFFFFFF"/>
      <x:name val="Arial"/>
    </x:font>
    <x:font>
      <x:sz val="11"/>
      <x:color rgb="FF2563EB"/>
      <x:name val="Arial"/>
    </x:font>
    <x:font>
      <x:sz val="10"/>
      <x:color rgb="FF526477"/>
      <x:name val="Arial"/>
    </x:font>
    <x:font>
      <x:sz val="9"/>
      <x:color rgb="FF52647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1bc8c93fe40bd" /><Relationship Type="http://schemas.openxmlformats.org/officeDocument/2006/relationships/theme" Target="/xl/theme/theme1.xml" Id="R080fd770131c4680" /><Relationship Type="http://schemas.openxmlformats.org/officeDocument/2006/relationships/sharedStrings" Target="/xl/sharedStrings.xml" Id="Ra2f959672b74472a" /><Relationship Type="http://schemas.openxmlformats.org/officeDocument/2006/relationships/worksheet" Target="/xl/worksheets/sheet1.xml" Id="Rc1a73d866f644333" /><Relationship Type="http://schemas.openxmlformats.org/officeDocument/2006/relationships/worksheet" Target="/xl/worksheets/sheet2.xml" Id="R492e7b33527243e7" /><Relationship Type="http://schemas.openxmlformats.org/officeDocument/2006/relationships/worksheet" Target="/xl/worksheets/sheet3.xml" Id="R26ee52dbfbb04cd5" /><Relationship Type="http://schemas.openxmlformats.org/officeDocument/2006/relationships/worksheet" Target="/xl/worksheets/sheet4.xml" Id="Rff0aa96e8e554203" /><Relationship Type="http://schemas.openxmlformats.org/officeDocument/2006/relationships/worksheet" Target="/xl/worksheets/sheet5.xml" Id="R650f9ae4425c4653" /></Relationships>
</file>

<file path=xl/tables/table1.xml><?xml version="1.0" encoding="utf-8"?>
<x:table xmlns:x="http://schemas.openxmlformats.org/spreadsheetml/2006/main" id="3" name="MovementCosts" displayName="MovementCosts" ref="A5:L14" headerRowCount="1" totalsRowCount="0" totalsRowShown="0">
  <x:tableColumns count="12">
    <x:tableColumn id="1" name="Axis"/>
    <x:tableColumn id="2" name="Speed"/>
    <x:tableColumn id="3" name="Camera transition"/>
    <x:tableColumn id="4" name="Frames"/>
    <x:tableColumn id="5" name="Mean cycles"/>
    <x:tableColumn id="6" name="P95 cycles"/>
    <x:tableColumn id="7" name="Max cycles"/>
    <x:tableColumn id="8" name="Mean ms"/>
    <x:tableColumn id="9" name="Max ms"/>
    <x:tableColumn id="10" name="Average FPS"/>
    <x:tableColumn id="11" name="Over 16.69 ms"/>
    <x:tableColumn id="12" name="Over 33.38 m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MovementRoutineCosts" displayName="MovementRoutineCosts" ref="A20:G29" headerRowCount="1" totalsRowCount="0" totalsRowShown="0">
  <x:tableColumns count="7">
    <x:tableColumn id="1" name="Axis"/>
    <x:tableColumn id="2" name="Speed"/>
    <x:tableColumn id="3" name="Camera transition"/>
    <x:tableColumn id="4" name="Frames"/>
    <x:tableColumn id="5" name="World ring cycles"/>
    <x:tableColumn id="6" name="HUD upload cycles"/>
    <x:tableColumn id="7" name="Name table cyc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FinePhaseCosts" displayName="FinePhaseCosts" ref="A35:G51" headerRowCount="1" totalsRowCount="0" totalsRowShown="0">
  <x:tableColumns count="7">
    <x:tableColumn id="1" name="Axis (normal speed)"/>
    <x:tableColumn id="2" name="Fine phase"/>
    <x:tableColumn id="3" name="Frames"/>
    <x:tableColumn id="4" name="Tile crossings"/>
    <x:tableColumn id="5" name="Mean cycles"/>
    <x:tableColumn id="6" name="Mean ms"/>
    <x:tableColumn id="7" name="Max m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outineCosts" displayName="RoutineCosts" ref="A5:L23" headerRowCount="1" totalsRowCount="0" totalsRowShown="0">
  <x:tableColumns count="12">
    <x:tableColumn id="1" name="Routine / hook"/>
    <x:tableColumn id="2" name="Purpose"/>
    <x:tableColumn id="3" name="Calls"/>
    <x:tableColumn id="4" name="Calls/frame"/>
    <x:tableColumn id="5" name="Min incl."/>
    <x:tableColumn id="6" name="Mean incl."/>
    <x:tableColumn id="7" name="P95 incl."/>
    <x:tableColumn id="8" name="Max incl."/>
    <x:tableColumn id="9" name="Mean self"/>
    <x:tableColumn id="10" name="Self / frame"/>
    <x:tableColumn id="11" name="Mean incl. ms"/>
    <x:tableColumn id="12" name="Self/frame % refres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FrameCosts" displayName="FrameCosts" ref="A5:U485" headerRowCount="1" totalsRowCount="0" totalsRowShown="0">
  <x:tableColumns count="21">
    <x:tableColumn id="1" name="Frame"/>
    <x:tableColumn id="2" name="Camera X"/>
    <x:tableColumn id="3" name="Camera Y"/>
    <x:tableColumn id="4" name="Input ticks"/>
    <x:tableColumn id="5" name="Total cycles"/>
    <x:tableColumn id="6" name="Input cycles"/>
    <x:tableColumn id="7" name="Render cycles"/>
    <x:tableColumn id="8" name="Wait cycles"/>
    <x:tableColumn id="9" name="Commit cycles"/>
    <x:tableColumn id="10" name="Loop overhead"/>
    <x:tableColumn id="11" name="Work cycles"/>
    <x:tableColumn id="12" name="Work ms"/>
    <x:tableColumn id="13" name="Interval ms"/>
    <x:tableColumn id="14" name="60 Hz margin cycles"/>
    <x:tableColumn id="15" name="Movement command"/>
    <x:tableColumn id="16" name="Delta X"/>
    <x:tableColumn id="17" name="Delta Y"/>
    <x:tableColumn id="18" name="Fine X"/>
    <x:tableColumn id="19" name="Fine Y"/>
    <x:tableColumn id="20" name="Camera tile crossing"/>
    <x:tableColumn id="21" name="Name strip cal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4630248efd4b19" /><Relationship Type="http://schemas.openxmlformats.org/officeDocument/2006/relationships/table" Target="/xl/tables/table2.xml" Id="R09cd3b39bdd04ce1" /><Relationship Type="http://schemas.openxmlformats.org/officeDocument/2006/relationships/table" Target="/xl/tables/table3.xml" Id="Re6f059d010db40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fa7953a9dc549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b6b97dad7dc4794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20" hidden="0" customWidth="1"/>
    <x:col min="4" max="4" width="20" hidden="0" customWidth="1"/>
    <x:col min="5" max="5" width="3" hidden="0" customWidth="1"/>
    <x:col min="6" max="6" width="91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Fixed HUD cycle budget</x:v>
      </x:c>
      <x:c r="B2" s="1"/>
      <x:c r="C2" s="1"/>
      <x:c r="D2" s="1"/>
      <x:c r="E2" s="1"/>
      <x:c r="F2" s="1"/>
    </x:row>
    <x:row r="3" ht="23" customHeight="1">
      <x:c r="A3" s="1" t="str">
        <x:v>Measured lab workload: 480 frames, original clock, 50 Hz video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36" customHeight="1">
      <x:c r="A5" s="7" t="str">
        <x:v>Measured result</x:v>
      </x:c>
      <x:c r="B5" s="7" t="str">
        <x:v>Mean</x:v>
      </x:c>
      <x:c r="C5" s="7" t="str">
        <x:v>Maximum</x:v>
      </x:c>
      <x:c r="D5" s="7" t="str">
        <x:v>Unit</x:v>
      </x:c>
      <x:c r="E5" s="1"/>
      <x:c r="F5" s="1"/>
    </x:row>
    <x:row r="6" ht="23" customHeight="1">
      <x:c r="A6" s="1" t="str">
        <x:v>Active work per presentation</x:v>
      </x:c>
      <x:c r="B6" s="8" t="n">
        <x:f>AVERAGE(Frames!L6:L485)</x:f>
        <x:v>17.946242702168355</x:v>
      </x:c>
      <x:c r="C6" s="8" t="n">
        <x:f>MAX(Frames!L6:L485)</x:f>
        <x:v>31.660448464818852</x:v>
      </x:c>
      <x:c r="D6" s="1" t="str">
        <x:v>ms</x:v>
      </x:c>
      <x:c r="E6" s="1"/>
      <x:c r="F6" s="16" t="str">
        <x:v>Active work excludes wait_blank, which contains HALT and its wake-up ISR.</x:v>
      </x:c>
    </x:row>
    <x:row r="7" ht="23" customHeight="1">
      <x:c r="A7" s="1" t="str">
        <x:v>Presentation interval</x:v>
      </x:c>
      <x:c r="B7" s="8" t="n">
        <x:f>AVERAGE(Frames!M6:M485)</x:f>
        <x:v>25.66838918540399</x:v>
      </x:c>
      <x:c r="C7" s="8" t="n">
        <x:f>MAX(Frames!M6:M485)</x:f>
        <x:v>39.87657649226368</x:v>
      </x:c>
      <x:c r="D7" s="1" t="str">
        <x:v>ms</x:v>
      </x:c>
      <x:c r="E7" s="1"/>
      <x:c r="F7" s="16" t="str">
        <x:v>Cadence alternates between one and two refreshes. Average FPS is not stable FPS.</x:v>
      </x:c>
    </x:row>
    <x:row r="8" ht="23" customHeight="1">
      <x:c r="A8" s="1" t="str">
        <x:v>Presented frames / second</x:v>
      </x:c>
      <x:c r="B8" s="8" t="n">
        <x:f>1000/B7</x:f>
        <x:v>38.95842441755705</x:v>
      </x:c>
      <x:c r="C8" s="8" t="n">
        <x:f>1000/MIN(Frames!M6:M485)</x:f>
        <x:v>50.16740946294952</x:v>
      </x:c>
      <x:c r="D8" s="1" t="str">
        <x:v>FPS</x:v>
      </x:c>
      <x:c r="E8" s="1"/>
      <x:c r="F8" s="16"/>
    </x:row>
    <x:row r="9" ht="23" customHeight="1">
      <x:c r="A9" s="1" t="str">
        <x:v>Atomic VDP commit</x:v>
      </x:c>
      <x:c r="B9" s="9" t="n">
        <x:f>AVERAGE(Frames!I6:I485)</x:f>
        <x:v>473.00000000015524</x:v>
      </x:c>
      <x:c r="C9" s="9" t="n">
        <x:f>MAX(Frames!I6:I485)</x:f>
        <x:v>477.00000001490116</x:v>
      </x:c>
      <x:c r="D9" s="1" t="str">
        <x:v>cycles</x:v>
      </x:c>
      <x:c r="E9" s="1"/>
      <x:c r="F9" s="16" t="str">
        <x:v>Commit costs do not include VRAM preparation, which runs on back buffers.</x:v>
      </x:c>
    </x:row>
    <x:row r="10" ht="23" customHeight="1">
      <x:c r="A10" s="1" t="str">
        <x:v>Drawing work over 60 Hz budget</x:v>
      </x:c>
      <x:c r="B10" s="9" t="n">
        <x:f>COUNTIF(Frames!N6:N485,"&lt;0")</x:f>
        <x:v>290</x:v>
      </x:c>
      <x:c r="C10" s="9"/>
      <x:c r="D10" s="1" t="str">
        <x:v>frames</x:v>
      </x:c>
      <x:c r="E10" s="1"/>
      <x:c r="F10" s="16"/>
    </x:row>
    <x:row r="11" ht="23" customHeight="1">
      <x:c r="A11" s="1"/>
      <x:c r="B11" s="1"/>
      <x:c r="C11" s="1"/>
      <x:c r="D11" s="1"/>
      <x:c r="E11" s="1"/>
      <x:c r="F11" s="16"/>
    </x:row>
    <x:row r="12" ht="23" customHeight="1">
      <x:c r="A12" s="1"/>
      <x:c r="B12" s="1"/>
      <x:c r="C12" s="1"/>
      <x:c r="D12" s="1"/>
      <x:c r="E12" s="1"/>
      <x:c r="F12" s="16"/>
    </x:row>
    <x:row r="13" ht="36" customHeight="1">
      <x:c r="A13" s="7" t="str">
        <x:v>Planning budget</x:v>
      </x:c>
      <x:c r="B13" s="7" t="str">
        <x:v>Cycles</x:v>
      </x:c>
      <x:c r="C13" s="7" t="str">
        <x:v>Time (ms)</x:v>
      </x:c>
      <x:c r="D13" s="7" t="str">
        <x:v>Status</x:v>
      </x:c>
      <x:c r="E13" s="1"/>
      <x:c r="F13" s="16"/>
    </x:row>
    <x:row r="14" ht="23" customHeight="1">
      <x:c r="A14" s="1" t="str">
        <x:v>Current 50 Hz video refresh</x:v>
      </x:c>
      <x:c r="B14" s="9" t="n">
        <x:f>Sources!B5</x:f>
        <x:v>71364</x:v>
      </x:c>
      <x:c r="C14" s="10" t="n">
        <x:f>B14/Sources!B4*1000</x:f>
        <x:v>19.9366120554428</x:v>
      </x:c>
      <x:c r="D14" s="1" t="str">
        <x:v>Current</x:v>
      </x:c>
      <x:c r="E14" s="1"/>
      <x:c r="F14" s="16"/>
    </x:row>
    <x:row r="15" ht="23" customHeight="1">
      <x:c r="A15" s="1" t="str">
        <x:v>60 Hz video drawing interval</x:v>
      </x:c>
      <x:c r="B15" s="9" t="n">
        <x:f>Sources!B6</x:f>
        <x:v>59736</x:v>
      </x:c>
      <x:c r="C15" s="10" t="n">
        <x:f>B15/Sources!B4*1000</x:f>
        <x:v>16.68815450008311</x:v>
      </x:c>
      <x:c r="D15" s="1" t="str">
        <x:v>Planning</x:v>
      </x:c>
      <x:c r="E15" s="1"/>
      <x:c r="F15" s="16" t="str">
        <x:v>60 Hz is a planning comparison. This task does not switch the ROM from 50 Hz.</x:v>
      </x:c>
    </x:row>
    <x:row r="16" ht="23" customHeight="1">
      <x:c r="A16" s="1" t="str">
        <x:v>Two 60 Hz refreshes</x:v>
      </x:c>
      <x:c r="B16" s="9" t="n">
        <x:f>B15*2</x:f>
        <x:v>119472</x:v>
      </x:c>
      <x:c r="C16" s="10" t="n">
        <x:f>B16/Sources!B4*1000</x:f>
        <x:v>33.37630900016622</x:v>
      </x:c>
      <x:c r="D16" s="1" t="str">
        <x:v>Planning</x:v>
      </x:c>
      <x:c r="E16" s="1"/>
      <x:c r="F16" s="16" t="str">
        <x:v>Two refreshes allow near-30 FPS only with a deliberate, bounded scheduler.</x:v>
      </x:c>
    </x:row>
    <x:row r="17" ht="23" customHeight="1">
      <x:c r="A17" s="1" t="str">
        <x:v>VBlank work reserve</x:v>
      </x:c>
      <x:c r="B17" s="9" t="n">
        <x:f>Sources!B7</x:f>
        <x:v>5000</x:v>
      </x:c>
      <x:c r="C17" s="10" t="n">
        <x:f>B17/Sources!B4*1000</x:f>
        <x:v>1.3968255742000728</x:v>
      </x:c>
      <x:c r="D17" s="1" t="str">
        <x:v>Assumption</x:v>
      </x:c>
      <x:c r="E17" s="1"/>
      <x:c r="F17" s="16" t="str">
        <x:v>5,000 cycles is a provisional usable-work reserve, not a measured VBlank length.</x:v>
      </x:c>
    </x:row>
    <x:row r="18" ht="23" customHeight="1">
      <x:c r="A18" s="1" t="str">
        <x:v>Target presentation interval</x:v>
      </x:c>
      <x:c r="B18" s="9" t="n">
        <x:f>Sources!B4/Sources!B8</x:f>
        <x:v>119318.16666666667</x:v>
      </x:c>
      <x:c r="C18" s="10" t="n">
        <x:f>1000/Sources!B8</x:f>
        <x:v>33.333333333333336</x:v>
      </x:c>
      <x:c r="D18" s="1" t="str">
        <x:v>Goal</x:v>
      </x:c>
      <x:c r="E18" s="1"/>
      <x:c r="F18" s="16" t="str">
        <x:v>Approximately 30 FPS is the goal; all quality and pause acceptance belongs to the user.</x:v>
      </x:c>
    </x:row>
    <x:row r="19" ht="23" customHeight="1">
      <x:c r="A19" s="1" t="str">
        <x:v>Current mean work: 60 Hz margin</x:v>
      </x:c>
      <x:c r="B19" s="9" t="n">
        <x:f>B15-AVERAGE(Frames!K6:K485)</x:f>
        <x:v>-4503.3833333332295</x:v>
      </x:c>
      <x:c r="C19" s="10" t="n">
        <x:f>B19/Sources!B4*1000</x:f>
        <x:v>-1.2580882020852453</x:v>
      </x:c>
      <x:c r="D19" s="1" t="str">
        <x:v>Measured</x:v>
      </x:c>
      <x:c r="E19" s="1"/>
      <x:c r="F19" s="16"/>
    </x:row>
    <x:row r="20" ht="23" customHeight="1">
      <x:c r="A20" s="1"/>
      <x:c r="B20" s="1"/>
      <x:c r="C20" s="1"/>
      <x:c r="D20" s="1"/>
      <x:c r="E20" s="1"/>
      <x:c r="F20" s="16"/>
    </x:row>
    <x:row r="21" ht="23" customHeight="1">
      <x:c r="A21" s="1"/>
      <x:c r="B21" s="1"/>
      <x:c r="C21" s="1"/>
      <x:c r="D21" s="1"/>
      <x:c r="E21" s="1"/>
      <x:c r="F21" s="16"/>
    </x:row>
    <x:row r="22" ht="36" customHeight="1">
      <x:c r="A22" s="7" t="str">
        <x:v>Scheduling candidate</x:v>
      </x:c>
      <x:c r="B22" s="7" t="str">
        <x:v>State</x:v>
      </x:c>
      <x:c r="C22" s="7" t="str">
        <x:v>Budget (cycles)</x:v>
      </x:c>
      <x:c r="D22" s="7" t="str">
        <x:v>Acceptance</x:v>
      </x:c>
      <x:c r="E22" s="1"/>
      <x:c r="F22" s="16"/>
    </x:row>
    <x:row r="23" ht="23" customHeight="1">
      <x:c r="A23" s="1" t="str">
        <x:v>Flag-capture event pause</x:v>
      </x:c>
      <x:c r="B23" s="1" t="str">
        <x:v>Proposed</x:v>
      </x:c>
      <x:c r="C23" s="1" t="str">
        <x:v>Not measured</x:v>
      </x:c>
      <x:c r="D23" s="1" t="str">
        <x:v>User decides</x:v>
      </x:c>
      <x:c r="E23" s="1"/>
      <x:c r="F23" s="16" t="str">
        <x:v>Measure exact pause duration, hook cost and input behavior before gameplay adoption.</x:v>
      </x:c>
    </x:row>
    <x:row r="24" ht="23" customHeight="1">
      <x:c r="A24" s="1" t="str">
        <x:v>Deferred expensive hook</x:v>
      </x:c>
      <x:c r="B24" s="1" t="str">
        <x:v>Proposed</x:v>
      </x:c>
      <x:c r="C24" s="1" t="str">
        <x:v>Not measured</x:v>
      </x:c>
      <x:c r="D24" s="1" t="str">
        <x:v>Measure first</x:v>
      </x:c>
      <x:c r="E24" s="1"/>
      <x:c r="F24" s="16" t="str">
        <x:v>Record whether an operation must finish in VBlank or can prepare an inactive buffer.</x:v>
      </x:c>
    </x:row>
    <x:row r="25" ht="23" customHeight="1">
      <x:c r="A25" s="1" t="str">
        <x:v>Further graphical reduction</x:v>
      </x:c>
      <x:c r="B25" s="1" t="str">
        <x:v>Proposed</x:v>
      </x:c>
      <x:c r="C25" s="1" t="str">
        <x:v>Not measured</x:v>
      </x:c>
      <x:c r="D25" s="1" t="str">
        <x:v>User decides</x:v>
      </x:c>
      <x:c r="E25" s="1"/>
      <x:c r="F25" s="16" t="str">
        <x:v>No flag-capture pause or new visual reduction was introduced by this profiling work.</x:v>
      </x:c>
    </x:row>
    <x:row r="26" ht="23" customHeight="1">
      <x:c r="A26" s="1"/>
      <x:c r="B26" s="1"/>
      <x:c r="C26" s="1"/>
      <x:c r="D26" s="1"/>
      <x:c r="E26" s="1"/>
      <x:c r="F26" s="1"/>
    </x:row>
    <x:row r="27" ht="23" customHeight="1">
      <x:c r="A27" s="1"/>
      <x:c r="B27" s="1"/>
      <x:c r="C27" s="1"/>
      <x:c r="D27" s="1"/>
      <x:c r="E27" s="1"/>
      <x:c r="F27" s="1"/>
    </x:row>
    <x:row r="28" ht="23" customHeight="1">
      <x:c r="A28" s="1" t="str">
        <x:v>Scope: free-camera laboratory; game logic, AI, collisions and audio are not exercised.</x:v>
      </x:c>
      <x:c r="B28" s="1"/>
      <x:c r="C28" s="1"/>
      <x:c r="D28" s="1"/>
      <x:c r="E28" s="1"/>
      <x:c r="F28" s="1"/>
    </x:row>
    <x:row r="29" ht="23" customHeight="1">
      <x:c r="A29" s="1" t="str">
        <x:v>Control run: identical 480 camera/tick states and total time; boundary jitter up to 5 cycles.</x:v>
      </x:c>
      <x:c r="B29" s="1"/>
      <x:c r="C29" s="1"/>
      <x:c r="D29" s="1"/>
      <x:c r="E29" s="1"/>
      <x:c r="F29" s="1"/>
    </x:row>
    <x:row r="30" ht="23" customHeight="1">
      <x:c r="A30" s="1" t="str">
        <x:v>Routine self costs reconcile with total frame time after loop overhead. See Sources for definitions.</x:v>
      </x:c>
      <x:c r="B30" s="1"/>
      <x:c r="C30" s="1"/>
      <x:c r="D30" s="1"/>
      <x:c r="E30" s="1"/>
      <x:c r="F30" s="1"/>
    </x:row>
    <x:row r="31" ht="23" customHeight="1">
      <x:c r="A31" s="1"/>
      <x:c r="B31" s="1"/>
      <x:c r="C31" s="1"/>
      <x:c r="D31" s="1"/>
      <x:c r="E31" s="1"/>
      <x:c r="F31" s="1"/>
    </x:row>
    <x:row r="32" ht="23" customHeight="1">
      <x:c r="A32" s="1"/>
      <x:c r="B32" s="1"/>
      <x:c r="C32" s="1"/>
      <x:c r="D32" s="1"/>
      <x:c r="E32" s="1"/>
      <x:c r="F32" s="1"/>
    </x:row>
    <x:row r="33" ht="23" customHeight="1">
      <x:c r="A33" s="1"/>
      <x:c r="B33" s="1"/>
      <x:c r="C33" s="1"/>
      <x:c r="D33" s="1"/>
      <x:c r="E33" s="1"/>
      <x:c r="F33" s="1"/>
    </x:row>
  </x:sheetData>
  <x:conditionalFormatting sqref="B19:C19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5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Movement cost by axis and tile crossing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Both directions pooled. Camera crossings and delayed back-table updates are distinct events.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Axis</x:v>
      </x:c>
      <x:c r="B5" s="7" t="str">
        <x:v>Speed</x:v>
      </x:c>
      <x:c r="C5" s="7" t="str">
        <x:v>Camera transition</x:v>
      </x:c>
      <x:c r="D5" s="7" t="str">
        <x:v>Frames</x:v>
      </x:c>
      <x:c r="E5" s="7" t="str">
        <x:v>Mean cycles</x:v>
      </x:c>
      <x:c r="F5" s="7" t="str">
        <x:v>P95 cycles</x:v>
      </x:c>
      <x:c r="G5" s="7" t="str">
        <x:v>Max cycles</x:v>
      </x:c>
      <x:c r="H5" s="7" t="str">
        <x:v>Mean ms</x:v>
      </x:c>
      <x:c r="I5" s="7" t="str">
        <x:v>Max ms</x:v>
      </x:c>
      <x:c r="J5" s="7" t="str">
        <x:v>Average FPS</x:v>
      </x:c>
      <x:c r="K5" s="7" t="str">
        <x:v>Over 16.69 ms</x:v>
      </x:c>
      <x:c r="L5" s="7" t="str">
        <x:v>Over 33.38 ms</x:v>
      </x:c>
    </x:row>
    <x:row r="6" ht="23" customHeight="1">
      <x:c r="A6" s="1" t="str">
        <x:v>horizontal</x:v>
      </x:c>
      <x:c r="B6" s="1" t="str">
        <x:v>normal</x:v>
      </x:c>
      <x:c r="C6" s="1" t="str">
        <x:v>fine only</x:v>
      </x:c>
      <x:c r="D6" s="9" t="n">
        <x:v>106</x:v>
      </x:c>
      <x:c r="E6" s="9" t="n">
        <x:v>68930.36792452844</x:v>
      </x:c>
      <x:c r="F6" s="9" t="n">
        <x:v>83144.99999999627</x:v>
      </x:c>
      <x:c r="G6" s="9" t="n">
        <x:v>83373.00000000373</x:v>
      </x:c>
      <x:c r="H6" s="8" t="n">
        <x:f>E6/Sources!$B$4*1000</x:f>
        <x:v>19.256740151200344</x:v>
      </x:c>
      <x:c r="I6" s="8" t="n">
        <x:f>G6/Sources!$B$4*1000</x:f>
        <x:v>23.291507719557575</x:v>
      </x:c>
      <x:c r="J6" s="8" t="n">
        <x:v>37.180715779579714</x:v>
      </x:c>
      <x:c r="K6" s="1" t="n">
        <x:v>94</x:v>
      </x:c>
      <x:c r="L6" s="1" t="n">
        <x:v>0</x:v>
      </x:c>
    </x:row>
    <x:row r="7" ht="23" customHeight="1">
      <x:c r="A7" s="1" t="str">
        <x:v>horizontal</x:v>
      </x:c>
      <x:c r="B7" s="1" t="str">
        <x:v>normal</x:v>
      </x:c>
      <x:c r="C7" s="1" t="str">
        <x:v>tile crossing</x:v>
      </x:c>
      <x:c r="D7" s="9" t="n">
        <x:v>22</x:v>
      </x:c>
      <x:c r="E7" s="9" t="n">
        <x:v>99007.04545454426</x:v>
      </x:c>
      <x:c r="F7" s="9" t="n">
        <x:v>104923.00000000373</x:v>
      </x:c>
      <x:c r="G7" s="9" t="n">
        <x:v>108152.99999999627</x:v>
      </x:c>
      <x:c r="H7" s="8" t="n">
        <x:f>E7/Sources!$B$4*1000</x:f>
        <x:v>27.659114623379303</x:v>
      </x:c>
      <x:c r="I7" s="8" t="n">
        <x:f>G7/Sources!$B$4*1000</x:f>
        <x:v>30.214175265291058</x:v>
      </x:c>
      <x:c r="J7" s="8" t="n">
        <x:v>25.07961464968162</x:v>
      </x:c>
      <x:c r="K7" s="1" t="n">
        <x:v>22</x:v>
      </x:c>
      <x:c r="L7" s="1" t="n">
        <x:v>0</x:v>
      </x:c>
    </x:row>
    <x:row r="8" ht="23" customHeight="1">
      <x:c r="A8" s="1" t="str">
        <x:v>horizontal</x:v>
      </x:c>
      <x:c r="B8" s="1" t="str">
        <x:v>shift</x:v>
      </x:c>
      <x:c r="C8" s="1" t="str">
        <x:v>fine only</x:v>
      </x:c>
      <x:c r="D8" s="9" t="n">
        <x:v>57</x:v>
      </x:c>
      <x:c r="E8" s="9" t="n">
        <x:v>70895.68421052553</x:v>
      </x:c>
      <x:c r="F8" s="9" t="n">
        <x:v>83276.99999999255</x:v>
      </x:c>
      <x:c r="G8" s="9" t="n">
        <x:v>83486</x:v>
      </x:c>
      <x:c r="H8" s="8" t="n">
        <x:f>E8/Sources!$B$4*1000</x:f>
        <x:v>19.805780961134875</x:v>
      </x:c>
      <x:c r="I8" s="8" t="n">
        <x:f>G8/Sources!$B$4*1000</x:f>
        <x:v>23.32307597753346</x:v>
      </x:c>
      <x:c r="J8" s="8" t="n">
        <x:v>30.095433057765376</x:v>
      </x:c>
      <x:c r="K8" s="1" t="n">
        <x:v>53</x:v>
      </x:c>
      <x:c r="L8" s="1" t="n">
        <x:v>0</x:v>
      </x:c>
    </x:row>
    <x:row r="9" ht="23" customHeight="1">
      <x:c r="A9" s="1" t="str">
        <x:v>horizontal</x:v>
      </x:c>
      <x:c r="B9" s="1" t="str">
        <x:v>shift</x:v>
      </x:c>
      <x:c r="C9" s="1" t="str">
        <x:v>tile crossing</x:v>
      </x:c>
      <x:c r="D9" s="9" t="n">
        <x:v>39</x:v>
      </x:c>
      <x:c r="E9" s="9" t="n">
        <x:v>82393.35897436012</x:v>
      </x:c>
      <x:c r="F9" s="9" t="n">
        <x:v>103986.00000000745</x:v>
      </x:c>
      <x:c r="G9" s="9" t="n">
        <x:v>113330</x:v>
      </x:c>
      <x:c r="H9" s="8" t="n">
        <x:f>E9/Sources!$B$4*1000</x:f>
        <x:v>23.017830191926663</x:v>
      </x:c>
      <x:c r="I9" s="8" t="n">
        <x:f>G9/Sources!$B$4*1000</x:f>
        <x:v>31.660448464818852</x:v>
      </x:c>
      <x:c r="J9" s="8" t="n">
        <x:v>32.603249155563454</x:v>
      </x:c>
      <x:c r="K9" s="1" t="n">
        <x:v>39</x:v>
      </x:c>
      <x:c r="L9" s="1" t="n">
        <x:v>0</x:v>
      </x:c>
    </x:row>
    <x:row r="10" ht="23" customHeight="1">
      <x:c r="A10" s="1" t="str">
        <x:v>vertical</x:v>
      </x:c>
      <x:c r="B10" s="1" t="str">
        <x:v>normal</x:v>
      </x:c>
      <x:c r="C10" s="1" t="str">
        <x:v>fine only</x:v>
      </x:c>
      <x:c r="D10" s="9" t="n">
        <x:v>108</x:v>
      </x:c>
      <x:c r="E10" s="9" t="n">
        <x:v>59180.87962962887</x:v>
      </x:c>
      <x:c r="F10" s="9" t="n">
        <x:v>62494</x:v>
      </x:c>
      <x:c r="G10" s="9" t="n">
        <x:v>62523.00000000745</x:v>
      </x:c>
      <x:c r="H10" s="8" t="n">
        <x:f>E10/Sources!$B$4*1000</x:f>
        <x:v>16.53307323406435</x:v>
      </x:c>
      <x:c r="I10" s="8" t="n">
        <x:f>G10/Sources!$B$4*1000</x:f>
        <x:v>17.466745075144313</x:v>
      </x:c>
      <x:c r="J10" s="8" t="n">
        <x:v>50.158954188326334</x:v>
      </x:c>
      <x:c r="K10" s="1" t="n">
        <x:v>37</x:v>
      </x:c>
      <x:c r="L10" s="1" t="n">
        <x:v>0</x:v>
      </x:c>
    </x:row>
    <x:row r="11" ht="23" customHeight="1">
      <x:c r="A11" s="1" t="str">
        <x:v>vertical</x:v>
      </x:c>
      <x:c r="B11" s="1" t="str">
        <x:v>normal</x:v>
      </x:c>
      <x:c r="C11" s="1" t="str">
        <x:v>tile crossing</x:v>
      </x:c>
      <x:c r="D11" s="9" t="n">
        <x:v>20</x:v>
      </x:c>
      <x:c r="E11" s="9" t="n">
        <x:v>76235.35000000075</x:v>
      </x:c>
      <x:c r="F11" s="9" t="n">
        <x:v>77880.00000000745</x:v>
      </x:c>
      <x:c r="G11" s="9" t="n">
        <x:v>93385</x:v>
      </x:c>
      <x:c r="H11" s="8" t="n">
        <x:f>E11/Sources!$B$4*1000</x:f>
        <x:v>21.297497307618915</x:v>
      </x:c>
      <x:c r="I11" s="8" t="n">
        <x:f>G11/Sources!$B$4*1000</x:f>
        <x:v>26.08851124933476</x:v>
      </x:c>
      <x:c r="J11" s="8" t="n">
        <x:v>25.722587590076326</x:v>
      </x:c>
      <x:c r="K11" s="1" t="n">
        <x:v>20</x:v>
      </x:c>
      <x:c r="L11" s="1" t="n">
        <x:v>0</x:v>
      </x:c>
    </x:row>
    <x:row r="12" ht="23" customHeight="1">
      <x:c r="A12" s="1" t="str">
        <x:v>vertical</x:v>
      </x:c>
      <x:c r="B12" s="1" t="str">
        <x:v>shift</x:v>
      </x:c>
      <x:c r="C12" s="1" t="str">
        <x:v>fine only</x:v>
      </x:c>
      <x:c r="D12" s="9" t="n">
        <x:v>71</x:v>
      </x:c>
      <x:c r="E12" s="9" t="n">
        <x:v>50049.67605633834</x:v>
      </x:c>
      <x:c r="F12" s="9" t="n">
        <x:v>53217</x:v>
      </x:c>
      <x:c r="G12" s="9" t="n">
        <x:v>53217</x:v>
      </x:c>
      <x:c r="H12" s="8" t="n">
        <x:f>E12/Sources!$B$4*1000</x:f>
        <x:v>13.98213349918449</x:v>
      </x:c>
      <x:c r="I12" s="8" t="n">
        <x:f>G12/Sources!$B$4*1000</x:f>
        <x:v>14.866973316441056</x:v>
      </x:c>
      <x:c r="J12" s="8" t="n">
        <x:v>50.15884501970361</x:v>
      </x:c>
      <x:c r="K12" s="1" t="n">
        <x:v>0</x:v>
      </x:c>
      <x:c r="L12" s="1" t="n">
        <x:v>0</x:v>
      </x:c>
    </x:row>
    <x:row r="13" ht="23" customHeight="1">
      <x:c r="A13" s="1" t="str">
        <x:v>vertical</x:v>
      </x:c>
      <x:c r="B13" s="1" t="str">
        <x:v>shift</x:v>
      </x:c>
      <x:c r="C13" s="1" t="str">
        <x:v>tile crossing</x:v>
      </x:c>
      <x:c r="D13" s="9" t="n">
        <x:v>25</x:v>
      </x:c>
      <x:c r="E13" s="9" t="n">
        <x:v>69174.2400000003</x:v>
      </x:c>
      <x:c r="F13" s="9" t="n">
        <x:v>70879.00000000745</x:v>
      </x:c>
      <x:c r="G13" s="9" t="n">
        <x:v>94747.99999999255</x:v>
      </x:c>
      <x:c r="H13" s="8" t="n">
        <x:f>E13/Sources!$B$4*1000</x:f>
        <x:v>19.324869501570813</x:v>
      </x:c>
      <x:c r="I13" s="8" t="n">
        <x:f>G13/Sources!$B$4*1000</x:f>
        <x:v>26.46928590085962</x:v>
      </x:c>
      <x:c r="J13" s="8" t="n">
        <x:v>48.23012033192989</x:v>
      </x:c>
      <x:c r="K13" s="1" t="n">
        <x:v>25</x:v>
      </x:c>
      <x:c r="L13" s="1" t="n">
        <x:v>0</x:v>
      </x:c>
    </x:row>
    <x:row r="14" ht="23" customHeight="1">
      <x:c r="A14" s="1" t="str">
        <x:v>idle</x:v>
      </x:c>
      <x:c r="B14" s="1" t="str">
        <x:v>none</x:v>
      </x:c>
      <x:c r="C14" s="1" t="str">
        <x:v>stationary</x:v>
      </x:c>
      <x:c r="D14" s="9" t="n">
        <x:v>32</x:v>
      </x:c>
      <x:c r="E14" s="9" t="n">
        <x:v>28019.0625</x:v>
      </x:c>
      <x:c r="F14" s="9" t="n">
        <x:v>27378.00000000745</x:v>
      </x:c>
      <x:c r="G14" s="9" t="n">
        <x:v>48356</x:v>
      </x:c>
      <x:c r="H14" s="8" t="n">
        <x:f>E14/Sources!$B$4*1000</x:f>
        <x:v>7.827548613022047</x:v>
      </x:c>
      <x:c r="I14" s="8" t="n">
        <x:f>G14/Sources!$B$4*1000</x:f>
        <x:v>13.508979493203746</x:v>
      </x:c>
      <x:c r="J14" s="8" t="n">
        <x:v>50.158929783460685</x:v>
      </x:c>
      <x:c r="K14" s="1" t="n">
        <x:v>0</x:v>
      </x:c>
      <x:c r="L14" s="1" t="n">
        <x:v>0</x:v>
      </x:c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FPS = clock / mean presentation interval. This does not imply stable cadence or a causal phase-only comparison.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v>Movement follows real keyboard input. Every moving sample is unclamped and its displacement matches elapsed VBlanks.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36" customHeight="1">
      <x:c r="A20" s="7" t="str">
        <x:v>Axis</x:v>
      </x:c>
      <x:c r="B20" s="7" t="str">
        <x:v>Speed</x:v>
      </x:c>
      <x:c r="C20" s="7" t="str">
        <x:v>Camera transition</x:v>
      </x:c>
      <x:c r="D20" s="7" t="str">
        <x:v>Frames</x:v>
      </x:c>
      <x:c r="E20" s="7" t="str">
        <x:v>World ring cycles</x:v>
      </x:c>
      <x:c r="F20" s="7" t="str">
        <x:v>HUD upload cycles</x:v>
      </x:c>
      <x:c r="G20" s="7" t="str">
        <x:v>Name table cycles</x:v>
      </x:c>
      <x:c r="H20" s="1"/>
      <x:c r="I20" s="1"/>
      <x:c r="J20" s="1"/>
      <x:c r="K20" s="1"/>
      <x:c r="L20" s="1"/>
    </x:row>
    <x:row r="21" ht="23" customHeight="1">
      <x:c r="A21" s="1" t="str">
        <x:v>horizontal</x:v>
      </x:c>
      <x:c r="B21" s="1" t="str">
        <x:v>normal</x:v>
      </x:c>
      <x:c r="C21" s="1" t="str">
        <x:v>fine only</x:v>
      </x:c>
      <x:c r="D21" s="9" t="n">
        <x:v>106</x:v>
      </x:c>
      <x:c r="E21" s="9" t="n">
        <x:v>212.00000000014057</x:v>
      </x:c>
      <x:c r="F21" s="9" t="n">
        <x:v>22821.11320754752</x:v>
      </x:c>
      <x:c r="G21" s="9" t="n">
        <x:v>20837.858490566072</x:v>
      </x:c>
      <x:c r="H21" s="1"/>
      <x:c r="I21" s="1"/>
      <x:c r="J21" s="1"/>
      <x:c r="K21" s="1"/>
      <x:c r="L21" s="1"/>
    </x:row>
    <x:row r="22" ht="23" customHeight="1">
      <x:c r="A22" s="1" t="str">
        <x:v>horizontal</x:v>
      </x:c>
      <x:c r="B22" s="1" t="str">
        <x:v>normal</x:v>
      </x:c>
      <x:c r="C22" s="1" t="str">
        <x:v>tile crossing</x:v>
      </x:c>
      <x:c r="D22" s="9" t="n">
        <x:v>22</x:v>
      </x:c>
      <x:c r="E22" s="9" t="n">
        <x:v>25494.272727273914</x:v>
      </x:c>
      <x:c r="F22" s="9" t="n">
        <x:v>20337.00000000034</x:v>
      </x:c>
      <x:c r="G22" s="9" t="n">
        <x:v>29423.272727272557</x:v>
      </x:c>
      <x:c r="H22" s="1"/>
      <x:c r="I22" s="1"/>
      <x:c r="J22" s="1"/>
      <x:c r="K22" s="1"/>
      <x:c r="L22" s="1"/>
    </x:row>
    <x:row r="23" ht="23" customHeight="1">
      <x:c r="A23" s="1" t="str">
        <x:v>horizontal</x:v>
      </x:c>
      <x:c r="B23" s="1" t="str">
        <x:v>shift</x:v>
      </x:c>
      <x:c r="C23" s="1" t="str">
        <x:v>fine only</x:v>
      </x:c>
      <x:c r="D23" s="9" t="n">
        <x:v>57</x:v>
      </x:c>
      <x:c r="E23" s="9" t="n">
        <x:v>212.0000000001307</x:v>
      </x:c>
      <x:c r="F23" s="9" t="n">
        <x:v>20752.73684210605</x:v>
      </x:c>
      <x:c r="G23" s="9" t="n">
        <x:v>25234.38596491189</x:v>
      </x:c>
      <x:c r="H23" s="1"/>
      <x:c r="I23" s="1"/>
      <x:c r="J23" s="1"/>
      <x:c r="K23" s="1"/>
      <x:c r="L23" s="1"/>
    </x:row>
    <x:row r="24" ht="23" customHeight="1">
      <x:c r="A24" s="1" t="str">
        <x:v>horizontal</x:v>
      </x:c>
      <x:c r="B24" s="1" t="str">
        <x:v>shift</x:v>
      </x:c>
      <x:c r="C24" s="1" t="str">
        <x:v>tile crossing</x:v>
      </x:c>
      <x:c r="D24" s="9" t="n">
        <x:v>39</x:v>
      </x:c>
      <x:c r="E24" s="9" t="n">
        <x:v>24921.43589743494</x:v>
      </x:c>
      <x:c r="F24" s="9" t="n">
        <x:v>10526.76923076923</x:v>
      </x:c>
      <x:c r="G24" s="9" t="n">
        <x:v>28621.28205128339</x:v>
      </x:c>
      <x:c r="H24" s="1"/>
      <x:c r="I24" s="1"/>
      <x:c r="J24" s="1"/>
      <x:c r="K24" s="1"/>
      <x:c r="L24" s="1"/>
    </x:row>
    <x:row r="25" ht="23" customHeight="1">
      <x:c r="A25" s="1" t="str">
        <x:v>vertical</x:v>
      </x:c>
      <x:c r="B25" s="1" t="str">
        <x:v>normal</x:v>
      </x:c>
      <x:c r="C25" s="1" t="str">
        <x:v>fine only</x:v>
      </x:c>
      <x:c r="D25" s="9" t="n">
        <x:v>108</x:v>
      </x:c>
      <x:c r="E25" s="9" t="n">
        <x:v>211.999999999862</x:v>
      </x:c>
      <x:c r="F25" s="9" t="n">
        <x:v>28902.09259259256</x:v>
      </x:c>
      <x:c r="G25" s="9" t="n">
        <x:v>20226.287037036866</x:v>
      </x:c>
      <x:c r="H25" s="1"/>
      <x:c r="I25" s="1"/>
      <x:c r="J25" s="1"/>
      <x:c r="K25" s="1"/>
      <x:c r="L25" s="1"/>
    </x:row>
    <x:row r="26" ht="23" customHeight="1">
      <x:c r="A26" s="1" t="str">
        <x:v>vertical</x:v>
      </x:c>
      <x:c r="B26" s="1" t="str">
        <x:v>normal</x:v>
      </x:c>
      <x:c r="C26" s="1" t="str">
        <x:v>tile crossing</x:v>
      </x:c>
      <x:c r="D26" s="9" t="n">
        <x:v>20</x:v>
      </x:c>
      <x:c r="E26" s="9" t="n">
        <x:v>16088.500000000746</x:v>
      </x:c>
      <x:c r="F26" s="9" t="n">
        <x:v>28120.400000000373</x:v>
      </x:c>
      <x:c r="G26" s="9" t="n">
        <x:v>21406.75000000037</x:v>
      </x:c>
      <x:c r="H26" s="1"/>
      <x:c r="I26" s="1"/>
      <x:c r="J26" s="1"/>
      <x:c r="K26" s="1"/>
      <x:c r="L26" s="1"/>
    </x:row>
    <x:row r="27" ht="23" customHeight="1">
      <x:c r="A27" s="1" t="str">
        <x:v>vertical</x:v>
      </x:c>
      <x:c r="B27" s="1" t="str">
        <x:v>shift</x:v>
      </x:c>
      <x:c r="C27" s="1" t="str">
        <x:v>fine only</x:v>
      </x:c>
      <x:c r="D27" s="9" t="n">
        <x:v>71</x:v>
      </x:c>
      <x:c r="E27" s="9" t="n">
        <x:v>212.00000000010493</x:v>
      </x:c>
      <x:c r="F27" s="9" t="n">
        <x:v>22589.830985917488</x:v>
      </x:c>
      <x:c r="G27" s="9" t="n">
        <x:v>17445.704225351587</x:v>
      </x:c>
      <x:c r="H27" s="1"/>
      <x:c r="I27" s="1"/>
      <x:c r="J27" s="1"/>
      <x:c r="K27" s="1"/>
      <x:c r="L27" s="1"/>
    </x:row>
    <x:row r="28" ht="23" customHeight="1">
      <x:c r="A28" s="1" t="str">
        <x:v>vertical</x:v>
      </x:c>
      <x:c r="B28" s="1" t="str">
        <x:v>shift</x:v>
      </x:c>
      <x:c r="C28" s="1" t="str">
        <x:v>tile crossing</x:v>
      </x:c>
      <x:c r="D28" s="9" t="n">
        <x:v>25</x:v>
      </x:c>
      <x:c r="E28" s="9" t="n">
        <x:v>16044.440000004171</x:v>
      </x:c>
      <x:c r="F28" s="9" t="n">
        <x:v>23887.760000002385</x:v>
      </x:c>
      <x:c r="G28" s="9" t="n">
        <x:v>18729.760000000595</x:v>
      </x:c>
      <x:c r="H28" s="1"/>
      <x:c r="I28" s="1"/>
      <x:c r="J28" s="1"/>
      <x:c r="K28" s="1"/>
      <x:c r="L28" s="1"/>
    </x:row>
    <x:row r="29" ht="23" customHeight="1">
      <x:c r="A29" s="1" t="str">
        <x:v>idle</x:v>
      </x:c>
      <x:c r="B29" s="1" t="str">
        <x:v>none</x:v>
      </x:c>
      <x:c r="C29" s="1" t="str">
        <x:v>stationary</x:v>
      </x:c>
      <x:c r="D29" s="9" t="n">
        <x:v>32</x:v>
      </x:c>
      <x:c r="E29" s="9" t="n">
        <x:v>212.00000000023283</x:v>
      </x:c>
      <x:c r="F29" s="9" t="n">
        <x:v>1044.5625000004657</x:v>
      </x:c>
      <x:c r="G29" s="9" t="n">
        <x:v>16983.499999999534</x:v>
      </x:c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 t="str">
        <x:v>Selected disjoint child routines, inclusive cycles/frame. Their sum is not the complete rendering cost.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 t="str">
        <x:v>Idle includes released-key settling samples and outliers while alternate back tables settle.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36" customHeight="1">
      <x:c r="A35" s="7" t="str">
        <x:v>Axis (normal speed)</x:v>
      </x:c>
      <x:c r="B35" s="7" t="str">
        <x:v>Fine phase</x:v>
      </x:c>
      <x:c r="C35" s="7" t="str">
        <x:v>Frames</x:v>
      </x:c>
      <x:c r="D35" s="7" t="str">
        <x:v>Tile crossings</x:v>
      </x:c>
      <x:c r="E35" s="7" t="str">
        <x:v>Mean cycles</x:v>
      </x:c>
      <x:c r="F35" s="7" t="str">
        <x:v>Mean ms</x:v>
      </x:c>
      <x:c r="G35" s="7" t="str">
        <x:v>Max ms</x:v>
      </x:c>
      <x:c r="H35" s="1"/>
      <x:c r="I35" s="1"/>
      <x:c r="J35" s="1"/>
      <x:c r="K35" s="1"/>
      <x:c r="L35" s="1"/>
    </x:row>
    <x:row r="36" ht="23" customHeight="1">
      <x:c r="A36" s="1" t="str">
        <x:v>horizontal</x:v>
      </x:c>
      <x:c r="B36" s="1" t="n">
        <x:v>0</x:v>
      </x:c>
      <x:c r="C36" s="1" t="n">
        <x:v>22</x:v>
      </x:c>
      <x:c r="D36" s="1" t="n">
        <x:v>11</x:v>
      </x:c>
      <x:c r="E36" s="9" t="n">
        <x:v>76235.18181818233</x:v>
      </x:c>
      <x:c r="F36" s="8" t="n">
        <x:f>E36/Sources!$B$4*1000</x:f>
        <x:v>21.2974503234859</x:v>
      </x:c>
      <x:c r="G36" s="8" t="n">
        <x:v>30.214175265291058</x:v>
      </x:c>
      <x:c r="H36" s="1"/>
      <x:c r="I36" s="1"/>
      <x:c r="J36" s="1"/>
      <x:c r="K36" s="1"/>
      <x:c r="L36" s="1"/>
    </x:row>
    <x:row r="37" ht="23" customHeight="1">
      <x:c r="A37" s="1" t="str">
        <x:v>horizontal</x:v>
      </x:c>
      <x:c r="B37" s="1" t="n">
        <x:v>1</x:v>
      </x:c>
      <x:c r="C37" s="1" t="n">
        <x:v>13</x:v>
      </x:c>
      <x:c r="D37" s="1" t="n">
        <x:v>0</x:v>
      </x:c>
      <x:c r="E37" s="9" t="n">
        <x:v>63571.384615384326</x:v>
      </x:c>
      <x:c r="F37" s="8" t="n">
        <x:f>E37/Sources!$B$4*1000</x:f>
        <x:v>17.75962716361558</x:v>
      </x:c>
      <x:c r="G37" s="8" t="n">
        <x:v>20.10115810808357</x:v>
      </x:c>
      <x:c r="H37" s="1"/>
      <x:c r="I37" s="1"/>
      <x:c r="J37" s="1"/>
      <x:c r="K37" s="1"/>
      <x:c r="L37" s="1"/>
    </x:row>
    <x:row r="38" ht="23" customHeight="1">
      <x:c r="A38" s="1" t="str">
        <x:v>horizontal</x:v>
      </x:c>
      <x:c r="B38" s="1" t="n">
        <x:v>2</x:v>
      </x:c>
      <x:c r="C38" s="1" t="n">
        <x:v>16</x:v>
      </x:c>
      <x:c r="D38" s="1" t="n">
        <x:v>0</x:v>
      </x:c>
      <x:c r="E38" s="9" t="n">
        <x:v>75109.31249999977</x:v>
      </x:c>
      <x:c r="F38" s="8" t="n">
        <x:f>E38/Sources!$B$4*1000</x:f>
        <x:v>20.98292171211698</x:v>
      </x:c>
      <x:c r="G38" s="8" t="n">
        <x:v>23.206580724646212</x:v>
      </x:c>
      <x:c r="H38" s="1"/>
      <x:c r="I38" s="1"/>
      <x:c r="J38" s="1"/>
      <x:c r="K38" s="1"/>
      <x:c r="L38" s="1"/>
    </x:row>
    <x:row r="39" ht="23" customHeight="1">
      <x:c r="A39" s="1" t="str">
        <x:v>horizontal</x:v>
      </x:c>
      <x:c r="B39" s="1" t="n">
        <x:v>3</x:v>
      </x:c>
      <x:c r="C39" s="1" t="n">
        <x:v>13</x:v>
      </x:c>
      <x:c r="D39" s="1" t="n">
        <x:v>0</x:v>
      </x:c>
      <x:c r="E39" s="9" t="n">
        <x:v>71187.5384615396</x:v>
      </x:c>
      <x:c r="F39" s="8" t="n">
        <x:f>E39/Sources!$B$4*1000</x:f>
        <x:v>19.88731485748597</x:v>
      </x:c>
      <x:c r="G39" s="8" t="n">
        <x:v>20.41656132273899</x:v>
      </x:c>
      <x:c r="H39" s="1"/>
      <x:c r="I39" s="1"/>
      <x:c r="J39" s="1"/>
      <x:c r="K39" s="1"/>
      <x:c r="L39" s="1"/>
    </x:row>
    <x:row r="40" ht="23" customHeight="1">
      <x:c r="A40" s="1" t="str">
        <x:v>horizontal</x:v>
      </x:c>
      <x:c r="B40" s="1" t="n">
        <x:v>4</x:v>
      </x:c>
      <x:c r="C40" s="1" t="n">
        <x:v>12</x:v>
      </x:c>
      <x:c r="D40" s="1" t="n">
        <x:v>0</x:v>
      </x:c>
      <x:c r="E40" s="9" t="n">
        <x:v>71011.58333333365</x:v>
      </x:c>
      <x:c r="F40" s="8" t="n">
        <x:f>E40/Sources!$B$4*1000</x:f>
        <x:v>19.83815913288802</x:v>
      </x:c>
      <x:c r="G40" s="8" t="n">
        <x:v>20.369627983444822</x:v>
      </x:c>
      <x:c r="H40" s="1"/>
      <x:c r="I40" s="1"/>
      <x:c r="J40" s="1"/>
      <x:c r="K40" s="1"/>
      <x:c r="L40" s="1"/>
    </x:row>
    <x:row r="41" ht="23" customHeight="1">
      <x:c r="A41" s="1" t="str">
        <x:v>horizontal</x:v>
      </x:c>
      <x:c r="B41" s="1" t="n">
        <x:v>5</x:v>
      </x:c>
      <x:c r="C41" s="1" t="n">
        <x:v>18</x:v>
      </x:c>
      <x:c r="D41" s="1" t="n">
        <x:v>0</x:v>
      </x:c>
      <x:c r="E41" s="9" t="n">
        <x:v>72425.77777777695</x:v>
      </x:c>
      <x:c r="F41" s="8" t="n">
        <x:f>E41/Sources!$B$4*1000</x:f>
        <x:v>20.233235726266035</x:v>
      </x:c>
      <x:c r="G41" s="8" t="n">
        <x:v>23.291507719557575</x:v>
      </x:c>
      <x:c r="H41" s="1"/>
      <x:c r="I41" s="1"/>
      <x:c r="J41" s="1"/>
      <x:c r="K41" s="1"/>
      <x:c r="L41" s="1"/>
    </x:row>
    <x:row r="42" ht="23" customHeight="1">
      <x:c r="A42" s="1" t="str">
        <x:v>horizontal</x:v>
      </x:c>
      <x:c r="B42" s="1" t="n">
        <x:v>6</x:v>
      </x:c>
      <x:c r="C42" s="1" t="n">
        <x:v>12</x:v>
      </x:c>
      <x:c r="D42" s="1" t="n">
        <x:v>0</x:v>
      </x:c>
      <x:c r="E42" s="9" t="n">
        <x:v>67793.91666666698</x:v>
      </x:c>
      <x:c r="F42" s="8" t="n">
        <x:f>E42/Sources!$B$4*1000</x:f>
        <x:v>18.9392553150378</x:v>
      </x:c>
      <x:c r="G42" s="8" t="n">
        <x:v>19.267532605402007</x:v>
      </x:c>
      <x:c r="H42" s="1"/>
      <x:c r="I42" s="1"/>
      <x:c r="J42" s="1"/>
      <x:c r="K42" s="1"/>
      <x:c r="L42" s="1"/>
    </x:row>
    <x:row r="43" ht="23" customHeight="1">
      <x:c r="A43" s="1" t="str">
        <x:v>horizontal</x:v>
      </x:c>
      <x:c r="B43" s="1" t="n">
        <x:v>7</x:v>
      </x:c>
      <x:c r="C43" s="1" t="n">
        <x:v>22</x:v>
      </x:c>
      <x:c r="D43" s="1" t="n">
        <x:v>11</x:v>
      </x:c>
      <x:c r="E43" s="9" t="n">
        <x:v>85666.13636363535</x:v>
      </x:c>
      <x:c r="F43" s="8" t="n">
        <x:f>E43/Sources!$B$4*1000</x:f>
        <x:v>23.93213002312734</x:v>
      </x:c>
      <x:c r="G43" s="8" t="n">
        <x:v>29.09950845708044</x:v>
      </x:c>
      <x:c r="H43" s="1"/>
      <x:c r="I43" s="1"/>
      <x:c r="J43" s="1"/>
      <x:c r="K43" s="1"/>
      <x:c r="L43" s="1"/>
    </x:row>
    <x:row r="44" ht="23" customHeight="1">
      <x:c r="A44" s="1" t="str">
        <x:v>vertical</x:v>
      </x:c>
      <x:c r="B44" s="1" t="n">
        <x:v>0</x:v>
      </x:c>
      <x:c r="C44" s="1" t="n">
        <x:v>18</x:v>
      </x:c>
      <x:c r="D44" s="1" t="n">
        <x:v>9</x:v>
      </x:c>
      <x:c r="E44" s="9" t="n">
        <x:v>65097.61111110946</x:v>
      </x:c>
      <x:c r="F44" s="8" t="n">
        <x:f>E44/Sources!$B$4*1000</x:f>
        <x:v>18.186001603865705</x:v>
      </x:c>
      <x:c r="G44" s="8" t="n">
        <x:v>20.48724069679455</x:v>
      </x:c>
      <x:c r="H44" s="1"/>
      <x:c r="I44" s="1"/>
      <x:c r="J44" s="1"/>
      <x:c r="K44" s="1"/>
      <x:c r="L44" s="1"/>
    </x:row>
    <x:row r="45" ht="23" customHeight="1">
      <x:c r="A45" s="1" t="str">
        <x:v>vertical</x:v>
      </x:c>
      <x:c r="B45" s="1" t="n">
        <x:v>1</x:v>
      </x:c>
      <x:c r="C45" s="1" t="n">
        <x:v>10</x:v>
      </x:c>
      <x:c r="D45" s="1" t="n">
        <x:v>1</x:v>
      </x:c>
      <x:c r="E45" s="9" t="n">
        <x:v>58152.99999999926</x:v>
      </x:c>
      <x:c r="F45" s="8" t="n">
        <x:f>E45/Sources!$B$4*1000</x:f>
        <x:v>16.24591952329116</x:v>
      </x:c>
      <x:c r="G45" s="8" t="n">
        <x:v>19.758656477291794</x:v>
      </x:c>
      <x:c r="H45" s="1"/>
      <x:c r="I45" s="1"/>
      <x:c r="J45" s="1"/>
      <x:c r="K45" s="1"/>
      <x:c r="L45" s="1"/>
    </x:row>
    <x:row r="46" ht="23" customHeight="1">
      <x:c r="A46" s="1" t="str">
        <x:v>vertical</x:v>
      </x:c>
      <x:c r="B46" s="1" t="n">
        <x:v>2</x:v>
      </x:c>
      <x:c r="C46" s="1" t="n">
        <x:v>18</x:v>
      </x:c>
      <x:c r="D46" s="1" t="n">
        <x:v>0</x:v>
      </x:c>
      <x:c r="E46" s="9" t="n">
        <x:v>59642.11111111194</x:v>
      </x:c>
      <x:c r="F46" s="8" t="n">
        <x:f>E46/Sources!$B$4*1000</x:f>
        <x:v>16.661925219856695</x:v>
      </x:c>
      <x:c r="G46" s="8" t="n">
        <x:v>16.86918309450152</x:v>
      </x:c>
      <x:c r="H46" s="1"/>
      <x:c r="I46" s="1"/>
      <x:c r="J46" s="1"/>
      <x:c r="K46" s="1"/>
      <x:c r="L46" s="1"/>
    </x:row>
    <x:row r="47" ht="23" customHeight="1">
      <x:c r="A47" s="1" t="str">
        <x:v>vertical</x:v>
      </x:c>
      <x:c r="B47" s="1" t="n">
        <x:v>3</x:v>
      </x:c>
      <x:c r="C47" s="1" t="n">
        <x:v>18</x:v>
      </x:c>
      <x:c r="D47" s="1" t="n">
        <x:v>0</x:v>
      </x:c>
      <x:c r="E47" s="9" t="n">
        <x:v>59662.33333333292</x:v>
      </x:c>
      <x:c r="F47" s="8" t="n">
        <x:f>E47/Sources!$B$4*1000</x:f>
        <x:v>16.66757460328978</x:v>
      </x:c>
      <x:c r="G47" s="8" t="n">
        <x:v>16.709106883696112</x:v>
      </x:c>
      <x:c r="H47" s="1"/>
      <x:c r="I47" s="1"/>
      <x:c r="J47" s="1"/>
      <x:c r="K47" s="1"/>
      <x:c r="L47" s="1"/>
    </x:row>
    <x:row r="48" ht="23" customHeight="1">
      <x:c r="A48" s="1" t="str">
        <x:v>vertical</x:v>
      </x:c>
      <x:c r="B48" s="1" t="n">
        <x:v>4</x:v>
      </x:c>
      <x:c r="C48" s="1" t="n">
        <x:v>18</x:v>
      </x:c>
      <x:c r="D48" s="1" t="n">
        <x:v>0</x:v>
      </x:c>
      <x:c r="E48" s="9" t="n">
        <x:v>57832.999999999585</x:v>
      </x:c>
      <x:c r="F48" s="8" t="n">
        <x:f>E48/Sources!$B$4*1000</x:f>
        <x:v>16.15652268654245</x:v>
      </x:c>
      <x:c r="G48" s="8" t="n">
        <x:v>16.202059200261484</x:v>
      </x:c>
      <x:c r="H48" s="1"/>
      <x:c r="I48" s="1"/>
      <x:c r="J48" s="1"/>
      <x:c r="K48" s="1"/>
      <x:c r="L48" s="1"/>
    </x:row>
    <x:row r="49" ht="23" customHeight="1">
      <x:c r="A49" s="1" t="str">
        <x:v>vertical</x:v>
      </x:c>
      <x:c r="B49" s="1" t="n">
        <x:v>5</x:v>
      </x:c>
      <x:c r="C49" s="1" t="n">
        <x:v>18</x:v>
      </x:c>
      <x:c r="D49" s="1" t="n">
        <x:v>0</x:v>
      </x:c>
      <x:c r="E49" s="9" t="n">
        <x:v>59653.83333333126</x:v>
      </x:c>
      <x:c r="F49" s="8" t="n">
        <x:f>E49/Sources!$B$4*1000</x:f>
        <x:v>16.66519999981318</x:v>
      </x:c>
      <x:c r="G49" s="8" t="n">
        <x:v>16.79934181579152</x:v>
      </x:c>
      <x:c r="H49" s="1"/>
      <x:c r="I49" s="1"/>
      <x:c r="J49" s="1"/>
      <x:c r="K49" s="1"/>
      <x:c r="L49" s="1"/>
    </x:row>
    <x:row r="50" ht="23" customHeight="1">
      <x:c r="A50" s="1" t="str">
        <x:v>vertical</x:v>
      </x:c>
      <x:c r="B50" s="1" t="n">
        <x:v>6</x:v>
      </x:c>
      <x:c r="C50" s="1" t="n">
        <x:v>9</x:v>
      </x:c>
      <x:c r="D50" s="1" t="n">
        <x:v>0</x:v>
      </x:c>
      <x:c r="E50" s="9" t="n">
        <x:v>62506.88888888972</x:v>
      </x:c>
      <x:c r="F50" s="8" t="n">
        <x:f>E50/Sources!$B$4*1000</x:f>
        <x:v>17.46224419273671</x:v>
      </x:c>
      <x:c r="G50" s="8" t="n">
        <x:v>17.466745075144313</x:v>
      </x:c>
      <x:c r="H50" s="1"/>
      <x:c r="I50" s="1"/>
      <x:c r="J50" s="1"/>
      <x:c r="K50" s="1"/>
      <x:c r="L50" s="1"/>
    </x:row>
    <x:row r="51" ht="23" customHeight="1">
      <x:c r="A51" s="1" t="str">
        <x:v>vertical</x:v>
      </x:c>
      <x:c r="B51" s="1" t="n">
        <x:v>7</x:v>
      </x:c>
      <x:c r="C51" s="1" t="n">
        <x:v>19</x:v>
      </x:c>
      <x:c r="D51" s="1" t="n">
        <x:v>10</x:v>
      </x:c>
      <x:c r="E51" s="9" t="n">
        <x:v>70428.94736842105</x:v>
      </x:c>
      <x:c r="F51" s="8" t="n">
        <x:f>E51/Sources!$B$4*1000</x:f>
        <x:v>19.67539096964029</x:v>
      </x:c>
      <x:c r="G51" s="8" t="n">
        <x:v>26.08851124933476</x:v>
      </x:c>
      <x:c r="H51" s="1"/>
      <x:c r="I51" s="1"/>
      <x:c r="J51" s="1"/>
      <x:c r="K51" s="1"/>
      <x:c r="L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3" customHeight="1">
      <x:c r="A53" s="1" t="str">
        <x:v>Fine phase zero is not equivalent to a crossing: reverse movement can cross from phase 0 to 7.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</x:sheetData>
  <x:pageMargins left="0.7" right="0.7" top="0.75" bottom="0.75" header="0.3" footer="0.3"/>
  <x:tableParts count="3">
    <x:tablePart xmlns:r="http://schemas.openxmlformats.org/officeDocument/2006/relationships" r:id="Ra74630248efd4b19"/>
    <x:tablePart xmlns:r="http://schemas.openxmlformats.org/officeDocument/2006/relationships" r:id="R09cd3b39bdd04ce1"/>
    <x:tablePart xmlns:r="http://schemas.openxmlformats.org/officeDocument/2006/relationships" r:id="Re6f059d010db40a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42" hidden="0" customWidth="1"/>
    <x:col min="3" max="3" width="12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Routine and hook costs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Cycles per call include guest timing and waits. Never sum inclusive parents and children.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6" customHeight="1">
      <x:c r="A5" s="7" t="str">
        <x:v>Routine / hook</x:v>
      </x:c>
      <x:c r="B5" s="7" t="str">
        <x:v>Purpose</x:v>
      </x:c>
      <x:c r="C5" s="7" t="str">
        <x:v>Calls</x:v>
      </x:c>
      <x:c r="D5" s="7" t="str">
        <x:v>Calls/frame</x:v>
      </x:c>
      <x:c r="E5" s="7" t="str">
        <x:v>Min incl.</x:v>
      </x:c>
      <x:c r="F5" s="7" t="str">
        <x:v>Mean incl.</x:v>
      </x:c>
      <x:c r="G5" s="7" t="str">
        <x:v>P95 incl.</x:v>
      </x:c>
      <x:c r="H5" s="7" t="str">
        <x:v>Max incl.</x:v>
      </x:c>
      <x:c r="I5" s="7" t="str">
        <x:v>Mean self</x:v>
      </x:c>
      <x:c r="J5" s="7" t="str">
        <x:v>Self / frame</x:v>
      </x:c>
      <x:c r="K5" s="7" t="str">
        <x:v>Mean incl. ms</x:v>
      </x:c>
      <x:c r="L5" s="7" t="str">
        <x:v>Self/frame % refresh</x:v>
      </x:c>
    </x:row>
    <x:row r="6" ht="23" customHeight="1">
      <x:c r="A6" s="1" t="str">
        <x:v>input</x:v>
      </x:c>
      <x:c r="B6" s="1" t="str">
        <x:v>Keyboard / elapsed-tick camera movement</x:v>
      </x:c>
      <x:c r="C6" s="9" t="n">
        <x:v>480</x:v>
      </x:c>
      <x:c r="D6" s="8" t="n">
        <x:v>1</x:v>
      </x:c>
      <x:c r="E6" s="9" t="n">
        <x:v>777.9999999925494</x:v>
      </x:c>
      <x:c r="F6" s="9" t="n">
        <x:v>799.9333333330384</x:v>
      </x:c>
      <x:c r="G6" s="9" t="n">
        <x:v>818.0000000074506</x:v>
      </x:c>
      <x:c r="H6" s="9" t="n">
        <x:v>818.0000000149012</x:v>
      </x:c>
      <x:c r="I6" s="9" t="n">
        <x:v>799.9333333330384</x:v>
      </x:c>
      <x:c r="J6" s="9" t="n">
        <x:v>799.9333333330384</x:v>
      </x:c>
      <x:c r="K6" s="10" t="n">
        <x:f>F6/Sources!$B$4*1000</x:f>
        <x:v>0.22347346753093994</x:v>
      </x:c>
      <x:c r="L6" s="11" t="n">
        <x:f>J6/Sources!$B$5</x:f>
        <x:v>0.01120919978326661</x:v>
      </x:c>
    </x:row>
    <x:row r="7" ht="23" customHeight="1">
      <x:c r="A7" s="1" t="str">
        <x:v>render</x:v>
      </x:c>
      <x:c r="B7" s="1" t="str">
        <x:v>Complete back-buffer preparation</x:v>
      </x:c>
      <x:c r="C7" s="9" t="n">
        <x:v>480</x:v>
      </x:c>
      <x:c r="D7" s="8" t="n">
        <x:v>1</x:v>
      </x:c>
      <x:c r="E7" s="9" t="n">
        <x:v>25995.99999999255</x:v>
      </x:c>
      <x:c r="F7" s="9" t="n">
        <x:v>62860.44999999977</x:v>
      </x:c>
      <x:c r="G7" s="9" t="n">
        <x:v>97861</x:v>
      </x:c>
      <x:c r="H7" s="9" t="n">
        <x:v>111961.99999999255</x:v>
      </x:c>
      <x:c r="I7" s="9" t="n">
        <x:v>1146.9541666631044</x:v>
      </x:c>
      <x:c r="J7" s="9" t="n">
        <x:v>1146.9541666631044</x:v>
      </x:c>
      <x:c r="K7" s="10" t="n">
        <x:f>F7/Sources!$B$4*1000</x:f>
        <x:v>17.56101683314493</x:v>
      </x:c>
      <x:c r="L7" s="11" t="n">
        <x:f>J7/Sources!$B$5</x:f>
        <x:v>0.016071887319420216</x:v>
      </x:c>
    </x:row>
    <x:row r="8" ht="23" customHeight="1">
      <x:c r="A8" s="1" t="str">
        <x:v>wait_blank</x:v>
      </x:c>
      <x:c r="B8" s="1" t="str">
        <x:v>Synchronization wait (includes HALT)</x:v>
      </x:c>
      <x:c r="C8" s="9" t="n">
        <x:v>480</x:v>
      </x:c>
      <x:c r="D8" s="8" t="n">
        <x:v>1</x:v>
      </x:c>
      <x:c r="E8" s="9" t="n">
        <x:v>490</x:v>
      </x:c>
      <x:c r="F8" s="9" t="n">
        <x:v>27641.770833333434</x:v>
      </x:c>
      <x:c r="G8" s="9" t="n">
        <x:v>69840</x:v>
      </x:c>
      <x:c r="H8" s="9" t="n">
        <x:v>70785</x:v>
      </x:c>
      <x:c r="I8" s="9" t="n">
        <x:v>27502.770833333474</x:v>
      </x:c>
      <x:c r="J8" s="9" t="n">
        <x:v>27502.770833333474</x:v>
      </x:c>
      <x:c r="K8" s="10" t="n">
        <x:f>F8/Sources!$B$4*1000</x:f>
        <x:v>7.72214648323556</x:v>
      </x:c>
      <x:c r="L8" s="11" t="n">
        <x:f>J8/Sources!$B$5</x:f>
        <x:v>0.38538718167890634</x:v>
      </x:c>
    </x:row>
    <x:row r="9" ht="23" customHeight="1">
      <x:c r="A9" s="1" t="str">
        <x:v>commit</x:v>
      </x:c>
      <x:c r="B9" s="1" t="str">
        <x:v>Atomic VDP register publication</x:v>
      </x:c>
      <x:c r="C9" s="9" t="n">
        <x:v>480</x:v>
      </x:c>
      <x:c r="D9" s="8" t="n">
        <x:v>1</x:v>
      </x:c>
      <x:c r="E9" s="9" t="n">
        <x:v>468.99999998509884</x:v>
      </x:c>
      <x:c r="F9" s="9" t="n">
        <x:v>473.00000000015524</x:v>
      </x:c>
      <x:c r="G9" s="9" t="n">
        <x:v>477.0000000074506</x:v>
      </x:c>
      <x:c r="H9" s="9" t="n">
        <x:v>477.00000001490116</x:v>
      </x:c>
      <x:c r="I9" s="9" t="n">
        <x:v>473.00000000015524</x:v>
      </x:c>
      <x:c r="J9" s="9" t="n">
        <x:v>473.00000000015524</x:v>
      </x:c>
      <x:c r="K9" s="10" t="n">
        <x:f>F9/Sources!$B$4*1000</x:f>
        <x:v>0.13213969931937025</x:v>
      </x:c>
      <x:c r="L9" s="11" t="n">
        <x:f>J9/Sources!$B$5</x:f>
        <x:v>0.006627991704503044</x:v>
      </x:c>
    </x:row>
    <x:row r="10" ht="23" customHeight="1">
      <x:c r="A10" s="1" t="str">
        <x:v>Ring_Prepare</x:v>
      </x:c>
      <x:c r="B10" s="1" t="str">
        <x:v>World ring update</x:v>
      </x:c>
      <x:c r="C10" s="9" t="n">
        <x:v>480</x:v>
      </x:c>
      <x:c r="D10" s="8" t="n">
        <x:v>1</x:v>
      </x:c>
      <x:c r="E10" s="9" t="n">
        <x:v>211.99999999254942</x:v>
      </x:c>
      <x:c r="F10" s="9" t="n">
        <x:v>4864.539583333605</x:v>
      </x:c>
      <x:c r="G10" s="9" t="n">
        <x:v>24574</x:v>
      </x:c>
      <x:c r="H10" s="9" t="n">
        <x:v>38789.000000003725</x:v>
      </x:c>
      <x:c r="I10" s="9" t="n">
        <x:v>3421.3333333336514</x:v>
      </x:c>
      <x:c r="J10" s="9" t="n">
        <x:v>3421.3333333336514</x:v>
      </x:c>
      <x:c r="K10" s="10" t="n">
        <x:f>F10/Sources!$B$4*1000</x:f>
        <x:v>1.3589826593417893</x:v>
      </x:c>
      <x:c r="L10" s="11" t="n">
        <x:f>J10/Sources!$B$5</x:f>
        <x:v>0.04794200624031236</x:v>
      </x:c>
    </x:row>
    <x:row r="11" ht="23" customHeight="1">
      <x:c r="A11" s="1" t="str">
        <x:v>Ring_LoadColumns</x:v>
      </x:c>
      <x:c r="B11" s="1" t="str">
        <x:v>Incoming world columns</x:v>
      </x:c>
      <x:c r="C11" s="9" t="n">
        <x:v>61</x:v>
      </x:c>
      <x:c r="D11" s="8" t="n">
        <x:v>0.12708333333333333</x:v>
      </x:c>
      <x:c r="E11" s="9" t="n">
        <x:v>9093.99999999255</x:v>
      </x:c>
      <x:c r="F11" s="9" t="n">
        <x:v>10388.098360655738</x:v>
      </x:c>
      <x:c r="G11" s="9" t="n">
        <x:v>24045</x:v>
      </x:c>
      <x:c r="H11" s="9" t="n">
        <x:v>24045</x:v>
      </x:c>
      <x:c r="I11" s="9" t="n">
        <x:v>8982.196721311353</x:v>
      </x:c>
      <x:c r="J11" s="9" t="n">
        <x:v>1141.4874999999845</x:v>
      </x:c>
      <x:c r="K11" s="10" t="n">
        <x:f>F11/Sources!$B$4*1000</x:f>
        <x:v>2.902072291493958</x:v>
      </x:c>
      <x:c r="L11" s="11" t="n">
        <x:f>J11/Sources!$B$5</x:f>
        <x:v>0.015995284737402395</x:v>
      </x:c>
    </x:row>
    <x:row r="12" ht="23" customHeight="1">
      <x:c r="A12" s="1" t="str">
        <x:v>Ring_LoadRun</x:v>
      </x:c>
      <x:c r="B12" s="1" t="str">
        <x:v>World ID lookup run</x:v>
      </x:c>
      <x:c r="C12" s="9" t="n">
        <x:v>173</x:v>
      </x:c>
      <x:c r="D12" s="8" t="n">
        <x:v>0.36041666666666666</x:v>
      </x:c>
      <x:c r="E12" s="9" t="n">
        <x:v>669.9999999925494</x:v>
      </x:c>
      <x:c r="F12" s="9" t="n">
        <x:v>837.1387283236132</x:v>
      </x:c>
      <x:c r="G12" s="9" t="n">
        <x:v>1337</x:v>
      </x:c>
      <x:c r="H12" s="9" t="n">
        <x:v>1337</x:v>
      </x:c>
      <x:c r="I12" s="9" t="n">
        <x:v>837.1387283236132</x:v>
      </x:c>
      <x:c r="J12" s="9" t="n">
        <x:v>301.71874999996896</x:v>
      </x:c>
      <x:c r="K12" s="10" t="n">
        <x:f>F12/Sources!$B$4*1000</x:f>
        <x:v>0.23386735697515</x:v>
      </x:c>
      <x:c r="L12" s="11" t="n">
        <x:f>J12/Sources!$B$5</x:f>
        <x:v>0.004227884507594431</x:v>
      </x:c>
    </x:row>
    <x:row r="13" ht="23" customHeight="1">
      <x:c r="A13" s="1" t="str">
        <x:v>Ring_UploadNames</x:v>
      </x:c>
      <x:c r="B13" s="1" t="str">
        <x:v>Name table delta / cold refill</x:v>
      </x:c>
      <x:c r="C13" s="9" t="n">
        <x:v>480</x:v>
      </x:c>
      <x:c r="D13" s="8" t="n">
        <x:v>1</x:v>
      </x:c>
      <x:c r="E13" s="9" t="n">
        <x:v>16978.99999999255</x:v>
      </x:c>
      <x:c r="F13" s="9" t="n">
        <x:v>21403.43749999996</x:v>
      </x:c>
      <x:c r="G13" s="9" t="n">
        <x:v>30680</x:v>
      </x:c>
      <x:c r="H13" s="9" t="n">
        <x:v>30849.000000003725</x:v>
      </x:c>
      <x:c r="I13" s="9" t="n">
        <x:v>18466.304166666636</x:v>
      </x:c>
      <x:c r="J13" s="9" t="n">
        <x:v>18466.304166666636</x:v>
      </x:c>
      <x:c r="K13" s="10" t="n">
        <x:f>F13/Sources!$B$4*1000</x:f>
        <x:v>5.979373775158564</x:v>
      </x:c>
      <x:c r="L13" s="11" t="n">
        <x:f>J13/Sources!$B$5</x:f>
        <x:v>0.2587621793434594</x:v>
      </x:c>
    </x:row>
    <x:row r="14" ht="23" customHeight="1">
      <x:c r="A14" s="1" t="str">
        <x:v>Ring_UploadColumn</x:v>
      </x:c>
      <x:c r="B14" s="1" t="str">
        <x:v>Column VRAM upload</x:v>
      </x:c>
      <x:c r="C14" s="9" t="n">
        <x:v>122</x:v>
      </x:c>
      <x:c r="D14" s="8" t="n">
        <x:v>0.25416666666666665</x:v>
      </x:c>
      <x:c r="E14" s="9" t="n">
        <x:v>10441.99999999255</x:v>
      </x:c>
      <x:c r="F14" s="9" t="n">
        <x:v>10548.3196721313</x:v>
      </x:c>
      <x:c r="G14" s="9" t="n">
        <x:v>10770.999999996275</x:v>
      </x:c>
      <x:c r="H14" s="9" t="n">
        <x:v>10771.00000000745</x:v>
      </x:c>
      <x:c r="I14" s="9" t="n">
        <x:v>6364.213114753213</x:v>
      </x:c>
      <x:c r="J14" s="9" t="n">
        <x:v>1617.5708333331083</x:v>
      </x:c>
      <x:c r="K14" s="10" t="n">
        <x:f>F14/Sources!$B$4*1000</x:f>
        <x:v>2.9468325365741457</x:v>
      </x:c>
      <x:c r="L14" s="11" t="n">
        <x:f>J14/Sources!$B$5</x:f>
        <x:v>0.02266648216654207</x:v>
      </x:c>
    </x:row>
    <x:row r="15" ht="23" customHeight="1">
      <x:c r="A15" s="1" t="str">
        <x:v>Ring_UploadRow</x:v>
      </x:c>
      <x:c r="B15" s="1" t="str">
        <x:v>Row VRAM upload</x:v>
      </x:c>
      <x:c r="C15" s="9" t="n">
        <x:v>88</x:v>
      </x:c>
      <x:c r="D15" s="8" t="n">
        <x:v>0.18333333333333332</x:v>
      </x:c>
      <x:c r="E15" s="9" t="n">
        <x:v>1245.9999999850988</x:v>
      </x:c>
      <x:c r="F15" s="9" t="n">
        <x:v>1248.4431818176738</x:v>
      </x:c>
      <x:c r="G15" s="9" t="n">
        <x:v>1251.0000000074506</x:v>
      </x:c>
      <x:c r="H15" s="9" t="n">
        <x:v>1251.0000000074506</x:v>
      </x:c>
      <x:c r="I15" s="9" t="n">
        <x:v>292.44318181890145</x:v>
      </x:c>
      <x:c r="J15" s="9" t="n">
        <x:v>53.61458333346527</x:v>
      </x:c>
      <x:c r="K15" s="10" t="n">
        <x:f>F15/Sources!$B$4*1000</x:f>
        <x:v>0.34877147285972765</x:v>
      </x:c>
      <x:c r="L15" s="11" t="n">
        <x:f>J15/Sources!$B$5</x:f>
        <x:v>0.0007512833267959373</x:v>
      </x:c>
    </x:row>
    <x:row r="16" ht="23" customHeight="1">
      <x:c r="A16" s="1" t="str">
        <x:v>boundaries</x:v>
      </x:c>
      <x:c r="B16" s="1" t="str">
        <x:v>Right-edge name selection</x:v>
      </x:c>
      <x:c r="C16" s="9" t="n">
        <x:v>480</x:v>
      </x:c>
      <x:c r="D16" s="8" t="n">
        <x:v>1</x:v>
      </x:c>
      <x:c r="E16" s="9" t="n">
        <x:v>2322.9999999925494</x:v>
      </x:c>
      <x:c r="F16" s="9" t="n">
        <x:v>2323.000000000279</x:v>
      </x:c>
      <x:c r="G16" s="9" t="n">
        <x:v>2323.0000000074506</x:v>
      </x:c>
      <x:c r="H16" s="9" t="n">
        <x:v>2323.0000000074506</x:v>
      </x:c>
      <x:c r="I16" s="9" t="n">
        <x:v>2323.000000000279</x:v>
      </x:c>
      <x:c r="J16" s="9" t="n">
        <x:v>2323.000000000279</x:v>
      </x:c>
      <x:c r="K16" s="10" t="n">
        <x:f>F16/Sources!$B$4*1000</x:f>
        <x:v>0.6489651617734318</x:v>
      </x:c>
      <x:c r="L16" s="11" t="n">
        <x:f>J16/Sources!$B$5</x:f>
        <x:v>0.032551426489550464</x:v>
      </x:c>
    </x:row>
    <x:row r="17" ht="23" customHeight="1">
      <x:c r="A17" s="1" t="str">
        <x:v>left_names</x:v>
      </x:c>
      <x:c r="B17" s="1" t="str">
        <x:v>Wrapped HUD guard name stores</x:v>
      </x:c>
      <x:c r="C17" s="9" t="n">
        <x:v>480</x:v>
      </x:c>
      <x:c r="D17" s="8" t="n">
        <x:v>1</x:v>
      </x:c>
      <x:c r="E17" s="9" t="n">
        <x:v>794.9999999850988</x:v>
      </x:c>
      <x:c r="F17" s="9" t="n">
        <x:v>795.0000000001397</x:v>
      </x:c>
      <x:c r="G17" s="9" t="n">
        <x:v>795.0000000074506</x:v>
      </x:c>
      <x:c r="H17" s="9" t="n">
        <x:v>795.0000000074506</x:v>
      </x:c>
      <x:c r="I17" s="9" t="n">
        <x:v>795.0000000001397</x:v>
      </x:c>
      <x:c r="J17" s="9" t="n">
        <x:v>795.0000000001397</x:v>
      </x:c>
      <x:c r="K17" s="10" t="n">
        <x:f>F17/Sources!$B$4*1000</x:f>
        <x:v>0.22209526629785065</x:v>
      </x:c>
      <x:c r="L17" s="11" t="n">
        <x:f>J17/Sources!$B$5</x:f>
        <x:v>0.011140070623845913</x:v>
      </x:c>
    </x:row>
    <x:row r="18" ht="23" customHeight="1">
      <x:c r="A18" s="1" t="str">
        <x:v>radar</x:v>
      </x:c>
      <x:c r="B18" s="1" t="str">
        <x:v>Camera-center radar marker</x:v>
      </x:c>
      <x:c r="C18" s="9" t="n">
        <x:v>480</x:v>
      </x:c>
      <x:c r="D18" s="8" t="n">
        <x:v>1</x:v>
      </x:c>
      <x:c r="E18" s="9" t="n">
        <x:v>1298</x:v>
      </x:c>
      <x:c r="F18" s="9" t="n">
        <x:v>1381.1291666669072</x:v>
      </x:c>
      <x:c r="G18" s="9" t="n">
        <x:v>1421.0000000037253</x:v>
      </x:c>
      <x:c r="H18" s="9" t="n">
        <x:v>1421.0000000074506</x:v>
      </x:c>
      <x:c r="I18" s="9" t="n">
        <x:v>1381.1291666669072</x:v>
      </x:c>
      <x:c r="J18" s="9" t="n">
        <x:v>1381.1291666669072</x:v>
      </x:c>
      <x:c r="K18" s="10" t="n">
        <x:f>F18/Sources!$B$4*1000</x:f>
        <x:v>0.3858393082547942</x:v>
      </x:c>
      <x:c r="L18" s="11" t="n">
        <x:f>J18/Sources!$B$5</x:f>
        <x:v>0.01935330371989949</x:v>
      </x:c>
    </x:row>
    <x:row r="19" ht="23" customHeight="1">
      <x:c r="A19" s="1" t="str">
        <x:v>hud_upload</x:v>
      </x:c>
      <x:c r="B19" s="1" t="str">
        <x:v>HUD phase packet upload</x:v>
      </x:c>
      <x:c r="C19" s="9" t="n">
        <x:v>480</x:v>
      </x:c>
      <x:c r="D19" s="8" t="n">
        <x:v>1</x:v>
      </x:c>
      <x:c r="E19" s="9" t="n">
        <x:v>387.9999999925494</x:v>
      </x:c>
      <x:c r="F19" s="9" t="n">
        <x:v>21621.32083333398</x:v>
      </x:c>
      <x:c r="G19" s="9" t="n">
        <x:v>30400.00000000745</x:v>
      </x:c>
      <x:c r="H19" s="9" t="n">
        <x:v>32466.00000000745</x:v>
      </x:c>
      <x:c r="I19" s="9" t="n">
        <x:v>21094.67083333404</x:v>
      </x:c>
      <x:c r="J19" s="9" t="n">
        <x:v>21094.67083333404</x:v>
      </x:c>
      <x:c r="K19" s="10" t="n">
        <x:f>F19/Sources!$B$4*1000</x:f>
        <x:v>6.040242777597147</x:v>
      </x:c>
      <x:c r="L19" s="11" t="n">
        <x:f>J19/Sources!$B$5</x:f>
        <x:v>0.2955926073837515</x:v>
      </x:c>
    </x:row>
    <x:row r="20" ht="23" customHeight="1">
      <x:c r="A20" s="1" t="str">
        <x:v>address</x:v>
      </x:c>
      <x:c r="B20" s="1" t="str">
        <x:v>VDP VRAM address setup</x:v>
      </x:c>
      <x:c r="C20" s="9" t="n">
        <x:v>5778</x:v>
      </x:c>
      <x:c r="D20" s="8" t="n">
        <x:v>12.0375</x:v>
      </x:c>
      <x:c r="E20" s="9" t="n">
        <x:v>129.99999999254942</x:v>
      </x:c>
      <x:c r="F20" s="9" t="n">
        <x:v>130.29248875049845</x:v>
      </x:c>
      <x:c r="G20" s="9" t="n">
        <x:v>130.00000000745058</x:v>
      </x:c>
      <x:c r="H20" s="9" t="n">
        <x:v>299.0000000074506</x:v>
      </x:c>
      <x:c r="I20" s="9" t="n">
        <x:v>130.05192108002035</x:v>
      </x:c>
      <x:c r="J20" s="9" t="n">
        <x:v>1565.500000000745</x:v>
      </x:c>
      <x:c r="K20" s="10" t="n">
        <x:f>F20/Sources!$B$4*1000</x:f>
        <x:v>0.03639917608257431</x:v>
      </x:c>
      <x:c r="L20" s="11" t="n">
        <x:f>J20/Sources!$B$5</x:f>
        <x:v>0.021936830895139637</x:v>
      </x:c>
    </x:row>
    <x:row r="21" ht="23" customHeight="1">
      <x:c r="A21" s="1" t="str">
        <x:v>upload</x:v>
      </x:c>
      <x:c r="B21" s="1" t="str">
        <x:v>General VRAM transfer</x:v>
      </x:c>
      <x:c r="C21" s="9" t="n">
        <x:v>1874</x:v>
      </x:c>
      <x:c r="D21" s="8" t="n">
        <x:v>3.904166666666667</x:v>
      </x:c>
      <x:c r="E21" s="9" t="n">
        <x:v>249.99999999254942</x:v>
      </x:c>
      <x:c r="F21" s="9" t="n">
        <x:v>1833.0272145146344</x:v>
      </x:c>
      <x:c r="G21" s="9" t="n">
        <x:v>5433.999999992549</x:v>
      </x:c>
      <x:c r="H21" s="9" t="n">
        <x:v>13914.00000000745</x:v>
      </x:c>
      <x:c r="I21" s="9" t="n">
        <x:v>1831.1728922094069</x:v>
      </x:c>
      <x:c r="J21" s="9" t="n">
        <x:v>7149.20416666756</x:v>
      </x:c>
      <x:c r="K21" s="10" t="n">
        <x:f>F21/Sources!$B$4*1000</x:f>
        <x:v>0.5120838582877529</x:v>
      </x:c>
      <x:c r="L21" s="11" t="n">
        <x:f>J21/Sources!$B$5</x:f>
        <x:v>0.1001794205295045</x:v>
      </x:c>
    </x:row>
    <x:row r="22" ht="23" customHeight="1">
      <x:c r="A22" s="1" t="str">
        <x:v>clock_irq</x:v>
      </x:c>
      <x:c r="B22" s="1" t="str">
        <x:v>VBlank ISR body (entry latency excluded)</x:v>
      </x:c>
      <x:c r="C22" s="9" t="n">
        <x:v>618</x:v>
      </x:c>
      <x:c r="D22" s="8" t="n">
        <x:v>1.2875</x:v>
      </x:c>
      <x:c r="E22" s="9" t="n">
        <x:v>138.99999998509884</x:v>
      </x:c>
      <x:c r="F22" s="9" t="n">
        <x:v>139.00000000003618</x:v>
      </x:c>
      <x:c r="G22" s="9" t="n">
        <x:v>139.00000000745058</x:v>
      </x:c>
      <x:c r="H22" s="9" t="n">
        <x:v>139.00000000745058</x:v>
      </x:c>
      <x:c r="I22" s="9" t="n">
        <x:v>139.00000000003618</x:v>
      </x:c>
      <x:c r="J22" s="9" t="n">
        <x:v>178.96250000004656</x:v>
      </x:c>
      <x:c r="K22" s="10" t="n">
        <x:f>F22/Sources!$B$4*1000</x:f>
        <x:v>0.03883175096277213</x:v>
      </x:c>
      <x:c r="L22" s="11" t="n">
        <x:f>J22/Sources!$B$5</x:f>
        <x:v>0.002507741998767538</x:v>
      </x:c>
    </x:row>
    <x:row r="23" ht="23" customHeight="1">
      <x:c r="A23" s="1" t="str">
        <x:v>HUD_NameStores</x:v>
      </x:c>
      <x:c r="B23" s="1" t="str">
        <x:v>Compiled HUD name stores</x:v>
      </x:c>
      <x:c r="C23" s="9" t="n">
        <x:v>480</x:v>
      </x:c>
      <x:c r="D23" s="8" t="n">
        <x:v>1</x:v>
      </x:c>
      <x:c r="E23" s="9" t="n">
        <x:v>2362.999999985099</x:v>
      </x:c>
      <x:c r="F23" s="9" t="n">
        <x:v>2363.000000000101</x:v>
      </x:c>
      <x:c r="G23" s="9" t="n">
        <x:v>2363.0000000074506</x:v>
      </x:c>
      <x:c r="H23" s="9" t="n">
        <x:v>2363.0000000074506</x:v>
      </x:c>
      <x:c r="I23" s="9" t="n">
        <x:v>2363.000000000101</x:v>
      </x:c>
      <x:c r="J23" s="9" t="n">
        <x:v>2363.000000000101</x:v>
      </x:c>
      <x:c r="K23" s="10" t="n">
        <x:f>F23/Sources!$B$4*1000</x:f>
        <x:v>0.6601397663669827</x:v>
      </x:c>
      <x:c r="L23" s="11" t="n">
        <x:f>J23/Sources!$B$5</x:f>
        <x:v>0.033111933187603006</x:v>
      </x:c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P95 = nearest-rank 95th percentile. ISR entry/vector latency is charged to its interrupted context.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Self = inclusive minus tracked child spans; untracked helpers remain in their nearest measured owner.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</x:sheetData>
  <x:pageMargins left="0.7" right="0.7" top="0.75" bottom="0.75" header="0.3" footer="0.3"/>
  <x:tableParts count="1">
    <x:tablePart xmlns:r="http://schemas.openxmlformats.org/officeDocument/2006/relationships" r:id="R1fa7953a9dc5495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5" hidden="0" customWidth="1"/>
    <x:col min="13" max="13" width="15" hidden="0" customWidth="1"/>
    <x:col min="14" max="14" width="18" hidden="0" customWidth="1"/>
    <x:col min="15" max="15" width="31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5" hidden="0" customWidth="1"/>
    <x:col min="21" max="21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23" customHeight="1">
      <x:c r="A2" s="2" t="str">
        <x:v>Per-presentation cycle ledger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23" customHeight="1">
      <x:c r="A3" s="1" t="str">
        <x:v>Software frames 5..484; warmed start. Negative margin exceeds the proposed single-60-Hz draw interval.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6" customHeight="1">
      <x:c r="A5" s="7" t="str">
        <x:v>Frame</x:v>
      </x:c>
      <x:c r="B5" s="7" t="str">
        <x:v>Camera X</x:v>
      </x:c>
      <x:c r="C5" s="7" t="str">
        <x:v>Camera Y</x:v>
      </x:c>
      <x:c r="D5" s="7" t="str">
        <x:v>Input ticks</x:v>
      </x:c>
      <x:c r="E5" s="7" t="str">
        <x:v>Total cycles</x:v>
      </x:c>
      <x:c r="F5" s="7" t="str">
        <x:v>Input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Loop overhead</x:v>
      </x:c>
      <x:c r="K5" s="7" t="str">
        <x:v>Work cycles</x:v>
      </x:c>
      <x:c r="L5" s="7" t="str">
        <x:v>Work ms</x:v>
      </x:c>
      <x:c r="M5" s="7" t="str">
        <x:v>Interval ms</x:v>
      </x:c>
      <x:c r="N5" s="7" t="str">
        <x:v>60 Hz margin cycles</x:v>
      </x:c>
      <x:c r="O5" s="7" t="str">
        <x:v>Movement command</x:v>
      </x:c>
      <x:c r="P5" s="7" t="str">
        <x:v>Delta X</x:v>
      </x:c>
      <x:c r="Q5" s="7" t="str">
        <x:v>Delta Y</x:v>
      </x:c>
      <x:c r="R5" s="7" t="str">
        <x:v>Fine X</x:v>
      </x:c>
      <x:c r="S5" s="7" t="str">
        <x:v>Fine Y</x:v>
      </x:c>
      <x:c r="T5" s="7" t="str">
        <x:v>Camera tile crossing</x:v>
      </x:c>
      <x:c r="U5" s="7" t="str">
        <x:v>Name strip calls</x:v>
      </x:c>
    </x:row>
    <x:row r="6" ht="23" customHeight="1">
      <x:c r="A6" s="9" t="n">
        <x:v>5</x:v>
      </x:c>
      <x:c r="B6" s="9" t="n">
        <x:v>265</x:v>
      </x:c>
      <x:c r="C6" s="9" t="n">
        <x:v>1032</x:v>
      </x:c>
      <x:c r="D6" s="9" t="n">
        <x:v>1</x:v>
      </x:c>
      <x:c r="E6" s="9" t="n">
        <x:v>142738</x:v>
      </x:c>
      <x:c r="F6" s="9" t="n">
        <x:v>785</x:v>
      </x:c>
      <x:c r="G6" s="9" t="n">
        <x:v>70585</x:v>
      </x:c>
      <x:c r="H6" s="9" t="n">
        <x:v>70785</x:v>
      </x:c>
      <x:c r="I6" s="9" t="n">
        <x:v>477</x:v>
      </x:c>
      <x:c r="J6" s="9" t="n">
        <x:v>106</x:v>
      </x:c>
      <x:c r="K6" s="9" t="n">
        <x:f>F6+G6+I6+J6</x:f>
        <x:v>71953</x:v>
      </x:c>
      <x:c r="L6" s="10" t="n">
        <x:f>K6/Sources!$B$4*1000</x:f>
        <x:v>20.10115810808357</x:v>
      </x:c>
      <x:c r="M6" s="10" t="n">
        <x:f>E6/Sources!$B$4*1000</x:f>
        <x:v>39.876017762033996</x:v>
      </x:c>
      <x:c r="N6" s="9" t="n">
        <x:f>Sources!$B$6-K6</x:f>
        <x:v>-12217</x:v>
      </x:c>
      <x:c r="O6" s="1" t="str">
        <x:v>horizontal_normal_right</x:v>
      </x:c>
      <x:c r="P6" s="12" t="n">
        <x:v>1</x:v>
      </x:c>
      <x:c r="Q6" s="12" t="n">
        <x:v>0</x:v>
      </x:c>
      <x:c r="R6" s="12" t="n">
        <x:v>1</x:v>
      </x:c>
      <x:c r="S6" s="12" t="n">
        <x:v>0</x:v>
      </x:c>
      <x:c r="T6" s="1" t="str">
        <x:v>No</x:v>
      </x:c>
      <x:c r="U6" s="1" t="n">
        <x:v>0</x:v>
      </x:c>
    </x:row>
    <x:row r="7" ht="23" customHeight="1">
      <x:c r="A7" s="9" t="n">
        <x:v>6</x:v>
      </x:c>
      <x:c r="B7" s="9" t="n">
        <x:v>267</x:v>
      </x:c>
      <x:c r="C7" s="9" t="n">
        <x:v>1032</x:v>
      </x:c>
      <x:c r="D7" s="9" t="n">
        <x:v>2</x:v>
      </x:c>
      <x:c r="E7" s="9" t="n">
        <x:v>142718</x:v>
      </x:c>
      <x:c r="F7" s="9" t="n">
        <x:v>785</x:v>
      </x:c>
      <x:c r="G7" s="9" t="n">
        <x:v>71448</x:v>
      </x:c>
      <x:c r="H7" s="9" t="n">
        <x:v>69910</x:v>
      </x:c>
      <x:c r="I7" s="9" t="n">
        <x:v>469</x:v>
      </x:c>
      <x:c r="J7" s="9" t="n">
        <x:v>106</x:v>
      </x:c>
      <x:c r="K7" s="9" t="n">
        <x:f>F7+G7+I7+J7</x:f>
        <x:v>72808</x:v>
      </x:c>
      <x:c r="L7" s="10" t="n">
        <x:f>K7/Sources!$B$4*1000</x:f>
        <x:v>20.340015281271782</x:v>
      </x:c>
      <x:c r="M7" s="10" t="n">
        <x:f>E7/Sources!$B$4*1000</x:f>
        <x:v>39.8704304597372</x:v>
      </x:c>
      <x:c r="N7" s="9" t="n">
        <x:f>Sources!$B$6-K7</x:f>
        <x:v>-13072</x:v>
      </x:c>
      <x:c r="O7" s="1" t="str">
        <x:v>horizontal_normal_right</x:v>
      </x:c>
      <x:c r="P7" s="12" t="n">
        <x:v>2</x:v>
      </x:c>
      <x:c r="Q7" s="12" t="n">
        <x:v>0</x:v>
      </x:c>
      <x:c r="R7" s="12" t="n">
        <x:v>3</x:v>
      </x:c>
      <x:c r="S7" s="12" t="n">
        <x:v>0</x:v>
      </x:c>
      <x:c r="T7" s="1" t="str">
        <x:v>No</x:v>
      </x:c>
      <x:c r="U7" s="1" t="n">
        <x:v>0</x:v>
      </x:c>
    </x:row>
    <x:row r="8" ht="23" customHeight="1">
      <x:c r="A8" s="9" t="n">
        <x:v>7</x:v>
      </x:c>
      <x:c r="B8" s="9" t="n">
        <x:v>269</x:v>
      </x:c>
      <x:c r="C8" s="9" t="n">
        <x:v>1032</x:v>
      </x:c>
      <x:c r="D8" s="9" t="n">
        <x:v>2</x:v>
      </x:c>
      <x:c r="E8" s="9" t="n">
        <x:v>71375</x:v>
      </x:c>
      <x:c r="F8" s="9" t="n">
        <x:v>785</x:v>
      </x:c>
      <x:c r="G8" s="9" t="n">
        <x:v>63642</x:v>
      </x:c>
      <x:c r="H8" s="9" t="n">
        <x:v>6365</x:v>
      </x:c>
      <x:c r="I8" s="9" t="n">
        <x:v>477</x:v>
      </x:c>
      <x:c r="J8" s="9" t="n">
        <x:v>106</x:v>
      </x:c>
      <x:c r="K8" s="9" t="n">
        <x:f>F8+G8+I8+J8</x:f>
        <x:v>65010</x:v>
      </x:c>
      <x:c r="L8" s="10" t="n">
        <x:f>K8/Sources!$B$4*1000</x:f>
        <x:v>18.16152611574935</x:v>
      </x:c>
      <x:c r="M8" s="10" t="n">
        <x:f>E8/Sources!$B$4*1000</x:f>
        <x:v>19.93968507170604</x:v>
      </x:c>
      <x:c r="N8" s="9" t="n">
        <x:f>Sources!$B$6-K8</x:f>
        <x:v>-5274</x:v>
      </x:c>
      <x:c r="O8" s="1" t="str">
        <x:v>horizontal_normal_right</x:v>
      </x:c>
      <x:c r="P8" s="12" t="n">
        <x:v>2</x:v>
      </x:c>
      <x:c r="Q8" s="12" t="n">
        <x:v>0</x:v>
      </x:c>
      <x:c r="R8" s="12" t="n">
        <x:v>5</x:v>
      </x:c>
      <x:c r="S8" s="12" t="n">
        <x:v>0</x:v>
      </x:c>
      <x:c r="T8" s="1" t="str">
        <x:v>No</x:v>
      </x:c>
      <x:c r="U8" s="1" t="n">
        <x:v>0</x:v>
      </x:c>
    </x:row>
    <x:row r="9" ht="23" customHeight="1">
      <x:c r="A9" s="9" t="n">
        <x:v>8</x:v>
      </x:c>
      <x:c r="B9" s="9" t="n">
        <x:v>270</x:v>
      </x:c>
      <x:c r="C9" s="9" t="n">
        <x:v>1032</x:v>
      </x:c>
      <x:c r="D9" s="9" t="n">
        <x:v>1</x:v>
      </x:c>
      <x:c r="E9" s="9" t="n">
        <x:v>71354</x:v>
      </x:c>
      <x:c r="F9" s="9" t="n">
        <x:v>785</x:v>
      </x:c>
      <x:c r="G9" s="9" t="n">
        <x:v>67444</x:v>
      </x:c>
      <x:c r="H9" s="9" t="n">
        <x:v>2550</x:v>
      </x:c>
      <x:c r="I9" s="9" t="n">
        <x:v>469</x:v>
      </x:c>
      <x:c r="J9" s="9" t="n">
        <x:v>106</x:v>
      </x:c>
      <x:c r="K9" s="9" t="n">
        <x:f>F9+G9+I9+J9</x:f>
        <x:v>68804</x:v>
      </x:c>
      <x:c r="L9" s="10" t="n">
        <x:f>K9/Sources!$B$4*1000</x:f>
        <x:v>19.221437361452363</x:v>
      </x:c>
      <x:c r="M9" s="10" t="n">
        <x:f>E9/Sources!$B$4*1000</x:f>
        <x:v>19.9338184042944</x:v>
      </x:c>
      <x:c r="N9" s="9" t="n">
        <x:f>Sources!$B$6-K9</x:f>
        <x:v>-9068</x:v>
      </x:c>
      <x:c r="O9" s="1" t="str">
        <x:v>horizontal_normal_right</x:v>
      </x:c>
      <x:c r="P9" s="12" t="n">
        <x:v>1</x:v>
      </x:c>
      <x:c r="Q9" s="12" t="n">
        <x:v>0</x:v>
      </x:c>
      <x:c r="R9" s="12" t="n">
        <x:v>6</x:v>
      </x:c>
      <x:c r="S9" s="12" t="n">
        <x:v>0</x:v>
      </x:c>
      <x:c r="T9" s="1" t="str">
        <x:v>No</x:v>
      </x:c>
      <x:c r="U9" s="1" t="n">
        <x:v>0</x:v>
      </x:c>
    </x:row>
    <x:row r="10" ht="23" customHeight="1">
      <x:c r="A10" s="9" t="n">
        <x:v>9</x:v>
      </x:c>
      <x:c r="B10" s="9" t="n">
        <x:v>271</x:v>
      </x:c>
      <x:c r="C10" s="9" t="n">
        <x:v>1032</x:v>
      </x:c>
      <x:c r="D10" s="9" t="n">
        <x:v>1</x:v>
      </x:c>
      <x:c r="E10" s="9" t="n">
        <x:v>71375</x:v>
      </x:c>
      <x:c r="F10" s="9" t="n">
        <x:v>785</x:v>
      </x:c>
      <x:c r="G10" s="9" t="n">
        <x:v>68122</x:v>
      </x:c>
      <x:c r="H10" s="9" t="n">
        <x:v>1885</x:v>
      </x:c>
      <x:c r="I10" s="9" t="n">
        <x:v>477</x:v>
      </x:c>
      <x:c r="J10" s="9" t="n">
        <x:v>106</x:v>
      </x:c>
      <x:c r="K10" s="9" t="n">
        <x:f>F10+G10+I10+J10</x:f>
        <x:v>69490</x:v>
      </x:c>
      <x:c r="L10" s="10" t="n">
        <x:f>K10/Sources!$B$4*1000</x:f>
        <x:v>19.413081830232613</x:v>
      </x:c>
      <x:c r="M10" s="10" t="n">
        <x:f>E10/Sources!$B$4*1000</x:f>
        <x:v>19.93968507170604</x:v>
      </x:c>
      <x:c r="N10" s="9" t="n">
        <x:f>Sources!$B$6-K10</x:f>
        <x:v>-9754</x:v>
      </x:c>
      <x:c r="O10" s="1" t="str">
        <x:v>horizontal_normal_right</x:v>
      </x:c>
      <x:c r="P10" s="12" t="n">
        <x:v>1</x:v>
      </x:c>
      <x:c r="Q10" s="12" t="n">
        <x:v>0</x:v>
      </x:c>
      <x:c r="R10" s="12" t="n">
        <x:v>7</x:v>
      </x:c>
      <x:c r="S10" s="12" t="n">
        <x:v>0</x:v>
      </x:c>
      <x:c r="T10" s="1" t="str">
        <x:v>No</x:v>
      </x:c>
      <x:c r="U10" s="1" t="n">
        <x:v>0</x:v>
      </x:c>
    </x:row>
    <x:row r="11" ht="23" customHeight="1">
      <x:c r="A11" s="9" t="n">
        <x:v>10</x:v>
      </x:c>
      <x:c r="B11" s="9" t="n">
        <x:v>272</x:v>
      </x:c>
      <x:c r="C11" s="9" t="n">
        <x:v>1032</x:v>
      </x:c>
      <x:c r="D11" s="9" t="n">
        <x:v>1</x:v>
      </x:c>
      <x:c r="E11" s="9" t="n">
        <x:v>142718</x:v>
      </x:c>
      <x:c r="F11" s="9" t="n">
        <x:v>785</x:v>
      </x:c>
      <x:c r="G11" s="9" t="n">
        <x:v>92473</x:v>
      </x:c>
      <x:c r="H11" s="9" t="n">
        <x:v>48885.000000003725</x:v>
      </x:c>
      <x:c r="I11" s="9" t="n">
        <x:v>469</x:v>
      </x:c>
      <x:c r="J11" s="9" t="n">
        <x:v>105.99999999627471</x:v>
      </x:c>
      <x:c r="K11" s="9" t="n">
        <x:f>F11+G11+I11+J11</x:f>
        <x:v>93832.99999999627</x:v>
      </x:c>
      <x:c r="L11" s="10" t="n">
        <x:f>K11/Sources!$B$4*1000</x:f>
        <x:v>26.213666820782045</x:v>
      </x:c>
      <x:c r="M11" s="10" t="n">
        <x:f>E11/Sources!$B$4*1000</x:f>
        <x:v>39.8704304597372</x:v>
      </x:c>
      <x:c r="N11" s="9" t="n">
        <x:f>Sources!$B$6-K11</x:f>
        <x:v>-34096.999999996275</x:v>
      </x:c>
      <x:c r="O11" s="1" t="str">
        <x:v>horizontal_normal_right</x:v>
      </x:c>
      <x:c r="P11" s="12" t="n">
        <x:v>1</x:v>
      </x:c>
      <x:c r="Q11" s="12" t="n">
        <x:v>0</x:v>
      </x:c>
      <x:c r="R11" s="12" t="n">
        <x:v>0</x:v>
      </x:c>
      <x:c r="S11" s="12" t="n">
        <x:v>0</x:v>
      </x:c>
      <x:c r="T11" s="1" t="str">
        <x:v>Yes</x:v>
      </x:c>
      <x:c r="U11" s="1" t="n">
        <x:v>1</x:v>
      </x:c>
    </x:row>
    <x:row r="12" ht="23" customHeight="1">
      <x:c r="A12" s="9" t="n">
        <x:v>11</x:v>
      </x:c>
      <x:c r="B12" s="9" t="n">
        <x:v>274</x:v>
      </x:c>
      <x:c r="C12" s="9" t="n">
        <x:v>1032</x:v>
      </x:c>
      <x:c r="D12" s="9" t="n">
        <x:v>2</x:v>
      </x:c>
      <x:c r="E12" s="9" t="n">
        <x:v>142735</x:v>
      </x:c>
      <x:c r="F12" s="9" t="n">
        <x:v>785.0000000037253</x:v>
      </x:c>
      <x:c r="G12" s="9" t="n">
        <x:v>81691.99999999627</x:v>
      </x:c>
      <x:c r="H12" s="9" t="n">
        <x:v>59675</x:v>
      </x:c>
      <x:c r="I12" s="9" t="n">
        <x:v>477</x:v>
      </x:c>
      <x:c r="J12" s="9" t="n">
        <x:v>106</x:v>
      </x:c>
      <x:c r="K12" s="9" t="n">
        <x:f>F12+G12+I12+J12</x:f>
        <x:v>83060</x:v>
      </x:c>
      <x:c r="L12" s="10" t="n">
        <x:f>K12/Sources!$B$4*1000</x:f>
        <x:v>23.204066438611612</x:v>
      </x:c>
      <x:c r="M12" s="10" t="n">
        <x:f>E12/Sources!$B$4*1000</x:f>
        <x:v>39.875179666689476</x:v>
      </x:c>
      <x:c r="N12" s="9" t="n">
        <x:f>Sources!$B$6-K12</x:f>
        <x:v>-23324</x:v>
      </x:c>
      <x:c r="O12" s="1" t="str">
        <x:v>horizontal_normal_right</x:v>
      </x:c>
      <x:c r="P12" s="12" t="n">
        <x:v>2</x:v>
      </x:c>
      <x:c r="Q12" s="12" t="n">
        <x:v>0</x:v>
      </x:c>
      <x:c r="R12" s="12" t="n">
        <x:v>2</x:v>
      </x:c>
      <x:c r="S12" s="12" t="n">
        <x:v>0</x:v>
      </x:c>
      <x:c r="T12" s="1" t="str">
        <x:v>No</x:v>
      </x:c>
      <x:c r="U12" s="1" t="n">
        <x:v>1</x:v>
      </x:c>
    </x:row>
    <x:row r="13" ht="23" customHeight="1">
      <x:c r="A13" s="9" t="n">
        <x:v>12</x:v>
      </x:c>
      <x:c r="B13" s="9" t="n">
        <x:v>276</x:v>
      </x:c>
      <x:c r="C13" s="9" t="n">
        <x:v>1032</x:v>
      </x:c>
      <x:c r="D13" s="9" t="n">
        <x:v>2</x:v>
      </x:c>
      <x:c r="E13" s="9" t="n">
        <x:v>142722</x:v>
      </x:c>
      <x:c r="F13" s="9" t="n">
        <x:v>785</x:v>
      </x:c>
      <x:c r="G13" s="9" t="n">
        <x:v>71466.99999999627</x:v>
      </x:c>
      <x:c r="H13" s="9" t="n">
        <x:v>69895.00000000373</x:v>
      </x:c>
      <x:c r="I13" s="9" t="n">
        <x:v>468.9999999962747</x:v>
      </x:c>
      <x:c r="J13" s="9" t="n">
        <x:v>106.00000000372529</x:v>
      </x:c>
      <x:c r="K13" s="9" t="n">
        <x:f>F13+G13+I13+J13</x:f>
        <x:v>72826.99999999627</x:v>
      </x:c>
      <x:c r="L13" s="10" t="n">
        <x:f>K13/Sources!$B$4*1000</x:f>
        <x:v>20.3453232184527</x:v>
      </x:c>
      <x:c r="M13" s="10" t="n">
        <x:f>E13/Sources!$B$4*1000</x:f>
        <x:v>39.871547920196555</x:v>
      </x:c>
      <x:c r="N13" s="9" t="n">
        <x:f>Sources!$B$6-K13</x:f>
        <x:v>-13090.999999996275</x:v>
      </x:c>
      <x:c r="O13" s="1" t="str">
        <x:v>horizontal_normal_right</x:v>
      </x:c>
      <x:c r="P13" s="12" t="n">
        <x:v>2</x:v>
      </x:c>
      <x:c r="Q13" s="12" t="n">
        <x:v>0</x:v>
      </x:c>
      <x:c r="R13" s="12" t="n">
        <x:v>4</x:v>
      </x:c>
      <x:c r="S13" s="12" t="n">
        <x:v>0</x:v>
      </x:c>
      <x:c r="T13" s="1" t="str">
        <x:v>No</x:v>
      </x:c>
      <x:c r="U13" s="1" t="n">
        <x:v>0</x:v>
      </x:c>
    </x:row>
    <x:row r="14" ht="23" customHeight="1">
      <x:c r="A14" s="9" t="n">
        <x:v>13</x:v>
      </x:c>
      <x:c r="B14" s="9" t="n">
        <x:v>278</x:v>
      </x:c>
      <x:c r="C14" s="9" t="n">
        <x:v>1032</x:v>
      </x:c>
      <x:c r="D14" s="9" t="n">
        <x:v>2</x:v>
      </x:c>
      <x:c r="E14" s="9" t="n">
        <x:v>71371</x:v>
      </x:c>
      <x:c r="F14" s="9" t="n">
        <x:v>785</x:v>
      </x:c>
      <x:c r="G14" s="9" t="n">
        <x:v>67562.99999999627</x:v>
      </x:c>
      <x:c r="H14" s="9" t="n">
        <x:v>2440</x:v>
      </x:c>
      <x:c r="I14" s="9" t="n">
        <x:v>477</x:v>
      </x:c>
      <x:c r="J14" s="9" t="n">
        <x:v>106.00000000372529</x:v>
      </x:c>
      <x:c r="K14" s="9" t="n">
        <x:f>F14+G14+I14+J14</x:f>
        <x:v>68931</x:v>
      </x:c>
      <x:c r="L14" s="10" t="n">
        <x:f>K14/Sources!$B$4*1000</x:f>
        <x:v>19.256916731037045</x:v>
      </x:c>
      <x:c r="M14" s="10" t="n">
        <x:f>E14/Sources!$B$4*1000</x:f>
        <x:v>19.93856761124668</x:v>
      </x:c>
      <x:c r="N14" s="9" t="n">
        <x:f>Sources!$B$6-K14</x:f>
        <x:v>-9195</x:v>
      </x:c>
      <x:c r="O14" s="1" t="str">
        <x:v>horizontal_normal_right</x:v>
      </x:c>
      <x:c r="P14" s="12" t="n">
        <x:v>2</x:v>
      </x:c>
      <x:c r="Q14" s="12" t="n">
        <x:v>0</x:v>
      </x:c>
      <x:c r="R14" s="12" t="n">
        <x:v>6</x:v>
      </x:c>
      <x:c r="S14" s="12" t="n">
        <x:v>0</x:v>
      </x:c>
      <x:c r="T14" s="1" t="str">
        <x:v>No</x:v>
      </x:c>
      <x:c r="U14" s="1" t="n">
        <x:v>0</x:v>
      </x:c>
    </x:row>
    <x:row r="15" ht="23" customHeight="1">
      <x:c r="A15" s="9" t="n">
        <x:v>14</x:v>
      </x:c>
      <x:c r="B15" s="9" t="n">
        <x:v>279</x:v>
      </x:c>
      <x:c r="C15" s="9" t="n">
        <x:v>1032</x:v>
      </x:c>
      <x:c r="D15" s="9" t="n">
        <x:v>1</x:v>
      </x:c>
      <x:c r="E15" s="9" t="n">
        <x:v>71356</x:v>
      </x:c>
      <x:c r="F15" s="9" t="n">
        <x:v>785</x:v>
      </x:c>
      <x:c r="G15" s="9" t="n">
        <x:v>68081</x:v>
      </x:c>
      <x:c r="H15" s="9" t="n">
        <x:v>1915</x:v>
      </x:c>
      <x:c r="I15" s="9" t="n">
        <x:v>469</x:v>
      </x:c>
      <x:c r="J15" s="9" t="n">
        <x:v>106</x:v>
      </x:c>
      <x:c r="K15" s="9" t="n">
        <x:f>F15+G15+I15+J15</x:f>
        <x:v>69441</x:v>
      </x:c>
      <x:c r="L15" s="10" t="n">
        <x:f>K15/Sources!$B$4*1000</x:f>
        <x:v>19.399392939605455</x:v>
      </x:c>
      <x:c r="M15" s="10" t="n">
        <x:f>E15/Sources!$B$4*1000</x:f>
        <x:v>19.93437713452408</x:v>
      </x:c>
      <x:c r="N15" s="9" t="n">
        <x:f>Sources!$B$6-K15</x:f>
        <x:v>-9705</x:v>
      </x:c>
      <x:c r="O15" s="1" t="str">
        <x:v>horizontal_normal_right</x:v>
      </x:c>
      <x:c r="P15" s="12" t="n">
        <x:v>1</x:v>
      </x:c>
      <x:c r="Q15" s="12" t="n">
        <x:v>0</x:v>
      </x:c>
      <x:c r="R15" s="12" t="n">
        <x:v>7</x:v>
      </x:c>
      <x:c r="S15" s="12" t="n">
        <x:v>0</x:v>
      </x:c>
      <x:c r="T15" s="1" t="str">
        <x:v>No</x:v>
      </x:c>
      <x:c r="U15" s="1" t="n">
        <x:v>0</x:v>
      </x:c>
    </x:row>
    <x:row r="16" ht="23" customHeight="1">
      <x:c r="A16" s="9" t="n">
        <x:v>15</x:v>
      </x:c>
      <x:c r="B16" s="9" t="n">
        <x:v>280</x:v>
      </x:c>
      <x:c r="C16" s="9" t="n">
        <x:v>1032</x:v>
      </x:c>
      <x:c r="D16" s="9" t="n">
        <x:v>1</x:v>
      </x:c>
      <x:c r="E16" s="9" t="n">
        <x:v>142737</x:v>
      </x:c>
      <x:c r="F16" s="9" t="n">
        <x:v>785</x:v>
      </x:c>
      <x:c r="G16" s="9" t="n">
        <x:v>92674</x:v>
      </x:c>
      <x:c r="H16" s="9" t="n">
        <x:v>48695</x:v>
      </x:c>
      <x:c r="I16" s="9" t="n">
        <x:v>477</x:v>
      </x:c>
      <x:c r="J16" s="9" t="n">
        <x:v>106</x:v>
      </x:c>
      <x:c r="K16" s="9" t="n">
        <x:f>F16+G16+I16+J16</x:f>
        <x:v>94042</x:v>
      </x:c>
      <x:c r="L16" s="10" t="n">
        <x:f>K16/Sources!$B$4*1000</x:f>
        <x:v>26.272054129784653</x:v>
      </x:c>
      <x:c r="M16" s="10" t="n">
        <x:f>E16/Sources!$B$4*1000</x:f>
        <x:v>39.87573839691916</x:v>
      </x:c>
      <x:c r="N16" s="9" t="n">
        <x:f>Sources!$B$6-K16</x:f>
        <x:v>-34306</x:v>
      </x:c>
      <x:c r="O16" s="1" t="str">
        <x:v>horizontal_normal_right</x:v>
      </x:c>
      <x:c r="P16" s="12" t="n">
        <x:v>1</x:v>
      </x:c>
      <x:c r="Q16" s="12" t="n">
        <x:v>0</x:v>
      </x:c>
      <x:c r="R16" s="12" t="n">
        <x:v>0</x:v>
      </x:c>
      <x:c r="S16" s="12" t="n">
        <x:v>0</x:v>
      </x:c>
      <x:c r="T16" s="1" t="str">
        <x:v>Yes</x:v>
      </x:c>
      <x:c r="U16" s="1" t="n">
        <x:v>1</x:v>
      </x:c>
    </x:row>
    <x:row r="17" ht="23" customHeight="1">
      <x:c r="A17" s="9" t="n">
        <x:v>16</x:v>
      </x:c>
      <x:c r="B17" s="9" t="n">
        <x:v>282</x:v>
      </x:c>
      <x:c r="C17" s="9" t="n">
        <x:v>1032</x:v>
      </x:c>
      <x:c r="D17" s="9" t="n">
        <x:v>2</x:v>
      </x:c>
      <x:c r="E17" s="9" t="n">
        <x:v>142721</x:v>
      </x:c>
      <x:c r="F17" s="9" t="n">
        <x:v>785</x:v>
      </x:c>
      <x:c r="G17" s="9" t="n">
        <x:v>81491</x:v>
      </x:c>
      <x:c r="H17" s="9" t="n">
        <x:v>59870.000000003725</x:v>
      </x:c>
      <x:c r="I17" s="9" t="n">
        <x:v>469</x:v>
      </x:c>
      <x:c r="J17" s="9" t="n">
        <x:v>105.99999999627471</x:v>
      </x:c>
      <x:c r="K17" s="9" t="n">
        <x:f>F17+G17+I17+J17</x:f>
        <x:v>82850.99999999627</x:v>
      </x:c>
      <x:c r="L17" s="10" t="n">
        <x:f>K17/Sources!$B$4*1000</x:f>
        <x:v>23.145679129609007</x:v>
      </x:c>
      <x:c r="M17" s="10" t="n">
        <x:f>E17/Sources!$B$4*1000</x:f>
        <x:v>39.87126855508172</x:v>
      </x:c>
      <x:c r="N17" s="9" t="n">
        <x:f>Sources!$B$6-K17</x:f>
        <x:v>-23114.999999996275</x:v>
      </x:c>
      <x:c r="O17" s="1" t="str">
        <x:v>horizontal_normal_right</x:v>
      </x:c>
      <x:c r="P17" s="12" t="n">
        <x:v>2</x:v>
      </x:c>
      <x:c r="Q17" s="12" t="n">
        <x:v>0</x:v>
      </x:c>
      <x:c r="R17" s="12" t="n">
        <x:v>2</x:v>
      </x:c>
      <x:c r="S17" s="12" t="n">
        <x:v>0</x:v>
      </x:c>
      <x:c r="T17" s="1" t="str">
        <x:v>No</x:v>
      </x:c>
      <x:c r="U17" s="1" t="n">
        <x:v>1</x:v>
      </x:c>
    </x:row>
    <x:row r="18" ht="23" customHeight="1">
      <x:c r="A18" s="9" t="n">
        <x:v>17</x:v>
      </x:c>
      <x:c r="B18" s="9" t="n">
        <x:v>284</x:v>
      </x:c>
      <x:c r="C18" s="9" t="n">
        <x:v>1032</x:v>
      </x:c>
      <x:c r="D18" s="9" t="n">
        <x:v>2</x:v>
      </x:c>
      <x:c r="E18" s="9" t="n">
        <x:v>142735</x:v>
      </x:c>
      <x:c r="F18" s="9" t="n">
        <x:v>785</x:v>
      </x:c>
      <x:c r="G18" s="9" t="n">
        <x:v>71527</x:v>
      </x:c>
      <x:c r="H18" s="9" t="n">
        <x:v>69839.99999999627</x:v>
      </x:c>
      <x:c r="I18" s="9" t="n">
        <x:v>477</x:v>
      </x:c>
      <x:c r="J18" s="9" t="n">
        <x:v>106.00000000372529</x:v>
      </x:c>
      <x:c r="K18" s="9" t="n">
        <x:f>F18+G18+I18+J18</x:f>
        <x:v>72895.00000000373</x:v>
      </x:c>
      <x:c r="L18" s="10" t="n">
        <x:f>K18/Sources!$B$4*1000</x:f>
        <x:v>20.364320046263906</x:v>
      </x:c>
      <x:c r="M18" s="10" t="n">
        <x:f>E18/Sources!$B$4*1000</x:f>
        <x:v>39.875179666689476</x:v>
      </x:c>
      <x:c r="N18" s="9" t="n">
        <x:f>Sources!$B$6-K18</x:f>
        <x:v>-13159.000000003725</x:v>
      </x:c>
      <x:c r="O18" s="1" t="str">
        <x:v>horizontal_normal_right</x:v>
      </x:c>
      <x:c r="P18" s="12" t="n">
        <x:v>2</x:v>
      </x:c>
      <x:c r="Q18" s="12" t="n">
        <x:v>0</x:v>
      </x:c>
      <x:c r="R18" s="12" t="n">
        <x:v>4</x:v>
      </x:c>
      <x:c r="S18" s="12" t="n">
        <x:v>0</x:v>
      </x:c>
      <x:c r="T18" s="1" t="str">
        <x:v>No</x:v>
      </x:c>
      <x:c r="U18" s="1" t="n">
        <x:v>0</x:v>
      </x:c>
    </x:row>
    <x:row r="19" ht="23" customHeight="1">
      <x:c r="A19" s="9" t="n">
        <x:v>18</x:v>
      </x:c>
      <x:c r="B19" s="9" t="n">
        <x:v>286</x:v>
      </x:c>
      <x:c r="C19" s="9" t="n">
        <x:v>1032</x:v>
      </x:c>
      <x:c r="D19" s="9" t="n">
        <x:v>2</x:v>
      </x:c>
      <x:c r="E19" s="9" t="n">
        <x:v>71356</x:v>
      </x:c>
      <x:c r="F19" s="9" t="n">
        <x:v>785.0000000037253</x:v>
      </x:c>
      <x:c r="G19" s="9" t="n">
        <x:v>67541</x:v>
      </x:c>
      <x:c r="H19" s="9" t="n">
        <x:v>2455</x:v>
      </x:c>
      <x:c r="I19" s="9" t="n">
        <x:v>469</x:v>
      </x:c>
      <x:c r="J19" s="9" t="n">
        <x:v>105.99999999627471</x:v>
      </x:c>
      <x:c r="K19" s="9" t="n">
        <x:f>F19+G19+I19+J19</x:f>
        <x:v>68901</x:v>
      </x:c>
      <x:c r="L19" s="10" t="n">
        <x:f>K19/Sources!$B$4*1000</x:f>
        <x:v>19.248535777591847</x:v>
      </x:c>
      <x:c r="M19" s="10" t="n">
        <x:f>E19/Sources!$B$4*1000</x:f>
        <x:v>19.93437713452408</x:v>
      </x:c>
      <x:c r="N19" s="9" t="n">
        <x:f>Sources!$B$6-K19</x:f>
        <x:v>-9165</x:v>
      </x:c>
      <x:c r="O19" s="1" t="str">
        <x:v>horizontal_normal_right</x:v>
      </x:c>
      <x:c r="P19" s="12" t="n">
        <x:v>2</x:v>
      </x:c>
      <x:c r="Q19" s="12" t="n">
        <x:v>0</x:v>
      </x:c>
      <x:c r="R19" s="12" t="n">
        <x:v>6</x:v>
      </x:c>
      <x:c r="S19" s="12" t="n">
        <x:v>0</x:v>
      </x:c>
      <x:c r="T19" s="1" t="str">
        <x:v>No</x:v>
      </x:c>
      <x:c r="U19" s="1" t="n">
        <x:v>0</x:v>
      </x:c>
    </x:row>
    <x:row r="20" ht="23" customHeight="1">
      <x:c r="A20" s="9" t="n">
        <x:v>19</x:v>
      </x:c>
      <x:c r="B20" s="9" t="n">
        <x:v>287</x:v>
      </x:c>
      <x:c r="C20" s="9" t="n">
        <x:v>1032</x:v>
      </x:c>
      <x:c r="D20" s="9" t="n">
        <x:v>1</x:v>
      </x:c>
      <x:c r="E20" s="9" t="n">
        <x:v>71368.99999999627</x:v>
      </x:c>
      <x:c r="F20" s="9" t="n">
        <x:v>785</x:v>
      </x:c>
      <x:c r="G20" s="9" t="n">
        <x:v>68141</x:v>
      </x:c>
      <x:c r="H20" s="9" t="n">
        <x:v>1860</x:v>
      </x:c>
      <x:c r="I20" s="9" t="n">
        <x:v>477</x:v>
      </x:c>
      <x:c r="J20" s="9" t="n">
        <x:v>105.99999999627471</x:v>
      </x:c>
      <x:c r="K20" s="9" t="n">
        <x:f>F20+G20+I20+J20</x:f>
        <x:v>69508.99999999627</x:v>
      </x:c>
      <x:c r="L20" s="10" t="n">
        <x:f>K20/Sources!$B$4*1000</x:f>
        <x:v>19.418389767413533</x:v>
      </x:c>
      <x:c r="M20" s="10" t="n">
        <x:f>E20/Sources!$B$4*1000</x:f>
        <x:v>19.93800888101596</x:v>
      </x:c>
      <x:c r="N20" s="9" t="n">
        <x:f>Sources!$B$6-K20</x:f>
        <x:v>-9772.999999996275</x:v>
      </x:c>
      <x:c r="O20" s="1" t="str">
        <x:v>horizontal_normal_right</x:v>
      </x:c>
      <x:c r="P20" s="12" t="n">
        <x:v>1</x:v>
      </x:c>
      <x:c r="Q20" s="12" t="n">
        <x:v>0</x:v>
      </x:c>
      <x:c r="R20" s="12" t="n">
        <x:v>7</x:v>
      </x:c>
      <x:c r="S20" s="12" t="n">
        <x:v>0</x:v>
      </x:c>
      <x:c r="T20" s="1" t="str">
        <x:v>No</x:v>
      </x:c>
      <x:c r="U20" s="1" t="n">
        <x:v>0</x:v>
      </x:c>
    </x:row>
    <x:row r="21" ht="23" customHeight="1">
      <x:c r="A21" s="9" t="n">
        <x:v>20</x:v>
      </x:c>
      <x:c r="B21" s="9" t="n">
        <x:v>288</x:v>
      </x:c>
      <x:c r="C21" s="9" t="n">
        <x:v>1032</x:v>
      </x:c>
      <x:c r="D21" s="9" t="n">
        <x:v>1</x:v>
      </x:c>
      <x:c r="E21" s="9" t="n">
        <x:v>142722.00000000373</x:v>
      </x:c>
      <x:c r="F21" s="9" t="n">
        <x:v>784.9999999962747</x:v>
      </x:c>
      <x:c r="G21" s="9" t="n">
        <x:v>92492</x:v>
      </x:c>
      <x:c r="H21" s="9" t="n">
        <x:v>48870.000000003725</x:v>
      </x:c>
      <x:c r="I21" s="9" t="n">
        <x:v>469</x:v>
      </x:c>
      <x:c r="J21" s="9" t="n">
        <x:v>106.00000000372529</x:v>
      </x:c>
      <x:c r="K21" s="9" t="n">
        <x:f>F21+G21+I21+J21</x:f>
        <x:v>93852</x:v>
      </x:c>
      <x:c r="L21" s="10" t="n">
        <x:f>K21/Sources!$B$4*1000</x:f>
        <x:v>26.218974757965047</x:v>
      </x:c>
      <x:c r="M21" s="10" t="n">
        <x:f>E21/Sources!$B$4*1000</x:f>
        <x:v>39.8715479201976</x:v>
      </x:c>
      <x:c r="N21" s="9" t="n">
        <x:f>Sources!$B$6-K21</x:f>
        <x:v>-34116</x:v>
      </x:c>
      <x:c r="O21" s="1" t="str">
        <x:v>horizontal_normal_right</x:v>
      </x:c>
      <x:c r="P21" s="12" t="n">
        <x:v>1</x:v>
      </x:c>
      <x:c r="Q21" s="12" t="n">
        <x:v>0</x:v>
      </x:c>
      <x:c r="R21" s="12" t="n">
        <x:v>0</x:v>
      </x:c>
      <x:c r="S21" s="12" t="n">
        <x:v>0</x:v>
      </x:c>
      <x:c r="T21" s="1" t="str">
        <x:v>Yes</x:v>
      </x:c>
      <x:c r="U21" s="1" t="n">
        <x:v>1</x:v>
      </x:c>
    </x:row>
    <x:row r="22" ht="23" customHeight="1">
      <x:c r="A22" s="9" t="n">
        <x:v>21</x:v>
      </x:c>
      <x:c r="B22" s="9" t="n">
        <x:v>290</x:v>
      </x:c>
      <x:c r="C22" s="9" t="n">
        <x:v>1032</x:v>
      </x:c>
      <x:c r="D22" s="9" t="n">
        <x:v>2</x:v>
      </x:c>
      <x:c r="E22" s="9" t="n">
        <x:v>142734</x:v>
      </x:c>
      <x:c r="F22" s="9" t="n">
        <x:v>785</x:v>
      </x:c>
      <x:c r="G22" s="9" t="n">
        <x:v>81701</x:v>
      </x:c>
      <x:c r="H22" s="9" t="n">
        <x:v>59665</x:v>
      </x:c>
      <x:c r="I22" s="9" t="n">
        <x:v>477</x:v>
      </x:c>
      <x:c r="J22" s="9" t="n">
        <x:v>106</x:v>
      </x:c>
      <x:c r="K22" s="9" t="n">
        <x:f>F22+G22+I22+J22</x:f>
        <x:v>83069</x:v>
      </x:c>
      <x:c r="L22" s="10" t="n">
        <x:f>K22/Sources!$B$4*1000</x:f>
        <x:v>23.20658072464517</x:v>
      </x:c>
      <x:c r="M22" s="10" t="n">
        <x:f>E22/Sources!$B$4*1000</x:f>
        <x:v>39.87490030157464</x:v>
      </x:c>
      <x:c r="N22" s="9" t="n">
        <x:f>Sources!$B$6-K22</x:f>
        <x:v>-23333</x:v>
      </x:c>
      <x:c r="O22" s="1" t="str">
        <x:v>horizontal_normal_right</x:v>
      </x:c>
      <x:c r="P22" s="12" t="n">
        <x:v>2</x:v>
      </x:c>
      <x:c r="Q22" s="12" t="n">
        <x:v>0</x:v>
      </x:c>
      <x:c r="R22" s="12" t="n">
        <x:v>2</x:v>
      </x:c>
      <x:c r="S22" s="12" t="n">
        <x:v>0</x:v>
      </x:c>
      <x:c r="T22" s="1" t="str">
        <x:v>No</x:v>
      </x:c>
      <x:c r="U22" s="1" t="n">
        <x:v>1</x:v>
      </x:c>
    </x:row>
    <x:row r="23" ht="23" customHeight="1">
      <x:c r="A23" s="9" t="n">
        <x:v>22</x:v>
      </x:c>
      <x:c r="B23" s="9" t="n">
        <x:v>292</x:v>
      </x:c>
      <x:c r="C23" s="9" t="n">
        <x:v>1032</x:v>
      </x:c>
      <x:c r="D23" s="9" t="n">
        <x:v>2</x:v>
      </x:c>
      <x:c r="E23" s="9" t="n">
        <x:v>142720.99999999627</x:v>
      </x:c>
      <x:c r="F23" s="9" t="n">
        <x:v>785</x:v>
      </x:c>
      <x:c r="G23" s="9" t="n">
        <x:v>71486</x:v>
      </x:c>
      <x:c r="H23" s="9" t="n">
        <x:v>69874.99999999627</x:v>
      </x:c>
      <x:c r="I23" s="9" t="n">
        <x:v>469.0000000037253</x:v>
      </x:c>
      <x:c r="J23" s="9" t="n">
        <x:v>105.99999999627471</x:v>
      </x:c>
      <x:c r="K23" s="9" t="n">
        <x:f>F23+G23+I23+J23</x:f>
        <x:v>72846</x:v>
      </x:c>
      <x:c r="L23" s="10" t="n">
        <x:f>K23/Sources!$B$4*1000</x:f>
        <x:v>20.350631155635703</x:v>
      </x:c>
      <x:c r="M23" s="10" t="n">
        <x:f>E23/Sources!$B$4*1000</x:f>
        <x:v>39.871268555080675</x:v>
      </x:c>
      <x:c r="N23" s="9" t="n">
        <x:f>Sources!$B$6-K23</x:f>
        <x:v>-13110</x:v>
      </x:c>
      <x:c r="O23" s="1" t="str">
        <x:v>horizontal_normal_right</x:v>
      </x:c>
      <x:c r="P23" s="12" t="n">
        <x:v>2</x:v>
      </x:c>
      <x:c r="Q23" s="12" t="n">
        <x:v>0</x:v>
      </x:c>
      <x:c r="R23" s="12" t="n">
        <x:v>4</x:v>
      </x:c>
      <x:c r="S23" s="12" t="n">
        <x:v>0</x:v>
      </x:c>
      <x:c r="T23" s="1" t="str">
        <x:v>No</x:v>
      </x:c>
      <x:c r="U23" s="1" t="n">
        <x:v>0</x:v>
      </x:c>
    </x:row>
    <x:row r="24" ht="23" customHeight="1">
      <x:c r="A24" s="9" t="n">
        <x:v>23</x:v>
      </x:c>
      <x:c r="B24" s="9" t="n">
        <x:v>294</x:v>
      </x:c>
      <x:c r="C24" s="9" t="n">
        <x:v>1032</x:v>
      </x:c>
      <x:c r="D24" s="9" t="n">
        <x:v>2</x:v>
      </x:c>
      <x:c r="E24" s="9" t="n">
        <x:v>71375.00000000373</x:v>
      </x:c>
      <x:c r="F24" s="9" t="n">
        <x:v>785.0000000037253</x:v>
      </x:c>
      <x:c r="G24" s="9" t="n">
        <x:v>67582.00000000373</x:v>
      </x:c>
      <x:c r="H24" s="9" t="n">
        <x:v>2424.9999999962747</x:v>
      </x:c>
      <x:c r="I24" s="9" t="n">
        <x:v>477.0000000037253</x:v>
      </x:c>
      <x:c r="J24" s="9" t="n">
        <x:v>105.99999999627471</x:v>
      </x:c>
      <x:c r="K24" s="9" t="n">
        <x:f>F24+G24+I24+J24</x:f>
        <x:v>68950.00000000745</x:v>
      </x:c>
      <x:c r="L24" s="10" t="n">
        <x:f>K24/Sources!$B$4*1000</x:f>
        <x:v>19.262224668221087</x:v>
      </x:c>
      <x:c r="M24" s="10" t="n">
        <x:f>E24/Sources!$B$4*1000</x:f>
        <x:v>19.93968507170708</x:v>
      </x:c>
      <x:c r="N24" s="9" t="n">
        <x:f>Sources!$B$6-K24</x:f>
        <x:v>-9214.00000000745</x:v>
      </x:c>
      <x:c r="O24" s="1" t="str">
        <x:v>horizontal_normal_right</x:v>
      </x:c>
      <x:c r="P24" s="12" t="n">
        <x:v>2</x:v>
      </x:c>
      <x:c r="Q24" s="12" t="n">
        <x:v>0</x:v>
      </x:c>
      <x:c r="R24" s="12" t="n">
        <x:v>6</x:v>
      </x:c>
      <x:c r="S24" s="12" t="n">
        <x:v>0</x:v>
      </x:c>
      <x:c r="T24" s="1" t="str">
        <x:v>No</x:v>
      </x:c>
      <x:c r="U24" s="1" t="n">
        <x:v>0</x:v>
      </x:c>
    </x:row>
    <x:row r="25" ht="23" customHeight="1">
      <x:c r="A25" s="9" t="n">
        <x:v>24</x:v>
      </x:c>
      <x:c r="B25" s="9" t="n">
        <x:v>295</x:v>
      </x:c>
      <x:c r="C25" s="9" t="n">
        <x:v>1032</x:v>
      </x:c>
      <x:c r="D25" s="9" t="n">
        <x:v>1</x:v>
      </x:c>
      <x:c r="E25" s="9" t="n">
        <x:v>71355</x:v>
      </x:c>
      <x:c r="F25" s="9" t="n">
        <x:v>785.0000000037253</x:v>
      </x:c>
      <x:c r="G25" s="9" t="n">
        <x:v>68100</x:v>
      </x:c>
      <x:c r="H25" s="9" t="n">
        <x:v>1895</x:v>
      </x:c>
      <x:c r="I25" s="9" t="n">
        <x:v>469</x:v>
      </x:c>
      <x:c r="J25" s="9" t="n">
        <x:v>105.99999999627471</x:v>
      </x:c>
      <x:c r="K25" s="9" t="n">
        <x:f>F25+G25+I25+J25</x:f>
        <x:v>69460</x:v>
      </x:c>
      <x:c r="L25" s="10" t="n">
        <x:f>K25/Sources!$B$4*1000</x:f>
        <x:v>19.404700876787413</x:v>
      </x:c>
      <x:c r="M25" s="10" t="n">
        <x:f>E25/Sources!$B$4*1000</x:f>
        <x:v>19.934097769409238</x:v>
      </x:c>
      <x:c r="N25" s="9" t="n">
        <x:f>Sources!$B$6-K25</x:f>
        <x:v>-9724</x:v>
      </x:c>
      <x:c r="O25" s="1" t="str">
        <x:v>horizontal_normal_right</x:v>
      </x:c>
      <x:c r="P25" s="12" t="n">
        <x:v>1</x:v>
      </x:c>
      <x:c r="Q25" s="12" t="n">
        <x:v>0</x:v>
      </x:c>
      <x:c r="R25" s="12" t="n">
        <x:v>7</x:v>
      </x:c>
      <x:c r="S25" s="12" t="n">
        <x:v>0</x:v>
      </x:c>
      <x:c r="T25" s="1" t="str">
        <x:v>No</x:v>
      </x:c>
      <x:c r="U25" s="1" t="n">
        <x:v>0</x:v>
      </x:c>
    </x:row>
    <x:row r="26" ht="23" customHeight="1">
      <x:c r="A26" s="9" t="n">
        <x:v>25</x:v>
      </x:c>
      <x:c r="B26" s="9" t="n">
        <x:v>296</x:v>
      </x:c>
      <x:c r="C26" s="9" t="n">
        <x:v>1032</x:v>
      </x:c>
      <x:c r="D26" s="9" t="n">
        <x:v>1</x:v>
      </x:c>
      <x:c r="E26" s="9" t="n">
        <x:v>142736</x:v>
      </x:c>
      <x:c r="F26" s="9" t="n">
        <x:v>785</x:v>
      </x:c>
      <x:c r="G26" s="9" t="n">
        <x:v>92693</x:v>
      </x:c>
      <x:c r="H26" s="9" t="n">
        <x:v>48674.999999996275</x:v>
      </x:c>
      <x:c r="I26" s="9" t="n">
        <x:v>477</x:v>
      </x:c>
      <x:c r="J26" s="9" t="n">
        <x:v>106.00000000372529</x:v>
      </x:c>
      <x:c r="K26" s="9" t="n">
        <x:f>F26+G26+I26+J26</x:f>
        <x:v>94061.00000000373</x:v>
      </x:c>
      <x:c r="L26" s="10" t="n">
        <x:f>K26/Sources!$B$4*1000</x:f>
        <x:v>26.27736206696765</x:v>
      </x:c>
      <x:c r="M26" s="10" t="n">
        <x:f>E26/Sources!$B$4*1000</x:f>
        <x:v>39.87545903180432</x:v>
      </x:c>
      <x:c r="N26" s="9" t="n">
        <x:f>Sources!$B$6-K26</x:f>
        <x:v>-34325.000000003725</x:v>
      </x:c>
      <x:c r="O26" s="1" t="str">
        <x:v>horizontal_normal_right</x:v>
      </x:c>
      <x:c r="P26" s="12" t="n">
        <x:v>1</x:v>
      </x:c>
      <x:c r="Q26" s="12" t="n">
        <x:v>0</x:v>
      </x:c>
      <x:c r="R26" s="12" t="n">
        <x:v>0</x:v>
      </x:c>
      <x:c r="S26" s="12" t="n">
        <x:v>0</x:v>
      </x:c>
      <x:c r="T26" s="1" t="str">
        <x:v>Yes</x:v>
      </x:c>
      <x:c r="U26" s="1" t="n">
        <x:v>1</x:v>
      </x:c>
    </x:row>
    <x:row r="27" ht="23" customHeight="1">
      <x:c r="A27" s="9" t="n">
        <x:v>26</x:v>
      </x:c>
      <x:c r="B27" s="9" t="n">
        <x:v>298</x:v>
      </x:c>
      <x:c r="C27" s="9" t="n">
        <x:v>1032</x:v>
      </x:c>
      <x:c r="D27" s="9" t="n">
        <x:v>2</x:v>
      </x:c>
      <x:c r="E27" s="9" t="n">
        <x:v>142720</x:v>
      </x:c>
      <x:c r="F27" s="9" t="n">
        <x:v>785.0000000037253</x:v>
      </x:c>
      <x:c r="G27" s="9" t="n">
        <x:v>81500</x:v>
      </x:c>
      <x:c r="H27" s="9" t="n">
        <x:v>59860</x:v>
      </x:c>
      <x:c r="I27" s="9" t="n">
        <x:v>469.0000000037253</x:v>
      </x:c>
      <x:c r="J27" s="9" t="n">
        <x:v>105.99999999254942</x:v>
      </x:c>
      <x:c r="K27" s="9" t="n">
        <x:f>F27+G27+I27+J27</x:f>
        <x:v>82860</x:v>
      </x:c>
      <x:c r="L27" s="10" t="n">
        <x:f>K27/Sources!$B$4*1000</x:f>
        <x:v>23.148193415643608</x:v>
      </x:c>
      <x:c r="M27" s="10" t="n">
        <x:f>E27/Sources!$B$4*1000</x:f>
        <x:v>39.87098918996688</x:v>
      </x:c>
      <x:c r="N27" s="9" t="n">
        <x:f>Sources!$B$6-K27</x:f>
        <x:v>-23124</x:v>
      </x:c>
      <x:c r="O27" s="1" t="str">
        <x:v>horizontal_normal_right</x:v>
      </x:c>
      <x:c r="P27" s="12" t="n">
        <x:v>2</x:v>
      </x:c>
      <x:c r="Q27" s="12" t="n">
        <x:v>0</x:v>
      </x:c>
      <x:c r="R27" s="12" t="n">
        <x:v>2</x:v>
      </x:c>
      <x:c r="S27" s="12" t="n">
        <x:v>0</x:v>
      </x:c>
      <x:c r="T27" s="1" t="str">
        <x:v>No</x:v>
      </x:c>
      <x:c r="U27" s="1" t="n">
        <x:v>1</x:v>
      </x:c>
    </x:row>
    <x:row r="28" ht="23" customHeight="1">
      <x:c r="A28" s="9" t="n">
        <x:v>27</x:v>
      </x:c>
      <x:c r="B28" s="9" t="n">
        <x:v>300</x:v>
      </x:c>
      <x:c r="C28" s="9" t="n">
        <x:v>1032</x:v>
      </x:c>
      <x:c r="D28" s="9" t="n">
        <x:v>2</x:v>
      </x:c>
      <x:c r="E28" s="9" t="n">
        <x:v>142735</x:v>
      </x:c>
      <x:c r="F28" s="9" t="n">
        <x:v>785.0000000037253</x:v>
      </x:c>
      <x:c r="G28" s="9" t="n">
        <x:v>71527</x:v>
      </x:c>
      <x:c r="H28" s="9" t="n">
        <x:v>69840</x:v>
      </x:c>
      <x:c r="I28" s="9" t="n">
        <x:v>477</x:v>
      </x:c>
      <x:c r="J28" s="9" t="n">
        <x:v>105.99999999627471</x:v>
      </x:c>
      <x:c r="K28" s="9" t="n">
        <x:f>F28+G28+I28+J28</x:f>
        <x:v>72895</x:v>
      </x:c>
      <x:c r="L28" s="10" t="n">
        <x:f>K28/Sources!$B$4*1000</x:f>
        <x:v>20.364320046262865</x:v>
      </x:c>
      <x:c r="M28" s="10" t="n">
        <x:f>E28/Sources!$B$4*1000</x:f>
        <x:v>39.875179666689476</x:v>
      </x:c>
      <x:c r="N28" s="9" t="n">
        <x:f>Sources!$B$6-K28</x:f>
        <x:v>-13159</x:v>
      </x:c>
      <x:c r="O28" s="1" t="str">
        <x:v>horizontal_normal_right</x:v>
      </x:c>
      <x:c r="P28" s="12" t="n">
        <x:v>2</x:v>
      </x:c>
      <x:c r="Q28" s="12" t="n">
        <x:v>0</x:v>
      </x:c>
      <x:c r="R28" s="12" t="n">
        <x:v>4</x:v>
      </x:c>
      <x:c r="S28" s="12" t="n">
        <x:v>0</x:v>
      </x:c>
      <x:c r="T28" s="1" t="str">
        <x:v>No</x:v>
      </x:c>
      <x:c r="U28" s="1" t="n">
        <x:v>0</x:v>
      </x:c>
    </x:row>
    <x:row r="29" ht="23" customHeight="1">
      <x:c r="A29" s="9" t="n">
        <x:v>28</x:v>
      </x:c>
      <x:c r="B29" s="9" t="n">
        <x:v>302</x:v>
      </x:c>
      <x:c r="C29" s="9" t="n">
        <x:v>1032</x:v>
      </x:c>
      <x:c r="D29" s="9" t="n">
        <x:v>2</x:v>
      </x:c>
      <x:c r="E29" s="9" t="n">
        <x:v>71355.99999999627</x:v>
      </x:c>
      <x:c r="F29" s="9" t="n">
        <x:v>785</x:v>
      </x:c>
      <x:c r="G29" s="9" t="n">
        <x:v>67541</x:v>
      </x:c>
      <x:c r="H29" s="9" t="n">
        <x:v>2455</x:v>
      </x:c>
      <x:c r="I29" s="9" t="n">
        <x:v>469.0000000037253</x:v>
      </x:c>
      <x:c r="J29" s="9" t="n">
        <x:v>105.99999999254942</x:v>
      </x:c>
      <x:c r="K29" s="9" t="n">
        <x:f>F29+G29+I29+J29</x:f>
        <x:v>68900.99999999627</x:v>
      </x:c>
      <x:c r="L29" s="10" t="n">
        <x:f>K29/Sources!$B$4*1000</x:f>
        <x:v>19.248535777590806</x:v>
      </x:c>
      <x:c r="M29" s="10" t="n">
        <x:f>E29/Sources!$B$4*1000</x:f>
        <x:v>19.93437713452304</x:v>
      </x:c>
      <x:c r="N29" s="9" t="n">
        <x:f>Sources!$B$6-K29</x:f>
        <x:v>-9164.999999996275</x:v>
      </x:c>
      <x:c r="O29" s="1" t="str">
        <x:v>horizontal_normal_right</x:v>
      </x:c>
      <x:c r="P29" s="12" t="n">
        <x:v>2</x:v>
      </x:c>
      <x:c r="Q29" s="12" t="n">
        <x:v>0</x:v>
      </x:c>
      <x:c r="R29" s="12" t="n">
        <x:v>6</x:v>
      </x:c>
      <x:c r="S29" s="12" t="n">
        <x:v>0</x:v>
      </x:c>
      <x:c r="T29" s="1" t="str">
        <x:v>No</x:v>
      </x:c>
      <x:c r="U29" s="1" t="n">
        <x:v>0</x:v>
      </x:c>
    </x:row>
    <x:row r="30" ht="23" customHeight="1">
      <x:c r="A30" s="9" t="n">
        <x:v>29</x:v>
      </x:c>
      <x:c r="B30" s="9" t="n">
        <x:v>303</x:v>
      </x:c>
      <x:c r="C30" s="9" t="n">
        <x:v>1032</x:v>
      </x:c>
      <x:c r="D30" s="9" t="n">
        <x:v>1</x:v>
      </x:c>
      <x:c r="E30" s="9" t="n">
        <x:v>71374.00000000373</x:v>
      </x:c>
      <x:c r="F30" s="9" t="n">
        <x:v>785.0000000037253</x:v>
      </x:c>
      <x:c r="G30" s="9" t="n">
        <x:v>68141.00000000373</x:v>
      </x:c>
      <x:c r="H30" s="9" t="n">
        <x:v>1865</x:v>
      </x:c>
      <x:c r="I30" s="9" t="n">
        <x:v>476.9999999962747</x:v>
      </x:c>
      <x:c r="J30" s="9" t="n">
        <x:v>106</x:v>
      </x:c>
      <x:c r="K30" s="9" t="n">
        <x:f>F30+G30+I30+J30</x:f>
        <x:v>69509.00000000373</x:v>
      </x:c>
      <x:c r="L30" s="10" t="n">
        <x:f>K30/Sources!$B$4*1000</x:f>
        <x:v>19.418389767415615</x:v>
      </x:c>
      <x:c r="M30" s="10" t="n">
        <x:f>E30/Sources!$B$4*1000</x:f>
        <x:v>19.93940570659224</x:v>
      </x:c>
      <x:c r="N30" s="9" t="n">
        <x:f>Sources!$B$6-K30</x:f>
        <x:v>-9773.000000003725</x:v>
      </x:c>
      <x:c r="O30" s="1" t="str">
        <x:v>horizontal_normal_right</x:v>
      </x:c>
      <x:c r="P30" s="12" t="n">
        <x:v>1</x:v>
      </x:c>
      <x:c r="Q30" s="12" t="n">
        <x:v>0</x:v>
      </x:c>
      <x:c r="R30" s="12" t="n">
        <x:v>7</x:v>
      </x:c>
      <x:c r="S30" s="12" t="n">
        <x:v>0</x:v>
      </x:c>
      <x:c r="T30" s="1" t="str">
        <x:v>No</x:v>
      </x:c>
      <x:c r="U30" s="1" t="n">
        <x:v>0</x:v>
      </x:c>
    </x:row>
    <x:row r="31" ht="23" customHeight="1">
      <x:c r="A31" s="9" t="n">
        <x:v>30</x:v>
      </x:c>
      <x:c r="B31" s="9" t="n">
        <x:v>304</x:v>
      </x:c>
      <x:c r="C31" s="9" t="n">
        <x:v>1032</x:v>
      </x:c>
      <x:c r="D31" s="9" t="n">
        <x:v>1</x:v>
      </x:c>
      <x:c r="E31" s="9" t="n">
        <x:v>142716.99999999627</x:v>
      </x:c>
      <x:c r="F31" s="9" t="n">
        <x:v>785</x:v>
      </x:c>
      <x:c r="G31" s="9" t="n">
        <x:v>92492</x:v>
      </x:c>
      <x:c r="H31" s="9" t="n">
        <x:v>48864.999999996275</x:v>
      </x:c>
      <x:c r="I31" s="9" t="n">
        <x:v>469.0000000037253</x:v>
      </x:c>
      <x:c r="J31" s="9" t="n">
        <x:v>105.99999999627471</x:v>
      </x:c>
      <x:c r="K31" s="9" t="n">
        <x:f>F31+G31+I31+J31</x:f>
        <x:v>93852</x:v>
      </x:c>
      <x:c r="L31" s="10" t="n">
        <x:f>K31/Sources!$B$4*1000</x:f>
        <x:v>26.218974757965047</x:v>
      </x:c>
      <x:c r="M31" s="10" t="n">
        <x:f>E31/Sources!$B$4*1000</x:f>
        <x:v>39.87015109462132</x:v>
      </x:c>
      <x:c r="N31" s="9" t="n">
        <x:f>Sources!$B$6-K31</x:f>
        <x:v>-34116</x:v>
      </x:c>
      <x:c r="O31" s="1" t="str">
        <x:v>horizontal_normal_right</x:v>
      </x:c>
      <x:c r="P31" s="12" t="n">
        <x:v>1</x:v>
      </x:c>
      <x:c r="Q31" s="12" t="n">
        <x:v>0</x:v>
      </x:c>
      <x:c r="R31" s="12" t="n">
        <x:v>0</x:v>
      </x:c>
      <x:c r="S31" s="12" t="n">
        <x:v>0</x:v>
      </x:c>
      <x:c r="T31" s="1" t="str">
        <x:v>Yes</x:v>
      </x:c>
      <x:c r="U31" s="1" t="n">
        <x:v>1</x:v>
      </x:c>
    </x:row>
    <x:row r="32" ht="23" customHeight="1">
      <x:c r="A32" s="9" t="n">
        <x:v>31</x:v>
      </x:c>
      <x:c r="B32" s="9" t="n">
        <x:v>306</x:v>
      </x:c>
      <x:c r="C32" s="9" t="n">
        <x:v>1032</x:v>
      </x:c>
      <x:c r="D32" s="9" t="n">
        <x:v>2</x:v>
      </x:c>
      <x:c r="E32" s="9" t="n">
        <x:v>142739.00000000373</x:v>
      </x:c>
      <x:c r="F32" s="9" t="n">
        <x:v>785.0000000037253</x:v>
      </x:c>
      <x:c r="G32" s="9" t="n">
        <x:v>81701.00000000373</x:v>
      </x:c>
      <x:c r="H32" s="9" t="n">
        <x:v>59670</x:v>
      </x:c>
      <x:c r="I32" s="9" t="n">
        <x:v>477</x:v>
      </x:c>
      <x:c r="J32" s="9" t="n">
        <x:v>105.99999999627471</x:v>
      </x:c>
      <x:c r="K32" s="9" t="n">
        <x:f>F32+G32+I32+J32</x:f>
        <x:v>83069.00000000373</x:v>
      </x:c>
      <x:c r="L32" s="10" t="n">
        <x:f>K32/Sources!$B$4*1000</x:f>
        <x:v>23.206580724646212</x:v>
      </x:c>
      <x:c r="M32" s="10" t="n">
        <x:f>E32/Sources!$B$4*1000</x:f>
        <x:v>39.876297127149876</x:v>
      </x:c>
      <x:c r="N32" s="9" t="n">
        <x:f>Sources!$B$6-K32</x:f>
        <x:v>-23333.000000003725</x:v>
      </x:c>
      <x:c r="O32" s="1" t="str">
        <x:v>horizontal_normal_right</x:v>
      </x:c>
      <x:c r="P32" s="12" t="n">
        <x:v>2</x:v>
      </x:c>
      <x:c r="Q32" s="12" t="n">
        <x:v>0</x:v>
      </x:c>
      <x:c r="R32" s="12" t="n">
        <x:v>2</x:v>
      </x:c>
      <x:c r="S32" s="12" t="n">
        <x:v>0</x:v>
      </x:c>
      <x:c r="T32" s="1" t="str">
        <x:v>No</x:v>
      </x:c>
      <x:c r="U32" s="1" t="n">
        <x:v>1</x:v>
      </x:c>
    </x:row>
    <x:row r="33" ht="23" customHeight="1">
      <x:c r="A33" s="9" t="n">
        <x:v>32</x:v>
      </x:c>
      <x:c r="B33" s="9" t="n">
        <x:v>308</x:v>
      </x:c>
      <x:c r="C33" s="9" t="n">
        <x:v>1032</x:v>
      </x:c>
      <x:c r="D33" s="9" t="n">
        <x:v>2</x:v>
      </x:c>
      <x:c r="E33" s="9" t="n">
        <x:v>142720</x:v>
      </x:c>
      <x:c r="F33" s="9" t="n">
        <x:v>785</x:v>
      </x:c>
      <x:c r="G33" s="9" t="n">
        <x:v>71505</x:v>
      </x:c>
      <x:c r="H33" s="9" t="n">
        <x:v>69855</x:v>
      </x:c>
      <x:c r="I33" s="9" t="n">
        <x:v>469</x:v>
      </x:c>
      <x:c r="J33" s="9" t="n">
        <x:v>106</x:v>
      </x:c>
      <x:c r="K33" s="9" t="n">
        <x:f>F33+G33+I33+J33</x:f>
        <x:v>72865</x:v>
      </x:c>
      <x:c r="L33" s="10" t="n">
        <x:f>K33/Sources!$B$4*1000</x:f>
        <x:v>20.355939092817664</x:v>
      </x:c>
      <x:c r="M33" s="10" t="n">
        <x:f>E33/Sources!$B$4*1000</x:f>
        <x:v>39.87098918996688</x:v>
      </x:c>
      <x:c r="N33" s="9" t="n">
        <x:f>Sources!$B$6-K33</x:f>
        <x:v>-13129</x:v>
      </x:c>
      <x:c r="O33" s="1" t="str">
        <x:v>horizontal_normal_right</x:v>
      </x:c>
      <x:c r="P33" s="12" t="n">
        <x:v>2</x:v>
      </x:c>
      <x:c r="Q33" s="12" t="n">
        <x:v>0</x:v>
      </x:c>
      <x:c r="R33" s="12" t="n">
        <x:v>4</x:v>
      </x:c>
      <x:c r="S33" s="12" t="n">
        <x:v>0</x:v>
      </x:c>
      <x:c r="T33" s="1" t="str">
        <x:v>No</x:v>
      </x:c>
      <x:c r="U33" s="1" t="n">
        <x:v>0</x:v>
      </x:c>
    </x:row>
    <x:row r="34" ht="23" customHeight="1">
      <x:c r="A34" s="9" t="n">
        <x:v>33</x:v>
      </x:c>
      <x:c r="B34" s="9" t="n">
        <x:v>310</x:v>
      </x:c>
      <x:c r="C34" s="9" t="n">
        <x:v>1032</x:v>
      </x:c>
      <x:c r="D34" s="9" t="n">
        <x:v>2</x:v>
      </x:c>
      <x:c r="E34" s="9" t="n">
        <x:v>71369</x:v>
      </x:c>
      <x:c r="F34" s="9" t="n">
        <x:v>785</x:v>
      </x:c>
      <x:c r="G34" s="9" t="n">
        <x:v>67601</x:v>
      </x:c>
      <x:c r="H34" s="9" t="n">
        <x:v>2399.9999999962747</x:v>
      </x:c>
      <x:c r="I34" s="9" t="n">
        <x:v>477.0000000037253</x:v>
      </x:c>
      <x:c r="J34" s="9" t="n">
        <x:v>106</x:v>
      </x:c>
      <x:c r="K34" s="9" t="n">
        <x:f>F34+G34+I34+J34</x:f>
        <x:v>68969.00000000373</x:v>
      </x:c>
      <x:c r="L34" s="10" t="n">
        <x:f>K34/Sources!$B$4*1000</x:f>
        <x:v>19.267532605402007</x:v>
      </x:c>
      <x:c r="M34" s="10" t="n">
        <x:f>E34/Sources!$B$4*1000</x:f>
        <x:v>19.938008881016998</x:v>
      </x:c>
      <x:c r="N34" s="9" t="n">
        <x:f>Sources!$B$6-K34</x:f>
        <x:v>-9233.000000003725</x:v>
      </x:c>
      <x:c r="O34" s="1" t="str">
        <x:v>horizontal_normal_right</x:v>
      </x:c>
      <x:c r="P34" s="12" t="n">
        <x:v>2</x:v>
      </x:c>
      <x:c r="Q34" s="12" t="n">
        <x:v>0</x:v>
      </x:c>
      <x:c r="R34" s="12" t="n">
        <x:v>6</x:v>
      </x:c>
      <x:c r="S34" s="12" t="n">
        <x:v>0</x:v>
      </x:c>
      <x:c r="T34" s="1" t="str">
        <x:v>No</x:v>
      </x:c>
      <x:c r="U34" s="1" t="n">
        <x:v>0</x:v>
      </x:c>
    </x:row>
    <x:row r="35" ht="23" customHeight="1">
      <x:c r="A35" s="9" t="n">
        <x:v>34</x:v>
      </x:c>
      <x:c r="B35" s="9" t="n">
        <x:v>311</x:v>
      </x:c>
      <x:c r="C35" s="9" t="n">
        <x:v>1032</x:v>
      </x:c>
      <x:c r="D35" s="9" t="n">
        <x:v>1</x:v>
      </x:c>
      <x:c r="E35" s="9" t="n">
        <x:v>71359</x:v>
      </x:c>
      <x:c r="F35" s="9" t="n">
        <x:v>785.0000000037253</x:v>
      </x:c>
      <x:c r="G35" s="9" t="n">
        <x:v>68118.99999999627</x:v>
      </x:c>
      <x:c r="H35" s="9" t="n">
        <x:v>1879.9999999962747</x:v>
      </x:c>
      <x:c r="I35" s="9" t="n">
        <x:v>469</x:v>
      </x:c>
      <x:c r="J35" s="9" t="n">
        <x:v>106.00000000372529</x:v>
      </x:c>
      <x:c r="K35" s="9" t="n">
        <x:f>F35+G35+I35+J35</x:f>
        <x:v>69479.00000000373</x:v>
      </x:c>
      <x:c r="L35" s="10" t="n">
        <x:f>K35/Sources!$B$4*1000</x:f>
        <x:v>19.410008813970414</x:v>
      </x:c>
      <x:c r="M35" s="10" t="n">
        <x:f>E35/Sources!$B$4*1000</x:f>
        <x:v>19.9352152298686</x:v>
      </x:c>
      <x:c r="N35" s="9" t="n">
        <x:f>Sources!$B$6-K35</x:f>
        <x:v>-9743.000000003725</x:v>
      </x:c>
      <x:c r="O35" s="1" t="str">
        <x:v>horizontal_normal_right</x:v>
      </x:c>
      <x:c r="P35" s="12" t="n">
        <x:v>1</x:v>
      </x:c>
      <x:c r="Q35" s="12" t="n">
        <x:v>0</x:v>
      </x:c>
      <x:c r="R35" s="12" t="n">
        <x:v>7</x:v>
      </x:c>
      <x:c r="S35" s="12" t="n">
        <x:v>0</x:v>
      </x:c>
      <x:c r="T35" s="1" t="str">
        <x:v>No</x:v>
      </x:c>
      <x:c r="U35" s="1" t="n">
        <x:v>0</x:v>
      </x:c>
    </x:row>
    <x:row r="36" ht="23" customHeight="1">
      <x:c r="A36" s="9" t="n">
        <x:v>35</x:v>
      </x:c>
      <x:c r="B36" s="9" t="n">
        <x:v>312</x:v>
      </x:c>
      <x:c r="C36" s="9" t="n">
        <x:v>1032</x:v>
      </x:c>
      <x:c r="D36" s="9" t="n">
        <x:v>1</x:v>
      </x:c>
      <x:c r="E36" s="9" t="n">
        <x:v>142732.99999999627</x:v>
      </x:c>
      <x:c r="F36" s="9" t="n">
        <x:v>784.9999999962747</x:v>
      </x:c>
      <x:c r="G36" s="9" t="n">
        <x:v>106785</x:v>
      </x:c>
      <x:c r="H36" s="9" t="n">
        <x:v>34580</x:v>
      </x:c>
      <x:c r="I36" s="9" t="n">
        <x:v>477</x:v>
      </x:c>
      <x:c r="J36" s="9" t="n">
        <x:v>106</x:v>
      </x:c>
      <x:c r="K36" s="9" t="n">
        <x:f>F36+G36+I36+J36</x:f>
        <x:v>108152.99999999627</x:v>
      </x:c>
      <x:c r="L36" s="10" t="n">
        <x:f>K36/Sources!$B$4*1000</x:f>
        <x:v>30.214175265291058</x:v>
      </x:c>
      <x:c r="M36" s="10" t="n">
        <x:f>E36/Sources!$B$4*1000</x:f>
        <x:v>39.874620936458754</x:v>
      </x:c>
      <x:c r="N36" s="9" t="n">
        <x:f>Sources!$B$6-K36</x:f>
        <x:v>-48416.999999996275</x:v>
      </x:c>
      <x:c r="O36" s="1" t="str">
        <x:v>horizontal_normal_right</x:v>
      </x:c>
      <x:c r="P36" s="12" t="n">
        <x:v>1</x:v>
      </x:c>
      <x:c r="Q36" s="12" t="n">
        <x:v>0</x:v>
      </x:c>
      <x:c r="R36" s="12" t="n">
        <x:v>0</x:v>
      </x:c>
      <x:c r="S36" s="12" t="n">
        <x:v>0</x:v>
      </x:c>
      <x:c r="T36" s="1" t="str">
        <x:v>Yes</x:v>
      </x:c>
      <x:c r="U36" s="1" t="n">
        <x:v>1</x:v>
      </x:c>
    </x:row>
    <x:row r="37" ht="23" customHeight="1">
      <x:c r="A37" s="9" t="n">
        <x:v>36</x:v>
      </x:c>
      <x:c r="B37" s="9" t="n">
        <x:v>314</x:v>
      </x:c>
      <x:c r="C37" s="9" t="n">
        <x:v>1032</x:v>
      </x:c>
      <x:c r="D37" s="9" t="n">
        <x:v>2</x:v>
      </x:c>
      <x:c r="E37" s="9" t="n">
        <x:v>142719.00000000373</x:v>
      </x:c>
      <x:c r="F37" s="9" t="n">
        <x:v>784.9999999962747</x:v>
      </x:c>
      <x:c r="G37" s="9" t="n">
        <x:v>81519</x:v>
      </x:c>
      <x:c r="H37" s="9" t="n">
        <x:v>59840</x:v>
      </x:c>
      <x:c r="I37" s="9" t="n">
        <x:v>469.0000000037253</x:v>
      </x:c>
      <x:c r="J37" s="9" t="n">
        <x:v>106.00000000372529</x:v>
      </x:c>
      <x:c r="K37" s="9" t="n">
        <x:f>F37+G37+I37+J37</x:f>
        <x:v>82879.00000000373</x:v>
      </x:c>
      <x:c r="L37" s="10" t="n">
        <x:f>K37/Sources!$B$4*1000</x:f>
        <x:v>23.15350135282661</x:v>
      </x:c>
      <x:c r="M37" s="10" t="n">
        <x:f>E37/Sources!$B$4*1000</x:f>
        <x:v>39.87070982485308</x:v>
      </x:c>
      <x:c r="N37" s="9" t="n">
        <x:f>Sources!$B$6-K37</x:f>
        <x:v>-23143.000000003725</x:v>
      </x:c>
      <x:c r="O37" s="1" t="str">
        <x:v>horizontal_normal_right</x:v>
      </x:c>
      <x:c r="P37" s="12" t="n">
        <x:v>2</x:v>
      </x:c>
      <x:c r="Q37" s="12" t="n">
        <x:v>0</x:v>
      </x:c>
      <x:c r="R37" s="12" t="n">
        <x:v>2</x:v>
      </x:c>
      <x:c r="S37" s="12" t="n">
        <x:v>0</x:v>
      </x:c>
      <x:c r="T37" s="1" t="str">
        <x:v>No</x:v>
      </x:c>
      <x:c r="U37" s="1" t="n">
        <x:v>1</x:v>
      </x:c>
    </x:row>
    <x:row r="38" ht="23" customHeight="1">
      <x:c r="A38" s="9" t="n">
        <x:v>37</x:v>
      </x:c>
      <x:c r="B38" s="9" t="n">
        <x:v>316</x:v>
      </x:c>
      <x:c r="C38" s="9" t="n">
        <x:v>1032</x:v>
      </x:c>
      <x:c r="D38" s="9" t="n">
        <x:v>2</x:v>
      </x:c>
      <x:c r="E38" s="9" t="n">
        <x:v>142739</x:v>
      </x:c>
      <x:c r="F38" s="9" t="n">
        <x:v>785.0000000037253</x:v>
      </x:c>
      <x:c r="G38" s="9" t="n">
        <x:v>71546</x:v>
      </x:c>
      <x:c r="H38" s="9" t="n">
        <x:v>69825</x:v>
      </x:c>
      <x:c r="I38" s="9" t="n">
        <x:v>477</x:v>
      </x:c>
      <x:c r="J38" s="9" t="n">
        <x:v>105.99999999627471</x:v>
      </x:c>
      <x:c r="K38" s="9" t="n">
        <x:f>F38+G38+I38+J38</x:f>
        <x:v>72914</x:v>
      </x:c>
      <x:c r="L38" s="10" t="n">
        <x:f>K38/Sources!$B$4*1000</x:f>
        <x:v>20.369627983444822</x:v>
      </x:c>
      <x:c r="M38" s="10" t="n">
        <x:f>E38/Sources!$B$4*1000</x:f>
        <x:v>39.87629712714884</x:v>
      </x:c>
      <x:c r="N38" s="9" t="n">
        <x:f>Sources!$B$6-K38</x:f>
        <x:v>-13178</x:v>
      </x:c>
      <x:c r="O38" s="1" t="str">
        <x:v>horizontal_normal_right</x:v>
      </x:c>
      <x:c r="P38" s="12" t="n">
        <x:v>2</x:v>
      </x:c>
      <x:c r="Q38" s="12" t="n">
        <x:v>0</x:v>
      </x:c>
      <x:c r="R38" s="12" t="n">
        <x:v>4</x:v>
      </x:c>
      <x:c r="S38" s="12" t="n">
        <x:v>0</x:v>
      </x:c>
      <x:c r="T38" s="1" t="str">
        <x:v>No</x:v>
      </x:c>
      <x:c r="U38" s="1" t="n">
        <x:v>0</x:v>
      </x:c>
    </x:row>
    <x:row r="39" ht="23" customHeight="1">
      <x:c r="A39" s="9" t="n">
        <x:v>38</x:v>
      </x:c>
      <x:c r="B39" s="9" t="n">
        <x:v>318</x:v>
      </x:c>
      <x:c r="C39" s="9" t="n">
        <x:v>1032</x:v>
      </x:c>
      <x:c r="D39" s="9" t="n">
        <x:v>2</x:v>
      </x:c>
      <x:c r="E39" s="9" t="n">
        <x:v>71355</x:v>
      </x:c>
      <x:c r="F39" s="9" t="n">
        <x:v>785</x:v>
      </x:c>
      <x:c r="G39" s="9" t="n">
        <x:v>67560</x:v>
      </x:c>
      <x:c r="H39" s="9" t="n">
        <x:v>2435.0000000037253</x:v>
      </x:c>
      <x:c r="I39" s="9" t="n">
        <x:v>469</x:v>
      </x:c>
      <x:c r="J39" s="9" t="n">
        <x:v>105.99999999627471</x:v>
      </x:c>
      <x:c r="K39" s="9" t="n">
        <x:f>F39+G39+I39+J39</x:f>
        <x:v>68919.99999999627</x:v>
      </x:c>
      <x:c r="L39" s="10" t="n">
        <x:f>K39/Sources!$B$4*1000</x:f>
        <x:v>19.253843714772763</x:v>
      </x:c>
      <x:c r="M39" s="10" t="n">
        <x:f>E39/Sources!$B$4*1000</x:f>
        <x:v>19.934097769409238</x:v>
      </x:c>
      <x:c r="N39" s="9" t="n">
        <x:f>Sources!$B$6-K39</x:f>
        <x:v>-9183.999999996275</x:v>
      </x:c>
      <x:c r="O39" s="1" t="str">
        <x:v>horizontal_normal_right</x:v>
      </x:c>
      <x:c r="P39" s="12" t="n">
        <x:v>2</x:v>
      </x:c>
      <x:c r="Q39" s="12" t="n">
        <x:v>0</x:v>
      </x:c>
      <x:c r="R39" s="12" t="n">
        <x:v>6</x:v>
      </x:c>
      <x:c r="S39" s="12" t="n">
        <x:v>0</x:v>
      </x:c>
      <x:c r="T39" s="1" t="str">
        <x:v>No</x:v>
      </x:c>
      <x:c r="U39" s="1" t="n">
        <x:v>0</x:v>
      </x:c>
    </x:row>
    <x:row r="40" ht="23" customHeight="1">
      <x:c r="A40" s="9" t="n">
        <x:v>39</x:v>
      </x:c>
      <x:c r="B40" s="9" t="n">
        <x:v>319</x:v>
      </x:c>
      <x:c r="C40" s="9" t="n">
        <x:v>1032</x:v>
      </x:c>
      <x:c r="D40" s="9" t="n">
        <x:v>1</x:v>
      </x:c>
      <x:c r="E40" s="9" t="n">
        <x:v>71372.99999999627</x:v>
      </x:c>
      <x:c r="F40" s="9" t="n">
        <x:v>785</x:v>
      </x:c>
      <x:c r="G40" s="9" t="n">
        <x:v>68160</x:v>
      </x:c>
      <x:c r="H40" s="9" t="n">
        <x:v>1845</x:v>
      </x:c>
      <x:c r="I40" s="9" t="n">
        <x:v>477</x:v>
      </x:c>
      <x:c r="J40" s="9" t="n">
        <x:v>105.99999999627471</x:v>
      </x:c>
      <x:c r="K40" s="9" t="n">
        <x:f>F40+G40+I40+J40</x:f>
        <x:v>69527.99999999627</x:v>
      </x:c>
      <x:c r="L40" s="10" t="n">
        <x:f>K40/Sources!$B$4*1000</x:f>
        <x:v>19.423697704595494</x:v>
      </x:c>
      <x:c r="M40" s="10" t="n">
        <x:f>E40/Sources!$B$4*1000</x:f>
        <x:v>19.939126341475323</x:v>
      </x:c>
      <x:c r="N40" s="9" t="n">
        <x:f>Sources!$B$6-K40</x:f>
        <x:v>-9791.999999996275</x:v>
      </x:c>
      <x:c r="O40" s="1" t="str">
        <x:v>horizontal_normal_right</x:v>
      </x:c>
      <x:c r="P40" s="12" t="n">
        <x:v>1</x:v>
      </x:c>
      <x:c r="Q40" s="12" t="n">
        <x:v>0</x:v>
      </x:c>
      <x:c r="R40" s="12" t="n">
        <x:v>7</x:v>
      </x:c>
      <x:c r="S40" s="12" t="n">
        <x:v>0</x:v>
      </x:c>
      <x:c r="T40" s="1" t="str">
        <x:v>No</x:v>
      </x:c>
      <x:c r="U40" s="1" t="n">
        <x:v>0</x:v>
      </x:c>
    </x:row>
    <x:row r="41" ht="23" customHeight="1">
      <x:c r="A41" s="9" t="n">
        <x:v>40</x:v>
      </x:c>
      <x:c r="B41" s="9" t="n">
        <x:v>320</x:v>
      </x:c>
      <x:c r="C41" s="9" t="n">
        <x:v>1032</x:v>
      </x:c>
      <x:c r="D41" s="9" t="n">
        <x:v>1</x:v>
      </x:c>
      <x:c r="E41" s="9" t="n">
        <x:v>142718.00000000373</x:v>
      </x:c>
      <x:c r="F41" s="9" t="n">
        <x:v>784.9999999962747</x:v>
      </x:c>
      <x:c r="G41" s="9" t="n">
        <x:v>103563</x:v>
      </x:c>
      <x:c r="H41" s="9" t="n">
        <x:v>37795</x:v>
      </x:c>
      <x:c r="I41" s="9" t="n">
        <x:v>468.9999999962747</x:v>
      </x:c>
      <x:c r="J41" s="9" t="n">
        <x:v>106.00000001117587</x:v>
      </x:c>
      <x:c r="K41" s="9" t="n">
        <x:f>F41+G41+I41+J41</x:f>
        <x:v>104923.00000000373</x:v>
      </x:c>
      <x:c r="L41" s="10" t="n">
        <x:f>K41/Sources!$B$4*1000</x:f>
        <x:v>29.311825944359892</x:v>
      </x:c>
      <x:c r="M41" s="10" t="n">
        <x:f>E41/Sources!$B$4*1000</x:f>
        <x:v>39.87043045973824</x:v>
      </x:c>
      <x:c r="N41" s="9" t="n">
        <x:f>Sources!$B$6-K41</x:f>
        <x:v>-45187.000000003725</x:v>
      </x:c>
      <x:c r="O41" s="1" t="str">
        <x:v>horizontal_normal_right</x:v>
      </x:c>
      <x:c r="P41" s="12" t="n">
        <x:v>1</x:v>
      </x:c>
      <x:c r="Q41" s="12" t="n">
        <x:v>0</x:v>
      </x:c>
      <x:c r="R41" s="12" t="n">
        <x:v>0</x:v>
      </x:c>
      <x:c r="S41" s="12" t="n">
        <x:v>0</x:v>
      </x:c>
      <x:c r="T41" s="1" t="str">
        <x:v>Yes</x:v>
      </x:c>
      <x:c r="U41" s="1" t="n">
        <x:v>1</x:v>
      </x:c>
    </x:row>
    <x:row r="42" ht="23" customHeight="1">
      <x:c r="A42" s="9" t="n">
        <x:v>41</x:v>
      </x:c>
      <x:c r="B42" s="9" t="n">
        <x:v>322</x:v>
      </x:c>
      <x:c r="C42" s="9" t="n">
        <x:v>1032</x:v>
      </x:c>
      <x:c r="D42" s="9" t="n">
        <x:v>2</x:v>
      </x:c>
      <x:c r="E42" s="9" t="n">
        <x:v>142737</x:v>
      </x:c>
      <x:c r="F42" s="9" t="n">
        <x:v>785</x:v>
      </x:c>
      <x:c r="G42" s="9" t="n">
        <x:v>78699</x:v>
      </x:c>
      <x:c r="H42" s="9" t="n">
        <x:v>62670</x:v>
      </x:c>
      <x:c r="I42" s="9" t="n">
        <x:v>477</x:v>
      </x:c>
      <x:c r="J42" s="9" t="n">
        <x:v>106</x:v>
      </x:c>
      <x:c r="K42" s="9" t="n">
        <x:f>F42+G42+I42+J42</x:f>
        <x:v>80067</x:v>
      </x:c>
      <x:c r="L42" s="10" t="n">
        <x:f>K42/Sources!$B$4*1000</x:f>
        <x:v>22.367926649895445</x:v>
      </x:c>
      <x:c r="M42" s="10" t="n">
        <x:f>E42/Sources!$B$4*1000</x:f>
        <x:v>39.87573839691916</x:v>
      </x:c>
      <x:c r="N42" s="9" t="n">
        <x:f>Sources!$B$6-K42</x:f>
        <x:v>-20331</x:v>
      </x:c>
      <x:c r="O42" s="1" t="str">
        <x:v>horizontal_normal_right</x:v>
      </x:c>
      <x:c r="P42" s="12" t="n">
        <x:v>2</x:v>
      </x:c>
      <x:c r="Q42" s="12" t="n">
        <x:v>0</x:v>
      </x:c>
      <x:c r="R42" s="12" t="n">
        <x:v>2</x:v>
      </x:c>
      <x:c r="S42" s="12" t="n">
        <x:v>0</x:v>
      </x:c>
      <x:c r="T42" s="1" t="str">
        <x:v>No</x:v>
      </x:c>
      <x:c r="U42" s="1" t="n">
        <x:v>1</x:v>
      </x:c>
    </x:row>
    <x:row r="43" ht="23" customHeight="1">
      <x:c r="A43" s="9" t="n">
        <x:v>42</x:v>
      </x:c>
      <x:c r="B43" s="9" t="n">
        <x:v>324</x:v>
      </x:c>
      <x:c r="C43" s="9" t="n">
        <x:v>1032</x:v>
      </x:c>
      <x:c r="D43" s="9" t="n">
        <x:v>2</x:v>
      </x:c>
      <x:c r="E43" s="9" t="n">
        <x:v>71355</x:v>
      </x:c>
      <x:c r="F43" s="9" t="n">
        <x:v>785</x:v>
      </x:c>
      <x:c r="G43" s="9" t="n">
        <x:v>68315</x:v>
      </x:c>
      <x:c r="H43" s="9" t="n">
        <x:v>1680</x:v>
      </x:c>
      <x:c r="I43" s="9" t="n">
        <x:v>469.0000000037253</x:v>
      </x:c>
      <x:c r="J43" s="9" t="n">
        <x:v>105.99999999627471</x:v>
      </x:c>
      <x:c r="K43" s="9" t="n">
        <x:f>F43+G43+I43+J43</x:f>
        <x:v>69675</x:v>
      </x:c>
      <x:c r="L43" s="10" t="n">
        <x:f>K43/Sources!$B$4*1000</x:f>
        <x:v>19.464764376478016</x:v>
      </x:c>
      <x:c r="M43" s="10" t="n">
        <x:f>E43/Sources!$B$4*1000</x:f>
        <x:v>19.934097769409238</x:v>
      </x:c>
      <x:c r="N43" s="9" t="n">
        <x:f>Sources!$B$6-K43</x:f>
        <x:v>-9939</x:v>
      </x:c>
      <x:c r="O43" s="1" t="str">
        <x:v>horizontal_normal_right</x:v>
      </x:c>
      <x:c r="P43" s="12" t="n">
        <x:v>2</x:v>
      </x:c>
      <x:c r="Q43" s="12" t="n">
        <x:v>0</x:v>
      </x:c>
      <x:c r="R43" s="12" t="n">
        <x:v>4</x:v>
      </x:c>
      <x:c r="S43" s="12" t="n">
        <x:v>0</x:v>
      </x:c>
      <x:c r="T43" s="1" t="str">
        <x:v>No</x:v>
      </x:c>
      <x:c r="U43" s="1" t="n">
        <x:v>0</x:v>
      </x:c>
    </x:row>
    <x:row r="44" ht="23" customHeight="1">
      <x:c r="A44" s="9" t="n">
        <x:v>43</x:v>
      </x:c>
      <x:c r="B44" s="9" t="n">
        <x:v>325</x:v>
      </x:c>
      <x:c r="C44" s="9" t="n">
        <x:v>1032</x:v>
      </x:c>
      <x:c r="D44" s="9" t="n">
        <x:v>1</x:v>
      </x:c>
      <x:c r="E44" s="9" t="n">
        <x:v>71371</x:v>
      </x:c>
      <x:c r="F44" s="9" t="n">
        <x:v>785.0000000037253</x:v>
      </x:c>
      <x:c r="G44" s="9" t="n">
        <x:v>60212.999999996275</x:v>
      </x:c>
      <x:c r="H44" s="9" t="n">
        <x:v>9790</x:v>
      </x:c>
      <x:c r="I44" s="9" t="n">
        <x:v>477.0000000037253</x:v>
      </x:c>
      <x:c r="J44" s="9" t="n">
        <x:v>105.99999999627471</x:v>
      </x:c>
      <x:c r="K44" s="9" t="n">
        <x:f>F44+G44+I44+J44</x:f>
        <x:v>61581</x:v>
      </x:c>
      <x:c r="L44" s="10" t="n">
        <x:f>K44/Sources!$B$4*1000</x:f>
        <x:v>17.20358313696294</x:v>
      </x:c>
      <x:c r="M44" s="10" t="n">
        <x:f>E44/Sources!$B$4*1000</x:f>
        <x:v>19.93856761124668</x:v>
      </x:c>
      <x:c r="N44" s="9" t="n">
        <x:f>Sources!$B$6-K44</x:f>
        <x:v>-1845</x:v>
      </x:c>
      <x:c r="O44" s="1" t="str">
        <x:v>horizontal_normal_right</x:v>
      </x:c>
      <x:c r="P44" s="12" t="n">
        <x:v>1</x:v>
      </x:c>
      <x:c r="Q44" s="12" t="n">
        <x:v>0</x:v>
      </x:c>
      <x:c r="R44" s="12" t="n">
        <x:v>5</x:v>
      </x:c>
      <x:c r="S44" s="12" t="n">
        <x:v>0</x:v>
      </x:c>
      <x:c r="T44" s="1" t="str">
        <x:v>No</x:v>
      </x:c>
      <x:c r="U44" s="1" t="n">
        <x:v>0</x:v>
      </x:c>
    </x:row>
    <x:row r="45" ht="23" customHeight="1">
      <x:c r="A45" s="9" t="n">
        <x:v>44</x:v>
      </x:c>
      <x:c r="B45" s="9" t="n">
        <x:v>326</x:v>
      </x:c>
      <x:c r="C45" s="9" t="n">
        <x:v>1032</x:v>
      </x:c>
      <x:c r="D45" s="9" t="n">
        <x:v>1</x:v>
      </x:c>
      <x:c r="E45" s="9" t="n">
        <x:v>71360</x:v>
      </x:c>
      <x:c r="F45" s="9" t="n">
        <x:v>785.0000000037253</x:v>
      </x:c>
      <x:c r="G45" s="9" t="n">
        <x:v>64855</x:v>
      </x:c>
      <x:c r="H45" s="9" t="n">
        <x:v>5145</x:v>
      </x:c>
      <x:c r="I45" s="9" t="n">
        <x:v>469</x:v>
      </x:c>
      <x:c r="J45" s="9" t="n">
        <x:v>105.99999999627471</x:v>
      </x:c>
      <x:c r="K45" s="9" t="n">
        <x:f>F45+G45+I45+J45</x:f>
        <x:v>66215</x:v>
      </x:c>
      <x:c r="L45" s="10" t="n">
        <x:f>K45/Sources!$B$4*1000</x:f>
        <x:v>18.498161079131567</x:v>
      </x:c>
      <x:c r="M45" s="10" t="n">
        <x:f>E45/Sources!$B$4*1000</x:f>
        <x:v>19.93549459498344</x:v>
      </x:c>
      <x:c r="N45" s="9" t="n">
        <x:f>Sources!$B$6-K45</x:f>
        <x:v>-6479</x:v>
      </x:c>
      <x:c r="O45" s="1" t="str">
        <x:v>horizontal_normal_right</x:v>
      </x:c>
      <x:c r="P45" s="12" t="n">
        <x:v>1</x:v>
      </x:c>
      <x:c r="Q45" s="12" t="n">
        <x:v>0</x:v>
      </x:c>
      <x:c r="R45" s="12" t="n">
        <x:v>6</x:v>
      </x:c>
      <x:c r="S45" s="12" t="n">
        <x:v>0</x:v>
      </x:c>
      <x:c r="T45" s="1" t="str">
        <x:v>No</x:v>
      </x:c>
      <x:c r="U45" s="1" t="n">
        <x:v>0</x:v>
      </x:c>
    </x:row>
    <x:row r="46" ht="23" customHeight="1">
      <x:c r="A46" s="9" t="n">
        <x:v>45</x:v>
      </x:c>
      <x:c r="B46" s="9" t="n">
        <x:v>327</x:v>
      </x:c>
      <x:c r="C46" s="9" t="n">
        <x:v>1032</x:v>
      </x:c>
      <x:c r="D46" s="9" t="n">
        <x:v>1</x:v>
      </x:c>
      <x:c r="E46" s="9" t="n">
        <x:v>71372</x:v>
      </x:c>
      <x:c r="F46" s="9" t="n">
        <x:v>785</x:v>
      </x:c>
      <x:c r="G46" s="9" t="n">
        <x:v>65139</x:v>
      </x:c>
      <x:c r="H46" s="9" t="n">
        <x:v>4865</x:v>
      </x:c>
      <x:c r="I46" s="9" t="n">
        <x:v>476.9999999962747</x:v>
      </x:c>
      <x:c r="J46" s="9" t="n">
        <x:v>106.00000000372529</x:v>
      </x:c>
      <x:c r="K46" s="9" t="n">
        <x:f>F46+G46+I46+J46</x:f>
        <x:v>66507</x:v>
      </x:c>
      <x:c r="L46" s="10" t="n">
        <x:f>K46/Sources!$B$4*1000</x:f>
        <x:v>18.579735692664848</x:v>
      </x:c>
      <x:c r="M46" s="10" t="n">
        <x:f>E46/Sources!$B$4*1000</x:f>
        <x:v>19.93884697636152</x:v>
      </x:c>
      <x:c r="N46" s="9" t="n">
        <x:f>Sources!$B$6-K46</x:f>
        <x:v>-6771</x:v>
      </x:c>
      <x:c r="O46" s="1" t="str">
        <x:v>horizontal_normal_right</x:v>
      </x:c>
      <x:c r="P46" s="12" t="n">
        <x:v>1</x:v>
      </x:c>
      <x:c r="Q46" s="12" t="n">
        <x:v>0</x:v>
      </x:c>
      <x:c r="R46" s="12" t="n">
        <x:v>7</x:v>
      </x:c>
      <x:c r="S46" s="12" t="n">
        <x:v>0</x:v>
      </x:c>
      <x:c r="T46" s="1" t="str">
        <x:v>No</x:v>
      </x:c>
      <x:c r="U46" s="1" t="n">
        <x:v>0</x:v>
      </x:c>
    </x:row>
    <x:row r="47" ht="23" customHeight="1">
      <x:c r="A47" s="9" t="n">
        <x:v>46</x:v>
      </x:c>
      <x:c r="B47" s="9" t="n">
        <x:v>328</x:v>
      </x:c>
      <x:c r="C47" s="9" t="n">
        <x:v>1032</x:v>
      </x:c>
      <x:c r="D47" s="9" t="n">
        <x:v>1</x:v>
      </x:c>
      <x:c r="E47" s="9" t="n">
        <x:v>142718</x:v>
      </x:c>
      <x:c r="F47" s="9" t="n">
        <x:v>785</x:v>
      </x:c>
      <x:c r="G47" s="9" t="n">
        <x:v>89348</x:v>
      </x:c>
      <x:c r="H47" s="9" t="n">
        <x:v>52010</x:v>
      </x:c>
      <x:c r="I47" s="9" t="n">
        <x:v>469</x:v>
      </x:c>
      <x:c r="J47" s="9" t="n">
        <x:v>106</x:v>
      </x:c>
      <x:c r="K47" s="9" t="n">
        <x:f>F47+G47+I47+J47</x:f>
        <x:v>90708</x:v>
      </x:c>
      <x:c r="L47" s="10" t="n">
        <x:f>K47/Sources!$B$4*1000</x:f>
        <x:v>25.340650836908043</x:v>
      </x:c>
      <x:c r="M47" s="10" t="n">
        <x:f>E47/Sources!$B$4*1000</x:f>
        <x:v>39.8704304597372</x:v>
      </x:c>
      <x:c r="N47" s="9" t="n">
        <x:f>Sources!$B$6-K47</x:f>
        <x:v>-30972</x:v>
      </x:c>
      <x:c r="O47" s="1" t="str">
        <x:v>horizontal_normal_right</x:v>
      </x:c>
      <x:c r="P47" s="12" t="n">
        <x:v>1</x:v>
      </x:c>
      <x:c r="Q47" s="12" t="n">
        <x:v>0</x:v>
      </x:c>
      <x:c r="R47" s="12" t="n">
        <x:v>0</x:v>
      </x:c>
      <x:c r="S47" s="12" t="n">
        <x:v>0</x:v>
      </x:c>
      <x:c r="T47" s="1" t="str">
        <x:v>Yes</x:v>
      </x:c>
      <x:c r="U47" s="1" t="n">
        <x:v>1</x:v>
      </x:c>
    </x:row>
    <x:row r="48" ht="23" customHeight="1">
      <x:c r="A48" s="9" t="n">
        <x:v>47</x:v>
      </x:c>
      <x:c r="B48" s="9" t="n">
        <x:v>330</x:v>
      </x:c>
      <x:c r="C48" s="9" t="n">
        <x:v>1032</x:v>
      </x:c>
      <x:c r="D48" s="9" t="n">
        <x:v>2</x:v>
      </x:c>
      <x:c r="E48" s="9" t="n">
        <x:v>142736.99999999627</x:v>
      </x:c>
      <x:c r="F48" s="9" t="n">
        <x:v>784.9999999962747</x:v>
      </x:c>
      <x:c r="G48" s="9" t="n">
        <x:v>78699</x:v>
      </x:c>
      <x:c r="H48" s="9" t="n">
        <x:v>62670</x:v>
      </x:c>
      <x:c r="I48" s="9" t="n">
        <x:v>477</x:v>
      </x:c>
      <x:c r="J48" s="9" t="n">
        <x:v>106</x:v>
      </x:c>
      <x:c r="K48" s="9" t="n">
        <x:f>F48+G48+I48+J48</x:f>
        <x:v>80066.99999999627</x:v>
      </x:c>
      <x:c r="L48" s="10" t="n">
        <x:f>K48/Sources!$B$4*1000</x:f>
        <x:v>22.367926649894404</x:v>
      </x:c>
      <x:c r="M48" s="10" t="n">
        <x:f>E48/Sources!$B$4*1000</x:f>
        <x:v>39.87573839691812</x:v>
      </x:c>
      <x:c r="N48" s="9" t="n">
        <x:f>Sources!$B$6-K48</x:f>
        <x:v>-20330.999999996275</x:v>
      </x:c>
      <x:c r="O48" s="1" t="str">
        <x:v>horizontal_normal_right</x:v>
      </x:c>
      <x:c r="P48" s="12" t="n">
        <x:v>2</x:v>
      </x:c>
      <x:c r="Q48" s="12" t="n">
        <x:v>0</x:v>
      </x:c>
      <x:c r="R48" s="12" t="n">
        <x:v>2</x:v>
      </x:c>
      <x:c r="S48" s="12" t="n">
        <x:v>0</x:v>
      </x:c>
      <x:c r="T48" s="1" t="str">
        <x:v>No</x:v>
      </x:c>
      <x:c r="U48" s="1" t="n">
        <x:v>1</x:v>
      </x:c>
    </x:row>
    <x:row r="49" ht="23" customHeight="1">
      <x:c r="A49" s="9" t="n">
        <x:v>48</x:v>
      </x:c>
      <x:c r="B49" s="9" t="n">
        <x:v>332</x:v>
      </x:c>
      <x:c r="C49" s="9" t="n">
        <x:v>1032</x:v>
      </x:c>
      <x:c r="D49" s="9" t="n">
        <x:v>2</x:v>
      </x:c>
      <x:c r="E49" s="9" t="n">
        <x:v>71355.00000000373</x:v>
      </x:c>
      <x:c r="F49" s="9" t="n">
        <x:v>784.9999999962747</x:v>
      </x:c>
      <x:c r="G49" s="9" t="n">
        <x:v>68315.00000000373</x:v>
      </x:c>
      <x:c r="H49" s="9" t="n">
        <x:v>1680</x:v>
      </x:c>
      <x:c r="I49" s="9" t="n">
        <x:v>469</x:v>
      </x:c>
      <x:c r="J49" s="9" t="n">
        <x:v>106.00000000372529</x:v>
      </x:c>
      <x:c r="K49" s="9" t="n">
        <x:f>F49+G49+I49+J49</x:f>
        <x:v>69675.00000000373</x:v>
      </x:c>
      <x:c r="L49" s="10" t="n">
        <x:f>K49/Sources!$B$4*1000</x:f>
        <x:v>19.464764376479057</x:v>
      </x:c>
      <x:c r="M49" s="10" t="n">
        <x:f>E49/Sources!$B$4*1000</x:f>
        <x:v>19.93409776941028</x:v>
      </x:c>
      <x:c r="N49" s="9" t="n">
        <x:f>Sources!$B$6-K49</x:f>
        <x:v>-9939.000000003725</x:v>
      </x:c>
      <x:c r="O49" s="1" t="str">
        <x:v>horizontal_normal_right</x:v>
      </x:c>
      <x:c r="P49" s="12" t="n">
        <x:v>2</x:v>
      </x:c>
      <x:c r="Q49" s="12" t="n">
        <x:v>0</x:v>
      </x:c>
      <x:c r="R49" s="12" t="n">
        <x:v>4</x:v>
      </x:c>
      <x:c r="S49" s="12" t="n">
        <x:v>0</x:v>
      </x:c>
      <x:c r="T49" s="1" t="str">
        <x:v>No</x:v>
      </x:c>
      <x:c r="U49" s="1" t="n">
        <x:v>0</x:v>
      </x:c>
    </x:row>
    <x:row r="50" ht="23" customHeight="1">
      <x:c r="A50" s="9" t="n">
        <x:v>49</x:v>
      </x:c>
      <x:c r="B50" s="9" t="n">
        <x:v>333</x:v>
      </x:c>
      <x:c r="C50" s="9" t="n">
        <x:v>1032</x:v>
      </x:c>
      <x:c r="D50" s="9" t="n">
        <x:v>1</x:v>
      </x:c>
      <x:c r="E50" s="9" t="n">
        <x:v>71371</x:v>
      </x:c>
      <x:c r="F50" s="9" t="n">
        <x:v>785</x:v>
      </x:c>
      <x:c r="G50" s="9" t="n">
        <x:v>60213</x:v>
      </x:c>
      <x:c r="H50" s="9" t="n">
        <x:v>9790</x:v>
      </x:c>
      <x:c r="I50" s="9" t="n">
        <x:v>477</x:v>
      </x:c>
      <x:c r="J50" s="9" t="n">
        <x:v>106</x:v>
      </x:c>
      <x:c r="K50" s="9" t="n">
        <x:f>F50+G50+I50+J50</x:f>
        <x:v>61581</x:v>
      </x:c>
      <x:c r="L50" s="10" t="n">
        <x:f>K50/Sources!$B$4*1000</x:f>
        <x:v>17.20358313696294</x:v>
      </x:c>
      <x:c r="M50" s="10" t="n">
        <x:f>E50/Sources!$B$4*1000</x:f>
        <x:v>19.93856761124668</x:v>
      </x:c>
      <x:c r="N50" s="9" t="n">
        <x:f>Sources!$B$6-K50</x:f>
        <x:v>-1845</x:v>
      </x:c>
      <x:c r="O50" s="1" t="str">
        <x:v>horizontal_normal_right</x:v>
      </x:c>
      <x:c r="P50" s="12" t="n">
        <x:v>1</x:v>
      </x:c>
      <x:c r="Q50" s="12" t="n">
        <x:v>0</x:v>
      </x:c>
      <x:c r="R50" s="12" t="n">
        <x:v>5</x:v>
      </x:c>
      <x:c r="S50" s="12" t="n">
        <x:v>0</x:v>
      </x:c>
      <x:c r="T50" s="1" t="str">
        <x:v>No</x:v>
      </x:c>
      <x:c r="U50" s="1" t="n">
        <x:v>0</x:v>
      </x:c>
    </x:row>
    <x:row r="51" ht="23" customHeight="1">
      <x:c r="A51" s="9" t="n">
        <x:v>50</x:v>
      </x:c>
      <x:c r="B51" s="9" t="n">
        <x:v>334</x:v>
      </x:c>
      <x:c r="C51" s="9" t="n">
        <x:v>1032</x:v>
      </x:c>
      <x:c r="D51" s="9" t="n">
        <x:v>1</x:v>
      </x:c>
      <x:c r="E51" s="9" t="n">
        <x:v>71359</x:v>
      </x:c>
      <x:c r="F51" s="9" t="n">
        <x:v>785</x:v>
      </x:c>
      <x:c r="G51" s="9" t="n">
        <x:v>64874</x:v>
      </x:c>
      <x:c r="H51" s="9" t="n">
        <x:v>5125</x:v>
      </x:c>
      <x:c r="I51" s="9" t="n">
        <x:v>468.9999999962747</x:v>
      </x:c>
      <x:c r="J51" s="9" t="n">
        <x:v>106.00000000372529</x:v>
      </x:c>
      <x:c r="K51" s="9" t="n">
        <x:f>F51+G51+I51+J51</x:f>
        <x:v>66234</x:v>
      </x:c>
      <x:c r="L51" s="10" t="n">
        <x:f>K51/Sources!$B$4*1000</x:f>
        <x:v>18.503469016313524</x:v>
      </x:c>
      <x:c r="M51" s="10" t="n">
        <x:f>E51/Sources!$B$4*1000</x:f>
        <x:v>19.9352152298686</x:v>
      </x:c>
      <x:c r="N51" s="9" t="n">
        <x:f>Sources!$B$6-K51</x:f>
        <x:v>-6498</x:v>
      </x:c>
      <x:c r="O51" s="1" t="str">
        <x:v>horizontal_normal_right</x:v>
      </x:c>
      <x:c r="P51" s="12" t="n">
        <x:v>1</x:v>
      </x:c>
      <x:c r="Q51" s="12" t="n">
        <x:v>0</x:v>
      </x:c>
      <x:c r="R51" s="12" t="n">
        <x:v>6</x:v>
      </x:c>
      <x:c r="S51" s="12" t="n">
        <x:v>0</x:v>
      </x:c>
      <x:c r="T51" s="1" t="str">
        <x:v>No</x:v>
      </x:c>
      <x:c r="U51" s="1" t="n">
        <x:v>0</x:v>
      </x:c>
    </x:row>
    <x:row r="52" ht="23" customHeight="1">
      <x:c r="A52" s="9" t="n">
        <x:v>51</x:v>
      </x:c>
      <x:c r="B52" s="9" t="n">
        <x:v>335</x:v>
      </x:c>
      <x:c r="C52" s="9" t="n">
        <x:v>1032</x:v>
      </x:c>
      <x:c r="D52" s="9" t="n">
        <x:v>1</x:v>
      </x:c>
      <x:c r="E52" s="9" t="n">
        <x:v>71369</x:v>
      </x:c>
      <x:c r="F52" s="9" t="n">
        <x:v>785</x:v>
      </x:c>
      <x:c r="G52" s="9" t="n">
        <x:v>65015.999999996275</x:v>
      </x:c>
      <x:c r="H52" s="9" t="n">
        <x:v>4985.000000003725</x:v>
      </x:c>
      <x:c r="I52" s="9" t="n">
        <x:v>477</x:v>
      </x:c>
      <x:c r="J52" s="9" t="n">
        <x:v>106</x:v>
      </x:c>
      <x:c r="K52" s="9" t="n">
        <x:f>F52+G52+I52+J52</x:f>
        <x:v>66383.99999999627</x:v>
      </x:c>
      <x:c r="L52" s="10" t="n">
        <x:f>K52/Sources!$B$4*1000</x:f>
        <x:v>18.545373783538487</x:v>
      </x:c>
      <x:c r="M52" s="10" t="n">
        <x:f>E52/Sources!$B$4*1000</x:f>
        <x:v>19.938008881016998</x:v>
      </x:c>
      <x:c r="N52" s="9" t="n">
        <x:f>Sources!$B$6-K52</x:f>
        <x:v>-6647.999999996275</x:v>
      </x:c>
      <x:c r="O52" s="1" t="str">
        <x:v>horizontal_normal_right</x:v>
      </x:c>
      <x:c r="P52" s="12" t="n">
        <x:v>1</x:v>
      </x:c>
      <x:c r="Q52" s="12" t="n">
        <x:v>0</x:v>
      </x:c>
      <x:c r="R52" s="12" t="n">
        <x:v>7</x:v>
      </x:c>
      <x:c r="S52" s="12" t="n">
        <x:v>0</x:v>
      </x:c>
      <x:c r="T52" s="1" t="str">
        <x:v>No</x:v>
      </x:c>
      <x:c r="U52" s="1" t="n">
        <x:v>0</x:v>
      </x:c>
    </x:row>
    <x:row r="53" ht="23" customHeight="1">
      <x:c r="A53" s="9" t="n">
        <x:v>52</x:v>
      </x:c>
      <x:c r="B53" s="9" t="n">
        <x:v>336</x:v>
      </x:c>
      <x:c r="C53" s="9" t="n">
        <x:v>1032</x:v>
      </x:c>
      <x:c r="D53" s="9" t="n">
        <x:v>1</x:v>
      </x:c>
      <x:c r="E53" s="9" t="n">
        <x:v>142722</x:v>
      </x:c>
      <x:c r="F53" s="9" t="n">
        <x:v>785</x:v>
      </x:c>
      <x:c r="G53" s="9" t="n">
        <x:v>89356.99999999627</x:v>
      </x:c>
      <x:c r="H53" s="9" t="n">
        <x:v>52005.000000003725</x:v>
      </x:c>
      <x:c r="I53" s="9" t="n">
        <x:v>468.9999999962747</x:v>
      </x:c>
      <x:c r="J53" s="9" t="n">
        <x:v>106.00000000372529</x:v>
      </x:c>
      <x:c r="K53" s="9" t="n">
        <x:f>F53+G53+I53+J53</x:f>
        <x:v>90716.99999999627</x:v>
      </x:c>
      <x:c r="L53" s="10" t="n">
        <x:f>K53/Sources!$B$4*1000</x:f>
        <x:v>25.34316512294056</x:v>
      </x:c>
      <x:c r="M53" s="10" t="n">
        <x:f>E53/Sources!$B$4*1000</x:f>
        <x:v>39.871547920196555</x:v>
      </x:c>
      <x:c r="N53" s="9" t="n">
        <x:f>Sources!$B$6-K53</x:f>
        <x:v>-30980.999999996275</x:v>
      </x:c>
      <x:c r="O53" s="1" t="str">
        <x:v>horizontal_normal_right</x:v>
      </x:c>
      <x:c r="P53" s="12" t="n">
        <x:v>1</x:v>
      </x:c>
      <x:c r="Q53" s="12" t="n">
        <x:v>0</x:v>
      </x:c>
      <x:c r="R53" s="12" t="n">
        <x:v>0</x:v>
      </x:c>
      <x:c r="S53" s="12" t="n">
        <x:v>0</x:v>
      </x:c>
      <x:c r="T53" s="1" t="str">
        <x:v>Yes</x:v>
      </x:c>
      <x:c r="U53" s="1" t="n">
        <x:v>1</x:v>
      </x:c>
    </x:row>
    <x:row r="54" ht="23" customHeight="1">
      <x:c r="A54" s="9" t="n">
        <x:v>53</x:v>
      </x:c>
      <x:c r="B54" s="9" t="n">
        <x:v>338</x:v>
      </x:c>
      <x:c r="C54" s="9" t="n">
        <x:v>1032</x:v>
      </x:c>
      <x:c r="D54" s="9" t="n">
        <x:v>2</x:v>
      </x:c>
      <x:c r="E54" s="9" t="n">
        <x:v>142736</x:v>
      </x:c>
      <x:c r="F54" s="9" t="n">
        <x:v>785</x:v>
      </x:c>
      <x:c r="G54" s="9" t="n">
        <x:v>78718</x:v>
      </x:c>
      <x:c r="H54" s="9" t="n">
        <x:v>62650</x:v>
      </x:c>
      <x:c r="I54" s="9" t="n">
        <x:v>477</x:v>
      </x:c>
      <x:c r="J54" s="9" t="n">
        <x:v>106</x:v>
      </x:c>
      <x:c r="K54" s="9" t="n">
        <x:f>F54+G54+I54+J54</x:f>
        <x:v>80086</x:v>
      </x:c>
      <x:c r="L54" s="10" t="n">
        <x:f>K54/Sources!$B$4*1000</x:f>
        <x:v>22.373234587077405</x:v>
      </x:c>
      <x:c r="M54" s="10" t="n">
        <x:f>E54/Sources!$B$4*1000</x:f>
        <x:v>39.87545903180432</x:v>
      </x:c>
      <x:c r="N54" s="9" t="n">
        <x:f>Sources!$B$6-K54</x:f>
        <x:v>-20350</x:v>
      </x:c>
      <x:c r="O54" s="1" t="str">
        <x:v>horizontal_normal_right</x:v>
      </x:c>
      <x:c r="P54" s="12" t="n">
        <x:v>2</x:v>
      </x:c>
      <x:c r="Q54" s="12" t="n">
        <x:v>0</x:v>
      </x:c>
      <x:c r="R54" s="12" t="n">
        <x:v>2</x:v>
      </x:c>
      <x:c r="S54" s="12" t="n">
        <x:v>0</x:v>
      </x:c>
      <x:c r="T54" s="1" t="str">
        <x:v>No</x:v>
      </x:c>
      <x:c r="U54" s="1" t="n">
        <x:v>1</x:v>
      </x:c>
    </x:row>
    <x:row r="55" ht="23" customHeight="1">
      <x:c r="A55" s="9" t="n">
        <x:v>54</x:v>
      </x:c>
      <x:c r="B55" s="9" t="n">
        <x:v>340</x:v>
      </x:c>
      <x:c r="C55" s="9" t="n">
        <x:v>1032</x:v>
      </x:c>
      <x:c r="D55" s="9" t="n">
        <x:v>2</x:v>
      </x:c>
      <x:c r="E55" s="9" t="n">
        <x:v>71354</x:v>
      </x:c>
      <x:c r="F55" s="9" t="n">
        <x:v>785</x:v>
      </x:c>
      <x:c r="G55" s="9" t="n">
        <x:v>68334</x:v>
      </x:c>
      <x:c r="H55" s="9" t="n">
        <x:v>1660</x:v>
      </x:c>
      <x:c r="I55" s="9" t="n">
        <x:v>469</x:v>
      </x:c>
      <x:c r="J55" s="9" t="n">
        <x:v>106</x:v>
      </x:c>
      <x:c r="K55" s="9" t="n">
        <x:f>F55+G55+I55+J55</x:f>
        <x:v>69694</x:v>
      </x:c>
      <x:c r="L55" s="10" t="n">
        <x:f>K55/Sources!$B$4*1000</x:f>
        <x:v>19.470072313659976</x:v>
      </x:c>
      <x:c r="M55" s="10" t="n">
        <x:f>E55/Sources!$B$4*1000</x:f>
        <x:v>19.9338184042944</x:v>
      </x:c>
      <x:c r="N55" s="9" t="n">
        <x:f>Sources!$B$6-K55</x:f>
        <x:v>-9958</x:v>
      </x:c>
      <x:c r="O55" s="1" t="str">
        <x:v>horizontal_normal_right</x:v>
      </x:c>
      <x:c r="P55" s="12" t="n">
        <x:v>2</x:v>
      </x:c>
      <x:c r="Q55" s="12" t="n">
        <x:v>0</x:v>
      </x:c>
      <x:c r="R55" s="12" t="n">
        <x:v>4</x:v>
      </x:c>
      <x:c r="S55" s="12" t="n">
        <x:v>0</x:v>
      </x:c>
      <x:c r="T55" s="1" t="str">
        <x:v>No</x:v>
      </x:c>
      <x:c r="U55" s="1" t="n">
        <x:v>0</x:v>
      </x:c>
    </x:row>
    <x:row r="56" ht="23" customHeight="1">
      <x:c r="A56" s="9" t="n">
        <x:v>55</x:v>
      </x:c>
      <x:c r="B56" s="9" t="n">
        <x:v>341</x:v>
      </x:c>
      <x:c r="C56" s="9" t="n">
        <x:v>1032</x:v>
      </x:c>
      <x:c r="D56" s="9" t="n">
        <x:v>1</x:v>
      </x:c>
      <x:c r="E56" s="9" t="n">
        <x:v>71375</x:v>
      </x:c>
      <x:c r="F56" s="9" t="n">
        <x:v>785</x:v>
      </x:c>
      <x:c r="G56" s="9" t="n">
        <x:v>60231.999999996275</x:v>
      </x:c>
      <x:c r="H56" s="9" t="n">
        <x:v>9775.000000003725</x:v>
      </x:c>
      <x:c r="I56" s="9" t="n">
        <x:v>477</x:v>
      </x:c>
      <x:c r="J56" s="9" t="n">
        <x:v>106</x:v>
      </x:c>
      <x:c r="K56" s="9" t="n">
        <x:f>F56+G56+I56+J56</x:f>
        <x:v>61599.999999996275</x:v>
      </x:c>
      <x:c r="L56" s="10" t="n">
        <x:f>K56/Sources!$B$4*1000</x:f>
        <x:v>17.208891074143857</x:v>
      </x:c>
      <x:c r="M56" s="10" t="n">
        <x:f>E56/Sources!$B$4*1000</x:f>
        <x:v>19.93968507170604</x:v>
      </x:c>
      <x:c r="N56" s="9" t="n">
        <x:f>Sources!$B$6-K56</x:f>
        <x:v>-1863.9999999962747</x:v>
      </x:c>
      <x:c r="O56" s="1" t="str">
        <x:v>horizontal_normal_right</x:v>
      </x:c>
      <x:c r="P56" s="12" t="n">
        <x:v>1</x:v>
      </x:c>
      <x:c r="Q56" s="12" t="n">
        <x:v>0</x:v>
      </x:c>
      <x:c r="R56" s="12" t="n">
        <x:v>5</x:v>
      </x:c>
      <x:c r="S56" s="12" t="n">
        <x:v>0</x:v>
      </x:c>
      <x:c r="T56" s="1" t="str">
        <x:v>No</x:v>
      </x:c>
      <x:c r="U56" s="1" t="n">
        <x:v>0</x:v>
      </x:c>
    </x:row>
    <x:row r="57" ht="23" customHeight="1">
      <x:c r="A57" s="9" t="n">
        <x:v>56</x:v>
      </x:c>
      <x:c r="B57" s="9" t="n">
        <x:v>342</x:v>
      </x:c>
      <x:c r="C57" s="9" t="n">
        <x:v>1032</x:v>
      </x:c>
      <x:c r="D57" s="9" t="n">
        <x:v>1</x:v>
      </x:c>
      <x:c r="E57" s="9" t="n">
        <x:v>71354</x:v>
      </x:c>
      <x:c r="F57" s="9" t="n">
        <x:v>785</x:v>
      </x:c>
      <x:c r="G57" s="9" t="n">
        <x:v>64874</x:v>
      </x:c>
      <x:c r="H57" s="9" t="n">
        <x:v>5120</x:v>
      </x:c>
      <x:c r="I57" s="9" t="n">
        <x:v>469</x:v>
      </x:c>
      <x:c r="J57" s="9" t="n">
        <x:v>106</x:v>
      </x:c>
      <x:c r="K57" s="9" t="n">
        <x:f>F57+G57+I57+J57</x:f>
        <x:v>66234</x:v>
      </x:c>
      <x:c r="L57" s="10" t="n">
        <x:f>K57/Sources!$B$4*1000</x:f>
        <x:v>18.503469016313524</x:v>
      </x:c>
      <x:c r="M57" s="10" t="n">
        <x:f>E57/Sources!$B$4*1000</x:f>
        <x:v>19.9338184042944</x:v>
      </x:c>
      <x:c r="N57" s="9" t="n">
        <x:f>Sources!$B$6-K57</x:f>
        <x:v>-6498</x:v>
      </x:c>
      <x:c r="O57" s="1" t="str">
        <x:v>horizontal_normal_right</x:v>
      </x:c>
      <x:c r="P57" s="12" t="n">
        <x:v>1</x:v>
      </x:c>
      <x:c r="Q57" s="12" t="n">
        <x:v>0</x:v>
      </x:c>
      <x:c r="R57" s="12" t="n">
        <x:v>6</x:v>
      </x:c>
      <x:c r="S57" s="12" t="n">
        <x:v>0</x:v>
      </x:c>
      <x:c r="T57" s="1" t="str">
        <x:v>No</x:v>
      </x:c>
      <x:c r="U57" s="1" t="n">
        <x:v>0</x:v>
      </x:c>
    </x:row>
    <x:row r="58" ht="23" customHeight="1">
      <x:c r="A58" s="9" t="n">
        <x:v>57</x:v>
      </x:c>
      <x:c r="B58" s="9" t="n">
        <x:v>343</x:v>
      </x:c>
      <x:c r="C58" s="9" t="n">
        <x:v>1032</x:v>
      </x:c>
      <x:c r="D58" s="9" t="n">
        <x:v>1</x:v>
      </x:c>
      <x:c r="E58" s="9" t="n">
        <x:v>71374</x:v>
      </x:c>
      <x:c r="F58" s="9" t="n">
        <x:v>785</x:v>
      </x:c>
      <x:c r="G58" s="9" t="n">
        <x:v>65016</x:v>
      </x:c>
      <x:c r="H58" s="9" t="n">
        <x:v>4990.000000003725</x:v>
      </x:c>
      <x:c r="I58" s="9" t="n">
        <x:v>477</x:v>
      </x:c>
      <x:c r="J58" s="9" t="n">
        <x:v>105.99999999627471</x:v>
      </x:c>
      <x:c r="K58" s="9" t="n">
        <x:f>F58+G58+I58+J58</x:f>
        <x:v>66383.99999999627</x:v>
      </x:c>
      <x:c r="L58" s="10" t="n">
        <x:f>K58/Sources!$B$4*1000</x:f>
        <x:v>18.545373783538487</x:v>
      </x:c>
      <x:c r="M58" s="10" t="n">
        <x:f>E58/Sources!$B$4*1000</x:f>
        <x:v>19.939405706591202</x:v>
      </x:c>
      <x:c r="N58" s="9" t="n">
        <x:f>Sources!$B$6-K58</x:f>
        <x:v>-6647.999999996275</x:v>
      </x:c>
      <x:c r="O58" s="1" t="str">
        <x:v>horizontal_normal_right</x:v>
      </x:c>
      <x:c r="P58" s="12" t="n">
        <x:v>1</x:v>
      </x:c>
      <x:c r="Q58" s="12" t="n">
        <x:v>0</x:v>
      </x:c>
      <x:c r="R58" s="12" t="n">
        <x:v>7</x:v>
      </x:c>
      <x:c r="S58" s="12" t="n">
        <x:v>0</x:v>
      </x:c>
      <x:c r="T58" s="1" t="str">
        <x:v>No</x:v>
      </x:c>
      <x:c r="U58" s="1" t="n">
        <x:v>0</x:v>
      </x:c>
    </x:row>
    <x:row r="59" ht="23" customHeight="1">
      <x:c r="A59" s="9" t="n">
        <x:v>58</x:v>
      </x:c>
      <x:c r="B59" s="9" t="n">
        <x:v>344</x:v>
      </x:c>
      <x:c r="C59" s="9" t="n">
        <x:v>1032</x:v>
      </x:c>
      <x:c r="D59" s="9" t="n">
        <x:v>1</x:v>
      </x:c>
      <x:c r="E59" s="9" t="n">
        <x:v>142717</x:v>
      </x:c>
      <x:c r="F59" s="9" t="n">
        <x:v>785</x:v>
      </x:c>
      <x:c r="G59" s="9" t="n">
        <x:v>89356.99999999627</x:v>
      </x:c>
      <x:c r="H59" s="9" t="n">
        <x:v>52000.000000003725</x:v>
      </x:c>
      <x:c r="I59" s="9" t="n">
        <x:v>468.9999999962747</x:v>
      </x:c>
      <x:c r="J59" s="9" t="n">
        <x:v>106.00000000372529</x:v>
      </x:c>
      <x:c r="K59" s="9" t="n">
        <x:f>F59+G59+I59+J59</x:f>
        <x:v>90716.99999999627</x:v>
      </x:c>
      <x:c r="L59" s="10" t="n">
        <x:f>K59/Sources!$B$4*1000</x:f>
        <x:v>25.34316512294056</x:v>
      </x:c>
      <x:c r="M59" s="10" t="n">
        <x:f>E59/Sources!$B$4*1000</x:f>
        <x:v>39.87015109462236</x:v>
      </x:c>
      <x:c r="N59" s="9" t="n">
        <x:f>Sources!$B$6-K59</x:f>
        <x:v>-30980.999999996275</x:v>
      </x:c>
      <x:c r="O59" s="1" t="str">
        <x:v>horizontal_normal_right</x:v>
      </x:c>
      <x:c r="P59" s="12" t="n">
        <x:v>1</x:v>
      </x:c>
      <x:c r="Q59" s="12" t="n">
        <x:v>0</x:v>
      </x:c>
      <x:c r="R59" s="12" t="n">
        <x:v>0</x:v>
      </x:c>
      <x:c r="S59" s="12" t="n">
        <x:v>0</x:v>
      </x:c>
      <x:c r="T59" s="1" t="str">
        <x:v>Yes</x:v>
      </x:c>
      <x:c r="U59" s="1" t="n">
        <x:v>1</x:v>
      </x:c>
    </x:row>
    <x:row r="60" ht="23" customHeight="1">
      <x:c r="A60" s="9" t="n">
        <x:v>59</x:v>
      </x:c>
      <x:c r="B60" s="9" t="n">
        <x:v>346</x:v>
      </x:c>
      <x:c r="C60" s="9" t="n">
        <x:v>1032</x:v>
      </x:c>
      <x:c r="D60" s="9" t="n">
        <x:v>2</x:v>
      </x:c>
      <x:c r="E60" s="9" t="n">
        <x:v>142736</x:v>
      </x:c>
      <x:c r="F60" s="9" t="n">
        <x:v>785</x:v>
      </x:c>
      <x:c r="G60" s="9" t="n">
        <x:v>78717.99999999627</x:v>
      </x:c>
      <x:c r="H60" s="9" t="n">
        <x:v>62650</x:v>
      </x:c>
      <x:c r="I60" s="9" t="n">
        <x:v>477</x:v>
      </x:c>
      <x:c r="J60" s="9" t="n">
        <x:v>106.00000000372529</x:v>
      </x:c>
      <x:c r="K60" s="9" t="n">
        <x:f>F60+G60+I60+J60</x:f>
        <x:v>80086</x:v>
      </x:c>
      <x:c r="L60" s="10" t="n">
        <x:f>K60/Sources!$B$4*1000</x:f>
        <x:v>22.373234587077405</x:v>
      </x:c>
      <x:c r="M60" s="10" t="n">
        <x:f>E60/Sources!$B$4*1000</x:f>
        <x:v>39.87545903180432</x:v>
      </x:c>
      <x:c r="N60" s="9" t="n">
        <x:f>Sources!$B$6-K60</x:f>
        <x:v>-20350</x:v>
      </x:c>
      <x:c r="O60" s="1" t="str">
        <x:v>horizontal_normal_right</x:v>
      </x:c>
      <x:c r="P60" s="12" t="n">
        <x:v>2</x:v>
      </x:c>
      <x:c r="Q60" s="12" t="n">
        <x:v>0</x:v>
      </x:c>
      <x:c r="R60" s="12" t="n">
        <x:v>2</x:v>
      </x:c>
      <x:c r="S60" s="12" t="n">
        <x:v>0</x:v>
      </x:c>
      <x:c r="T60" s="1" t="str">
        <x:v>No</x:v>
      </x:c>
      <x:c r="U60" s="1" t="n">
        <x:v>1</x:v>
      </x:c>
    </x:row>
    <x:row r="61" ht="23" customHeight="1">
      <x:c r="A61" s="9" t="n">
        <x:v>60</x:v>
      </x:c>
      <x:c r="B61" s="9" t="n">
        <x:v>348</x:v>
      </x:c>
      <x:c r="C61" s="9" t="n">
        <x:v>1032</x:v>
      </x:c>
      <x:c r="D61" s="9" t="n">
        <x:v>2</x:v>
      </x:c>
      <x:c r="E61" s="9" t="n">
        <x:v>71359</x:v>
      </x:c>
      <x:c r="F61" s="9" t="n">
        <x:v>785</x:v>
      </x:c>
      <x:c r="G61" s="9" t="n">
        <x:v>68334</x:v>
      </x:c>
      <x:c r="H61" s="9" t="n">
        <x:v>1665</x:v>
      </x:c>
      <x:c r="I61" s="9" t="n">
        <x:v>469</x:v>
      </x:c>
      <x:c r="J61" s="9" t="n">
        <x:v>106</x:v>
      </x:c>
      <x:c r="K61" s="9" t="n">
        <x:f>F61+G61+I61+J61</x:f>
        <x:v>69694</x:v>
      </x:c>
      <x:c r="L61" s="10" t="n">
        <x:f>K61/Sources!$B$4*1000</x:f>
        <x:v>19.470072313659976</x:v>
      </x:c>
      <x:c r="M61" s="10" t="n">
        <x:f>E61/Sources!$B$4*1000</x:f>
        <x:v>19.9352152298686</x:v>
      </x:c>
      <x:c r="N61" s="9" t="n">
        <x:f>Sources!$B$6-K61</x:f>
        <x:v>-9958</x:v>
      </x:c>
      <x:c r="O61" s="1" t="str">
        <x:v>horizontal_normal_right</x:v>
      </x:c>
      <x:c r="P61" s="12" t="n">
        <x:v>2</x:v>
      </x:c>
      <x:c r="Q61" s="12" t="n">
        <x:v>0</x:v>
      </x:c>
      <x:c r="R61" s="12" t="n">
        <x:v>4</x:v>
      </x:c>
      <x:c r="S61" s="12" t="n">
        <x:v>0</x:v>
      </x:c>
      <x:c r="T61" s="1" t="str">
        <x:v>No</x:v>
      </x:c>
      <x:c r="U61" s="1" t="n">
        <x:v>0</x:v>
      </x:c>
    </x:row>
    <x:row r="62" ht="23" customHeight="1">
      <x:c r="A62" s="9" t="n">
        <x:v>61</x:v>
      </x:c>
      <x:c r="B62" s="9" t="n">
        <x:v>349</x:v>
      </x:c>
      <x:c r="C62" s="9" t="n">
        <x:v>1032</x:v>
      </x:c>
      <x:c r="D62" s="9" t="n">
        <x:v>1</x:v>
      </x:c>
      <x:c r="E62" s="9" t="n">
        <x:v>71370</x:v>
      </x:c>
      <x:c r="F62" s="9" t="n">
        <x:v>785</x:v>
      </x:c>
      <x:c r="G62" s="9" t="n">
        <x:v>60231.999999996275</x:v>
      </x:c>
      <x:c r="H62" s="9" t="n">
        <x:v>9770.000000003725</x:v>
      </x:c>
      <x:c r="I62" s="9" t="n">
        <x:v>477</x:v>
      </x:c>
      <x:c r="J62" s="9" t="n">
        <x:v>106</x:v>
      </x:c>
      <x:c r="K62" s="9" t="n">
        <x:f>F62+G62+I62+J62</x:f>
        <x:v>61599.999999996275</x:v>
      </x:c>
      <x:c r="L62" s="10" t="n">
        <x:f>K62/Sources!$B$4*1000</x:f>
        <x:v>17.208891074143857</x:v>
      </x:c>
      <x:c r="M62" s="10" t="n">
        <x:f>E62/Sources!$B$4*1000</x:f>
        <x:v>19.93828824613184</x:v>
      </x:c>
      <x:c r="N62" s="9" t="n">
        <x:f>Sources!$B$6-K62</x:f>
        <x:v>-1863.9999999962747</x:v>
      </x:c>
      <x:c r="O62" s="1" t="str">
        <x:v>horizontal_normal_right</x:v>
      </x:c>
      <x:c r="P62" s="12" t="n">
        <x:v>1</x:v>
      </x:c>
      <x:c r="Q62" s="12" t="n">
        <x:v>0</x:v>
      </x:c>
      <x:c r="R62" s="12" t="n">
        <x:v>5</x:v>
      </x:c>
      <x:c r="S62" s="12" t="n">
        <x:v>0</x:v>
      </x:c>
      <x:c r="T62" s="1" t="str">
        <x:v>No</x:v>
      </x:c>
      <x:c r="U62" s="1" t="n">
        <x:v>0</x:v>
      </x:c>
    </x:row>
    <x:row r="63" ht="23" customHeight="1">
      <x:c r="A63" s="9" t="n">
        <x:v>62</x:v>
      </x:c>
      <x:c r="B63" s="9" t="n">
        <x:v>350</x:v>
      </x:c>
      <x:c r="C63" s="9" t="n">
        <x:v>1032</x:v>
      </x:c>
      <x:c r="D63" s="9" t="n">
        <x:v>1</x:v>
      </x:c>
      <x:c r="E63" s="9" t="n">
        <x:v>71354</x:v>
      </x:c>
      <x:c r="F63" s="9" t="n">
        <x:v>785</x:v>
      </x:c>
      <x:c r="G63" s="9" t="n">
        <x:v>64874</x:v>
      </x:c>
      <x:c r="H63" s="9" t="n">
        <x:v>5120</x:v>
      </x:c>
      <x:c r="I63" s="9" t="n">
        <x:v>469</x:v>
      </x:c>
      <x:c r="J63" s="9" t="n">
        <x:v>106</x:v>
      </x:c>
      <x:c r="K63" s="9" t="n">
        <x:f>F63+G63+I63+J63</x:f>
        <x:v>66234</x:v>
      </x:c>
      <x:c r="L63" s="10" t="n">
        <x:f>K63/Sources!$B$4*1000</x:f>
        <x:v>18.503469016313524</x:v>
      </x:c>
      <x:c r="M63" s="10" t="n">
        <x:f>E63/Sources!$B$4*1000</x:f>
        <x:v>19.9338184042944</x:v>
      </x:c>
      <x:c r="N63" s="9" t="n">
        <x:f>Sources!$B$6-K63</x:f>
        <x:v>-6498</x:v>
      </x:c>
      <x:c r="O63" s="1" t="str">
        <x:v>horizontal_normal_right</x:v>
      </x:c>
      <x:c r="P63" s="12" t="n">
        <x:v>1</x:v>
      </x:c>
      <x:c r="Q63" s="12" t="n">
        <x:v>0</x:v>
      </x:c>
      <x:c r="R63" s="12" t="n">
        <x:v>6</x:v>
      </x:c>
      <x:c r="S63" s="12" t="n">
        <x:v>0</x:v>
      </x:c>
      <x:c r="T63" s="1" t="str">
        <x:v>No</x:v>
      </x:c>
      <x:c r="U63" s="1" t="n">
        <x:v>0</x:v>
      </x:c>
    </x:row>
    <x:row r="64" ht="23" customHeight="1">
      <x:c r="A64" s="9" t="n">
        <x:v>63</x:v>
      </x:c>
      <x:c r="B64" s="9" t="n">
        <x:v>351</x:v>
      </x:c>
      <x:c r="C64" s="9" t="n">
        <x:v>1032</x:v>
      </x:c>
      <x:c r="D64" s="9" t="n">
        <x:v>1</x:v>
      </x:c>
      <x:c r="E64" s="9" t="n">
        <x:v>71374</x:v>
      </x:c>
      <x:c r="F64" s="9" t="n">
        <x:v>785</x:v>
      </x:c>
      <x:c r="G64" s="9" t="n">
        <x:v>65016</x:v>
      </x:c>
      <x:c r="H64" s="9" t="n">
        <x:v>4990</x:v>
      </x:c>
      <x:c r="I64" s="9" t="n">
        <x:v>477</x:v>
      </x:c>
      <x:c r="J64" s="9" t="n">
        <x:v>106</x:v>
      </x:c>
      <x:c r="K64" s="9" t="n">
        <x:f>F64+G64+I64+J64</x:f>
        <x:v>66384</x:v>
      </x:c>
      <x:c r="L64" s="10" t="n">
        <x:f>K64/Sources!$B$4*1000</x:f>
        <x:v>18.545373783539528</x:v>
      </x:c>
      <x:c r="M64" s="10" t="n">
        <x:f>E64/Sources!$B$4*1000</x:f>
        <x:v>19.939405706591202</x:v>
      </x:c>
      <x:c r="N64" s="9" t="n">
        <x:f>Sources!$B$6-K64</x:f>
        <x:v>-6648</x:v>
      </x:c>
      <x:c r="O64" s="1" t="str">
        <x:v>horizontal_normal_right</x:v>
      </x:c>
      <x:c r="P64" s="12" t="n">
        <x:v>1</x:v>
      </x:c>
      <x:c r="Q64" s="12" t="n">
        <x:v>0</x:v>
      </x:c>
      <x:c r="R64" s="12" t="n">
        <x:v>7</x:v>
      </x:c>
      <x:c r="S64" s="12" t="n">
        <x:v>0</x:v>
      </x:c>
      <x:c r="T64" s="1" t="str">
        <x:v>No</x:v>
      </x:c>
      <x:c r="U64" s="1" t="n">
        <x:v>0</x:v>
      </x:c>
    </x:row>
    <x:row r="65" ht="23" customHeight="1">
      <x:c r="A65" s="9" t="n">
        <x:v>64</x:v>
      </x:c>
      <x:c r="B65" s="9" t="n">
        <x:v>352</x:v>
      </x:c>
      <x:c r="C65" s="9" t="n">
        <x:v>1032</x:v>
      </x:c>
      <x:c r="D65" s="9" t="n">
        <x:v>1</x:v>
      </x:c>
      <x:c r="E65" s="9" t="n">
        <x:v>142722</x:v>
      </x:c>
      <x:c r="F65" s="9" t="n">
        <x:v>784.9999999962747</x:v>
      </x:c>
      <x:c r="G65" s="9" t="n">
        <x:v>89357</x:v>
      </x:c>
      <x:c r="H65" s="9" t="n">
        <x:v>52005.000000003725</x:v>
      </x:c>
      <x:c r="I65" s="9" t="n">
        <x:v>468.9999999962747</x:v>
      </x:c>
      <x:c r="J65" s="9" t="n">
        <x:v>106.00000000372529</x:v>
      </x:c>
      <x:c r="K65" s="9" t="n">
        <x:f>F65+G65+I65+J65</x:f>
        <x:v>90716.99999999627</x:v>
      </x:c>
      <x:c r="L65" s="10" t="n">
        <x:f>K65/Sources!$B$4*1000</x:f>
        <x:v>25.34316512294056</x:v>
      </x:c>
      <x:c r="M65" s="10" t="n">
        <x:f>E65/Sources!$B$4*1000</x:f>
        <x:v>39.871547920196555</x:v>
      </x:c>
      <x:c r="N65" s="9" t="n">
        <x:f>Sources!$B$6-K65</x:f>
        <x:v>-30980.999999996275</x:v>
      </x:c>
      <x:c r="O65" s="1" t="str">
        <x:v>horizontal_normal_right</x:v>
      </x:c>
      <x:c r="P65" s="12" t="n">
        <x:v>1</x:v>
      </x:c>
      <x:c r="Q65" s="12" t="n">
        <x:v>0</x:v>
      </x:c>
      <x:c r="R65" s="12" t="n">
        <x:v>0</x:v>
      </x:c>
      <x:c r="S65" s="12" t="n">
        <x:v>0</x:v>
      </x:c>
      <x:c r="T65" s="1" t="str">
        <x:v>Yes</x:v>
      </x:c>
      <x:c r="U65" s="1" t="n">
        <x:v>1</x:v>
      </x:c>
    </x:row>
    <x:row r="66" ht="23" customHeight="1">
      <x:c r="A66" s="9" t="n">
        <x:v>65</x:v>
      </x:c>
      <x:c r="B66" s="9" t="n">
        <x:v>354</x:v>
      </x:c>
      <x:c r="C66" s="9" t="n">
        <x:v>1032</x:v>
      </x:c>
      <x:c r="D66" s="9" t="n">
        <x:v>2</x:v>
      </x:c>
      <x:c r="E66" s="9" t="n">
        <x:v>142736</x:v>
      </x:c>
      <x:c r="F66" s="9" t="n">
        <x:v>785</x:v>
      </x:c>
      <x:c r="G66" s="9" t="n">
        <x:v>78717.99999999627</x:v>
      </x:c>
      <x:c r="H66" s="9" t="n">
        <x:v>62650</x:v>
      </x:c>
      <x:c r="I66" s="9" t="n">
        <x:v>477</x:v>
      </x:c>
      <x:c r="J66" s="9" t="n">
        <x:v>106.00000000372529</x:v>
      </x:c>
      <x:c r="K66" s="9" t="n">
        <x:f>F66+G66+I66+J66</x:f>
        <x:v>80086</x:v>
      </x:c>
      <x:c r="L66" s="10" t="n">
        <x:f>K66/Sources!$B$4*1000</x:f>
        <x:v>22.373234587077405</x:v>
      </x:c>
      <x:c r="M66" s="10" t="n">
        <x:f>E66/Sources!$B$4*1000</x:f>
        <x:v>39.87545903180432</x:v>
      </x:c>
      <x:c r="N66" s="9" t="n">
        <x:f>Sources!$B$6-K66</x:f>
        <x:v>-20350</x:v>
      </x:c>
      <x:c r="O66" s="1" t="str">
        <x:v>horizontal_normal_right</x:v>
      </x:c>
      <x:c r="P66" s="12" t="n">
        <x:v>2</x:v>
      </x:c>
      <x:c r="Q66" s="12" t="n">
        <x:v>0</x:v>
      </x:c>
      <x:c r="R66" s="12" t="n">
        <x:v>2</x:v>
      </x:c>
      <x:c r="S66" s="12" t="n">
        <x:v>0</x:v>
      </x:c>
      <x:c r="T66" s="1" t="str">
        <x:v>No</x:v>
      </x:c>
      <x:c r="U66" s="1" t="n">
        <x:v>1</x:v>
      </x:c>
    </x:row>
    <x:row r="67" ht="23" customHeight="1">
      <x:c r="A67" s="9" t="n">
        <x:v>66</x:v>
      </x:c>
      <x:c r="B67" s="9" t="n">
        <x:v>356</x:v>
      </x:c>
      <x:c r="C67" s="9" t="n">
        <x:v>1032</x:v>
      </x:c>
      <x:c r="D67" s="9" t="n">
        <x:v>2</x:v>
      </x:c>
      <x:c r="E67" s="9" t="n">
        <x:v>71354</x:v>
      </x:c>
      <x:c r="F67" s="9" t="n">
        <x:v>785</x:v>
      </x:c>
      <x:c r="G67" s="9" t="n">
        <x:v>68334</x:v>
      </x:c>
      <x:c r="H67" s="9" t="n">
        <x:v>1660</x:v>
      </x:c>
      <x:c r="I67" s="9" t="n">
        <x:v>469</x:v>
      </x:c>
      <x:c r="J67" s="9" t="n">
        <x:v>106</x:v>
      </x:c>
      <x:c r="K67" s="9" t="n">
        <x:f>F67+G67+I67+J67</x:f>
        <x:v>69694</x:v>
      </x:c>
      <x:c r="L67" s="10" t="n">
        <x:f>K67/Sources!$B$4*1000</x:f>
        <x:v>19.470072313659976</x:v>
      </x:c>
      <x:c r="M67" s="10" t="n">
        <x:f>E67/Sources!$B$4*1000</x:f>
        <x:v>19.9338184042944</x:v>
      </x:c>
      <x:c r="N67" s="9" t="n">
        <x:f>Sources!$B$6-K67</x:f>
        <x:v>-9958</x:v>
      </x:c>
      <x:c r="O67" s="1" t="str">
        <x:v>horizontal_normal_right</x:v>
      </x:c>
      <x:c r="P67" s="12" t="n">
        <x:v>2</x:v>
      </x:c>
      <x:c r="Q67" s="12" t="n">
        <x:v>0</x:v>
      </x:c>
      <x:c r="R67" s="12" t="n">
        <x:v>4</x:v>
      </x:c>
      <x:c r="S67" s="12" t="n">
        <x:v>0</x:v>
      </x:c>
      <x:c r="T67" s="1" t="str">
        <x:v>No</x:v>
      </x:c>
      <x:c r="U67" s="1" t="n">
        <x:v>0</x:v>
      </x:c>
    </x:row>
    <x:row r="68" ht="23" customHeight="1">
      <x:c r="A68" s="9" t="n">
        <x:v>67</x:v>
      </x:c>
      <x:c r="B68" s="9" t="n">
        <x:v>357</x:v>
      </x:c>
      <x:c r="C68" s="9" t="n">
        <x:v>1032</x:v>
      </x:c>
      <x:c r="D68" s="9" t="n">
        <x:v>1</x:v>
      </x:c>
      <x:c r="E68" s="9" t="n">
        <x:v>71370</x:v>
      </x:c>
      <x:c r="F68" s="9" t="n">
        <x:v>785</x:v>
      </x:c>
      <x:c r="G68" s="9" t="n">
        <x:v>60231.999999996275</x:v>
      </x:c>
      <x:c r="H68" s="9" t="n">
        <x:v>9770.000000003725</x:v>
      </x:c>
      <x:c r="I68" s="9" t="n">
        <x:v>477</x:v>
      </x:c>
      <x:c r="J68" s="9" t="n">
        <x:v>106</x:v>
      </x:c>
      <x:c r="K68" s="9" t="n">
        <x:f>F68+G68+I68+J68</x:f>
        <x:v>61599.999999996275</x:v>
      </x:c>
      <x:c r="L68" s="10" t="n">
        <x:f>K68/Sources!$B$4*1000</x:f>
        <x:v>17.208891074143857</x:v>
      </x:c>
      <x:c r="M68" s="10" t="n">
        <x:f>E68/Sources!$B$4*1000</x:f>
        <x:v>19.93828824613184</x:v>
      </x:c>
      <x:c r="N68" s="9" t="n">
        <x:f>Sources!$B$6-K68</x:f>
        <x:v>-1863.9999999962747</x:v>
      </x:c>
      <x:c r="O68" s="1" t="str">
        <x:v>horizontal_normal_right</x:v>
      </x:c>
      <x:c r="P68" s="12" t="n">
        <x:v>1</x:v>
      </x:c>
      <x:c r="Q68" s="12" t="n">
        <x:v>0</x:v>
      </x:c>
      <x:c r="R68" s="12" t="n">
        <x:v>5</x:v>
      </x:c>
      <x:c r="S68" s="12" t="n">
        <x:v>0</x:v>
      </x:c>
      <x:c r="T68" s="1" t="str">
        <x:v>No</x:v>
      </x:c>
      <x:c r="U68" s="1" t="n">
        <x:v>0</x:v>
      </x:c>
    </x:row>
    <x:row r="69" ht="23" customHeight="1">
      <x:c r="A69" s="9" t="n">
        <x:v>68</x:v>
      </x:c>
      <x:c r="B69" s="9" t="n">
        <x:v>358</x:v>
      </x:c>
      <x:c r="C69" s="9" t="n">
        <x:v>1032</x:v>
      </x:c>
      <x:c r="D69" s="9" t="n">
        <x:v>1</x:v>
      </x:c>
      <x:c r="E69" s="9" t="n">
        <x:v>71359</x:v>
      </x:c>
      <x:c r="F69" s="9" t="n">
        <x:v>784.9999999962747</x:v>
      </x:c>
      <x:c r="G69" s="9" t="n">
        <x:v>64874</x:v>
      </x:c>
      <x:c r="H69" s="9" t="n">
        <x:v>5125</x:v>
      </x:c>
      <x:c r="I69" s="9" t="n">
        <x:v>469</x:v>
      </x:c>
      <x:c r="J69" s="9" t="n">
        <x:v>106.00000000372529</x:v>
      </x:c>
      <x:c r="K69" s="9" t="n">
        <x:f>F69+G69+I69+J69</x:f>
        <x:v>66234</x:v>
      </x:c>
      <x:c r="L69" s="10" t="n">
        <x:f>K69/Sources!$B$4*1000</x:f>
        <x:v>18.503469016313524</x:v>
      </x:c>
      <x:c r="M69" s="10" t="n">
        <x:f>E69/Sources!$B$4*1000</x:f>
        <x:v>19.9352152298686</x:v>
      </x:c>
      <x:c r="N69" s="9" t="n">
        <x:f>Sources!$B$6-K69</x:f>
        <x:v>-6498</x:v>
      </x:c>
      <x:c r="O69" s="1" t="str">
        <x:v>horizontal_normal_right</x:v>
      </x:c>
      <x:c r="P69" s="12" t="n">
        <x:v>1</x:v>
      </x:c>
      <x:c r="Q69" s="12" t="n">
        <x:v>0</x:v>
      </x:c>
      <x:c r="R69" s="12" t="n">
        <x:v>6</x:v>
      </x:c>
      <x:c r="S69" s="12" t="n">
        <x:v>0</x:v>
      </x:c>
      <x:c r="T69" s="1" t="str">
        <x:v>No</x:v>
      </x:c>
      <x:c r="U69" s="1" t="n">
        <x:v>0</x:v>
      </x:c>
    </x:row>
    <x:row r="70" ht="23" customHeight="1">
      <x:c r="A70" s="9" t="n">
        <x:v>69</x:v>
      </x:c>
      <x:c r="B70" s="9" t="n">
        <x:v>357</x:v>
      </x:c>
      <x:c r="C70" s="9" t="n">
        <x:v>1032</x:v>
      </x:c>
      <x:c r="D70" s="9" t="n">
        <x:v>1</x:v>
      </x:c>
      <x:c r="E70" s="9" t="n">
        <x:v>71370</x:v>
      </x:c>
      <x:c r="F70" s="9" t="n">
        <x:v>818</x:v>
      </x:c>
      <x:c r="G70" s="9" t="n">
        <x:v>26039</x:v>
      </x:c>
      <x:c r="H70" s="9" t="n">
        <x:v>43930.000000003725</x:v>
      </x:c>
      <x:c r="I70" s="9" t="n">
        <x:v>477</x:v>
      </x:c>
      <x:c r="J70" s="9" t="n">
        <x:v>105.99999999627471</x:v>
      </x:c>
      <x:c r="K70" s="9" t="n">
        <x:f>F70+G70+I70+J70</x:f>
        <x:v>27439.999999996275</x:v>
      </x:c>
      <x:c r="L70" s="10" t="n">
        <x:f>K70/Sources!$B$4*1000</x:f>
        <x:v>7.6657787512089595</x:v>
      </x:c>
      <x:c r="M70" s="10" t="n">
        <x:f>E70/Sources!$B$4*1000</x:f>
        <x:v>19.93828824613184</x:v>
      </x:c>
      <x:c r="N70" s="9" t="n">
        <x:f>Sources!$B$6-K70</x:f>
        <x:v>32296.000000003725</x:v>
      </x:c>
      <x:c r="O70" s="1" t="str">
        <x:v>horizontal_normal_left</x:v>
      </x:c>
      <x:c r="P70" s="12" t="n">
        <x:v>-1</x:v>
      </x:c>
      <x:c r="Q70" s="12" t="n">
        <x:v>0</x:v>
      </x:c>
      <x:c r="R70" s="12" t="n">
        <x:v>5</x:v>
      </x:c>
      <x:c r="S70" s="12" t="n">
        <x:v>0</x:v>
      </x:c>
      <x:c r="T70" s="1" t="str">
        <x:v>No</x:v>
      </x:c>
      <x:c r="U70" s="1" t="n">
        <x:v>0</x:v>
      </x:c>
    </x:row>
    <x:row r="71" ht="23" customHeight="1">
      <x:c r="A71" s="9" t="n">
        <x:v>70</x:v>
      </x:c>
      <x:c r="B71" s="9" t="n">
        <x:v>356</x:v>
      </x:c>
      <x:c r="C71" s="9" t="n">
        <x:v>1032</x:v>
      </x:c>
      <x:c r="D71" s="9" t="n">
        <x:v>1</x:v>
      </x:c>
      <x:c r="E71" s="9" t="n">
        <x:v>71355</x:v>
      </x:c>
      <x:c r="F71" s="9" t="n">
        <x:v>818</x:v>
      </x:c>
      <x:c r="G71" s="9" t="n">
        <x:v>65072</x:v>
      </x:c>
      <x:c r="H71" s="9" t="n">
        <x:v>4890</x:v>
      </x:c>
      <x:c r="I71" s="9" t="n">
        <x:v>468.9999999962747</x:v>
      </x:c>
      <x:c r="J71" s="9" t="n">
        <x:v>106.00000000372529</x:v>
      </x:c>
      <x:c r="K71" s="9" t="n">
        <x:f>F71+G71+I71+J71</x:f>
        <x:v>66465</x:v>
      </x:c>
      <x:c r="L71" s="10" t="n">
        <x:f>K71/Sources!$B$4*1000</x:f>
        <x:v>18.568002357841568</x:v>
      </x:c>
      <x:c r="M71" s="10" t="n">
        <x:f>E71/Sources!$B$4*1000</x:f>
        <x:v>19.934097769409238</x:v>
      </x:c>
      <x:c r="N71" s="9" t="n">
        <x:f>Sources!$B$6-K71</x:f>
        <x:v>-6729</x:v>
      </x:c>
      <x:c r="O71" s="1" t="str">
        <x:v>horizontal_normal_left</x:v>
      </x:c>
      <x:c r="P71" s="12" t="n">
        <x:v>-1</x:v>
      </x:c>
      <x:c r="Q71" s="12" t="n">
        <x:v>0</x:v>
      </x:c>
      <x:c r="R71" s="12" t="n">
        <x:v>4</x:v>
      </x:c>
      <x:c r="S71" s="12" t="n">
        <x:v>0</x:v>
      </x:c>
      <x:c r="T71" s="1" t="str">
        <x:v>No</x:v>
      </x:c>
      <x:c r="U71" s="1" t="n">
        <x:v>0</x:v>
      </x:c>
    </x:row>
    <x:row r="72" ht="23" customHeight="1">
      <x:c r="A72" s="9" t="n">
        <x:v>71</x:v>
      </x:c>
      <x:c r="B72" s="9" t="n">
        <x:v>355</x:v>
      </x:c>
      <x:c r="C72" s="9" t="n">
        <x:v>1032</x:v>
      </x:c>
      <x:c r="D72" s="9" t="n">
        <x:v>1</x:v>
      </x:c>
      <x:c r="E72" s="9" t="n">
        <x:v>71374</x:v>
      </x:c>
      <x:c r="F72" s="9" t="n">
        <x:v>817.9999999962747</x:v>
      </x:c>
      <x:c r="G72" s="9" t="n">
        <x:v>60348.000000003725</x:v>
      </x:c>
      <x:c r="H72" s="9" t="n">
        <x:v>9625.000000003725</x:v>
      </x:c>
      <x:c r="I72" s="9" t="n">
        <x:v>477</x:v>
      </x:c>
      <x:c r="J72" s="9" t="n">
        <x:v>105.99999999627471</x:v>
      </x:c>
      <x:c r="K72" s="9" t="n">
        <x:f>F72+G72+I72+J72</x:f>
        <x:v>61748.999999996275</x:v>
      </x:c>
      <x:c r="L72" s="10" t="n">
        <x:f>K72/Sources!$B$4*1000</x:f>
        <x:v>17.25051647625502</x:v>
      </x:c>
      <x:c r="M72" s="10" t="n">
        <x:f>E72/Sources!$B$4*1000</x:f>
        <x:v>19.939405706591202</x:v>
      </x:c>
      <x:c r="N72" s="9" t="n">
        <x:f>Sources!$B$6-K72</x:f>
        <x:v>-2012.9999999962747</x:v>
      </x:c>
      <x:c r="O72" s="1" t="str">
        <x:v>horizontal_normal_left</x:v>
      </x:c>
      <x:c r="P72" s="12" t="n">
        <x:v>-1</x:v>
      </x:c>
      <x:c r="Q72" s="12" t="n">
        <x:v>0</x:v>
      </x:c>
      <x:c r="R72" s="12" t="n">
        <x:v>3</x:v>
      </x:c>
      <x:c r="S72" s="12" t="n">
        <x:v>0</x:v>
      </x:c>
      <x:c r="T72" s="1" t="str">
        <x:v>No</x:v>
      </x:c>
      <x:c r="U72" s="1" t="n">
        <x:v>0</x:v>
      </x:c>
    </x:row>
    <x:row r="73" ht="23" customHeight="1">
      <x:c r="A73" s="9" t="n">
        <x:v>72</x:v>
      </x:c>
      <x:c r="B73" s="9" t="n">
        <x:v>354</x:v>
      </x:c>
      <x:c r="C73" s="9" t="n">
        <x:v>1032</x:v>
      </x:c>
      <x:c r="D73" s="9" t="n">
        <x:v>1</x:v>
      </x:c>
      <x:c r="E73" s="9" t="n">
        <x:v>71355.99999999627</x:v>
      </x:c>
      <x:c r="F73" s="9" t="n">
        <x:v>818</x:v>
      </x:c>
      <x:c r="G73" s="9" t="n">
        <x:v>59178</x:v>
      </x:c>
      <x:c r="H73" s="9" t="n">
        <x:v>10784.999999996275</x:v>
      </x:c>
      <x:c r="I73" s="9" t="n">
        <x:v>469.0000000037253</x:v>
      </x:c>
      <x:c r="J73" s="9" t="n">
        <x:v>105.99999999627471</x:v>
      </x:c>
      <x:c r="K73" s="9" t="n">
        <x:f>F73+G73+I73+J73</x:f>
        <x:v>60571</x:v>
      </x:c>
      <x:c r="L73" s="10" t="n">
        <x:f>K73/Sources!$B$4*1000</x:f>
        <x:v>16.921424370974524</x:v>
      </x:c>
      <x:c r="M73" s="10" t="n">
        <x:f>E73/Sources!$B$4*1000</x:f>
        <x:v>19.93437713452304</x:v>
      </x:c>
      <x:c r="N73" s="9" t="n">
        <x:f>Sources!$B$6-K73</x:f>
        <x:v>-835</x:v>
      </x:c>
      <x:c r="O73" s="1" t="str">
        <x:v>horizontal_normal_left</x:v>
      </x:c>
      <x:c r="P73" s="12" t="n">
        <x:v>-1</x:v>
      </x:c>
      <x:c r="Q73" s="12" t="n">
        <x:v>0</x:v>
      </x:c>
      <x:c r="R73" s="12" t="n">
        <x:v>2</x:v>
      </x:c>
      <x:c r="S73" s="12" t="n">
        <x:v>0</x:v>
      </x:c>
      <x:c r="T73" s="1" t="str">
        <x:v>No</x:v>
      </x:c>
      <x:c r="U73" s="1" t="n">
        <x:v>0</x:v>
      </x:c>
    </x:row>
    <x:row r="74" ht="23" customHeight="1">
      <x:c r="A74" s="9" t="n">
        <x:v>73</x:v>
      </x:c>
      <x:c r="B74" s="9" t="n">
        <x:v>353</x:v>
      </x:c>
      <x:c r="C74" s="9" t="n">
        <x:v>1032</x:v>
      </x:c>
      <x:c r="D74" s="9" t="n">
        <x:v>1</x:v>
      </x:c>
      <x:c r="E74" s="9" t="n">
        <x:v>71372.00000000373</x:v>
      </x:c>
      <x:c r="F74" s="9" t="n">
        <x:v>818.0000000037253</x:v>
      </x:c>
      <x:c r="G74" s="9" t="n">
        <x:v>59546</x:v>
      </x:c>
      <x:c r="H74" s="9" t="n">
        <x:v>10425</x:v>
      </x:c>
      <x:c r="I74" s="9" t="n">
        <x:v>477</x:v>
      </x:c>
      <x:c r="J74" s="9" t="n">
        <x:v>106</x:v>
      </x:c>
      <x:c r="K74" s="9" t="n">
        <x:f>F74+G74+I74+J74</x:f>
        <x:v>60947.000000003725</x:v>
      </x:c>
      <x:c r="L74" s="10" t="n">
        <x:f>K74/Sources!$B$4*1000</x:f>
        <x:v>17.02646565415541</x:v>
      </x:c>
      <x:c r="M74" s="10" t="n">
        <x:f>E74/Sources!$B$4*1000</x:f>
        <x:v>19.93884697636256</x:v>
      </x:c>
      <x:c r="N74" s="9" t="n">
        <x:f>Sources!$B$6-K74</x:f>
        <x:v>-1211.0000000037253</x:v>
      </x:c>
      <x:c r="O74" s="1" t="str">
        <x:v>horizontal_normal_left</x:v>
      </x:c>
      <x:c r="P74" s="12" t="n">
        <x:v>-1</x:v>
      </x:c>
      <x:c r="Q74" s="12" t="n">
        <x:v>0</x:v>
      </x:c>
      <x:c r="R74" s="12" t="n">
        <x:v>1</x:v>
      </x:c>
      <x:c r="S74" s="12" t="n">
        <x:v>0</x:v>
      </x:c>
      <x:c r="T74" s="1" t="str">
        <x:v>No</x:v>
      </x:c>
      <x:c r="U74" s="1" t="n">
        <x:v>0</x:v>
      </x:c>
    </x:row>
    <x:row r="75" ht="23" customHeight="1">
      <x:c r="A75" s="9" t="n">
        <x:v>74</x:v>
      </x:c>
      <x:c r="B75" s="9" t="n">
        <x:v>352</x:v>
      </x:c>
      <x:c r="C75" s="9" t="n">
        <x:v>1032</x:v>
      </x:c>
      <x:c r="D75" s="9" t="n">
        <x:v>1</x:v>
      </x:c>
      <x:c r="E75" s="9" t="n">
        <x:v>71356</x:v>
      </x:c>
      <x:c r="F75" s="9" t="n">
        <x:v>818</x:v>
      </x:c>
      <x:c r="G75" s="9" t="n">
        <x:v>54318</x:v>
      </x:c>
      <x:c r="H75" s="9" t="n">
        <x:v>15645</x:v>
      </x:c>
      <x:c r="I75" s="9" t="n">
        <x:v>468.9999999962747</x:v>
      </x:c>
      <x:c r="J75" s="9" t="n">
        <x:v>106.00000000372529</x:v>
      </x:c>
      <x:c r="K75" s="9" t="n">
        <x:f>F75+G75+I75+J75</x:f>
        <x:v>55711</x:v>
      </x:c>
      <x:c r="L75" s="10" t="n">
        <x:f>K75/Sources!$B$4*1000</x:f>
        <x:v>15.563709912852053</x:v>
      </x:c>
      <x:c r="M75" s="10" t="n">
        <x:f>E75/Sources!$B$4*1000</x:f>
        <x:v>19.93437713452408</x:v>
      </x:c>
      <x:c r="N75" s="9" t="n">
        <x:f>Sources!$B$6-K75</x:f>
        <x:v>4025</x:v>
      </x:c>
      <x:c r="O75" s="1" t="str">
        <x:v>horizontal_normal_left</x:v>
      </x:c>
      <x:c r="P75" s="12" t="n">
        <x:v>-1</x:v>
      </x:c>
      <x:c r="Q75" s="12" t="n">
        <x:v>0</x:v>
      </x:c>
      <x:c r="R75" s="12" t="n">
        <x:v>0</x:v>
      </x:c>
      <x:c r="S75" s="12" t="n">
        <x:v>0</x:v>
      </x:c>
      <x:c r="T75" s="1" t="str">
        <x:v>No</x:v>
      </x:c>
      <x:c r="U75" s="1" t="n">
        <x:v>0</x:v>
      </x:c>
    </x:row>
    <x:row r="76" ht="23" customHeight="1">
      <x:c r="A76" s="9" t="n">
        <x:v>75</x:v>
      </x:c>
      <x:c r="B76" s="9" t="n">
        <x:v>351</x:v>
      </x:c>
      <x:c r="C76" s="9" t="n">
        <x:v>1032</x:v>
      </x:c>
      <x:c r="D76" s="9" t="n">
        <x:v>1</x:v>
      </x:c>
      <x:c r="E76" s="9" t="n">
        <x:v>142733.99999999627</x:v>
      </x:c>
      <x:c r="F76" s="9" t="n">
        <x:v>818</x:v>
      </x:c>
      <x:c r="G76" s="9" t="n">
        <x:v>99618</x:v>
      </x:c>
      <x:c r="H76" s="9" t="n">
        <x:v>41714.999999996275</x:v>
      </x:c>
      <x:c r="I76" s="9" t="n">
        <x:v>477</x:v>
      </x:c>
      <x:c r="J76" s="9" t="n">
        <x:v>106</x:v>
      </x:c>
      <x:c r="K76" s="9" t="n">
        <x:f>F76+G76+I76+J76</x:f>
        <x:v>101019</x:v>
      </x:c>
      <x:c r="L76" s="10" t="n">
        <x:f>K76/Sources!$B$4*1000</x:f>
        <x:v>28.221184536023433</x:v>
      </x:c>
      <x:c r="M76" s="10" t="n">
        <x:f>E76/Sources!$B$4*1000</x:f>
        <x:v>39.874900301573604</x:v>
      </x:c>
      <x:c r="N76" s="9" t="n">
        <x:f>Sources!$B$6-K76</x:f>
        <x:v>-41283</x:v>
      </x:c>
      <x:c r="O76" s="1" t="str">
        <x:v>horizontal_normal_left</x:v>
      </x:c>
      <x:c r="P76" s="12" t="n">
        <x:v>-1</x:v>
      </x:c>
      <x:c r="Q76" s="12" t="n">
        <x:v>0</x:v>
      </x:c>
      <x:c r="R76" s="12" t="n">
        <x:v>7</x:v>
      </x:c>
      <x:c r="S76" s="12" t="n">
        <x:v>0</x:v>
      </x:c>
      <x:c r="T76" s="1" t="str">
        <x:v>Yes</x:v>
      </x:c>
      <x:c r="U76" s="1" t="n">
        <x:v>1</x:v>
      </x:c>
    </x:row>
    <x:row r="77" ht="23" customHeight="1">
      <x:c r="A77" s="9" t="n">
        <x:v>76</x:v>
      </x:c>
      <x:c r="B77" s="9" t="n">
        <x:v>349</x:v>
      </x:c>
      <x:c r="C77" s="9" t="n">
        <x:v>1032</x:v>
      </x:c>
      <x:c r="D77" s="9" t="n">
        <x:v>2</x:v>
      </x:c>
      <x:c r="E77" s="9" t="n">
        <x:v>142722.00000000373</x:v>
      </x:c>
      <x:c r="F77" s="9" t="n">
        <x:v>818.0000000037253</x:v>
      </x:c>
      <x:c r="G77" s="9" t="n">
        <x:v>78769</x:v>
      </x:c>
      <x:c r="H77" s="9" t="n">
        <x:v>62560</x:v>
      </x:c>
      <x:c r="I77" s="9" t="n">
        <x:v>469</x:v>
      </x:c>
      <x:c r="J77" s="9" t="n">
        <x:v>106</x:v>
      </x:c>
      <x:c r="K77" s="9" t="n">
        <x:f>F77+G77+I77+J77</x:f>
        <x:v>80162.00000000373</x:v>
      </x:c>
      <x:c r="L77" s="10" t="n">
        <x:f>K77/Sources!$B$4*1000</x:f>
        <x:v>22.394466335806293</x:v>
      </x:c>
      <x:c r="M77" s="10" t="n">
        <x:f>E77/Sources!$B$4*1000</x:f>
        <x:v>39.8715479201976</x:v>
      </x:c>
      <x:c r="N77" s="9" t="n">
        <x:f>Sources!$B$6-K77</x:f>
        <x:v>-20426.000000003725</x:v>
      </x:c>
      <x:c r="O77" s="1" t="str">
        <x:v>horizontal_normal_left</x:v>
      </x:c>
      <x:c r="P77" s="12" t="n">
        <x:v>-2</x:v>
      </x:c>
      <x:c r="Q77" s="12" t="n">
        <x:v>0</x:v>
      </x:c>
      <x:c r="R77" s="12" t="n">
        <x:v>5</x:v>
      </x:c>
      <x:c r="S77" s="12" t="n">
        <x:v>0</x:v>
      </x:c>
      <x:c r="T77" s="1" t="str">
        <x:v>No</x:v>
      </x:c>
      <x:c r="U77" s="1" t="n">
        <x:v>1</x:v>
      </x:c>
    </x:row>
    <x:row r="78" ht="23" customHeight="1">
      <x:c r="A78" s="9" t="n">
        <x:v>77</x:v>
      </x:c>
      <x:c r="B78" s="9" t="n">
        <x:v>347</x:v>
      </x:c>
      <x:c r="C78" s="9" t="n">
        <x:v>1032</x:v>
      </x:c>
      <x:c r="D78" s="9" t="n">
        <x:v>2</x:v>
      </x:c>
      <x:c r="E78" s="9" t="n">
        <x:v>71371</x:v>
      </x:c>
      <x:c r="F78" s="9" t="n">
        <x:v>818</x:v>
      </x:c>
      <x:c r="G78" s="9" t="n">
        <x:v>68510.00000000373</x:v>
      </x:c>
      <x:c r="H78" s="9" t="n">
        <x:v>1460</x:v>
      </x:c>
      <x:c r="I78" s="9" t="n">
        <x:v>477</x:v>
      </x:c>
      <x:c r="J78" s="9" t="n">
        <x:v>105.99999999627471</x:v>
      </x:c>
      <x:c r="K78" s="9" t="n">
        <x:f>F78+G78+I78+J78</x:f>
        <x:v>69911</x:v>
      </x:c>
      <x:c r="L78" s="10" t="n">
        <x:f>K78/Sources!$B$4*1000</x:f>
        <x:v>19.530694543580257</x:v>
      </x:c>
      <x:c r="M78" s="10" t="n">
        <x:f>E78/Sources!$B$4*1000</x:f>
        <x:v>19.93856761124668</x:v>
      </x:c>
      <x:c r="N78" s="9" t="n">
        <x:f>Sources!$B$6-K78</x:f>
        <x:v>-10175</x:v>
      </x:c>
      <x:c r="O78" s="1" t="str">
        <x:v>horizontal_normal_left</x:v>
      </x:c>
      <x:c r="P78" s="12" t="n">
        <x:v>-2</x:v>
      </x:c>
      <x:c r="Q78" s="12" t="n">
        <x:v>0</x:v>
      </x:c>
      <x:c r="R78" s="12" t="n">
        <x:v>3</x:v>
      </x:c>
      <x:c r="S78" s="12" t="n">
        <x:v>0</x:v>
      </x:c>
      <x:c r="T78" s="1" t="str">
        <x:v>No</x:v>
      </x:c>
      <x:c r="U78" s="1" t="n">
        <x:v>0</x:v>
      </x:c>
    </x:row>
    <x:row r="79" ht="23" customHeight="1">
      <x:c r="A79" s="9" t="n">
        <x:v>78</x:v>
      </x:c>
      <x:c r="B79" s="9" t="n">
        <x:v>346</x:v>
      </x:c>
      <x:c r="C79" s="9" t="n">
        <x:v>1032</x:v>
      </x:c>
      <x:c r="D79" s="9" t="n">
        <x:v>1</x:v>
      </x:c>
      <x:c r="E79" s="9" t="n">
        <x:v>71359</x:v>
      </x:c>
      <x:c r="F79" s="9" t="n">
        <x:v>818</x:v>
      </x:c>
      <x:c r="G79" s="9" t="n">
        <x:v>59366.000000003725</x:v>
      </x:c>
      <x:c r="H79" s="9" t="n">
        <x:v>10600</x:v>
      </x:c>
      <x:c r="I79" s="9" t="n">
        <x:v>468.9999999962747</x:v>
      </x:c>
      <x:c r="J79" s="9" t="n">
        <x:v>106</x:v>
      </x:c>
      <x:c r="K79" s="9" t="n">
        <x:f>F79+G79+I79+J79</x:f>
        <x:v>60759</x:v>
      </x:c>
      <x:c r="L79" s="10" t="n">
        <x:f>K79/Sources!$B$4*1000</x:f>
        <x:v>16.973945012564446</x:v>
      </x:c>
      <x:c r="M79" s="10" t="n">
        <x:f>E79/Sources!$B$4*1000</x:f>
        <x:v>19.9352152298686</x:v>
      </x:c>
      <x:c r="N79" s="9" t="n">
        <x:f>Sources!$B$6-K79</x:f>
        <x:v>-1023</x:v>
      </x:c>
      <x:c r="O79" s="1" t="str">
        <x:v>horizontal_normal_left</x:v>
      </x:c>
      <x:c r="P79" s="12" t="n">
        <x:v>-1</x:v>
      </x:c>
      <x:c r="Q79" s="12" t="n">
        <x:v>0</x:v>
      </x:c>
      <x:c r="R79" s="12" t="n">
        <x:v>2</x:v>
      </x:c>
      <x:c r="S79" s="12" t="n">
        <x:v>0</x:v>
      </x:c>
      <x:c r="T79" s="1" t="str">
        <x:v>No</x:v>
      </x:c>
      <x:c r="U79" s="1" t="n">
        <x:v>0</x:v>
      </x:c>
    </x:row>
    <x:row r="80" ht="23" customHeight="1">
      <x:c r="A80" s="9" t="n">
        <x:v>79</x:v>
      </x:c>
      <x:c r="B80" s="9" t="n">
        <x:v>345</x:v>
      </x:c>
      <x:c r="C80" s="9" t="n">
        <x:v>1032</x:v>
      </x:c>
      <x:c r="D80" s="9" t="n">
        <x:v>1</x:v>
      </x:c>
      <x:c r="E80" s="9" t="n">
        <x:v>71371.99999999627</x:v>
      </x:c>
      <x:c r="F80" s="9" t="n">
        <x:v>817.9999999962747</x:v>
      </x:c>
      <x:c r="G80" s="9" t="n">
        <x:v>59546</x:v>
      </x:c>
      <x:c r="H80" s="9" t="n">
        <x:v>10424.999999996275</x:v>
      </x:c>
      <x:c r="I80" s="9" t="n">
        <x:v>477</x:v>
      </x:c>
      <x:c r="J80" s="9" t="n">
        <x:v>106.00000000372529</x:v>
      </x:c>
      <x:c r="K80" s="9" t="n">
        <x:f>F80+G80+I80+J80</x:f>
        <x:v>60947</x:v>
      </x:c>
      <x:c r="L80" s="10" t="n">
        <x:f>K80/Sources!$B$4*1000</x:f>
        <x:v>17.026465654154368</x:v>
      </x:c>
      <x:c r="M80" s="10" t="n">
        <x:f>E80/Sources!$B$4*1000</x:f>
        <x:v>19.93884697636048</x:v>
      </x:c>
      <x:c r="N80" s="9" t="n">
        <x:f>Sources!$B$6-K80</x:f>
        <x:v>-1211</x:v>
      </x:c>
      <x:c r="O80" s="1" t="str">
        <x:v>horizontal_normal_left</x:v>
      </x:c>
      <x:c r="P80" s="12" t="n">
        <x:v>-1</x:v>
      </x:c>
      <x:c r="Q80" s="12" t="n">
        <x:v>0</x:v>
      </x:c>
      <x:c r="R80" s="12" t="n">
        <x:v>1</x:v>
      </x:c>
      <x:c r="S80" s="12" t="n">
        <x:v>0</x:v>
      </x:c>
      <x:c r="T80" s="1" t="str">
        <x:v>No</x:v>
      </x:c>
      <x:c r="U80" s="1" t="n">
        <x:v>0</x:v>
      </x:c>
    </x:row>
    <x:row r="81" ht="23" customHeight="1">
      <x:c r="A81" s="9" t="n">
        <x:v>80</x:v>
      </x:c>
      <x:c r="B81" s="9" t="n">
        <x:v>344</x:v>
      </x:c>
      <x:c r="C81" s="9" t="n">
        <x:v>1032</x:v>
      </x:c>
      <x:c r="D81" s="9" t="n">
        <x:v>1</x:v>
      </x:c>
      <x:c r="E81" s="9" t="n">
        <x:v>71356.00000000373</x:v>
      </x:c>
      <x:c r="F81" s="9" t="n">
        <x:v>818.0000000037253</x:v>
      </x:c>
      <x:c r="G81" s="9" t="n">
        <x:v>54317.999999996275</x:v>
      </x:c>
      <x:c r="H81" s="9" t="n">
        <x:v>15645</x:v>
      </x:c>
      <x:c r="I81" s="9" t="n">
        <x:v>469</x:v>
      </x:c>
      <x:c r="J81" s="9" t="n">
        <x:v>106.00000000372529</x:v>
      </x:c>
      <x:c r="K81" s="9" t="n">
        <x:f>F81+G81+I81+J81</x:f>
        <x:v>55711.000000003725</x:v>
      </x:c>
      <x:c r="L81" s="10" t="n">
        <x:f>K81/Sources!$B$4*1000</x:f>
        <x:v>15.563709912853094</x:v>
      </x:c>
      <x:c r="M81" s="10" t="n">
        <x:f>E81/Sources!$B$4*1000</x:f>
        <x:v>19.93437713452512</x:v>
      </x:c>
      <x:c r="N81" s="9" t="n">
        <x:f>Sources!$B$6-K81</x:f>
        <x:v>4024.9999999962747</x:v>
      </x:c>
      <x:c r="O81" s="1" t="str">
        <x:v>horizontal_normal_left</x:v>
      </x:c>
      <x:c r="P81" s="12" t="n">
        <x:v>-1</x:v>
      </x:c>
      <x:c r="Q81" s="12" t="n">
        <x:v>0</x:v>
      </x:c>
      <x:c r="R81" s="12" t="n">
        <x:v>0</x:v>
      </x:c>
      <x:c r="S81" s="12" t="n">
        <x:v>0</x:v>
      </x:c>
      <x:c r="T81" s="1" t="str">
        <x:v>No</x:v>
      </x:c>
      <x:c r="U81" s="1" t="n">
        <x:v>0</x:v>
      </x:c>
    </x:row>
    <x:row r="82" ht="23" customHeight="1">
      <x:c r="A82" s="9" t="n">
        <x:v>81</x:v>
      </x:c>
      <x:c r="B82" s="9" t="n">
        <x:v>343</x:v>
      </x:c>
      <x:c r="C82" s="9" t="n">
        <x:v>1032</x:v>
      </x:c>
      <x:c r="D82" s="9" t="n">
        <x:v>1</x:v>
      </x:c>
      <x:c r="E82" s="9" t="n">
        <x:v>142734</x:v>
      </x:c>
      <x:c r="F82" s="9" t="n">
        <x:v>817.9999999962747</x:v>
      </x:c>
      <x:c r="G82" s="9" t="n">
        <x:v>99618.00000000373</x:v>
      </x:c>
      <x:c r="H82" s="9" t="n">
        <x:v>41714.999999996275</x:v>
      </x:c>
      <x:c r="I82" s="9" t="n">
        <x:v>477</x:v>
      </x:c>
      <x:c r="J82" s="9" t="n">
        <x:v>106.00000000372529</x:v>
      </x:c>
      <x:c r="K82" s="9" t="n">
        <x:f>F82+G82+I82+J82</x:f>
        <x:v>101019.00000000373</x:v>
      </x:c>
      <x:c r="L82" s="10" t="n">
        <x:f>K82/Sources!$B$4*1000</x:f>
        <x:v>28.221184536024474</x:v>
      </x:c>
      <x:c r="M82" s="10" t="n">
        <x:f>E82/Sources!$B$4*1000</x:f>
        <x:v>39.87490030157464</x:v>
      </x:c>
      <x:c r="N82" s="9" t="n">
        <x:f>Sources!$B$6-K82</x:f>
        <x:v>-41283.000000003725</x:v>
      </x:c>
      <x:c r="O82" s="1" t="str">
        <x:v>horizontal_normal_left</x:v>
      </x:c>
      <x:c r="P82" s="12" t="n">
        <x:v>-1</x:v>
      </x:c>
      <x:c r="Q82" s="12" t="n">
        <x:v>0</x:v>
      </x:c>
      <x:c r="R82" s="12" t="n">
        <x:v>7</x:v>
      </x:c>
      <x:c r="S82" s="12" t="n">
        <x:v>0</x:v>
      </x:c>
      <x:c r="T82" s="1" t="str">
        <x:v>Yes</x:v>
      </x:c>
      <x:c r="U82" s="1" t="n">
        <x:v>1</x:v>
      </x:c>
    </x:row>
    <x:row r="83" ht="23" customHeight="1">
      <x:c r="A83" s="9" t="n">
        <x:v>82</x:v>
      </x:c>
      <x:c r="B83" s="9" t="n">
        <x:v>341</x:v>
      </x:c>
      <x:c r="C83" s="9" t="n">
        <x:v>1032</x:v>
      </x:c>
      <x:c r="D83" s="9" t="n">
        <x:v>2</x:v>
      </x:c>
      <x:c r="E83" s="9" t="n">
        <x:v>142722</x:v>
      </x:c>
      <x:c r="F83" s="9" t="n">
        <x:v>817.9999999962747</x:v>
      </x:c>
      <x:c r="G83" s="9" t="n">
        <x:v>78769</x:v>
      </x:c>
      <x:c r="H83" s="9" t="n">
        <x:v>62560</x:v>
      </x:c>
      <x:c r="I83" s="9" t="n">
        <x:v>469</x:v>
      </x:c>
      <x:c r="J83" s="9" t="n">
        <x:v>106.00000000372529</x:v>
      </x:c>
      <x:c r="K83" s="9" t="n">
        <x:f>F83+G83+I83+J83</x:f>
        <x:v>80162</x:v>
      </x:c>
      <x:c r="L83" s="10" t="n">
        <x:f>K83/Sources!$B$4*1000</x:f>
        <x:v>22.39446633580525</x:v>
      </x:c>
      <x:c r="M83" s="10" t="n">
        <x:f>E83/Sources!$B$4*1000</x:f>
        <x:v>39.871547920196555</x:v>
      </x:c>
      <x:c r="N83" s="9" t="n">
        <x:f>Sources!$B$6-K83</x:f>
        <x:v>-20426</x:v>
      </x:c>
      <x:c r="O83" s="1" t="str">
        <x:v>horizontal_normal_left</x:v>
      </x:c>
      <x:c r="P83" s="12" t="n">
        <x:v>-2</x:v>
      </x:c>
      <x:c r="Q83" s="12" t="n">
        <x:v>0</x:v>
      </x:c>
      <x:c r="R83" s="12" t="n">
        <x:v>5</x:v>
      </x:c>
      <x:c r="S83" s="12" t="n">
        <x:v>0</x:v>
      </x:c>
      <x:c r="T83" s="1" t="str">
        <x:v>No</x:v>
      </x:c>
      <x:c r="U83" s="1" t="n">
        <x:v>1</x:v>
      </x:c>
    </x:row>
    <x:row r="84" ht="23" customHeight="1">
      <x:c r="A84" s="9" t="n">
        <x:v>83</x:v>
      </x:c>
      <x:c r="B84" s="9" t="n">
        <x:v>339</x:v>
      </x:c>
      <x:c r="C84" s="9" t="n">
        <x:v>1032</x:v>
      </x:c>
      <x:c r="D84" s="9" t="n">
        <x:v>2</x:v>
      </x:c>
      <x:c r="E84" s="9" t="n">
        <x:v>71371</x:v>
      </x:c>
      <x:c r="F84" s="9" t="n">
        <x:v>818</x:v>
      </x:c>
      <x:c r="G84" s="9" t="n">
        <x:v>68510</x:v>
      </x:c>
      <x:c r="H84" s="9" t="n">
        <x:v>1460</x:v>
      </x:c>
      <x:c r="I84" s="9" t="n">
        <x:v>477</x:v>
      </x:c>
      <x:c r="J84" s="9" t="n">
        <x:v>106</x:v>
      </x:c>
      <x:c r="K84" s="9" t="n">
        <x:f>F84+G84+I84+J84</x:f>
        <x:v>69911</x:v>
      </x:c>
      <x:c r="L84" s="10" t="n">
        <x:f>K84/Sources!$B$4*1000</x:f>
        <x:v>19.530694543580257</x:v>
      </x:c>
      <x:c r="M84" s="10" t="n">
        <x:f>E84/Sources!$B$4*1000</x:f>
        <x:v>19.93856761124668</x:v>
      </x:c>
      <x:c r="N84" s="9" t="n">
        <x:f>Sources!$B$6-K84</x:f>
        <x:v>-10175</x:v>
      </x:c>
      <x:c r="O84" s="1" t="str">
        <x:v>horizontal_normal_left</x:v>
      </x:c>
      <x:c r="P84" s="12" t="n">
        <x:v>-2</x:v>
      </x:c>
      <x:c r="Q84" s="12" t="n">
        <x:v>0</x:v>
      </x:c>
      <x:c r="R84" s="12" t="n">
        <x:v>3</x:v>
      </x:c>
      <x:c r="S84" s="12" t="n">
        <x:v>0</x:v>
      </x:c>
      <x:c r="T84" s="1" t="str">
        <x:v>No</x:v>
      </x:c>
      <x:c r="U84" s="1" t="n">
        <x:v>0</x:v>
      </x:c>
    </x:row>
    <x:row r="85" ht="23" customHeight="1">
      <x:c r="A85" s="9" t="n">
        <x:v>84</x:v>
      </x:c>
      <x:c r="B85" s="9" t="n">
        <x:v>338</x:v>
      </x:c>
      <x:c r="C85" s="9" t="n">
        <x:v>1032</x:v>
      </x:c>
      <x:c r="D85" s="9" t="n">
        <x:v>1</x:v>
      </x:c>
      <x:c r="E85" s="9" t="n">
        <x:v>71354</x:v>
      </x:c>
      <x:c r="F85" s="9" t="n">
        <x:v>818</x:v>
      </x:c>
      <x:c r="G85" s="9" t="n">
        <x:v>59365.999999996275</x:v>
      </x:c>
      <x:c r="H85" s="9" t="n">
        <x:v>10595.000000003725</x:v>
      </x:c>
      <x:c r="I85" s="9" t="n">
        <x:v>469</x:v>
      </x:c>
      <x:c r="J85" s="9" t="n">
        <x:v>106</x:v>
      </x:c>
      <x:c r="K85" s="9" t="n">
        <x:f>F85+G85+I85+J85</x:f>
        <x:v>60758.999999996275</x:v>
      </x:c>
      <x:c r="L85" s="10" t="n">
        <x:f>K85/Sources!$B$4*1000</x:f>
        <x:v>16.973945012563405</x:v>
      </x:c>
      <x:c r="M85" s="10" t="n">
        <x:f>E85/Sources!$B$4*1000</x:f>
        <x:v>19.9338184042944</x:v>
      </x:c>
      <x:c r="N85" s="9" t="n">
        <x:f>Sources!$B$6-K85</x:f>
        <x:v>-1022.9999999962747</x:v>
      </x:c>
      <x:c r="O85" s="1" t="str">
        <x:v>horizontal_normal_left</x:v>
      </x:c>
      <x:c r="P85" s="12" t="n">
        <x:v>-1</x:v>
      </x:c>
      <x:c r="Q85" s="12" t="n">
        <x:v>0</x:v>
      </x:c>
      <x:c r="R85" s="12" t="n">
        <x:v>2</x:v>
      </x:c>
      <x:c r="S85" s="12" t="n">
        <x:v>0</x:v>
      </x:c>
      <x:c r="T85" s="1" t="str">
        <x:v>No</x:v>
      </x:c>
      <x:c r="U85" s="1" t="n">
        <x:v>0</x:v>
      </x:c>
    </x:row>
    <x:row r="86" ht="23" customHeight="1">
      <x:c r="A86" s="9" t="n">
        <x:v>85</x:v>
      </x:c>
      <x:c r="B86" s="9" t="n">
        <x:v>337</x:v>
      </x:c>
      <x:c r="C86" s="9" t="n">
        <x:v>1032</x:v>
      </x:c>
      <x:c r="D86" s="9" t="n">
        <x:v>1</x:v>
      </x:c>
      <x:c r="E86" s="9" t="n">
        <x:v>71372</x:v>
      </x:c>
      <x:c r="F86" s="9" t="n">
        <x:v>818</x:v>
      </x:c>
      <x:c r="G86" s="9" t="n">
        <x:v>59545.999999996275</x:v>
      </x:c>
      <x:c r="H86" s="9" t="n">
        <x:v>10425.000000003725</x:v>
      </x:c>
      <x:c r="I86" s="9" t="n">
        <x:v>476.9999999962747</x:v>
      </x:c>
      <x:c r="J86" s="9" t="n">
        <x:v>106.00000000372529</x:v>
      </x:c>
      <x:c r="K86" s="9" t="n">
        <x:f>F86+G86+I86+J86</x:f>
        <x:v>60946.999999996275</x:v>
      </x:c>
      <x:c r="L86" s="10" t="n">
        <x:f>K86/Sources!$B$4*1000</x:f>
        <x:v>17.02646565415333</x:v>
      </x:c>
      <x:c r="M86" s="10" t="n">
        <x:f>E86/Sources!$B$4*1000</x:f>
        <x:v>19.93884697636152</x:v>
      </x:c>
      <x:c r="N86" s="9" t="n">
        <x:f>Sources!$B$6-K86</x:f>
        <x:v>-1210.9999999962747</x:v>
      </x:c>
      <x:c r="O86" s="1" t="str">
        <x:v>horizontal_normal_left</x:v>
      </x:c>
      <x:c r="P86" s="12" t="n">
        <x:v>-1</x:v>
      </x:c>
      <x:c r="Q86" s="12" t="n">
        <x:v>0</x:v>
      </x:c>
      <x:c r="R86" s="12" t="n">
        <x:v>1</x:v>
      </x:c>
      <x:c r="S86" s="12" t="n">
        <x:v>0</x:v>
      </x:c>
      <x:c r="T86" s="1" t="str">
        <x:v>No</x:v>
      </x:c>
      <x:c r="U86" s="1" t="n">
        <x:v>0</x:v>
      </x:c>
    </x:row>
    <x:row r="87" ht="23" customHeight="1">
      <x:c r="A87" s="9" t="n">
        <x:v>86</x:v>
      </x:c>
      <x:c r="B87" s="9" t="n">
        <x:v>336</x:v>
      </x:c>
      <x:c r="C87" s="9" t="n">
        <x:v>1032</x:v>
      </x:c>
      <x:c r="D87" s="9" t="n">
        <x:v>1</x:v>
      </x:c>
      <x:c r="E87" s="9" t="n">
        <x:v>71356</x:v>
      </x:c>
      <x:c r="F87" s="9" t="n">
        <x:v>817.9999999962747</x:v>
      </x:c>
      <x:c r="G87" s="9" t="n">
        <x:v>54318.000000003725</x:v>
      </x:c>
      <x:c r="H87" s="9" t="n">
        <x:v>15645</x:v>
      </x:c>
      <x:c r="I87" s="9" t="n">
        <x:v>469</x:v>
      </x:c>
      <x:c r="J87" s="9" t="n">
        <x:v>106</x:v>
      </x:c>
      <x:c r="K87" s="9" t="n">
        <x:f>F87+G87+I87+J87</x:f>
        <x:v>55711</x:v>
      </x:c>
      <x:c r="L87" s="10" t="n">
        <x:f>K87/Sources!$B$4*1000</x:f>
        <x:v>15.563709912852053</x:v>
      </x:c>
      <x:c r="M87" s="10" t="n">
        <x:f>E87/Sources!$B$4*1000</x:f>
        <x:v>19.93437713452408</x:v>
      </x:c>
      <x:c r="N87" s="9" t="n">
        <x:f>Sources!$B$6-K87</x:f>
        <x:v>4025</x:v>
      </x:c>
      <x:c r="O87" s="1" t="str">
        <x:v>horizontal_normal_left</x:v>
      </x:c>
      <x:c r="P87" s="12" t="n">
        <x:v>-1</x:v>
      </x:c>
      <x:c r="Q87" s="12" t="n">
        <x:v>0</x:v>
      </x:c>
      <x:c r="R87" s="12" t="n">
        <x:v>0</x:v>
      </x:c>
      <x:c r="S87" s="12" t="n">
        <x:v>0</x:v>
      </x:c>
      <x:c r="T87" s="1" t="str">
        <x:v>No</x:v>
      </x:c>
      <x:c r="U87" s="1" t="n">
        <x:v>0</x:v>
      </x:c>
    </x:row>
    <x:row r="88" ht="23" customHeight="1">
      <x:c r="A88" s="9" t="n">
        <x:v>87</x:v>
      </x:c>
      <x:c r="B88" s="9" t="n">
        <x:v>335</x:v>
      </x:c>
      <x:c r="C88" s="9" t="n">
        <x:v>1032</x:v>
      </x:c>
      <x:c r="D88" s="9" t="n">
        <x:v>1</x:v>
      </x:c>
      <x:c r="E88" s="9" t="n">
        <x:v>142739</x:v>
      </x:c>
      <x:c r="F88" s="9" t="n">
        <x:v>818</x:v>
      </x:c>
      <x:c r="G88" s="9" t="n">
        <x:v>99617.99999999627</x:v>
      </x:c>
      <x:c r="H88" s="9" t="n">
        <x:v>41720.000000003725</x:v>
      </x:c>
      <x:c r="I88" s="9" t="n">
        <x:v>477</x:v>
      </x:c>
      <x:c r="J88" s="9" t="n">
        <x:v>106</x:v>
      </x:c>
      <x:c r="K88" s="9" t="n">
        <x:f>F88+G88+I88+J88</x:f>
        <x:v>101018.99999999627</x:v>
      </x:c>
      <x:c r="L88" s="10" t="n">
        <x:f>K88/Sources!$B$4*1000</x:f>
        <x:v>28.221184536022392</x:v>
      </x:c>
      <x:c r="M88" s="10" t="n">
        <x:f>E88/Sources!$B$4*1000</x:f>
        <x:v>39.87629712714884</x:v>
      </x:c>
      <x:c r="N88" s="9" t="n">
        <x:f>Sources!$B$6-K88</x:f>
        <x:v>-41282.999999996275</x:v>
      </x:c>
      <x:c r="O88" s="1" t="str">
        <x:v>horizontal_normal_left</x:v>
      </x:c>
      <x:c r="P88" s="12" t="n">
        <x:v>-1</x:v>
      </x:c>
      <x:c r="Q88" s="12" t="n">
        <x:v>0</x:v>
      </x:c>
      <x:c r="R88" s="12" t="n">
        <x:v>7</x:v>
      </x:c>
      <x:c r="S88" s="12" t="n">
        <x:v>0</x:v>
      </x:c>
      <x:c r="T88" s="1" t="str">
        <x:v>Yes</x:v>
      </x:c>
      <x:c r="U88" s="1" t="n">
        <x:v>1</x:v>
      </x:c>
    </x:row>
    <x:row r="89" ht="23" customHeight="1">
      <x:c r="A89" s="9" t="n">
        <x:v>88</x:v>
      </x:c>
      <x:c r="B89" s="9" t="n">
        <x:v>333</x:v>
      </x:c>
      <x:c r="C89" s="9" t="n">
        <x:v>1032</x:v>
      </x:c>
      <x:c r="D89" s="9" t="n">
        <x:v>2</x:v>
      </x:c>
      <x:c r="E89" s="9" t="n">
        <x:v>142717.99999999627</x:v>
      </x:c>
      <x:c r="F89" s="9" t="n">
        <x:v>817.9999999962747</x:v>
      </x:c>
      <x:c r="G89" s="9" t="n">
        <x:v>78750.00000000373</x:v>
      </x:c>
      <x:c r="H89" s="9" t="n">
        <x:v>62574.999999996275</x:v>
      </x:c>
      <x:c r="I89" s="9" t="n">
        <x:v>469.0000000037253</x:v>
      </x:c>
      <x:c r="J89" s="9" t="n">
        <x:v>105.99999999627471</x:v>
      </x:c>
      <x:c r="K89" s="9" t="n">
        <x:f>F89+G89+I89+J89</x:f>
        <x:v>80143</x:v>
      </x:c>
      <x:c r="L89" s="10" t="n">
        <x:f>K89/Sources!$B$4*1000</x:f>
        <x:v>22.38915839862329</x:v>
      </x:c>
      <x:c r="M89" s="10" t="n">
        <x:f>E89/Sources!$B$4*1000</x:f>
        <x:v>39.870430459736156</x:v>
      </x:c>
      <x:c r="N89" s="9" t="n">
        <x:f>Sources!$B$6-K89</x:f>
        <x:v>-20407</x:v>
      </x:c>
      <x:c r="O89" s="1" t="str">
        <x:v>horizontal_normal_left</x:v>
      </x:c>
      <x:c r="P89" s="12" t="n">
        <x:v>-2</x:v>
      </x:c>
      <x:c r="Q89" s="12" t="n">
        <x:v>0</x:v>
      </x:c>
      <x:c r="R89" s="12" t="n">
        <x:v>5</x:v>
      </x:c>
      <x:c r="S89" s="12" t="n">
        <x:v>0</x:v>
      </x:c>
      <x:c r="T89" s="1" t="str">
        <x:v>No</x:v>
      </x:c>
      <x:c r="U89" s="1" t="n">
        <x:v>1</x:v>
      </x:c>
    </x:row>
    <x:row r="90" ht="23" customHeight="1">
      <x:c r="A90" s="9" t="n">
        <x:v>89</x:v>
      </x:c>
      <x:c r="B90" s="9" t="n">
        <x:v>331</x:v>
      </x:c>
      <x:c r="C90" s="9" t="n">
        <x:v>1032</x:v>
      </x:c>
      <x:c r="D90" s="9" t="n">
        <x:v>2</x:v>
      </x:c>
      <x:c r="E90" s="9" t="n">
        <x:v>71372.00000000373</x:v>
      </x:c>
      <x:c r="F90" s="9" t="n">
        <x:v>818</x:v>
      </x:c>
      <x:c r="G90" s="9" t="n">
        <x:v>68491</x:v>
      </x:c>
      <x:c r="H90" s="9" t="n">
        <x:v>1480</x:v>
      </x:c>
      <x:c r="I90" s="9" t="n">
        <x:v>476.9999999962747</x:v>
      </x:c>
      <x:c r="J90" s="9" t="n">
        <x:v>106.00000000745058</x:v>
      </x:c>
      <x:c r="K90" s="9" t="n">
        <x:f>F90+G90+I90+J90</x:f>
        <x:v>69892.00000000373</x:v>
      </x:c>
      <x:c r="L90" s="10" t="n">
        <x:f>K90/Sources!$B$4*1000</x:f>
        <x:v>19.52538660639934</x:v>
      </x:c>
      <x:c r="M90" s="10" t="n">
        <x:f>E90/Sources!$B$4*1000</x:f>
        <x:v>19.93884697636256</x:v>
      </x:c>
      <x:c r="N90" s="9" t="n">
        <x:f>Sources!$B$6-K90</x:f>
        <x:v>-10156.000000003725</x:v>
      </x:c>
      <x:c r="O90" s="1" t="str">
        <x:v>horizontal_normal_left</x:v>
      </x:c>
      <x:c r="P90" s="12" t="n">
        <x:v>-2</x:v>
      </x:c>
      <x:c r="Q90" s="12" t="n">
        <x:v>0</x:v>
      </x:c>
      <x:c r="R90" s="12" t="n">
        <x:v>3</x:v>
      </x:c>
      <x:c r="S90" s="12" t="n">
        <x:v>0</x:v>
      </x:c>
      <x:c r="T90" s="1" t="str">
        <x:v>No</x:v>
      </x:c>
      <x:c r="U90" s="1" t="n">
        <x:v>0</x:v>
      </x:c>
    </x:row>
    <x:row r="91" ht="23" customHeight="1">
      <x:c r="A91" s="9" t="n">
        <x:v>90</x:v>
      </x:c>
      <x:c r="B91" s="9" t="n">
        <x:v>330</x:v>
      </x:c>
      <x:c r="C91" s="9" t="n">
        <x:v>1032</x:v>
      </x:c>
      <x:c r="D91" s="9" t="n">
        <x:v>1</x:v>
      </x:c>
      <x:c r="E91" s="9" t="n">
        <x:v>71354.99999999627</x:v>
      </x:c>
      <x:c r="F91" s="9" t="n">
        <x:v>818.0000000037253</x:v>
      </x:c>
      <x:c r="G91" s="9" t="n">
        <x:v>59347</x:v>
      </x:c>
      <x:c r="H91" s="9" t="n">
        <x:v>10615</x:v>
      </x:c>
      <x:c r="I91" s="9" t="n">
        <x:v>468.9999999962747</x:v>
      </x:c>
      <x:c r="J91" s="9" t="n">
        <x:v>105.99999999627471</x:v>
      </x:c>
      <x:c r="K91" s="9" t="n">
        <x:f>F91+G91+I91+J91</x:f>
        <x:v>60739.999999996275</x:v>
      </x:c>
      <x:c r="L91" s="10" t="n">
        <x:f>K91/Sources!$B$4*1000</x:f>
        <x:v>16.968637075381444</x:v>
      </x:c>
      <x:c r="M91" s="10" t="n">
        <x:f>E91/Sources!$B$4*1000</x:f>
        <x:v>19.934097769408197</x:v>
      </x:c>
      <x:c r="N91" s="9" t="n">
        <x:f>Sources!$B$6-K91</x:f>
        <x:v>-1003.9999999962747</x:v>
      </x:c>
      <x:c r="O91" s="1" t="str">
        <x:v>horizontal_normal_left</x:v>
      </x:c>
      <x:c r="P91" s="12" t="n">
        <x:v>-1</x:v>
      </x:c>
      <x:c r="Q91" s="12" t="n">
        <x:v>0</x:v>
      </x:c>
      <x:c r="R91" s="12" t="n">
        <x:v>2</x:v>
      </x:c>
      <x:c r="S91" s="12" t="n">
        <x:v>0</x:v>
      </x:c>
      <x:c r="T91" s="1" t="str">
        <x:v>No</x:v>
      </x:c>
      <x:c r="U91" s="1" t="n">
        <x:v>0</x:v>
      </x:c>
    </x:row>
    <x:row r="92" ht="23" customHeight="1">
      <x:c r="A92" s="9" t="n">
        <x:v>91</x:v>
      </x:c>
      <x:c r="B92" s="9" t="n">
        <x:v>329</x:v>
      </x:c>
      <x:c r="C92" s="9" t="n">
        <x:v>1032</x:v>
      </x:c>
      <x:c r="D92" s="9" t="n">
        <x:v>1</x:v>
      </x:c>
      <x:c r="E92" s="9" t="n">
        <x:v>71373.00000000373</x:v>
      </x:c>
      <x:c r="F92" s="9" t="n">
        <x:v>818.0000000037253</x:v>
      </x:c>
      <x:c r="G92" s="9" t="n">
        <x:v>59526.999999996275</x:v>
      </x:c>
      <x:c r="H92" s="9" t="n">
        <x:v>10445.000000003725</x:v>
      </x:c>
      <x:c r="I92" s="9" t="n">
        <x:v>477.0000000037253</x:v>
      </x:c>
      <x:c r="J92" s="9" t="n">
        <x:v>105.99999999627471</x:v>
      </x:c>
      <x:c r="K92" s="9" t="n">
        <x:f>F92+G92+I92+J92</x:f>
        <x:v>60928</x:v>
      </x:c>
      <x:c r="L92" s="10" t="n">
        <x:f>K92/Sources!$B$4*1000</x:f>
        <x:v>17.021157716972407</x:v>
      </x:c>
      <x:c r="M92" s="10" t="n">
        <x:f>E92/Sources!$B$4*1000</x:f>
        <x:v>19.9391263414774</x:v>
      </x:c>
      <x:c r="N92" s="9" t="n">
        <x:f>Sources!$B$6-K92</x:f>
        <x:v>-1192</x:v>
      </x:c>
      <x:c r="O92" s="1" t="str">
        <x:v>horizontal_normal_left</x:v>
      </x:c>
      <x:c r="P92" s="12" t="n">
        <x:v>-1</x:v>
      </x:c>
      <x:c r="Q92" s="12" t="n">
        <x:v>0</x:v>
      </x:c>
      <x:c r="R92" s="12" t="n">
        <x:v>1</x:v>
      </x:c>
      <x:c r="S92" s="12" t="n">
        <x:v>0</x:v>
      </x:c>
      <x:c r="T92" s="1" t="str">
        <x:v>No</x:v>
      </x:c>
      <x:c r="U92" s="1" t="n">
        <x:v>0</x:v>
      </x:c>
    </x:row>
    <x:row r="93" ht="23" customHeight="1">
      <x:c r="A93" s="9" t="n">
        <x:v>92</x:v>
      </x:c>
      <x:c r="B93" s="9" t="n">
        <x:v>328</x:v>
      </x:c>
      <x:c r="C93" s="9" t="n">
        <x:v>1032</x:v>
      </x:c>
      <x:c r="D93" s="9" t="n">
        <x:v>1</x:v>
      </x:c>
      <x:c r="E93" s="9" t="n">
        <x:v>71357</x:v>
      </x:c>
      <x:c r="F93" s="9" t="n">
        <x:v>817.9999999962747</x:v>
      </x:c>
      <x:c r="G93" s="9" t="n">
        <x:v>54309.000000003725</x:v>
      </x:c>
      <x:c r="H93" s="9" t="n">
        <x:v>15654.999999996275</x:v>
      </x:c>
      <x:c r="I93" s="9" t="n">
        <x:v>469.0000000037253</x:v>
      </x:c>
      <x:c r="J93" s="9" t="n">
        <x:v>106</x:v>
      </x:c>
      <x:c r="K93" s="9" t="n">
        <x:f>F93+G93+I93+J93</x:f>
        <x:v>55702.000000003725</x:v>
      </x:c>
      <x:c r="L93" s="10" t="n">
        <x:f>K93/Sources!$B$4*1000</x:f>
        <x:v>15.561195626819533</x:v>
      </x:c>
      <x:c r="M93" s="10" t="n">
        <x:f>E93/Sources!$B$4*1000</x:f>
        <x:v>19.93465649963892</x:v>
      </x:c>
      <x:c r="N93" s="9" t="n">
        <x:f>Sources!$B$6-K93</x:f>
        <x:v>4033.9999999962747</x:v>
      </x:c>
      <x:c r="O93" s="1" t="str">
        <x:v>horizontal_normal_left</x:v>
      </x:c>
      <x:c r="P93" s="12" t="n">
        <x:v>-1</x:v>
      </x:c>
      <x:c r="Q93" s="12" t="n">
        <x:v>0</x:v>
      </x:c>
      <x:c r="R93" s="12" t="n">
        <x:v>0</x:v>
      </x:c>
      <x:c r="S93" s="12" t="n">
        <x:v>0</x:v>
      </x:c>
      <x:c r="T93" s="1" t="str">
        <x:v>No</x:v>
      </x:c>
      <x:c r="U93" s="1" t="n">
        <x:v>0</x:v>
      </x:c>
    </x:row>
    <x:row r="94" ht="23" customHeight="1">
      <x:c r="A94" s="9" t="n">
        <x:v>93</x:v>
      </x:c>
      <x:c r="B94" s="9" t="n">
        <x:v>327</x:v>
      </x:c>
      <x:c r="C94" s="9" t="n">
        <x:v>1032</x:v>
      </x:c>
      <x:c r="D94" s="9" t="n">
        <x:v>1</x:v>
      </x:c>
      <x:c r="E94" s="9" t="n">
        <x:v>142737</x:v>
      </x:c>
      <x:c r="F94" s="9" t="n">
        <x:v>818</x:v>
      </x:c>
      <x:c r="G94" s="9" t="n">
        <x:v>99740.99999999627</x:v>
      </x:c>
      <x:c r="H94" s="9" t="n">
        <x:v>41595</x:v>
      </x:c>
      <x:c r="I94" s="9" t="n">
        <x:v>477.0000000037253</x:v>
      </x:c>
      <x:c r="J94" s="9" t="n">
        <x:v>106</x:v>
      </x:c>
      <x:c r="K94" s="9" t="n">
        <x:f>F94+G94+I94+J94</x:f>
        <x:v>101142</x:v>
      </x:c>
      <x:c r="L94" s="10" t="n">
        <x:f>K94/Sources!$B$4*1000</x:f>
        <x:v>28.255546445148752</x:v>
      </x:c>
      <x:c r="M94" s="10" t="n">
        <x:f>E94/Sources!$B$4*1000</x:f>
        <x:v>39.87573839691916</x:v>
      </x:c>
      <x:c r="N94" s="9" t="n">
        <x:f>Sources!$B$6-K94</x:f>
        <x:v>-41406</x:v>
      </x:c>
      <x:c r="O94" s="1" t="str">
        <x:v>horizontal_normal_left</x:v>
      </x:c>
      <x:c r="P94" s="12" t="n">
        <x:v>-1</x:v>
      </x:c>
      <x:c r="Q94" s="12" t="n">
        <x:v>0</x:v>
      </x:c>
      <x:c r="R94" s="12" t="n">
        <x:v>7</x:v>
      </x:c>
      <x:c r="S94" s="12" t="n">
        <x:v>0</x:v>
      </x:c>
      <x:c r="T94" s="1" t="str">
        <x:v>Yes</x:v>
      </x:c>
      <x:c r="U94" s="1" t="n">
        <x:v>1</x:v>
      </x:c>
    </x:row>
    <x:row r="95" ht="23" customHeight="1">
      <x:c r="A95" s="9" t="n">
        <x:v>94</x:v>
      </x:c>
      <x:c r="B95" s="9" t="n">
        <x:v>325</x:v>
      </x:c>
      <x:c r="C95" s="9" t="n">
        <x:v>1032</x:v>
      </x:c>
      <x:c r="D95" s="9" t="n">
        <x:v>2</x:v>
      </x:c>
      <x:c r="E95" s="9" t="n">
        <x:v>142717.99999999627</x:v>
      </x:c>
      <x:c r="F95" s="9" t="n">
        <x:v>818</x:v>
      </x:c>
      <x:c r="G95" s="9" t="n">
        <x:v>78750</x:v>
      </x:c>
      <x:c r="H95" s="9" t="n">
        <x:v>62575</x:v>
      </x:c>
      <x:c r="I95" s="9" t="n">
        <x:v>468.9999999962747</x:v>
      </x:c>
      <x:c r="J95" s="9" t="n">
        <x:v>106</x:v>
      </x:c>
      <x:c r="K95" s="9" t="n">
        <x:f>F95+G95+I95+J95</x:f>
        <x:v>80142.99999999627</x:v>
      </x:c>
      <x:c r="L95" s="10" t="n">
        <x:f>K95/Sources!$B$4*1000</x:f>
        <x:v>22.38915839862225</x:v>
      </x:c>
      <x:c r="M95" s="10" t="n">
        <x:f>E95/Sources!$B$4*1000</x:f>
        <x:v>39.870430459736156</x:v>
      </x:c>
      <x:c r="N95" s="9" t="n">
        <x:f>Sources!$B$6-K95</x:f>
        <x:v>-20406.999999996275</x:v>
      </x:c>
      <x:c r="O95" s="1" t="str">
        <x:v>horizontal_normal_left</x:v>
      </x:c>
      <x:c r="P95" s="12" t="n">
        <x:v>-2</x:v>
      </x:c>
      <x:c r="Q95" s="12" t="n">
        <x:v>0</x:v>
      </x:c>
      <x:c r="R95" s="12" t="n">
        <x:v>5</x:v>
      </x:c>
      <x:c r="S95" s="12" t="n">
        <x:v>0</x:v>
      </x:c>
      <x:c r="T95" s="1" t="str">
        <x:v>No</x:v>
      </x:c>
      <x:c r="U95" s="1" t="n">
        <x:v>1</x:v>
      </x:c>
    </x:row>
    <x:row r="96" ht="23" customHeight="1">
      <x:c r="A96" s="9" t="n">
        <x:v>95</x:v>
      </x:c>
      <x:c r="B96" s="9" t="n">
        <x:v>323</x:v>
      </x:c>
      <x:c r="C96" s="9" t="n">
        <x:v>1032</x:v>
      </x:c>
      <x:c r="D96" s="9" t="n">
        <x:v>2</x:v>
      </x:c>
      <x:c r="E96" s="9" t="n">
        <x:v>71372.00000000373</x:v>
      </x:c>
      <x:c r="F96" s="9" t="n">
        <x:v>818.0000000037253</x:v>
      </x:c>
      <x:c r="G96" s="9" t="n">
        <x:v>68491</x:v>
      </x:c>
      <x:c r="H96" s="9" t="n">
        <x:v>1479.9999999962747</x:v>
      </x:c>
      <x:c r="I96" s="9" t="n">
        <x:v>477.0000000037253</x:v>
      </x:c>
      <x:c r="J96" s="9" t="n">
        <x:v>106</x:v>
      </x:c>
      <x:c r="K96" s="9" t="n">
        <x:f>F96+G96+I96+J96</x:f>
        <x:v>69892.00000000745</x:v>
      </x:c>
      <x:c r="L96" s="10" t="n">
        <x:f>K96/Sources!$B$4*1000</x:f>
        <x:v>19.52538660640038</x:v>
      </x:c>
      <x:c r="M96" s="10" t="n">
        <x:f>E96/Sources!$B$4*1000</x:f>
        <x:v>19.93884697636256</x:v>
      </x:c>
      <x:c r="N96" s="9" t="n">
        <x:f>Sources!$B$6-K96</x:f>
        <x:v>-10156.00000000745</x:v>
      </x:c>
      <x:c r="O96" s="1" t="str">
        <x:v>horizontal_normal_left</x:v>
      </x:c>
      <x:c r="P96" s="12" t="n">
        <x:v>-2</x:v>
      </x:c>
      <x:c r="Q96" s="12" t="n">
        <x:v>0</x:v>
      </x:c>
      <x:c r="R96" s="12" t="n">
        <x:v>3</x:v>
      </x:c>
      <x:c r="S96" s="12" t="n">
        <x:v>0</x:v>
      </x:c>
      <x:c r="T96" s="1" t="str">
        <x:v>No</x:v>
      </x:c>
      <x:c r="U96" s="1" t="n">
        <x:v>0</x:v>
      </x:c>
    </x:row>
    <x:row r="97" ht="23" customHeight="1">
      <x:c r="A97" s="9" t="n">
        <x:v>96</x:v>
      </x:c>
      <x:c r="B97" s="9" t="n">
        <x:v>322</x:v>
      </x:c>
      <x:c r="C97" s="9" t="n">
        <x:v>1032</x:v>
      </x:c>
      <x:c r="D97" s="9" t="n">
        <x:v>1</x:v>
      </x:c>
      <x:c r="E97" s="9" t="n">
        <x:v>71355</x:v>
      </x:c>
      <x:c r="F97" s="9" t="n">
        <x:v>817.9999999962747</x:v>
      </x:c>
      <x:c r="G97" s="9" t="n">
        <x:v>59347</x:v>
      </x:c>
      <x:c r="H97" s="9" t="n">
        <x:v>10614.999999996275</x:v>
      </x:c>
      <x:c r="I97" s="9" t="n">
        <x:v>469.0000000074506</x:v>
      </x:c>
      <x:c r="J97" s="9" t="n">
        <x:v>106</x:v>
      </x:c>
      <x:c r="K97" s="9" t="n">
        <x:f>F97+G97+I97+J97</x:f>
        <x:v>60740.000000003725</x:v>
      </x:c>
      <x:c r="L97" s="10" t="n">
        <x:f>K97/Sources!$B$4*1000</x:f>
        <x:v>16.968637075383526</x:v>
      </x:c>
      <x:c r="M97" s="10" t="n">
        <x:f>E97/Sources!$B$4*1000</x:f>
        <x:v>19.934097769409238</x:v>
      </x:c>
      <x:c r="N97" s="9" t="n">
        <x:f>Sources!$B$6-K97</x:f>
        <x:v>-1004.0000000037253</x:v>
      </x:c>
      <x:c r="O97" s="1" t="str">
        <x:v>horizontal_normal_left</x:v>
      </x:c>
      <x:c r="P97" s="12" t="n">
        <x:v>-1</x:v>
      </x:c>
      <x:c r="Q97" s="12" t="n">
        <x:v>0</x:v>
      </x:c>
      <x:c r="R97" s="12" t="n">
        <x:v>2</x:v>
      </x:c>
      <x:c r="S97" s="12" t="n">
        <x:v>0</x:v>
      </x:c>
      <x:c r="T97" s="1" t="str">
        <x:v>No</x:v>
      </x:c>
      <x:c r="U97" s="1" t="n">
        <x:v>0</x:v>
      </x:c>
    </x:row>
    <x:row r="98" ht="23" customHeight="1">
      <x:c r="A98" s="9" t="n">
        <x:v>97</x:v>
      </x:c>
      <x:c r="B98" s="9" t="n">
        <x:v>321</x:v>
      </x:c>
      <x:c r="C98" s="9" t="n">
        <x:v>1032</x:v>
      </x:c>
      <x:c r="D98" s="9" t="n">
        <x:v>1</x:v>
      </x:c>
      <x:c r="E98" s="9" t="n">
        <x:v>71372.99999999627</x:v>
      </x:c>
      <x:c r="F98" s="9" t="n">
        <x:v>818</x:v>
      </x:c>
      <x:c r="G98" s="9" t="n">
        <x:v>59527</x:v>
      </x:c>
      <x:c r="H98" s="9" t="n">
        <x:v>10444.999999996275</x:v>
      </x:c>
      <x:c r="I98" s="9" t="n">
        <x:v>476.9999999962747</x:v>
      </x:c>
      <x:c r="J98" s="9" t="n">
        <x:v>106.00000000372529</x:v>
      </x:c>
      <x:c r="K98" s="9" t="n">
        <x:f>F98+G98+I98+J98</x:f>
        <x:v>60928</x:v>
      </x:c>
      <x:c r="L98" s="10" t="n">
        <x:f>K98/Sources!$B$4*1000</x:f>
        <x:v>17.021157716972407</x:v>
      </x:c>
      <x:c r="M98" s="10" t="n">
        <x:f>E98/Sources!$B$4*1000</x:f>
        <x:v>19.939126341475323</x:v>
      </x:c>
      <x:c r="N98" s="9" t="n">
        <x:f>Sources!$B$6-K98</x:f>
        <x:v>-1192</x:v>
      </x:c>
      <x:c r="O98" s="1" t="str">
        <x:v>horizontal_normal_left</x:v>
      </x:c>
      <x:c r="P98" s="12" t="n">
        <x:v>-1</x:v>
      </x:c>
      <x:c r="Q98" s="12" t="n">
        <x:v>0</x:v>
      </x:c>
      <x:c r="R98" s="12" t="n">
        <x:v>1</x:v>
      </x:c>
      <x:c r="S98" s="12" t="n">
        <x:v>0</x:v>
      </x:c>
      <x:c r="T98" s="1" t="str">
        <x:v>No</x:v>
      </x:c>
      <x:c r="U98" s="1" t="n">
        <x:v>0</x:v>
      </x:c>
    </x:row>
    <x:row r="99" ht="23" customHeight="1">
      <x:c r="A99" s="9" t="n">
        <x:v>98</x:v>
      </x:c>
      <x:c r="B99" s="9" t="n">
        <x:v>320</x:v>
      </x:c>
      <x:c r="C99" s="9" t="n">
        <x:v>1032</x:v>
      </x:c>
      <x:c r="D99" s="9" t="n">
        <x:v>1</x:v>
      </x:c>
      <x:c r="E99" s="9" t="n">
        <x:v>71357.00000000373</x:v>
      </x:c>
      <x:c r="F99" s="9" t="n">
        <x:v>818.0000000037253</x:v>
      </x:c>
      <x:c r="G99" s="9" t="n">
        <x:v>54308.999999996275</x:v>
      </x:c>
      <x:c r="H99" s="9" t="n">
        <x:v>15655.000000003725</x:v>
      </x:c>
      <x:c r="I99" s="9" t="n">
        <x:v>468.9999999962747</x:v>
      </x:c>
      <x:c r="J99" s="9" t="n">
        <x:v>106.00000000372529</x:v>
      </x:c>
      <x:c r="K99" s="9" t="n">
        <x:f>F99+G99+I99+J99</x:f>
        <x:v>55702</x:v>
      </x:c>
      <x:c r="L99" s="10" t="n">
        <x:f>K99/Sources!$B$4*1000</x:f>
        <x:v>15.561195626818494</x:v>
      </x:c>
      <x:c r="M99" s="10" t="n">
        <x:f>E99/Sources!$B$4*1000</x:f>
        <x:v>19.93465649963996</x:v>
      </x:c>
      <x:c r="N99" s="9" t="n">
        <x:f>Sources!$B$6-K99</x:f>
        <x:v>4034</x:v>
      </x:c>
      <x:c r="O99" s="1" t="str">
        <x:v>horizontal_normal_left</x:v>
      </x:c>
      <x:c r="P99" s="12" t="n">
        <x:v>-1</x:v>
      </x:c>
      <x:c r="Q99" s="12" t="n">
        <x:v>0</x:v>
      </x:c>
      <x:c r="R99" s="12" t="n">
        <x:v>0</x:v>
      </x:c>
      <x:c r="S99" s="12" t="n">
        <x:v>0</x:v>
      </x:c>
      <x:c r="T99" s="1" t="str">
        <x:v>No</x:v>
      </x:c>
      <x:c r="U99" s="1" t="n">
        <x:v>0</x:v>
      </x:c>
    </x:row>
    <x:row r="100" ht="23" customHeight="1">
      <x:c r="A100" s="9" t="n">
        <x:v>99</x:v>
      </x:c>
      <x:c r="B100" s="9" t="n">
        <x:v>319</x:v>
      </x:c>
      <x:c r="C100" s="9" t="n">
        <x:v>1032</x:v>
      </x:c>
      <x:c r="D100" s="9" t="n">
        <x:v>1</x:v>
      </x:c>
      <x:c r="E100" s="9" t="n">
        <x:v>142733</x:v>
      </x:c>
      <x:c r="F100" s="9" t="n">
        <x:v>817.9999999962747</x:v>
      </x:c>
      <x:c r="G100" s="9" t="n">
        <x:v>102762.00000000373</x:v>
      </x:c>
      <x:c r="H100" s="9" t="n">
        <x:v>38570</x:v>
      </x:c>
      <x:c r="I100" s="9" t="n">
        <x:v>476.9999999962747</x:v>
      </x:c>
      <x:c r="J100" s="9" t="n">
        <x:v>106.00000000372529</x:v>
      </x:c>
      <x:c r="K100" s="9" t="n">
        <x:f>F100+G100+I100+J100</x:f>
        <x:v>104163</x:v>
      </x:c>
      <x:c r="L100" s="10" t="n">
        <x:f>K100/Sources!$B$4*1000</x:f>
        <x:v>29.09950845708044</x:v>
      </x:c>
      <x:c r="M100" s="10" t="n">
        <x:f>E100/Sources!$B$4*1000</x:f>
        <x:v>39.8746209364598</x:v>
      </x:c>
      <x:c r="N100" s="9" t="n">
        <x:f>Sources!$B$6-K100</x:f>
        <x:v>-44427</x:v>
      </x:c>
      <x:c r="O100" s="1" t="str">
        <x:v>horizontal_normal_left</x:v>
      </x:c>
      <x:c r="P100" s="12" t="n">
        <x:v>-1</x:v>
      </x:c>
      <x:c r="Q100" s="12" t="n">
        <x:v>0</x:v>
      </x:c>
      <x:c r="R100" s="12" t="n">
        <x:v>7</x:v>
      </x:c>
      <x:c r="S100" s="12" t="n">
        <x:v>0</x:v>
      </x:c>
      <x:c r="T100" s="1" t="str">
        <x:v>Yes</x:v>
      </x:c>
      <x:c r="U100" s="1" t="n">
        <x:v>1</x:v>
      </x:c>
    </x:row>
    <x:row r="101" ht="23" customHeight="1">
      <x:c r="A101" s="9" t="n">
        <x:v>100</x:v>
      </x:c>
      <x:c r="B101" s="9" t="n">
        <x:v>317</x:v>
      </x:c>
      <x:c r="C101" s="9" t="n">
        <x:v>1032</x:v>
      </x:c>
      <x:c r="D101" s="9" t="n">
        <x:v>2</x:v>
      </x:c>
      <x:c r="E101" s="9" t="n">
        <x:v>142724</x:v>
      </x:c>
      <x:c r="F101" s="9" t="n">
        <x:v>817.9999999962747</x:v>
      </x:c>
      <x:c r="G101" s="9" t="n">
        <x:v>81771</x:v>
      </x:c>
      <x:c r="H101" s="9" t="n">
        <x:v>59560</x:v>
      </x:c>
      <x:c r="I101" s="9" t="n">
        <x:v>468.9999999962747</x:v>
      </x:c>
      <x:c r="J101" s="9" t="n">
        <x:v>106.00000000745058</x:v>
      </x:c>
      <x:c r="K101" s="9" t="n">
        <x:f>F101+G101+I101+J101</x:f>
        <x:v>83164</x:v>
      </x:c>
      <x:c r="L101" s="10" t="n">
        <x:f>K101/Sources!$B$4*1000</x:f>
        <x:v>23.23312041055497</x:v>
      </x:c>
      <x:c r="M101" s="10" t="n">
        <x:f>E101/Sources!$B$4*1000</x:f>
        <x:v>39.87210665042624</x:v>
      </x:c>
      <x:c r="N101" s="9" t="n">
        <x:f>Sources!$B$6-K101</x:f>
        <x:v>-23428</x:v>
      </x:c>
      <x:c r="O101" s="1" t="str">
        <x:v>horizontal_normal_left</x:v>
      </x:c>
      <x:c r="P101" s="12" t="n">
        <x:v>-2</x:v>
      </x:c>
      <x:c r="Q101" s="12" t="n">
        <x:v>0</x:v>
      </x:c>
      <x:c r="R101" s="12" t="n">
        <x:v>5</x:v>
      </x:c>
      <x:c r="S101" s="12" t="n">
        <x:v>0</x:v>
      </x:c>
      <x:c r="T101" s="1" t="str">
        <x:v>No</x:v>
      </x:c>
      <x:c r="U101" s="1" t="n">
        <x:v>1</x:v>
      </x:c>
    </x:row>
    <x:row r="102" ht="23" customHeight="1">
      <x:c r="A102" s="9" t="n">
        <x:v>101</x:v>
      </x:c>
      <x:c r="B102" s="9" t="n">
        <x:v>315</x:v>
      </x:c>
      <x:c r="C102" s="9" t="n">
        <x:v>1032</x:v>
      </x:c>
      <x:c r="D102" s="9" t="n">
        <x:v>2</x:v>
      </x:c>
      <x:c r="E102" s="9" t="n">
        <x:v>142732</x:v>
      </x:c>
      <x:c r="F102" s="9" t="n">
        <x:v>818</x:v>
      </x:c>
      <x:c r="G102" s="9" t="n">
        <x:v>71681</x:v>
      </x:c>
      <x:c r="H102" s="9" t="n">
        <x:v>69649.99999999627</x:v>
      </x:c>
      <x:c r="I102" s="9" t="n">
        <x:v>477</x:v>
      </x:c>
      <x:c r="J102" s="9" t="n">
        <x:v>106.00000000372529</x:v>
      </x:c>
      <x:c r="K102" s="9" t="n">
        <x:f>F102+G102+I102+J102</x:f>
        <x:v>73082.00000000373</x:v>
      </x:c>
      <x:c r="L102" s="10" t="n">
        <x:f>K102/Sources!$B$4*1000</x:f>
        <x:v>20.41656132273899</x:v>
      </x:c>
      <x:c r="M102" s="10" t="n">
        <x:f>E102/Sources!$B$4*1000</x:f>
        <x:v>39.87434157134496</x:v>
      </x:c>
      <x:c r="N102" s="9" t="n">
        <x:f>Sources!$B$6-K102</x:f>
        <x:v>-13346.000000003725</x:v>
      </x:c>
      <x:c r="O102" s="1" t="str">
        <x:v>horizontal_normal_left</x:v>
      </x:c>
      <x:c r="P102" s="12" t="n">
        <x:v>-2</x:v>
      </x:c>
      <x:c r="Q102" s="12" t="n">
        <x:v>0</x:v>
      </x:c>
      <x:c r="R102" s="12" t="n">
        <x:v>3</x:v>
      </x:c>
      <x:c r="S102" s="12" t="n">
        <x:v>0</x:v>
      </x:c>
      <x:c r="T102" s="1" t="str">
        <x:v>No</x:v>
      </x:c>
      <x:c r="U102" s="1" t="n">
        <x:v>0</x:v>
      </x:c>
    </x:row>
    <x:row r="103" ht="23" customHeight="1">
      <x:c r="A103" s="9" t="n">
        <x:v>102</x:v>
      </x:c>
      <x:c r="B103" s="9" t="n">
        <x:v>313</x:v>
      </x:c>
      <x:c r="C103" s="9" t="n">
        <x:v>1032</x:v>
      </x:c>
      <x:c r="D103" s="9" t="n">
        <x:v>2</x:v>
      </x:c>
      <x:c r="E103" s="9" t="n">
        <x:v>71358</x:v>
      </x:c>
      <x:c r="F103" s="9" t="n">
        <x:v>818</x:v>
      </x:c>
      <x:c r="G103" s="9" t="n">
        <x:v>62794.999999996275</x:v>
      </x:c>
      <x:c r="H103" s="9" t="n">
        <x:v>7170</x:v>
      </x:c>
      <x:c r="I103" s="9" t="n">
        <x:v>469.0000000037253</x:v>
      </x:c>
      <x:c r="J103" s="9" t="n">
        <x:v>106</x:v>
      </x:c>
      <x:c r="K103" s="9" t="n">
        <x:f>F103+G103+I103+J103</x:f>
        <x:v>64188</x:v>
      </x:c>
      <x:c r="L103" s="10" t="n">
        <x:f>K103/Sources!$B$4*1000</x:f>
        <x:v>17.931887991350855</x:v>
      </x:c>
      <x:c r="M103" s="10" t="n">
        <x:f>E103/Sources!$B$4*1000</x:f>
        <x:v>19.934935864753758</x:v>
      </x:c>
      <x:c r="N103" s="9" t="n">
        <x:f>Sources!$B$6-K103</x:f>
        <x:v>-4452</x:v>
      </x:c>
      <x:c r="O103" s="1" t="str">
        <x:v>horizontal_normal_left</x:v>
      </x:c>
      <x:c r="P103" s="12" t="n">
        <x:v>-2</x:v>
      </x:c>
      <x:c r="Q103" s="12" t="n">
        <x:v>0</x:v>
      </x:c>
      <x:c r="R103" s="12" t="n">
        <x:v>1</x:v>
      </x:c>
      <x:c r="S103" s="12" t="n">
        <x:v>0</x:v>
      </x:c>
      <x:c r="T103" s="1" t="str">
        <x:v>No</x:v>
      </x:c>
      <x:c r="U103" s="1" t="n">
        <x:v>0</x:v>
      </x:c>
    </x:row>
    <x:row r="104" ht="23" customHeight="1">
      <x:c r="A104" s="9" t="n">
        <x:v>103</x:v>
      </x:c>
      <x:c r="B104" s="9" t="n">
        <x:v>312</x:v>
      </x:c>
      <x:c r="C104" s="9" t="n">
        <x:v>1032</x:v>
      </x:c>
      <x:c r="D104" s="9" t="n">
        <x:v>1</x:v>
      </x:c>
      <x:c r="E104" s="9" t="n">
        <x:v>71372</x:v>
      </x:c>
      <x:c r="F104" s="9" t="n">
        <x:v>818</x:v>
      </x:c>
      <x:c r="G104" s="9" t="n">
        <x:v>57371</x:v>
      </x:c>
      <x:c r="H104" s="9" t="n">
        <x:v>12599.999999996275</x:v>
      </x:c>
      <x:c r="I104" s="9" t="n">
        <x:v>477.0000000037253</x:v>
      </x:c>
      <x:c r="J104" s="9" t="n">
        <x:v>106</x:v>
      </x:c>
      <x:c r="K104" s="9" t="n">
        <x:f>F104+G104+I104+J104</x:f>
        <x:v>58772.000000003725</x:v>
      </x:c>
      <x:c r="L104" s="10" t="n">
        <x:f>K104/Sources!$B$4*1000</x:f>
        <x:v>16.418846529378378</x:v>
      </x:c>
      <x:c r="M104" s="10" t="n">
        <x:f>E104/Sources!$B$4*1000</x:f>
        <x:v>19.93884697636152</x:v>
      </x:c>
      <x:c r="N104" s="9" t="n">
        <x:f>Sources!$B$6-K104</x:f>
        <x:v>963.9999999962747</x:v>
      </x:c>
      <x:c r="O104" s="1" t="str">
        <x:v>horizontal_normal_left</x:v>
      </x:c>
      <x:c r="P104" s="12" t="n">
        <x:v>-1</x:v>
      </x:c>
      <x:c r="Q104" s="12" t="n">
        <x:v>0</x:v>
      </x:c>
      <x:c r="R104" s="12" t="n">
        <x:v>0</x:v>
      </x:c>
      <x:c r="S104" s="12" t="n">
        <x:v>0</x:v>
      </x:c>
      <x:c r="T104" s="1" t="str">
        <x:v>No</x:v>
      </x:c>
      <x:c r="U104" s="1" t="n">
        <x:v>0</x:v>
      </x:c>
    </x:row>
    <x:row r="105" ht="23" customHeight="1">
      <x:c r="A105" s="9" t="n">
        <x:v>104</x:v>
      </x:c>
      <x:c r="B105" s="9" t="n">
        <x:v>311</x:v>
      </x:c>
      <x:c r="C105" s="9" t="n">
        <x:v>1032</x:v>
      </x:c>
      <x:c r="D105" s="9" t="n">
        <x:v>1</x:v>
      </x:c>
      <x:c r="E105" s="9" t="n">
        <x:v>142718.99999999627</x:v>
      </x:c>
      <x:c r="F105" s="9" t="n">
        <x:v>817.9999999962747</x:v>
      </x:c>
      <x:c r="G105" s="9" t="n">
        <x:v>102561</x:v>
      </x:c>
      <x:c r="H105" s="9" t="n">
        <x:v>38765.000000003725</x:v>
      </x:c>
      <x:c r="I105" s="9" t="n">
        <x:v>469</x:v>
      </x:c>
      <x:c r="J105" s="9" t="n">
        <x:v>105.99999999627471</x:v>
      </x:c>
      <x:c r="K105" s="9" t="n">
        <x:f>F105+G105+I105+J105</x:f>
        <x:v>103953.99999999255</x:v>
      </x:c>
      <x:c r="L105" s="10" t="n">
        <x:f>K105/Sources!$B$4*1000</x:f>
        <x:v>29.041121148076794</x:v>
      </x:c>
      <x:c r="M105" s="10" t="n">
        <x:f>E105/Sources!$B$4*1000</x:f>
        <x:v>39.870709824851</x:v>
      </x:c>
      <x:c r="N105" s="9" t="n">
        <x:f>Sources!$B$6-K105</x:f>
        <x:v>-44217.99999999255</x:v>
      </x:c>
      <x:c r="O105" s="1" t="str">
        <x:v>horizontal_normal_left</x:v>
      </x:c>
      <x:c r="P105" s="12" t="n">
        <x:v>-1</x:v>
      </x:c>
      <x:c r="Q105" s="12" t="n">
        <x:v>0</x:v>
      </x:c>
      <x:c r="R105" s="12" t="n">
        <x:v>7</x:v>
      </x:c>
      <x:c r="S105" s="12" t="n">
        <x:v>0</x:v>
      </x:c>
      <x:c r="T105" s="1" t="str">
        <x:v>Yes</x:v>
      </x:c>
      <x:c r="U105" s="1" t="n">
        <x:v>1</x:v>
      </x:c>
    </x:row>
    <x:row r="106" ht="23" customHeight="1">
      <x:c r="A106" s="9" t="n">
        <x:v>105</x:v>
      </x:c>
      <x:c r="B106" s="9" t="n">
        <x:v>309</x:v>
      </x:c>
      <x:c r="C106" s="9" t="n">
        <x:v>1032</x:v>
      </x:c>
      <x:c r="D106" s="9" t="n">
        <x:v>2</x:v>
      </x:c>
      <x:c r="E106" s="9" t="n">
        <x:v>142738.00000000373</x:v>
      </x:c>
      <x:c r="F106" s="9" t="n">
        <x:v>818</x:v>
      </x:c>
      <x:c r="G106" s="9" t="n">
        <x:v>81972</x:v>
      </x:c>
      <x:c r="H106" s="9" t="n">
        <x:v>59365</x:v>
      </x:c>
      <x:c r="I106" s="9" t="n">
        <x:v>476.9999999962747</x:v>
      </x:c>
      <x:c r="J106" s="9" t="n">
        <x:v>106.00000000745058</x:v>
      </x:c>
      <x:c r="K106" s="9" t="n">
        <x:f>F106+G106+I106+J106</x:f>
        <x:v>83373.00000000373</x:v>
      </x:c>
      <x:c r="L106" s="10" t="n">
        <x:f>K106/Sources!$B$4*1000</x:f>
        <x:v>23.291507719557575</x:v>
      </x:c>
      <x:c r="M106" s="10" t="n">
        <x:f>E106/Sources!$B$4*1000</x:f>
        <x:v>39.87601776203504</x:v>
      </x:c>
      <x:c r="N106" s="9" t="n">
        <x:f>Sources!$B$6-K106</x:f>
        <x:v>-23637.000000003725</x:v>
      </x:c>
      <x:c r="O106" s="1" t="str">
        <x:v>horizontal_normal_left</x:v>
      </x:c>
      <x:c r="P106" s="12" t="n">
        <x:v>-2</x:v>
      </x:c>
      <x:c r="Q106" s="12" t="n">
        <x:v>0</x:v>
      </x:c>
      <x:c r="R106" s="12" t="n">
        <x:v>5</x:v>
      </x:c>
      <x:c r="S106" s="12" t="n">
        <x:v>0</x:v>
      </x:c>
      <x:c r="T106" s="1" t="str">
        <x:v>No</x:v>
      </x:c>
      <x:c r="U106" s="1" t="n">
        <x:v>1</x:v>
      </x:c>
    </x:row>
    <x:row r="107" ht="23" customHeight="1">
      <x:c r="A107" s="9" t="n">
        <x:v>106</x:v>
      </x:c>
      <x:c r="B107" s="9" t="n">
        <x:v>307</x:v>
      </x:c>
      <x:c r="C107" s="9" t="n">
        <x:v>1032</x:v>
      </x:c>
      <x:c r="D107" s="9" t="n">
        <x:v>2</x:v>
      </x:c>
      <x:c r="E107" s="9" t="n">
        <x:v>142719</x:v>
      </x:c>
      <x:c r="F107" s="9" t="n">
        <x:v>818</x:v>
      </x:c>
      <x:c r="G107" s="9" t="n">
        <x:v>71621</x:v>
      </x:c>
      <x:c r="H107" s="9" t="n">
        <x:v>69704.99999999627</x:v>
      </x:c>
      <x:c r="I107" s="9" t="n">
        <x:v>469.0000000037253</x:v>
      </x:c>
      <x:c r="J107" s="9" t="n">
        <x:v>106</x:v>
      </x:c>
      <x:c r="K107" s="9" t="n">
        <x:f>F107+G107+I107+J107</x:f>
        <x:v>73014.00000000373</x:v>
      </x:c>
      <x:c r="L107" s="10" t="n">
        <x:f>K107/Sources!$B$4*1000</x:f>
        <x:v>20.397564494929863</x:v>
      </x:c>
      <x:c r="M107" s="10" t="n">
        <x:f>E107/Sources!$B$4*1000</x:f>
        <x:v>39.870709824852035</x:v>
      </x:c>
      <x:c r="N107" s="9" t="n">
        <x:f>Sources!$B$6-K107</x:f>
        <x:v>-13278.000000003725</x:v>
      </x:c>
      <x:c r="O107" s="1" t="str">
        <x:v>horizontal_normal_left</x:v>
      </x:c>
      <x:c r="P107" s="12" t="n">
        <x:v>-2</x:v>
      </x:c>
      <x:c r="Q107" s="12" t="n">
        <x:v>0</x:v>
      </x:c>
      <x:c r="R107" s="12" t="n">
        <x:v>3</x:v>
      </x:c>
      <x:c r="S107" s="12" t="n">
        <x:v>0</x:v>
      </x:c>
      <x:c r="T107" s="1" t="str">
        <x:v>No</x:v>
      </x:c>
      <x:c r="U107" s="1" t="n">
        <x:v>0</x:v>
      </x:c>
    </x:row>
    <x:row r="108" ht="23" customHeight="1">
      <x:c r="A108" s="9" t="n">
        <x:v>107</x:v>
      </x:c>
      <x:c r="B108" s="9" t="n">
        <x:v>305</x:v>
      </x:c>
      <x:c r="C108" s="9" t="n">
        <x:v>1032</x:v>
      </x:c>
      <x:c r="D108" s="9" t="n">
        <x:v>2</x:v>
      </x:c>
      <x:c r="E108" s="9" t="n">
        <x:v>71372.99999999627</x:v>
      </x:c>
      <x:c r="F108" s="9" t="n">
        <x:v>818</x:v>
      </x:c>
      <x:c r="G108" s="9" t="n">
        <x:v>62827</x:v>
      </x:c>
      <x:c r="H108" s="9" t="n">
        <x:v>7145</x:v>
      </x:c>
      <x:c r="I108" s="9" t="n">
        <x:v>476.9999999962747</x:v>
      </x:c>
      <x:c r="J108" s="9" t="n">
        <x:v>106</x:v>
      </x:c>
      <x:c r="K108" s="9" t="n">
        <x:f>F108+G108+I108+J108</x:f>
        <x:v>64227.999999996275</x:v>
      </x:c>
      <x:c r="L108" s="10" t="n">
        <x:f>K108/Sources!$B$4*1000</x:f>
        <x:v>17.943062595943417</x:v>
      </x:c>
      <x:c r="M108" s="10" t="n">
        <x:f>E108/Sources!$B$4*1000</x:f>
        <x:v>19.939126341475323</x:v>
      </x:c>
      <x:c r="N108" s="9" t="n">
        <x:f>Sources!$B$6-K108</x:f>
        <x:v>-4491.999999996275</x:v>
      </x:c>
      <x:c r="O108" s="1" t="str">
        <x:v>horizontal_normal_left</x:v>
      </x:c>
      <x:c r="P108" s="12" t="n">
        <x:v>-2</x:v>
      </x:c>
      <x:c r="Q108" s="12" t="n">
        <x:v>0</x:v>
      </x:c>
      <x:c r="R108" s="12" t="n">
        <x:v>1</x:v>
      </x:c>
      <x:c r="S108" s="12" t="n">
        <x:v>0</x:v>
      </x:c>
      <x:c r="T108" s="1" t="str">
        <x:v>No</x:v>
      </x:c>
      <x:c r="U108" s="1" t="n">
        <x:v>0</x:v>
      </x:c>
    </x:row>
    <x:row r="109" ht="23" customHeight="1">
      <x:c r="A109" s="9" t="n">
        <x:v>108</x:v>
      </x:c>
      <x:c r="B109" s="9" t="n">
        <x:v>304</x:v>
      </x:c>
      <x:c r="C109" s="9" t="n">
        <x:v>1032</x:v>
      </x:c>
      <x:c r="D109" s="9" t="n">
        <x:v>1</x:v>
      </x:c>
      <x:c r="E109" s="9" t="n">
        <x:v>71356.00000000373</x:v>
      </x:c>
      <x:c r="F109" s="9" t="n">
        <x:v>818.0000000037253</x:v>
      </x:c>
      <x:c r="G109" s="9" t="n">
        <x:v>57452.999999996275</x:v>
      </x:c>
      <x:c r="H109" s="9" t="n">
        <x:v>12510</x:v>
      </x:c>
      <x:c r="I109" s="9" t="n">
        <x:v>469.0000000037253</x:v>
      </x:c>
      <x:c r="J109" s="9" t="n">
        <x:v>106</x:v>
      </x:c>
      <x:c r="K109" s="9" t="n">
        <x:f>F109+G109+I109+J109</x:f>
        <x:v>58846.000000003725</x:v>
      </x:c>
      <x:c r="L109" s="10" t="n">
        <x:f>K109/Sources!$B$4*1000</x:f>
        <x:v>16.43951954787654</x:v>
      </x:c>
      <x:c r="M109" s="10" t="n">
        <x:f>E109/Sources!$B$4*1000</x:f>
        <x:v>19.93437713452512</x:v>
      </x:c>
      <x:c r="N109" s="9" t="n">
        <x:f>Sources!$B$6-K109</x:f>
        <x:v>889.9999999962747</x:v>
      </x:c>
      <x:c r="O109" s="1" t="str">
        <x:v>horizontal_normal_left</x:v>
      </x:c>
      <x:c r="P109" s="12" t="n">
        <x:v>-1</x:v>
      </x:c>
      <x:c r="Q109" s="12" t="n">
        <x:v>0</x:v>
      </x:c>
      <x:c r="R109" s="12" t="n">
        <x:v>0</x:v>
      </x:c>
      <x:c r="S109" s="12" t="n">
        <x:v>0</x:v>
      </x:c>
      <x:c r="T109" s="1" t="str">
        <x:v>No</x:v>
      </x:c>
      <x:c r="U109" s="1" t="n">
        <x:v>0</x:v>
      </x:c>
    </x:row>
    <x:row r="110" ht="23" customHeight="1">
      <x:c r="A110" s="9" t="n">
        <x:v>109</x:v>
      </x:c>
      <x:c r="B110" s="9" t="n">
        <x:v>303</x:v>
      </x:c>
      <x:c r="C110" s="9" t="n">
        <x:v>1032</x:v>
      </x:c>
      <x:c r="D110" s="9" t="n">
        <x:v>1</x:v>
      </x:c>
      <x:c r="E110" s="9" t="n">
        <x:v>142734</x:v>
      </x:c>
      <x:c r="F110" s="9" t="n">
        <x:v>818</x:v>
      </x:c>
      <x:c r="G110" s="9" t="n">
        <x:v>102742.99999999627</x:v>
      </x:c>
      <x:c r="H110" s="9" t="n">
        <x:v>38590.000000003725</x:v>
      </x:c>
      <x:c r="I110" s="9" t="n">
        <x:v>476.9999999962747</x:v>
      </x:c>
      <x:c r="J110" s="9" t="n">
        <x:v>106.00000000372529</x:v>
      </x:c>
      <x:c r="K110" s="9" t="n">
        <x:f>F110+G110+I110+J110</x:f>
        <x:v>104143.99999999627</x:v>
      </x:c>
      <x:c r="L110" s="10" t="n">
        <x:f>K110/Sources!$B$4*1000</x:f>
        <x:v>29.094200519897438</x:v>
      </x:c>
      <x:c r="M110" s="10" t="n">
        <x:f>E110/Sources!$B$4*1000</x:f>
        <x:v>39.87490030157464</x:v>
      </x:c>
      <x:c r="N110" s="9" t="n">
        <x:f>Sources!$B$6-K110</x:f>
        <x:v>-44407.999999996275</x:v>
      </x:c>
      <x:c r="O110" s="1" t="str">
        <x:v>horizontal_normal_left</x:v>
      </x:c>
      <x:c r="P110" s="12" t="n">
        <x:v>-1</x:v>
      </x:c>
      <x:c r="Q110" s="12" t="n">
        <x:v>0</x:v>
      </x:c>
      <x:c r="R110" s="12" t="n">
        <x:v>7</x:v>
      </x:c>
      <x:c r="S110" s="12" t="n">
        <x:v>0</x:v>
      </x:c>
      <x:c r="T110" s="1" t="str">
        <x:v>Yes</x:v>
      </x:c>
      <x:c r="U110" s="1" t="n">
        <x:v>1</x:v>
      </x:c>
    </x:row>
    <x:row r="111" ht="23" customHeight="1">
      <x:c r="A111" s="9" t="n">
        <x:v>110</x:v>
      </x:c>
      <x:c r="B111" s="9" t="n">
        <x:v>301</x:v>
      </x:c>
      <x:c r="C111" s="9" t="n">
        <x:v>1032</x:v>
      </x:c>
      <x:c r="D111" s="9" t="n">
        <x:v>2</x:v>
      </x:c>
      <x:c r="E111" s="9" t="n">
        <x:v>142720</x:v>
      </x:c>
      <x:c r="F111" s="9" t="n">
        <x:v>818</x:v>
      </x:c>
      <x:c r="G111" s="9" t="n">
        <x:v>81751.99999999627</x:v>
      </x:c>
      <x:c r="H111" s="9" t="n">
        <x:v>59575.000000003725</x:v>
      </x:c>
      <x:c r="I111" s="9" t="n">
        <x:v>469</x:v>
      </x:c>
      <x:c r="J111" s="9" t="n">
        <x:v>106</x:v>
      </x:c>
      <x:c r="K111" s="9" t="n">
        <x:f>F111+G111+I111+J111</x:f>
        <x:v>83144.99999999627</x:v>
      </x:c>
      <x:c r="L111" s="10" t="n">
        <x:f>K111/Sources!$B$4*1000</x:f>
        <x:v>23.22781247337197</x:v>
      </x:c>
      <x:c r="M111" s="10" t="n">
        <x:f>E111/Sources!$B$4*1000</x:f>
        <x:v>39.87098918996688</x:v>
      </x:c>
      <x:c r="N111" s="9" t="n">
        <x:f>Sources!$B$6-K111</x:f>
        <x:v>-23408.999999996275</x:v>
      </x:c>
      <x:c r="O111" s="1" t="str">
        <x:v>horizontal_normal_left</x:v>
      </x:c>
      <x:c r="P111" s="12" t="n">
        <x:v>-2</x:v>
      </x:c>
      <x:c r="Q111" s="12" t="n">
        <x:v>0</x:v>
      </x:c>
      <x:c r="R111" s="12" t="n">
        <x:v>5</x:v>
      </x:c>
      <x:c r="S111" s="12" t="n">
        <x:v>0</x:v>
      </x:c>
      <x:c r="T111" s="1" t="str">
        <x:v>No</x:v>
      </x:c>
      <x:c r="U111" s="1" t="n">
        <x:v>1</x:v>
      </x:c>
    </x:row>
    <x:row r="112" ht="23" customHeight="1">
      <x:c r="A112" s="9" t="n">
        <x:v>111</x:v>
      </x:c>
      <x:c r="B112" s="9" t="n">
        <x:v>299</x:v>
      </x:c>
      <x:c r="C112" s="9" t="n">
        <x:v>1032</x:v>
      </x:c>
      <x:c r="D112" s="9" t="n">
        <x:v>2</x:v>
      </x:c>
      <x:c r="E112" s="9" t="n">
        <x:v>142738</x:v>
      </x:c>
      <x:c r="F112" s="9" t="n">
        <x:v>817.9999999962747</x:v>
      </x:c>
      <x:c r="G112" s="9" t="n">
        <x:v>71662.00000000373</x:v>
      </x:c>
      <x:c r="H112" s="9" t="n">
        <x:v>69675</x:v>
      </x:c>
      <x:c r="I112" s="9" t="n">
        <x:v>476.9999999962747</x:v>
      </x:c>
      <x:c r="J112" s="9" t="n">
        <x:v>106.00000000372529</x:v>
      </x:c>
      <x:c r="K112" s="9" t="n">
        <x:f>F112+G112+I112+J112</x:f>
        <x:v>73063</x:v>
      </x:c>
      <x:c r="L112" s="10" t="n">
        <x:f>K112/Sources!$B$4*1000</x:f>
        <x:v>20.411253385555987</x:v>
      </x:c>
      <x:c r="M112" s="10" t="n">
        <x:f>E112/Sources!$B$4*1000</x:f>
        <x:v>39.876017762033996</x:v>
      </x:c>
      <x:c r="N112" s="9" t="n">
        <x:f>Sources!$B$6-K112</x:f>
        <x:v>-13327</x:v>
      </x:c>
      <x:c r="O112" s="1" t="str">
        <x:v>horizontal_normal_left</x:v>
      </x:c>
      <x:c r="P112" s="12" t="n">
        <x:v>-2</x:v>
      </x:c>
      <x:c r="Q112" s="12" t="n">
        <x:v>0</x:v>
      </x:c>
      <x:c r="R112" s="12" t="n">
        <x:v>3</x:v>
      </x:c>
      <x:c r="S112" s="12" t="n">
        <x:v>0</x:v>
      </x:c>
      <x:c r="T112" s="1" t="str">
        <x:v>No</x:v>
      </x:c>
      <x:c r="U112" s="1" t="n">
        <x:v>0</x:v>
      </x:c>
    </x:row>
    <x:row r="113" ht="23" customHeight="1">
      <x:c r="A113" s="9" t="n">
        <x:v>112</x:v>
      </x:c>
      <x:c r="B113" s="9" t="n">
        <x:v>297</x:v>
      </x:c>
      <x:c r="C113" s="9" t="n">
        <x:v>1032</x:v>
      </x:c>
      <x:c r="D113" s="9" t="n">
        <x:v>2</x:v>
      </x:c>
      <x:c r="E113" s="9" t="n">
        <x:v>71354</x:v>
      </x:c>
      <x:c r="F113" s="9" t="n">
        <x:v>818.0000000037253</x:v>
      </x:c>
      <x:c r="G113" s="9" t="n">
        <x:v>62786</x:v>
      </x:c>
      <x:c r="H113" s="9" t="n">
        <x:v>7174.999999996275</x:v>
      </x:c>
      <x:c r="I113" s="9" t="n">
        <x:v>469.0000000037253</x:v>
      </x:c>
      <x:c r="J113" s="9" t="n">
        <x:v>105.99999999627471</x:v>
      </x:c>
      <x:c r="K113" s="9" t="n">
        <x:f>F113+G113+I113+J113</x:f>
        <x:v>64179.000000003725</x:v>
      </x:c>
      <x:c r="L113" s="10" t="n">
        <x:f>K113/Sources!$B$4*1000</x:f>
        <x:v>17.929373705318337</x:v>
      </x:c>
      <x:c r="M113" s="10" t="n">
        <x:f>E113/Sources!$B$4*1000</x:f>
        <x:v>19.9338184042944</x:v>
      </x:c>
      <x:c r="N113" s="9" t="n">
        <x:f>Sources!$B$6-K113</x:f>
        <x:v>-4443.000000003725</x:v>
      </x:c>
      <x:c r="O113" s="1" t="str">
        <x:v>horizontal_normal_left</x:v>
      </x:c>
      <x:c r="P113" s="12" t="n">
        <x:v>-2</x:v>
      </x:c>
      <x:c r="Q113" s="12" t="n">
        <x:v>0</x:v>
      </x:c>
      <x:c r="R113" s="12" t="n">
        <x:v>1</x:v>
      </x:c>
      <x:c r="S113" s="12" t="n">
        <x:v>0</x:v>
      </x:c>
      <x:c r="T113" s="1" t="str">
        <x:v>No</x:v>
      </x:c>
      <x:c r="U113" s="1" t="n">
        <x:v>0</x:v>
      </x:c>
    </x:row>
    <x:row r="114" ht="23" customHeight="1">
      <x:c r="A114" s="9" t="n">
        <x:v>113</x:v>
      </x:c>
      <x:c r="B114" s="9" t="n">
        <x:v>296</x:v>
      </x:c>
      <x:c r="C114" s="9" t="n">
        <x:v>1032</x:v>
      </x:c>
      <x:c r="D114" s="9" t="n">
        <x:v>1</x:v>
      </x:c>
      <x:c r="E114" s="9" t="n">
        <x:v>71375.00000000373</x:v>
      </x:c>
      <x:c r="F114" s="9" t="n">
        <x:v>817.9999999962747</x:v>
      </x:c>
      <x:c r="G114" s="9" t="n">
        <x:v>57494.000000003725</x:v>
      </x:c>
      <x:c r="H114" s="9" t="n">
        <x:v>12480</x:v>
      </x:c>
      <x:c r="I114" s="9" t="n">
        <x:v>476.9999999962747</x:v>
      </x:c>
      <x:c r="J114" s="9" t="n">
        <x:v>106.00000000745058</x:v>
      </x:c>
      <x:c r="K114" s="9" t="n">
        <x:f>F114+G114+I114+J114</x:f>
        <x:v>58895.000000003725</x:v>
      </x:c>
      <x:c r="L114" s="10" t="n">
        <x:f>K114/Sources!$B$4*1000</x:f>
        <x:v>16.453208438503697</x:v>
      </x:c>
      <x:c r="M114" s="10" t="n">
        <x:f>E114/Sources!$B$4*1000</x:f>
        <x:v>19.93968507170708</x:v>
      </x:c>
      <x:c r="N114" s="9" t="n">
        <x:f>Sources!$B$6-K114</x:f>
        <x:v>840.9999999962747</x:v>
      </x:c>
      <x:c r="O114" s="1" t="str">
        <x:v>horizontal_normal_left</x:v>
      </x:c>
      <x:c r="P114" s="12" t="n">
        <x:v>-1</x:v>
      </x:c>
      <x:c r="Q114" s="12" t="n">
        <x:v>0</x:v>
      </x:c>
      <x:c r="R114" s="12" t="n">
        <x:v>0</x:v>
      </x:c>
      <x:c r="S114" s="12" t="n">
        <x:v>0</x:v>
      </x:c>
      <x:c r="T114" s="1" t="str">
        <x:v>No</x:v>
      </x:c>
      <x:c r="U114" s="1" t="n">
        <x:v>0</x:v>
      </x:c>
    </x:row>
    <x:row r="115" ht="23" customHeight="1">
      <x:c r="A115" s="9" t="n">
        <x:v>114</x:v>
      </x:c>
      <x:c r="B115" s="9" t="n">
        <x:v>295</x:v>
      </x:c>
      <x:c r="C115" s="9" t="n">
        <x:v>1032</x:v>
      </x:c>
      <x:c r="D115" s="9" t="n">
        <x:v>1</x:v>
      </x:c>
      <x:c r="E115" s="9" t="n">
        <x:v>142719.99999999627</x:v>
      </x:c>
      <x:c r="F115" s="9" t="n">
        <x:v>818.0000000037253</x:v>
      </x:c>
      <x:c r="G115" s="9" t="n">
        <x:v>102541.99999999627</x:v>
      </x:c>
      <x:c r="H115" s="9" t="n">
        <x:v>38785.00000000745</x:v>
      </x:c>
      <x:c r="I115" s="9" t="n">
        <x:v>469.0000000037253</x:v>
      </x:c>
      <x:c r="J115" s="9" t="n">
        <x:v>105.99999998509884</x:v>
      </x:c>
      <x:c r="K115" s="9" t="n">
        <x:f>F115+G115+I115+J115</x:f>
        <x:v>103934.99999998882</x:v>
      </x:c>
      <x:c r="L115" s="10" t="n">
        <x:f>K115/Sources!$B$4*1000</x:f>
        <x:v>29.035813210893792</x:v>
      </x:c>
      <x:c r="M115" s="10" t="n">
        <x:f>E115/Sources!$B$4*1000</x:f>
        <x:v>39.87098918996584</x:v>
      </x:c>
      <x:c r="N115" s="9" t="n">
        <x:f>Sources!$B$6-K115</x:f>
        <x:v>-44198.999999988824</x:v>
      </x:c>
      <x:c r="O115" s="1" t="str">
        <x:v>horizontal_normal_left</x:v>
      </x:c>
      <x:c r="P115" s="12" t="n">
        <x:v>-1</x:v>
      </x:c>
      <x:c r="Q115" s="12" t="n">
        <x:v>0</x:v>
      </x:c>
      <x:c r="R115" s="12" t="n">
        <x:v>7</x:v>
      </x:c>
      <x:c r="S115" s="12" t="n">
        <x:v>0</x:v>
      </x:c>
      <x:c r="T115" s="1" t="str">
        <x:v>Yes</x:v>
      </x:c>
      <x:c r="U115" s="1" t="n">
        <x:v>1</x:v>
      </x:c>
    </x:row>
    <x:row r="116" ht="23" customHeight="1">
      <x:c r="A116" s="9" t="n">
        <x:v>115</x:v>
      </x:c>
      <x:c r="B116" s="9" t="n">
        <x:v>293</x:v>
      </x:c>
      <x:c r="C116" s="9" t="n">
        <x:v>1032</x:v>
      </x:c>
      <x:c r="D116" s="9" t="n">
        <x:v>2</x:v>
      </x:c>
      <x:c r="E116" s="9" t="n">
        <x:v>142734</x:v>
      </x:c>
      <x:c r="F116" s="9" t="n">
        <x:v>817.9999999962747</x:v>
      </x:c>
      <x:c r="G116" s="9" t="n">
        <x:v>81953.00000000373</x:v>
      </x:c>
      <x:c r="H116" s="9" t="n">
        <x:v>59379.999999996275</x:v>
      </x:c>
      <x:c r="I116" s="9" t="n">
        <x:v>477.0000000037253</x:v>
      </x:c>
      <x:c r="J116" s="9" t="n">
        <x:v>106</x:v>
      </x:c>
      <x:c r="K116" s="9" t="n">
        <x:f>F116+G116+I116+J116</x:f>
        <x:v>83354.00000000373</x:v>
      </x:c>
      <x:c r="L116" s="10" t="n">
        <x:f>K116/Sources!$B$4*1000</x:f>
        <x:v>23.286199782375615</x:v>
      </x:c>
      <x:c r="M116" s="10" t="n">
        <x:f>E116/Sources!$B$4*1000</x:f>
        <x:v>39.87490030157464</x:v>
      </x:c>
      <x:c r="N116" s="9" t="n">
        <x:f>Sources!$B$6-K116</x:f>
        <x:v>-23618.000000003725</x:v>
      </x:c>
      <x:c r="O116" s="1" t="str">
        <x:v>horizontal_normal_left</x:v>
      </x:c>
      <x:c r="P116" s="12" t="n">
        <x:v>-2</x:v>
      </x:c>
      <x:c r="Q116" s="12" t="n">
        <x:v>0</x:v>
      </x:c>
      <x:c r="R116" s="12" t="n">
        <x:v>5</x:v>
      </x:c>
      <x:c r="S116" s="12" t="n">
        <x:v>0</x:v>
      </x:c>
      <x:c r="T116" s="1" t="str">
        <x:v>No</x:v>
      </x:c>
      <x:c r="U116" s="1" t="n">
        <x:v>1</x:v>
      </x:c>
    </x:row>
    <x:row r="117" ht="23" customHeight="1">
      <x:c r="A117" s="9" t="n">
        <x:v>116</x:v>
      </x:c>
      <x:c r="B117" s="9" t="n">
        <x:v>291</x:v>
      </x:c>
      <x:c r="C117" s="9" t="n">
        <x:v>1032</x:v>
      </x:c>
      <x:c r="D117" s="9" t="n">
        <x:v>2</x:v>
      </x:c>
      <x:c r="E117" s="9" t="n">
        <x:v>142719</x:v>
      </x:c>
      <x:c r="F117" s="9" t="n">
        <x:v>817.9999999962747</x:v>
      </x:c>
      <x:c r="G117" s="9" t="n">
        <x:v>71621.00000000373</x:v>
      </x:c>
      <x:c r="H117" s="9" t="n">
        <x:v>69705</x:v>
      </x:c>
      <x:c r="I117" s="9" t="n">
        <x:v>469.0000000037253</x:v>
      </x:c>
      <x:c r="J117" s="9" t="n">
        <x:v>105.99999999627471</x:v>
      </x:c>
      <x:c r="K117" s="9" t="n">
        <x:f>F117+G117+I117+J117</x:f>
        <x:v>73014</x:v>
      </x:c>
      <x:c r="L117" s="10" t="n">
        <x:f>K117/Sources!$B$4*1000</x:f>
        <x:v>20.397564494928822</x:v>
      </x:c>
      <x:c r="M117" s="10" t="n">
        <x:f>E117/Sources!$B$4*1000</x:f>
        <x:v>39.870709824852035</x:v>
      </x:c>
      <x:c r="N117" s="9" t="n">
        <x:f>Sources!$B$6-K117</x:f>
        <x:v>-13278</x:v>
      </x:c>
      <x:c r="O117" s="1" t="str">
        <x:v>horizontal_normal_left</x:v>
      </x:c>
      <x:c r="P117" s="12" t="n">
        <x:v>-2</x:v>
      </x:c>
      <x:c r="Q117" s="12" t="n">
        <x:v>0</x:v>
      </x:c>
      <x:c r="R117" s="12" t="n">
        <x:v>3</x:v>
      </x:c>
      <x:c r="S117" s="12" t="n">
        <x:v>0</x:v>
      </x:c>
      <x:c r="T117" s="1" t="str">
        <x:v>No</x:v>
      </x:c>
      <x:c r="U117" s="1" t="n">
        <x:v>0</x:v>
      </x:c>
    </x:row>
    <x:row r="118" ht="23" customHeight="1">
      <x:c r="A118" s="9" t="n">
        <x:v>117</x:v>
      </x:c>
      <x:c r="B118" s="9" t="n">
        <x:v>289</x:v>
      </x:c>
      <x:c r="C118" s="9" t="n">
        <x:v>1032</x:v>
      </x:c>
      <x:c r="D118" s="9" t="n">
        <x:v>2</x:v>
      </x:c>
      <x:c r="E118" s="9" t="n">
        <x:v>71373</x:v>
      </x:c>
      <x:c r="F118" s="9" t="n">
        <x:v>817.9999999962747</x:v>
      </x:c>
      <x:c r="G118" s="9" t="n">
        <x:v>62827.000000003725</x:v>
      </x:c>
      <x:c r="H118" s="9" t="n">
        <x:v>7144.999999996275</x:v>
      </x:c>
      <x:c r="I118" s="9" t="n">
        <x:v>477.0000000037253</x:v>
      </x:c>
      <x:c r="J118" s="9" t="n">
        <x:v>106</x:v>
      </x:c>
      <x:c r="K118" s="9" t="n">
        <x:f>F118+G118+I118+J118</x:f>
        <x:v>64228.000000003725</x:v>
      </x:c>
      <x:c r="L118" s="10" t="n">
        <x:f>K118/Sources!$B$4*1000</x:f>
        <x:v>17.9430625959455</x:v>
      </x:c>
      <x:c r="M118" s="10" t="n">
        <x:f>E118/Sources!$B$4*1000</x:f>
        <x:v>19.939126341476364</x:v>
      </x:c>
      <x:c r="N118" s="9" t="n">
        <x:f>Sources!$B$6-K118</x:f>
        <x:v>-4492.000000003725</x:v>
      </x:c>
      <x:c r="O118" s="1" t="str">
        <x:v>horizontal_normal_left</x:v>
      </x:c>
      <x:c r="P118" s="12" t="n">
        <x:v>-2</x:v>
      </x:c>
      <x:c r="Q118" s="12" t="n">
        <x:v>0</x:v>
      </x:c>
      <x:c r="R118" s="12" t="n">
        <x:v>1</x:v>
      </x:c>
      <x:c r="S118" s="12" t="n">
        <x:v>0</x:v>
      </x:c>
      <x:c r="T118" s="1" t="str">
        <x:v>No</x:v>
      </x:c>
      <x:c r="U118" s="1" t="n">
        <x:v>0</x:v>
      </x:c>
    </x:row>
    <x:row r="119" ht="23" customHeight="1">
      <x:c r="A119" s="9" t="n">
        <x:v>118</x:v>
      </x:c>
      <x:c r="B119" s="9" t="n">
        <x:v>288</x:v>
      </x:c>
      <x:c r="C119" s="9" t="n">
        <x:v>1032</x:v>
      </x:c>
      <x:c r="D119" s="9" t="n">
        <x:v>1</x:v>
      </x:c>
      <x:c r="E119" s="9" t="n">
        <x:v>71356</x:v>
      </x:c>
      <x:c r="F119" s="9" t="n">
        <x:v>818</x:v>
      </x:c>
      <x:c r="G119" s="9" t="n">
        <x:v>57453</x:v>
      </x:c>
      <x:c r="H119" s="9" t="n">
        <x:v>12509.999999996275</x:v>
      </x:c>
      <x:c r="I119" s="9" t="n">
        <x:v>469.0000000037253</x:v>
      </x:c>
      <x:c r="J119" s="9" t="n">
        <x:v>106</x:v>
      </x:c>
      <x:c r="K119" s="9" t="n">
        <x:f>F119+G119+I119+J119</x:f>
        <x:v>58846.000000003725</x:v>
      </x:c>
      <x:c r="L119" s="10" t="n">
        <x:f>K119/Sources!$B$4*1000</x:f>
        <x:v>16.43951954787654</x:v>
      </x:c>
      <x:c r="M119" s="10" t="n">
        <x:f>E119/Sources!$B$4*1000</x:f>
        <x:v>19.93437713452408</x:v>
      </x:c>
      <x:c r="N119" s="9" t="n">
        <x:f>Sources!$B$6-K119</x:f>
        <x:v>889.9999999962747</x:v>
      </x:c>
      <x:c r="O119" s="1" t="str">
        <x:v>horizontal_normal_left</x:v>
      </x:c>
      <x:c r="P119" s="12" t="n">
        <x:v>-1</x:v>
      </x:c>
      <x:c r="Q119" s="12" t="n">
        <x:v>0</x:v>
      </x:c>
      <x:c r="R119" s="12" t="n">
        <x:v>0</x:v>
      </x:c>
      <x:c r="S119" s="12" t="n">
        <x:v>0</x:v>
      </x:c>
      <x:c r="T119" s="1" t="str">
        <x:v>No</x:v>
      </x:c>
      <x:c r="U119" s="1" t="n">
        <x:v>0</x:v>
      </x:c>
    </x:row>
    <x:row r="120" ht="23" customHeight="1">
      <x:c r="A120" s="9" t="n">
        <x:v>119</x:v>
      </x:c>
      <x:c r="B120" s="9" t="n">
        <x:v>287</x:v>
      </x:c>
      <x:c r="C120" s="9" t="n">
        <x:v>1032</x:v>
      </x:c>
      <x:c r="D120" s="9" t="n">
        <x:v>1</x:v>
      </x:c>
      <x:c r="E120" s="9" t="n">
        <x:v>142734</x:v>
      </x:c>
      <x:c r="F120" s="9" t="n">
        <x:v>817.9999999962747</x:v>
      </x:c>
      <x:c r="G120" s="9" t="n">
        <x:v>102743.00000000373</x:v>
      </x:c>
      <x:c r="H120" s="9" t="n">
        <x:v>38589.999999996275</x:v>
      </x:c>
      <x:c r="I120" s="9" t="n">
        <x:v>477.0000000037253</x:v>
      </x:c>
      <x:c r="J120" s="9" t="n">
        <x:v>106</x:v>
      </x:c>
      <x:c r="K120" s="9" t="n">
        <x:f>F120+G120+I120+J120</x:f>
        <x:v>104144.00000000373</x:v>
      </x:c>
      <x:c r="L120" s="10" t="n">
        <x:f>K120/Sources!$B$4*1000</x:f>
        <x:v>29.09420051989952</x:v>
      </x:c>
      <x:c r="M120" s="10" t="n">
        <x:f>E120/Sources!$B$4*1000</x:f>
        <x:v>39.87490030157464</x:v>
      </x:c>
      <x:c r="N120" s="9" t="n">
        <x:f>Sources!$B$6-K120</x:f>
        <x:v>-44408.000000003725</x:v>
      </x:c>
      <x:c r="O120" s="1" t="str">
        <x:v>horizontal_normal_left</x:v>
      </x:c>
      <x:c r="P120" s="12" t="n">
        <x:v>-1</x:v>
      </x:c>
      <x:c r="Q120" s="12" t="n">
        <x:v>0</x:v>
      </x:c>
      <x:c r="R120" s="12" t="n">
        <x:v>7</x:v>
      </x:c>
      <x:c r="S120" s="12" t="n">
        <x:v>0</x:v>
      </x:c>
      <x:c r="T120" s="1" t="str">
        <x:v>Yes</x:v>
      </x:c>
      <x:c r="U120" s="1" t="n">
        <x:v>1</x:v>
      </x:c>
    </x:row>
    <x:row r="121" ht="23" customHeight="1">
      <x:c r="A121" s="9" t="n">
        <x:v>120</x:v>
      </x:c>
      <x:c r="B121" s="9" t="n">
        <x:v>285</x:v>
      </x:c>
      <x:c r="C121" s="9" t="n">
        <x:v>1032</x:v>
      </x:c>
      <x:c r="D121" s="9" t="n">
        <x:v>2</x:v>
      </x:c>
      <x:c r="E121" s="9" t="n">
        <x:v>142719.99999999627</x:v>
      </x:c>
      <x:c r="F121" s="9" t="n">
        <x:v>817.9999999962747</x:v>
      </x:c>
      <x:c r="G121" s="9" t="n">
        <x:v>81752.00000000373</x:v>
      </x:c>
      <x:c r="H121" s="9" t="n">
        <x:v>59575</x:v>
      </x:c>
      <x:c r="I121" s="9" t="n">
        <x:v>468.9999999962747</x:v>
      </x:c>
      <x:c r="J121" s="9" t="n">
        <x:v>106</x:v>
      </x:c>
      <x:c r="K121" s="9" t="n">
        <x:f>F121+G121+I121+J121</x:f>
        <x:v>83144.99999999627</x:v>
      </x:c>
      <x:c r="L121" s="10" t="n">
        <x:f>K121/Sources!$B$4*1000</x:f>
        <x:v>23.22781247337197</x:v>
      </x:c>
      <x:c r="M121" s="10" t="n">
        <x:f>E121/Sources!$B$4*1000</x:f>
        <x:v>39.87098918996584</x:v>
      </x:c>
      <x:c r="N121" s="9" t="n">
        <x:f>Sources!$B$6-K121</x:f>
        <x:v>-23408.999999996275</x:v>
      </x:c>
      <x:c r="O121" s="1" t="str">
        <x:v>horizontal_normal_left</x:v>
      </x:c>
      <x:c r="P121" s="12" t="n">
        <x:v>-2</x:v>
      </x:c>
      <x:c r="Q121" s="12" t="n">
        <x:v>0</x:v>
      </x:c>
      <x:c r="R121" s="12" t="n">
        <x:v>5</x:v>
      </x:c>
      <x:c r="S121" s="12" t="n">
        <x:v>0</x:v>
      </x:c>
      <x:c r="T121" s="1" t="str">
        <x:v>No</x:v>
      </x:c>
      <x:c r="U121" s="1" t="n">
        <x:v>1</x:v>
      </x:c>
    </x:row>
    <x:row r="122" ht="23" customHeight="1">
      <x:c r="A122" s="9" t="n">
        <x:v>121</x:v>
      </x:c>
      <x:c r="B122" s="9" t="n">
        <x:v>283</x:v>
      </x:c>
      <x:c r="C122" s="9" t="n">
        <x:v>1032</x:v>
      </x:c>
      <x:c r="D122" s="9" t="n">
        <x:v>2</x:v>
      </x:c>
      <x:c r="E122" s="9" t="n">
        <x:v>142738.00000000373</x:v>
      </x:c>
      <x:c r="F122" s="9" t="n">
        <x:v>818.0000000037253</x:v>
      </x:c>
      <x:c r="G122" s="9" t="n">
        <x:v>71661.99999999627</x:v>
      </x:c>
      <x:c r="H122" s="9" t="n">
        <x:v>69675</x:v>
      </x:c>
      <x:c r="I122" s="9" t="n">
        <x:v>477.0000000037253</x:v>
      </x:c>
      <x:c r="J122" s="9" t="n">
        <x:v>106</x:v>
      </x:c>
      <x:c r="K122" s="9" t="n">
        <x:f>F122+G122+I122+J122</x:f>
        <x:v>73063.00000000373</x:v>
      </x:c>
      <x:c r="L122" s="10" t="n">
        <x:f>K122/Sources!$B$4*1000</x:f>
        <x:v>20.411253385557025</x:v>
      </x:c>
      <x:c r="M122" s="10" t="n">
        <x:f>E122/Sources!$B$4*1000</x:f>
        <x:v>39.87601776203504</x:v>
      </x:c>
      <x:c r="N122" s="9" t="n">
        <x:f>Sources!$B$6-K122</x:f>
        <x:v>-13327.000000003725</x:v>
      </x:c>
      <x:c r="O122" s="1" t="str">
        <x:v>horizontal_normal_left</x:v>
      </x:c>
      <x:c r="P122" s="12" t="n">
        <x:v>-2</x:v>
      </x:c>
      <x:c r="Q122" s="12" t="n">
        <x:v>0</x:v>
      </x:c>
      <x:c r="R122" s="12" t="n">
        <x:v>3</x:v>
      </x:c>
      <x:c r="S122" s="12" t="n">
        <x:v>0</x:v>
      </x:c>
      <x:c r="T122" s="1" t="str">
        <x:v>No</x:v>
      </x:c>
      <x:c r="U122" s="1" t="n">
        <x:v>0</x:v>
      </x:c>
    </x:row>
    <x:row r="123" ht="23" customHeight="1">
      <x:c r="A123" s="9" t="n">
        <x:v>122</x:v>
      </x:c>
      <x:c r="B123" s="9" t="n">
        <x:v>281</x:v>
      </x:c>
      <x:c r="C123" s="9" t="n">
        <x:v>1032</x:v>
      </x:c>
      <x:c r="D123" s="9" t="n">
        <x:v>2</x:v>
      </x:c>
      <x:c r="E123" s="9" t="n">
        <x:v>71356.99999999627</x:v>
      </x:c>
      <x:c r="F123" s="9" t="n">
        <x:v>817.9999999962747</x:v>
      </x:c>
      <x:c r="G123" s="9" t="n">
        <x:v>62909</x:v>
      </x:c>
      <x:c r="H123" s="9" t="n">
        <x:v>7055</x:v>
      </x:c>
      <x:c r="I123" s="9" t="n">
        <x:v>468.9999999962747</x:v>
      </x:c>
      <x:c r="J123" s="9" t="n">
        <x:v>106.00000000372529</x:v>
      </x:c>
      <x:c r="K123" s="9" t="n">
        <x:f>F123+G123+I123+J123</x:f>
        <x:v>64301.999999996275</x:v>
      </x:c>
      <x:c r="L123" s="10" t="n">
        <x:f>K123/Sources!$B$4*1000</x:f>
        <x:v>17.963735614441575</x:v>
      </x:c>
      <x:c r="M123" s="10" t="n">
        <x:f>E123/Sources!$B$4*1000</x:f>
        <x:v>19.934656499637878</x:v>
      </x:c>
      <x:c r="N123" s="9" t="n">
        <x:f>Sources!$B$6-K123</x:f>
        <x:v>-4565.999999996275</x:v>
      </x:c>
      <x:c r="O123" s="1" t="str">
        <x:v>horizontal_normal_left</x:v>
      </x:c>
      <x:c r="P123" s="12" t="n">
        <x:v>-2</x:v>
      </x:c>
      <x:c r="Q123" s="12" t="n">
        <x:v>0</x:v>
      </x:c>
      <x:c r="R123" s="12" t="n">
        <x:v>1</x:v>
      </x:c>
      <x:c r="S123" s="12" t="n">
        <x:v>0</x:v>
      </x:c>
      <x:c r="T123" s="1" t="str">
        <x:v>No</x:v>
      </x:c>
      <x:c r="U123" s="1" t="n">
        <x:v>0</x:v>
      </x:c>
    </x:row>
    <x:row r="124" ht="23" customHeight="1">
      <x:c r="A124" s="9" t="n">
        <x:v>123</x:v>
      </x:c>
      <x:c r="B124" s="9" t="n">
        <x:v>280</x:v>
      </x:c>
      <x:c r="C124" s="9" t="n">
        <x:v>1032</x:v>
      </x:c>
      <x:c r="D124" s="9" t="n">
        <x:v>1</x:v>
      </x:c>
      <x:c r="E124" s="9" t="n">
        <x:v>71371</x:v>
      </x:c>
      <x:c r="F124" s="9" t="n">
        <x:v>818.0000000037253</x:v>
      </x:c>
      <x:c r="G124" s="9" t="n">
        <x:v>57475</x:v>
      </x:c>
      <x:c r="H124" s="9" t="n">
        <x:v>12495</x:v>
      </x:c>
      <x:c r="I124" s="9" t="n">
        <x:v>476.9999999962747</x:v>
      </x:c>
      <x:c r="J124" s="9" t="n">
        <x:v>106</x:v>
      </x:c>
      <x:c r="K124" s="9" t="n">
        <x:f>F124+G124+I124+J124</x:f>
        <x:v>58876</x:v>
      </x:c>
      <x:c r="L124" s="10" t="n">
        <x:f>K124/Sources!$B$4*1000</x:f>
        <x:v>16.4479005013207</x:v>
      </x:c>
      <x:c r="M124" s="10" t="n">
        <x:f>E124/Sources!$B$4*1000</x:f>
        <x:v>19.93856761124668</x:v>
      </x:c>
      <x:c r="N124" s="9" t="n">
        <x:f>Sources!$B$6-K124</x:f>
        <x:v>860</x:v>
      </x:c>
      <x:c r="O124" s="1" t="str">
        <x:v>horizontal_normal_left</x:v>
      </x:c>
      <x:c r="P124" s="12" t="n">
        <x:v>-1</x:v>
      </x:c>
      <x:c r="Q124" s="12" t="n">
        <x:v>0</x:v>
      </x:c>
      <x:c r="R124" s="12" t="n">
        <x:v>0</x:v>
      </x:c>
      <x:c r="S124" s="12" t="n">
        <x:v>0</x:v>
      </x:c>
      <x:c r="T124" s="1" t="str">
        <x:v>No</x:v>
      </x:c>
      <x:c r="U124" s="1" t="n">
        <x:v>0</x:v>
      </x:c>
    </x:row>
    <x:row r="125" ht="23" customHeight="1">
      <x:c r="A125" s="9" t="n">
        <x:v>124</x:v>
      </x:c>
      <x:c r="B125" s="9" t="n">
        <x:v>279</x:v>
      </x:c>
      <x:c r="C125" s="9" t="n">
        <x:v>1032</x:v>
      </x:c>
      <x:c r="D125" s="9" t="n">
        <x:v>1</x:v>
      </x:c>
      <x:c r="E125" s="9" t="n">
        <x:v>142721</x:v>
      </x:c>
      <x:c r="F125" s="9" t="n">
        <x:v>818.0000000037253</x:v>
      </x:c>
      <x:c r="G125" s="9" t="n">
        <x:v>102523</x:v>
      </x:c>
      <x:c r="H125" s="9" t="n">
        <x:v>38805</x:v>
      </x:c>
      <x:c r="I125" s="9" t="n">
        <x:v>468.9999999962747</x:v>
      </x:c>
      <x:c r="J125" s="9" t="n">
        <x:v>106</x:v>
      </x:c>
      <x:c r="K125" s="9" t="n">
        <x:f>F125+G125+I125+J125</x:f>
        <x:v>103916</x:v>
      </x:c>
      <x:c r="L125" s="10" t="n">
        <x:f>K125/Sources!$B$4*1000</x:f>
        <x:v>29.030505273714954</x:v>
      </x:c>
      <x:c r="M125" s="10" t="n">
        <x:f>E125/Sources!$B$4*1000</x:f>
        <x:v>39.87126855508172</x:v>
      </x:c>
      <x:c r="N125" s="9" t="n">
        <x:f>Sources!$B$6-K125</x:f>
        <x:v>-44180</x:v>
      </x:c>
      <x:c r="O125" s="1" t="str">
        <x:v>horizontal_normal_left</x:v>
      </x:c>
      <x:c r="P125" s="12" t="n">
        <x:v>-1</x:v>
      </x:c>
      <x:c r="Q125" s="12" t="n">
        <x:v>0</x:v>
      </x:c>
      <x:c r="R125" s="12" t="n">
        <x:v>7</x:v>
      </x:c>
      <x:c r="S125" s="12" t="n">
        <x:v>0</x:v>
      </x:c>
      <x:c r="T125" s="1" t="str">
        <x:v>Yes</x:v>
      </x:c>
      <x:c r="U125" s="1" t="n">
        <x:v>1</x:v>
      </x:c>
    </x:row>
    <x:row r="126" ht="23" customHeight="1">
      <x:c r="A126" s="9" t="n">
        <x:v>125</x:v>
      </x:c>
      <x:c r="B126" s="9" t="n">
        <x:v>277</x:v>
      </x:c>
      <x:c r="C126" s="9" t="n">
        <x:v>1032</x:v>
      </x:c>
      <x:c r="D126" s="9" t="n">
        <x:v>2</x:v>
      </x:c>
      <x:c r="E126" s="9" t="n">
        <x:v>142735.00000000373</x:v>
      </x:c>
      <x:c r="F126" s="9" t="n">
        <x:v>818.0000000037253</x:v>
      </x:c>
      <x:c r="G126" s="9" t="n">
        <x:v>81934</x:v>
      </x:c>
      <x:c r="H126" s="9" t="n">
        <x:v>59400.000000003725</x:v>
      </x:c>
      <x:c r="I126" s="9" t="n">
        <x:v>476.9999999962747</x:v>
      </x:c>
      <x:c r="J126" s="9" t="n">
        <x:v>106</x:v>
      </x:c>
      <x:c r="K126" s="9" t="n">
        <x:f>F126+G126+I126+J126</x:f>
        <x:v>83335</x:v>
      </x:c>
      <x:c r="L126" s="10" t="n">
        <x:f>K126/Sources!$B$4*1000</x:f>
        <x:v>23.280891845192617</x:v>
      </x:c>
      <x:c r="M126" s="10" t="n">
        <x:f>E126/Sources!$B$4*1000</x:f>
        <x:v>39.87517966669052</x:v>
      </x:c>
      <x:c r="N126" s="9" t="n">
        <x:f>Sources!$B$6-K126</x:f>
        <x:v>-23599</x:v>
      </x:c>
      <x:c r="O126" s="1" t="str">
        <x:v>horizontal_normal_left</x:v>
      </x:c>
      <x:c r="P126" s="12" t="n">
        <x:v>-2</x:v>
      </x:c>
      <x:c r="Q126" s="12" t="n">
        <x:v>0</x:v>
      </x:c>
      <x:c r="R126" s="12" t="n">
        <x:v>5</x:v>
      </x:c>
      <x:c r="S126" s="12" t="n">
        <x:v>0</x:v>
      </x:c>
      <x:c r="T126" s="1" t="str">
        <x:v>No</x:v>
      </x:c>
      <x:c r="U126" s="1" t="n">
        <x:v>1</x:v>
      </x:c>
    </x:row>
    <x:row r="127" ht="23" customHeight="1">
      <x:c r="A127" s="9" t="n">
        <x:v>126</x:v>
      </x:c>
      <x:c r="B127" s="9" t="n">
        <x:v>275</x:v>
      </x:c>
      <x:c r="C127" s="9" t="n">
        <x:v>1032</x:v>
      </x:c>
      <x:c r="D127" s="9" t="n">
        <x:v>2</x:v>
      </x:c>
      <x:c r="E127" s="9" t="n">
        <x:v>142720</x:v>
      </x:c>
      <x:c r="F127" s="9" t="n">
        <x:v>818</x:v>
      </x:c>
      <x:c r="G127" s="9" t="n">
        <x:v>71601.99999999627</x:v>
      </x:c>
      <x:c r="H127" s="9" t="n">
        <x:v>69725.00000000373</x:v>
      </x:c>
      <x:c r="I127" s="9" t="n">
        <x:v>469</x:v>
      </x:c>
      <x:c r="J127" s="9" t="n">
        <x:v>106</x:v>
      </x:c>
      <x:c r="K127" s="9" t="n">
        <x:f>F127+G127+I127+J127</x:f>
        <x:v>72994.99999999627</x:v>
      </x:c>
      <x:c r="L127" s="10" t="n">
        <x:f>K127/Sources!$B$4*1000</x:f>
        <x:v>20.392256557745824</x:v>
      </x:c>
      <x:c r="M127" s="10" t="n">
        <x:f>E127/Sources!$B$4*1000</x:f>
        <x:v>39.87098918996688</x:v>
      </x:c>
      <x:c r="N127" s="9" t="n">
        <x:f>Sources!$B$6-K127</x:f>
        <x:v>-13258.999999996275</x:v>
      </x:c>
      <x:c r="O127" s="1" t="str">
        <x:v>horizontal_normal_left</x:v>
      </x:c>
      <x:c r="P127" s="12" t="n">
        <x:v>-2</x:v>
      </x:c>
      <x:c r="Q127" s="12" t="n">
        <x:v>0</x:v>
      </x:c>
      <x:c r="R127" s="12" t="n">
        <x:v>3</x:v>
      </x:c>
      <x:c r="S127" s="12" t="n">
        <x:v>0</x:v>
      </x:c>
      <x:c r="T127" s="1" t="str">
        <x:v>No</x:v>
      </x:c>
      <x:c r="U127" s="1" t="n">
        <x:v>0</x:v>
      </x:c>
    </x:row>
    <x:row r="128" ht="23" customHeight="1">
      <x:c r="A128" s="9" t="n">
        <x:v>127</x:v>
      </x:c>
      <x:c r="B128" s="9" t="n">
        <x:v>273</x:v>
      </x:c>
      <x:c r="C128" s="9" t="n">
        <x:v>1032</x:v>
      </x:c>
      <x:c r="D128" s="9" t="n">
        <x:v>2</x:v>
      </x:c>
      <x:c r="E128" s="9" t="n">
        <x:v>71371</x:v>
      </x:c>
      <x:c r="F128" s="9" t="n">
        <x:v>817.9999999962747</x:v>
      </x:c>
      <x:c r="G128" s="9" t="n">
        <x:v>62950.000000003725</x:v>
      </x:c>
      <x:c r="H128" s="9" t="n">
        <x:v>7019.999999996275</x:v>
      </x:c>
      <x:c r="I128" s="9" t="n">
        <x:v>477.0000000037253</x:v>
      </x:c>
      <x:c r="J128" s="9" t="n">
        <x:v>106</x:v>
      </x:c>
      <x:c r="K128" s="9" t="n">
        <x:f>F128+G128+I128+J128</x:f>
        <x:v>64351.000000003725</x:v>
      </x:c>
      <x:c r="L128" s="10" t="n">
        <x:f>K128/Sources!$B$4*1000</x:f>
        <x:v>17.97742450507082</x:v>
      </x:c>
      <x:c r="M128" s="10" t="n">
        <x:f>E128/Sources!$B$4*1000</x:f>
        <x:v>19.93856761124668</x:v>
      </x:c>
      <x:c r="N128" s="9" t="n">
        <x:f>Sources!$B$6-K128</x:f>
        <x:v>-4615.000000003725</x:v>
      </x:c>
      <x:c r="O128" s="1" t="str">
        <x:v>horizontal_normal_left</x:v>
      </x:c>
      <x:c r="P128" s="12" t="n">
        <x:v>-2</x:v>
      </x:c>
      <x:c r="Q128" s="12" t="n">
        <x:v>0</x:v>
      </x:c>
      <x:c r="R128" s="12" t="n">
        <x:v>1</x:v>
      </x:c>
      <x:c r="S128" s="12" t="n">
        <x:v>0</x:v>
      </x:c>
      <x:c r="T128" s="1" t="str">
        <x:v>No</x:v>
      </x:c>
      <x:c r="U128" s="1" t="n">
        <x:v>0</x:v>
      </x:c>
    </x:row>
    <x:row r="129" ht="23" customHeight="1">
      <x:c r="A129" s="9" t="n">
        <x:v>128</x:v>
      </x:c>
      <x:c r="B129" s="9" t="n">
        <x:v>272</x:v>
      </x:c>
      <x:c r="C129" s="9" t="n">
        <x:v>1032</x:v>
      </x:c>
      <x:c r="D129" s="9" t="n">
        <x:v>1</x:v>
      </x:c>
      <x:c r="E129" s="9" t="n">
        <x:v>71357</x:v>
      </x:c>
      <x:c r="F129" s="9" t="n">
        <x:v>817.9999999962747</x:v>
      </x:c>
      <x:c r="G129" s="9" t="n">
        <x:v>57434.000000003725</x:v>
      </x:c>
      <x:c r="H129" s="9" t="n">
        <x:v>12530</x:v>
      </x:c>
      <x:c r="I129" s="9" t="n">
        <x:v>469</x:v>
      </x:c>
      <x:c r="J129" s="9" t="n">
        <x:v>106</x:v>
      </x:c>
      <x:c r="K129" s="9" t="n">
        <x:f>F129+G129+I129+J129</x:f>
        <x:v>58827</x:v>
      </x:c>
      <x:c r="L129" s="10" t="n">
        <x:f>K129/Sources!$B$4*1000</x:f>
        <x:v>16.434211610693538</x:v>
      </x:c>
      <x:c r="M129" s="10" t="n">
        <x:f>E129/Sources!$B$4*1000</x:f>
        <x:v>19.93465649963892</x:v>
      </x:c>
      <x:c r="N129" s="9" t="n">
        <x:f>Sources!$B$6-K129</x:f>
        <x:v>909</x:v>
      </x:c>
      <x:c r="O129" s="1" t="str">
        <x:v>horizontal_normal_left</x:v>
      </x:c>
      <x:c r="P129" s="12" t="n">
        <x:v>-1</x:v>
      </x:c>
      <x:c r="Q129" s="12" t="n">
        <x:v>0</x:v>
      </x:c>
      <x:c r="R129" s="12" t="n">
        <x:v>0</x:v>
      </x:c>
      <x:c r="S129" s="12" t="n">
        <x:v>0</x:v>
      </x:c>
      <x:c r="T129" s="1" t="str">
        <x:v>No</x:v>
      </x:c>
      <x:c r="U129" s="1" t="n">
        <x:v>0</x:v>
      </x:c>
    </x:row>
    <x:row r="130" ht="23" customHeight="1">
      <x:c r="A130" s="9" t="n">
        <x:v>129</x:v>
      </x:c>
      <x:c r="B130" s="9" t="n">
        <x:v>271</x:v>
      </x:c>
      <x:c r="C130" s="9" t="n">
        <x:v>1032</x:v>
      </x:c>
      <x:c r="D130" s="9" t="n">
        <x:v>1</x:v>
      </x:c>
      <x:c r="E130" s="9" t="n">
        <x:v>142735</x:v>
      </x:c>
      <x:c r="F130" s="9" t="n">
        <x:v>818</x:v>
      </x:c>
      <x:c r="G130" s="9" t="n">
        <x:v>102724</x:v>
      </x:c>
      <x:c r="H130" s="9" t="n">
        <x:v>38609.999999996275</x:v>
      </x:c>
      <x:c r="I130" s="9" t="n">
        <x:v>477.0000000037253</x:v>
      </x:c>
      <x:c r="J130" s="9" t="n">
        <x:v>106</x:v>
      </x:c>
      <x:c r="K130" s="9" t="n">
        <x:f>F130+G130+I130+J130</x:f>
        <x:v>104125.00000000373</x:v>
      </x:c>
      <x:c r="L130" s="10" t="n">
        <x:f>K130/Sources!$B$4*1000</x:f>
        <x:v>29.08889258271756</x:v>
      </x:c>
      <x:c r="M130" s="10" t="n">
        <x:f>E130/Sources!$B$4*1000</x:f>
        <x:v>39.875179666689476</x:v>
      </x:c>
      <x:c r="N130" s="9" t="n">
        <x:f>Sources!$B$6-K130</x:f>
        <x:v>-44389.000000003725</x:v>
      </x:c>
      <x:c r="O130" s="1" t="str">
        <x:v>horizontal_normal_left</x:v>
      </x:c>
      <x:c r="P130" s="12" t="n">
        <x:v>-1</x:v>
      </x:c>
      <x:c r="Q130" s="12" t="n">
        <x:v>0</x:v>
      </x:c>
      <x:c r="R130" s="12" t="n">
        <x:v>7</x:v>
      </x:c>
      <x:c r="S130" s="12" t="n">
        <x:v>0</x:v>
      </x:c>
      <x:c r="T130" s="1" t="str">
        <x:v>Yes</x:v>
      </x:c>
      <x:c r="U130" s="1" t="n">
        <x:v>1</x:v>
      </x:c>
    </x:row>
    <x:row r="131" ht="23" customHeight="1">
      <x:c r="A131" s="9" t="n">
        <x:v>130</x:v>
      </x:c>
      <x:c r="B131" s="9" t="n">
        <x:v>269</x:v>
      </x:c>
      <x:c r="C131" s="9" t="n">
        <x:v>1032</x:v>
      </x:c>
      <x:c r="D131" s="9" t="n">
        <x:v>2</x:v>
      </x:c>
      <x:c r="E131" s="9" t="n">
        <x:v>142721</x:v>
      </x:c>
      <x:c r="F131" s="9" t="n">
        <x:v>817.9999999962747</x:v>
      </x:c>
      <x:c r="G131" s="9" t="n">
        <x:v>81733</x:v>
      </x:c>
      <x:c r="H131" s="9" t="n">
        <x:v>59595</x:v>
      </x:c>
      <x:c r="I131" s="9" t="n">
        <x:v>469.0000000037253</x:v>
      </x:c>
      <x:c r="J131" s="9" t="n">
        <x:v>106</x:v>
      </x:c>
      <x:c r="K131" s="9" t="n">
        <x:f>F131+G131+I131+J131</x:f>
        <x:v>83126</x:v>
      </x:c>
      <x:c r="L131" s="10" t="n">
        <x:f>K131/Sources!$B$4*1000</x:f>
        <x:v>23.22250453619105</x:v>
      </x:c>
      <x:c r="M131" s="10" t="n">
        <x:f>E131/Sources!$B$4*1000</x:f>
        <x:v>39.87126855508172</x:v>
      </x:c>
      <x:c r="N131" s="9" t="n">
        <x:f>Sources!$B$6-K131</x:f>
        <x:v>-23390</x:v>
      </x:c>
      <x:c r="O131" s="1" t="str">
        <x:v>horizontal_normal_left</x:v>
      </x:c>
      <x:c r="P131" s="12" t="n">
        <x:v>-2</x:v>
      </x:c>
      <x:c r="Q131" s="12" t="n">
        <x:v>0</x:v>
      </x:c>
      <x:c r="R131" s="12" t="n">
        <x:v>5</x:v>
      </x:c>
      <x:c r="S131" s="12" t="n">
        <x:v>0</x:v>
      </x:c>
      <x:c r="T131" s="1" t="str">
        <x:v>No</x:v>
      </x:c>
      <x:c r="U131" s="1" t="n">
        <x:v>1</x:v>
      </x:c>
    </x:row>
    <x:row r="132" ht="23" customHeight="1">
      <x:c r="A132" s="9" t="n">
        <x:v>131</x:v>
      </x:c>
      <x:c r="B132" s="9" t="n">
        <x:v>267</x:v>
      </x:c>
      <x:c r="C132" s="9" t="n">
        <x:v>1032</x:v>
      </x:c>
      <x:c r="D132" s="9" t="n">
        <x:v>2</x:v>
      </x:c>
      <x:c r="E132" s="9" t="n">
        <x:v>142734</x:v>
      </x:c>
      <x:c r="F132" s="9" t="n">
        <x:v>817.9999999962747</x:v>
      </x:c>
      <x:c r="G132" s="9" t="n">
        <x:v>71642.99999999627</x:v>
      </x:c>
      <x:c r="H132" s="9" t="n">
        <x:v>69690</x:v>
      </x:c>
      <x:c r="I132" s="9" t="n">
        <x:v>477.0000000037253</x:v>
      </x:c>
      <x:c r="J132" s="9" t="n">
        <x:v>106.00000000372529</x:v>
      </x:c>
      <x:c r="K132" s="9" t="n">
        <x:f>F132+G132+I132+J132</x:f>
        <x:v>73044</x:v>
      </x:c>
      <x:c r="L132" s="10" t="n">
        <x:f>K132/Sources!$B$4*1000</x:f>
        <x:v>20.405945448374023</x:v>
      </x:c>
      <x:c r="M132" s="10" t="n">
        <x:f>E132/Sources!$B$4*1000</x:f>
        <x:v>39.87490030157464</x:v>
      </x:c>
      <x:c r="N132" s="9" t="n">
        <x:f>Sources!$B$6-K132</x:f>
        <x:v>-13308</x:v>
      </x:c>
      <x:c r="O132" s="1" t="str">
        <x:v>horizontal_normal_left</x:v>
      </x:c>
      <x:c r="P132" s="12" t="n">
        <x:v>-2</x:v>
      </x:c>
      <x:c r="Q132" s="12" t="n">
        <x:v>0</x:v>
      </x:c>
      <x:c r="R132" s="12" t="n">
        <x:v>3</x:v>
      </x:c>
      <x:c r="S132" s="12" t="n">
        <x:v>0</x:v>
      </x:c>
      <x:c r="T132" s="1" t="str">
        <x:v>No</x:v>
      </x:c>
      <x:c r="U132" s="1" t="n">
        <x:v>0</x:v>
      </x:c>
    </x:row>
    <x:row r="133" ht="23" customHeight="1">
      <x:c r="A133" s="9" t="n">
        <x:v>132</x:v>
      </x:c>
      <x:c r="B133" s="9" t="n">
        <x:v>265</x:v>
      </x:c>
      <x:c r="C133" s="9" t="n">
        <x:v>1032</x:v>
      </x:c>
      <x:c r="D133" s="9" t="n">
        <x:v>2</x:v>
      </x:c>
      <x:c r="E133" s="9" t="n">
        <x:v>71356.99999999627</x:v>
      </x:c>
      <x:c r="F133" s="9" t="n">
        <x:v>818</x:v>
      </x:c>
      <x:c r="G133" s="9" t="n">
        <x:v>62908.999999996275</x:v>
      </x:c>
      <x:c r="H133" s="9" t="n">
        <x:v>7055.000000003725</x:v>
      </x:c>
      <x:c r="I133" s="9" t="n">
        <x:v>468.9999999962747</x:v>
      </x:c>
      <x:c r="J133" s="9" t="n">
        <x:v>106</x:v>
      </x:c>
      <x:c r="K133" s="9" t="n">
        <x:f>F133+G133+I133+J133</x:f>
        <x:v>64301.99999999255</x:v>
      </x:c>
      <x:c r="L133" s="10" t="n">
        <x:f>K133/Sources!$B$4*1000</x:f>
        <x:v>17.963735614440534</x:v>
      </x:c>
      <x:c r="M133" s="10" t="n">
        <x:f>E133/Sources!$B$4*1000</x:f>
        <x:v>19.934656499637878</x:v>
      </x:c>
      <x:c r="N133" s="9" t="n">
        <x:f>Sources!$B$6-K133</x:f>
        <x:v>-4565.999999992549</x:v>
      </x:c>
      <x:c r="O133" s="1" t="str">
        <x:v>horizontal_normal_left</x:v>
      </x:c>
      <x:c r="P133" s="12" t="n">
        <x:v>-2</x:v>
      </x:c>
      <x:c r="Q133" s="12" t="n">
        <x:v>0</x:v>
      </x:c>
      <x:c r="R133" s="12" t="n">
        <x:v>1</x:v>
      </x:c>
      <x:c r="S133" s="12" t="n">
        <x:v>0</x:v>
      </x:c>
      <x:c r="T133" s="1" t="str">
        <x:v>No</x:v>
      </x:c>
      <x:c r="U133" s="1" t="n">
        <x:v>0</x:v>
      </x:c>
    </x:row>
    <x:row r="134" ht="23" customHeight="1">
      <x:c r="A134" s="9" t="n">
        <x:v>133</x:v>
      </x:c>
      <x:c r="B134" s="9" t="n">
        <x:v>265</x:v>
      </x:c>
      <x:c r="C134" s="9" t="n">
        <x:v>1031</x:v>
      </x:c>
      <x:c r="D134" s="9" t="n">
        <x:v>1</x:v>
      </x:c>
      <x:c r="E134" s="9" t="n">
        <x:v>142735.00000000373</x:v>
      </x:c>
      <x:c r="F134" s="9" t="n">
        <x:v>818.0000000037253</x:v>
      </x:c>
      <x:c r="G134" s="9" t="n">
        <x:v>91983.99999999627</x:v>
      </x:c>
      <x:c r="H134" s="9" t="n">
        <x:v>49350.000000003725</x:v>
      </x:c>
      <x:c r="I134" s="9" t="n">
        <x:v>476.9999999962747</x:v>
      </x:c>
      <x:c r="J134" s="9" t="n">
        <x:v>106.00000000372529</x:v>
      </x:c>
      <x:c r="K134" s="9" t="n">
        <x:f>F134+G134+I134+J134</x:f>
        <x:v>93385</x:v>
      </x:c>
      <x:c r="L134" s="10" t="n">
        <x:f>K134/Sources!$B$4*1000</x:f>
        <x:v>26.08851124933476</x:v>
      </x:c>
      <x:c r="M134" s="10" t="n">
        <x:f>E134/Sources!$B$4*1000</x:f>
        <x:v>39.87517966669052</x:v>
      </x:c>
      <x:c r="N134" s="9" t="n">
        <x:f>Sources!$B$6-K134</x:f>
        <x:v>-33649</x:v>
      </x:c>
      <x:c r="O134" s="1" t="str">
        <x:v>vertical_normal_up</x:v>
      </x:c>
      <x:c r="P134" s="12" t="n">
        <x:v>0</x:v>
      </x:c>
      <x:c r="Q134" s="12" t="n">
        <x:v>-1</x:v>
      </x:c>
      <x:c r="R134" s="12" t="n">
        <x:v>1</x:v>
      </x:c>
      <x:c r="S134" s="12" t="n">
        <x:v>7</x:v>
      </x:c>
      <x:c r="T134" s="1" t="str">
        <x:v>Yes</x:v>
      </x:c>
      <x:c r="U134" s="1" t="n">
        <x:v>1</x:v>
      </x:c>
    </x:row>
    <x:row r="135" ht="23" customHeight="1">
      <x:c r="A135" s="9" t="n">
        <x:v>134</x:v>
      </x:c>
      <x:c r="B135" s="9" t="n">
        <x:v>265</x:v>
      </x:c>
      <x:c r="C135" s="9" t="n">
        <x:v>1029</x:v>
      </x:c>
      <x:c r="D135" s="9" t="n">
        <x:v>2</x:v>
      </x:c>
      <x:c r="E135" s="9" t="n">
        <x:v>71360</x:v>
      </x:c>
      <x:c r="F135" s="9" t="n">
        <x:v>818</x:v>
      </x:c>
      <x:c r="G135" s="9" t="n">
        <x:v>58696.99999999255</x:v>
      </x:c>
      <x:c r="H135" s="9" t="n">
        <x:v>11270.00000000745</x:v>
      </x:c>
      <x:c r="I135" s="9" t="n">
        <x:v>469</x:v>
      </x:c>
      <x:c r="J135" s="9" t="n">
        <x:v>106</x:v>
      </x:c>
      <x:c r="K135" s="9" t="n">
        <x:f>F135+G135+I135+J135</x:f>
        <x:v>60089.99999999255</x:v>
      </x:c>
      <x:c r="L135" s="10" t="n">
        <x:f>K135/Sources!$B$4*1000</x:f>
        <x:v>16.787049750734393</x:v>
      </x:c>
      <x:c r="M135" s="10" t="n">
        <x:f>E135/Sources!$B$4*1000</x:f>
        <x:v>19.93549459498344</x:v>
      </x:c>
      <x:c r="N135" s="9" t="n">
        <x:f>Sources!$B$6-K135</x:f>
        <x:v>-353.9999999925494</x:v>
      </x:c>
      <x:c r="O135" s="1" t="str">
        <x:v>vertical_normal_up</x:v>
      </x:c>
      <x:c r="P135" s="12" t="n">
        <x:v>0</x:v>
      </x:c>
      <x:c r="Q135" s="12" t="n">
        <x:v>-2</x:v>
      </x:c>
      <x:c r="R135" s="12" t="n">
        <x:v>1</x:v>
      </x:c>
      <x:c r="S135" s="12" t="n">
        <x:v>5</x:v>
      </x:c>
      <x:c r="T135" s="1" t="str">
        <x:v>No</x:v>
      </x:c>
      <x:c r="U135" s="1" t="n">
        <x:v>1</x:v>
      </x:c>
    </x:row>
    <x:row r="136" ht="23" customHeight="1">
      <x:c r="A136" s="9" t="n">
        <x:v>135</x:v>
      </x:c>
      <x:c r="B136" s="9" t="n">
        <x:v>265</x:v>
      </x:c>
      <x:c r="C136" s="9" t="n">
        <x:v>1028</x:v>
      </x:c>
      <x:c r="D136" s="9" t="n">
        <x:v>1</x:v>
      </x:c>
      <x:c r="E136" s="9" t="n">
        <x:v>71371</x:v>
      </x:c>
      <x:c r="F136" s="9" t="n">
        <x:v>818</x:v>
      </x:c>
      <x:c r="G136" s="9" t="n">
        <x:v>56595</x:v>
      </x:c>
      <x:c r="H136" s="9" t="n">
        <x:v>13375</x:v>
      </x:c>
      <x:c r="I136" s="9" t="n">
        <x:v>477</x:v>
      </x:c>
      <x:c r="J136" s="9" t="n">
        <x:v>106</x:v>
      </x:c>
      <x:c r="K136" s="9" t="n">
        <x:f>F136+G136+I136+J136</x:f>
        <x:v>57996</x:v>
      </x:c>
      <x:c r="L136" s="10" t="n">
        <x:f>K136/Sources!$B$4*1000</x:f>
        <x:v>16.202059200261484</x:v>
      </x:c>
      <x:c r="M136" s="10" t="n">
        <x:f>E136/Sources!$B$4*1000</x:f>
        <x:v>19.93856761124668</x:v>
      </x:c>
      <x:c r="N136" s="9" t="n">
        <x:f>Sources!$B$6-K136</x:f>
        <x:v>1740</x:v>
      </x:c>
      <x:c r="O136" s="1" t="str">
        <x:v>vertical_normal_up</x:v>
      </x:c>
      <x:c r="P136" s="12" t="n">
        <x:v>0</x:v>
      </x:c>
      <x:c r="Q136" s="12" t="n">
        <x:v>-1</x:v>
      </x:c>
      <x:c r="R136" s="12" t="n">
        <x:v>1</x:v>
      </x:c>
      <x:c r="S136" s="12" t="n">
        <x:v>4</x:v>
      </x:c>
      <x:c r="T136" s="1" t="str">
        <x:v>No</x:v>
      </x:c>
      <x:c r="U136" s="1" t="n">
        <x:v>0</x:v>
      </x:c>
    </x:row>
    <x:row r="137" ht="23" customHeight="1">
      <x:c r="A137" s="9" t="n">
        <x:v>136</x:v>
      </x:c>
      <x:c r="B137" s="9" t="n">
        <x:v>265</x:v>
      </x:c>
      <x:c r="C137" s="9" t="n">
        <x:v>1027</x:v>
      </x:c>
      <x:c r="D137" s="9" t="n">
        <x:v>1</x:v>
      </x:c>
      <x:c r="E137" s="9" t="n">
        <x:v>71354</x:v>
      </x:c>
      <x:c r="F137" s="9" t="n">
        <x:v>818</x:v>
      </x:c>
      <x:c r="G137" s="9" t="n">
        <x:v>58206</x:v>
      </x:c>
      <x:c r="H137" s="9" t="n">
        <x:v>11755</x:v>
      </x:c>
      <x:c r="I137" s="9" t="n">
        <x:v>469</x:v>
      </x:c>
      <x:c r="J137" s="9" t="n">
        <x:v>106</x:v>
      </x:c>
      <x:c r="K137" s="9" t="n">
        <x:f>F137+G137+I137+J137</x:f>
        <x:v>59599</x:v>
      </x:c>
      <x:c r="L137" s="10" t="n">
        <x:f>K137/Sources!$B$4*1000</x:f>
        <x:v>16.64988147935003</x:v>
      </x:c>
      <x:c r="M137" s="10" t="n">
        <x:f>E137/Sources!$B$4*1000</x:f>
        <x:v>19.9338184042944</x:v>
      </x:c>
      <x:c r="N137" s="9" t="n">
        <x:f>Sources!$B$6-K137</x:f>
        <x:v>137</x:v>
      </x:c>
      <x:c r="O137" s="1" t="str">
        <x:v>vertical_normal_up</x:v>
      </x:c>
      <x:c r="P137" s="12" t="n">
        <x:v>0</x:v>
      </x:c>
      <x:c r="Q137" s="12" t="n">
        <x:v>-1</x:v>
      </x:c>
      <x:c r="R137" s="12" t="n">
        <x:v>1</x:v>
      </x:c>
      <x:c r="S137" s="12" t="n">
        <x:v>3</x:v>
      </x:c>
      <x:c r="T137" s="1" t="str">
        <x:v>No</x:v>
      </x:c>
      <x:c r="U137" s="1" t="n">
        <x:v>0</x:v>
      </x:c>
    </x:row>
    <x:row r="138" ht="23" customHeight="1">
      <x:c r="A138" s="9" t="n">
        <x:v>137</x:v>
      </x:c>
      <x:c r="B138" s="9" t="n">
        <x:v>265</x:v>
      </x:c>
      <x:c r="C138" s="9" t="n">
        <x:v>1026</x:v>
      </x:c>
      <x:c r="D138" s="9" t="n">
        <x:v>1</x:v>
      </x:c>
      <x:c r="E138" s="9" t="n">
        <x:v>71372</x:v>
      </x:c>
      <x:c r="F138" s="9" t="n">
        <x:v>818</x:v>
      </x:c>
      <x:c r="G138" s="9" t="n">
        <x:v>57531</x:v>
      </x:c>
      <x:c r="H138" s="9" t="n">
        <x:v>12440</x:v>
      </x:c>
      <x:c r="I138" s="9" t="n">
        <x:v>477</x:v>
      </x:c>
      <x:c r="J138" s="9" t="n">
        <x:v>106</x:v>
      </x:c>
      <x:c r="K138" s="9" t="n">
        <x:f>F138+G138+I138+J138</x:f>
        <x:v>58932</x:v>
      </x:c>
      <x:c r="L138" s="10" t="n">
        <x:f>K138/Sources!$B$4*1000</x:f>
        <x:v>16.46354494775174</x:v>
      </x:c>
      <x:c r="M138" s="10" t="n">
        <x:f>E138/Sources!$B$4*1000</x:f>
        <x:v>19.93884697636152</x:v>
      </x:c>
      <x:c r="N138" s="9" t="n">
        <x:f>Sources!$B$6-K138</x:f>
        <x:v>804</x:v>
      </x:c>
      <x:c r="O138" s="1" t="str">
        <x:v>vertical_normal_up</x:v>
      </x:c>
      <x:c r="P138" s="12" t="n">
        <x:v>0</x:v>
      </x:c>
      <x:c r="Q138" s="12" t="n">
        <x:v>-1</x:v>
      </x:c>
      <x:c r="R138" s="12" t="n">
        <x:v>1</x:v>
      </x:c>
      <x:c r="S138" s="12" t="n">
        <x:v>2</x:v>
      </x:c>
      <x:c r="T138" s="1" t="str">
        <x:v>No</x:v>
      </x:c>
      <x:c r="U138" s="1" t="n">
        <x:v>0</x:v>
      </x:c>
    </x:row>
    <x:row r="139" ht="23" customHeight="1">
      <x:c r="A139" s="9" t="n">
        <x:v>138</x:v>
      </x:c>
      <x:c r="B139" s="9" t="n">
        <x:v>265</x:v>
      </x:c>
      <x:c r="C139" s="9" t="n">
        <x:v>1025</x:v>
      </x:c>
      <x:c r="D139" s="9" t="n">
        <x:v>1</x:v>
      </x:c>
      <x:c r="E139" s="9" t="n">
        <x:v>71358</x:v>
      </x:c>
      <x:c r="F139" s="9" t="n">
        <x:v>817.9999999925494</x:v>
      </x:c>
      <x:c r="G139" s="9" t="n">
        <x:v>55350.00000000745</x:v>
      </x:c>
      <x:c r="H139" s="9" t="n">
        <x:v>14615</x:v>
      </x:c>
      <x:c r="I139" s="9" t="n">
        <x:v>469</x:v>
      </x:c>
      <x:c r="J139" s="9" t="n">
        <x:v>106</x:v>
      </x:c>
      <x:c r="K139" s="9" t="n">
        <x:f>F139+G139+I139+J139</x:f>
        <x:v>56743</x:v>
      </x:c>
      <x:c r="L139" s="10" t="n">
        <x:f>K139/Sources!$B$4*1000</x:f>
        <x:v>15.85201471136695</x:v>
      </x:c>
      <x:c r="M139" s="10" t="n">
        <x:f>E139/Sources!$B$4*1000</x:f>
        <x:v>19.934935864753758</x:v>
      </x:c>
      <x:c r="N139" s="9" t="n">
        <x:f>Sources!$B$6-K139</x:f>
        <x:v>2993</x:v>
      </x:c>
      <x:c r="O139" s="1" t="str">
        <x:v>vertical_normal_up</x:v>
      </x:c>
      <x:c r="P139" s="12" t="n">
        <x:v>0</x:v>
      </x:c>
      <x:c r="Q139" s="12" t="n">
        <x:v>-1</x:v>
      </x:c>
      <x:c r="R139" s="12" t="n">
        <x:v>1</x:v>
      </x:c>
      <x:c r="S139" s="12" t="n">
        <x:v>1</x:v>
      </x:c>
      <x:c r="T139" s="1" t="str">
        <x:v>No</x:v>
      </x:c>
      <x:c r="U139" s="1" t="n">
        <x:v>0</x:v>
      </x:c>
    </x:row>
    <x:row r="140" ht="23" customHeight="1">
      <x:c r="A140" s="9" t="n">
        <x:v>139</x:v>
      </x:c>
      <x:c r="B140" s="9" t="n">
        <x:v>265</x:v>
      </x:c>
      <x:c r="C140" s="9" t="n">
        <x:v>1024</x:v>
      </x:c>
      <x:c r="D140" s="9" t="n">
        <x:v>1</x:v>
      </x:c>
      <x:c r="E140" s="9" t="n">
        <x:v>71371.99999999255</x:v>
      </x:c>
      <x:c r="F140" s="9" t="n">
        <x:v>817.9999999925494</x:v>
      </x:c>
      <x:c r="G140" s="9" t="n">
        <x:v>55491</x:v>
      </x:c>
      <x:c r="H140" s="9" t="n">
        <x:v>14480</x:v>
      </x:c>
      <x:c r="I140" s="9" t="n">
        <x:v>477</x:v>
      </x:c>
      <x:c r="J140" s="9" t="n">
        <x:v>106</x:v>
      </x:c>
      <x:c r="K140" s="9" t="n">
        <x:f>F140+G140+I140+J140</x:f>
        <x:v>56891.99999999255</x:v>
      </x:c>
      <x:c r="L140" s="10" t="n">
        <x:f>K140/Sources!$B$4*1000</x:f>
        <x:v>15.893640113476028</x:v>
      </x:c>
      <x:c r="M140" s="10" t="n">
        <x:f>E140/Sources!$B$4*1000</x:f>
        <x:v>19.93884697635944</x:v>
      </x:c>
      <x:c r="N140" s="9" t="n">
        <x:f>Sources!$B$6-K140</x:f>
        <x:v>2844.0000000074506</x:v>
      </x:c>
      <x:c r="O140" s="1" t="str">
        <x:v>vertical_normal_up</x:v>
      </x:c>
      <x:c r="P140" s="12" t="n">
        <x:v>0</x:v>
      </x:c>
      <x:c r="Q140" s="12" t="n">
        <x:v>-1</x:v>
      </x:c>
      <x:c r="R140" s="12" t="n">
        <x:v>1</x:v>
      </x:c>
      <x:c r="S140" s="12" t="n">
        <x:v>0</x:v>
      </x:c>
      <x:c r="T140" s="1" t="str">
        <x:v>No</x:v>
      </x:c>
      <x:c r="U140" s="1" t="n">
        <x:v>0</x:v>
      </x:c>
    </x:row>
    <x:row r="141" ht="23" customHeight="1">
      <x:c r="A141" s="9" t="n">
        <x:v>140</x:v>
      </x:c>
      <x:c r="B141" s="9" t="n">
        <x:v>265</x:v>
      </x:c>
      <x:c r="C141" s="9" t="n">
        <x:v>1023</x:v>
      </x:c>
      <x:c r="D141" s="9" t="n">
        <x:v>1</x:v>
      </x:c>
      <x:c r="E141" s="9" t="n">
        <x:v>142721.00000000745</x:v>
      </x:c>
      <x:c r="F141" s="9" t="n">
        <x:v>818.0000000074506</x:v>
      </x:c>
      <x:c r="G141" s="9" t="n">
        <x:v>76453</x:v>
      </x:c>
      <x:c r="H141" s="9" t="n">
        <x:v>64875</x:v>
      </x:c>
      <x:c r="I141" s="9" t="n">
        <x:v>469</x:v>
      </x:c>
      <x:c r="J141" s="9" t="n">
        <x:v>106</x:v>
      </x:c>
      <x:c r="K141" s="9" t="n">
        <x:f>F141+G141+I141+J141</x:f>
        <x:v>77846.00000000745</x:v>
      </x:c>
      <x:c r="L141" s="10" t="n">
        <x:f>K141/Sources!$B$4*1000</x:f>
        <x:v>21.747456729837854</x:v>
      </x:c>
      <x:c r="M141" s="10" t="n">
        <x:f>E141/Sources!$B$4*1000</x:f>
        <x:v>39.8712685550838</x:v>
      </x:c>
      <x:c r="N141" s="9" t="n">
        <x:f>Sources!$B$6-K141</x:f>
        <x:v>-18110.00000000745</x:v>
      </x:c>
      <x:c r="O141" s="1" t="str">
        <x:v>vertical_normal_up</x:v>
      </x:c>
      <x:c r="P141" s="12" t="n">
        <x:v>0</x:v>
      </x:c>
      <x:c r="Q141" s="12" t="n">
        <x:v>-1</x:v>
      </x:c>
      <x:c r="R141" s="12" t="n">
        <x:v>1</x:v>
      </x:c>
      <x:c r="S141" s="12" t="n">
        <x:v>7</x:v>
      </x:c>
      <x:c r="T141" s="1" t="str">
        <x:v>Yes</x:v>
      </x:c>
      <x:c r="U141" s="1" t="n">
        <x:v>1</x:v>
      </x:c>
    </x:row>
    <x:row r="142" ht="23" customHeight="1">
      <x:c r="A142" s="9" t="n">
        <x:v>141</x:v>
      </x:c>
      <x:c r="B142" s="9" t="n">
        <x:v>265</x:v>
      </x:c>
      <x:c r="C142" s="9" t="n">
        <x:v>1021</x:v>
      </x:c>
      <x:c r="D142" s="9" t="n">
        <x:v>2</x:v>
      </x:c>
      <x:c r="E142" s="9" t="n">
        <x:v>71369</x:v>
      </x:c>
      <x:c r="F142" s="9" t="n">
        <x:v>818</x:v>
      </x:c>
      <x:c r="G142" s="9" t="n">
        <x:v>58733</x:v>
      </x:c>
      <x:c r="H142" s="9" t="n">
        <x:v>11235</x:v>
      </x:c>
      <x:c r="I142" s="9" t="n">
        <x:v>476.9999999925494</x:v>
      </x:c>
      <x:c r="J142" s="9" t="n">
        <x:v>106.00000000745058</x:v>
      </x:c>
      <x:c r="K142" s="9" t="n">
        <x:f>F142+G142+I142+J142</x:f>
        <x:v>60134</x:v>
      </x:c>
      <x:c r="L142" s="10" t="n">
        <x:f>K142/Sources!$B$4*1000</x:f>
        <x:v>16.79934181578944</x:v>
      </x:c>
      <x:c r="M142" s="10" t="n">
        <x:f>E142/Sources!$B$4*1000</x:f>
        <x:v>19.938008881016998</x:v>
      </x:c>
      <x:c r="N142" s="9" t="n">
        <x:f>Sources!$B$6-K142</x:f>
        <x:v>-398</x:v>
      </x:c>
      <x:c r="O142" s="1" t="str">
        <x:v>vertical_normal_up</x:v>
      </x:c>
      <x:c r="P142" s="12" t="n">
        <x:v>0</x:v>
      </x:c>
      <x:c r="Q142" s="12" t="n">
        <x:v>-2</x:v>
      </x:c>
      <x:c r="R142" s="12" t="n">
        <x:v>1</x:v>
      </x:c>
      <x:c r="S142" s="12" t="n">
        <x:v>5</x:v>
      </x:c>
      <x:c r="T142" s="1" t="str">
        <x:v>No</x:v>
      </x:c>
      <x:c r="U142" s="1" t="n">
        <x:v>1</x:v>
      </x:c>
    </x:row>
    <x:row r="143" ht="23" customHeight="1">
      <x:c r="A143" s="9" t="n">
        <x:v>142</x:v>
      </x:c>
      <x:c r="B143" s="9" t="n">
        <x:v>265</x:v>
      </x:c>
      <x:c r="C143" s="9" t="n">
        <x:v>1020</x:v>
      </x:c>
      <x:c r="D143" s="9" t="n">
        <x:v>1</x:v>
      </x:c>
      <x:c r="E143" s="9" t="n">
        <x:v>71357</x:v>
      </x:c>
      <x:c r="F143" s="9" t="n">
        <x:v>818</x:v>
      </x:c>
      <x:c r="G143" s="9" t="n">
        <x:v>56573.99999999255</x:v>
      </x:c>
      <x:c r="H143" s="9" t="n">
        <x:v>13390.00000000745</x:v>
      </x:c>
      <x:c r="I143" s="9" t="n">
        <x:v>469</x:v>
      </x:c>
      <x:c r="J143" s="9" t="n">
        <x:v>106</x:v>
      </x:c>
      <x:c r="K143" s="9" t="n">
        <x:f>F143+G143+I143+J143</x:f>
        <x:v>57966.99999999255</x:v>
      </x:c>
      <x:c r="L143" s="10" t="n">
        <x:f>K143/Sources!$B$4*1000</x:f>
        <x:v>16.193957611929044</x:v>
      </x:c>
      <x:c r="M143" s="10" t="n">
        <x:f>E143/Sources!$B$4*1000</x:f>
        <x:v>19.93465649963892</x:v>
      </x:c>
      <x:c r="N143" s="9" t="n">
        <x:f>Sources!$B$6-K143</x:f>
        <x:v>1769.0000000074506</x:v>
      </x:c>
      <x:c r="O143" s="1" t="str">
        <x:v>vertical_normal_up</x:v>
      </x:c>
      <x:c r="P143" s="12" t="n">
        <x:v>0</x:v>
      </x:c>
      <x:c r="Q143" s="12" t="n">
        <x:v>-1</x:v>
      </x:c>
      <x:c r="R143" s="12" t="n">
        <x:v>1</x:v>
      </x:c>
      <x:c r="S143" s="12" t="n">
        <x:v>4</x:v>
      </x:c>
      <x:c r="T143" s="1" t="str">
        <x:v>No</x:v>
      </x:c>
      <x:c r="U143" s="1" t="n">
        <x:v>0</x:v>
      </x:c>
    </x:row>
    <x:row r="144" ht="23" customHeight="1">
      <x:c r="A144" s="9" t="n">
        <x:v>143</x:v>
      </x:c>
      <x:c r="B144" s="9" t="n">
        <x:v>265</x:v>
      </x:c>
      <x:c r="C144" s="9" t="n">
        <x:v>1019</x:v>
      </x:c>
      <x:c r="D144" s="9" t="n">
        <x:v>1</x:v>
      </x:c>
      <x:c r="E144" s="9" t="n">
        <x:v>71373</x:v>
      </x:c>
      <x:c r="F144" s="9" t="n">
        <x:v>817.9999999925494</x:v>
      </x:c>
      <x:c r="G144" s="9" t="n">
        <x:v>58227.00000000745</x:v>
      </x:c>
      <x:c r="H144" s="9" t="n">
        <x:v>11745</x:v>
      </x:c>
      <x:c r="I144" s="9" t="n">
        <x:v>477</x:v>
      </x:c>
      <x:c r="J144" s="9" t="n">
        <x:v>106</x:v>
      </x:c>
      <x:c r="K144" s="9" t="n">
        <x:f>F144+G144+I144+J144</x:f>
        <x:v>59628</x:v>
      </x:c>
      <x:c r="L144" s="10" t="n">
        <x:f>K144/Sources!$B$4*1000</x:f>
        <x:v>16.65798306768039</x:v>
      </x:c>
      <x:c r="M144" s="10" t="n">
        <x:f>E144/Sources!$B$4*1000</x:f>
        <x:v>19.939126341476364</x:v>
      </x:c>
      <x:c r="N144" s="9" t="n">
        <x:f>Sources!$B$6-K144</x:f>
        <x:v>108</x:v>
      </x:c>
      <x:c r="O144" s="1" t="str">
        <x:v>vertical_normal_up</x:v>
      </x:c>
      <x:c r="P144" s="12" t="n">
        <x:v>0</x:v>
      </x:c>
      <x:c r="Q144" s="12" t="n">
        <x:v>-1</x:v>
      </x:c>
      <x:c r="R144" s="12" t="n">
        <x:v>1</x:v>
      </x:c>
      <x:c r="S144" s="12" t="n">
        <x:v>3</x:v>
      </x:c>
      <x:c r="T144" s="1" t="str">
        <x:v>No</x:v>
      </x:c>
      <x:c r="U144" s="1" t="n">
        <x:v>0</x:v>
      </x:c>
    </x:row>
    <x:row r="145" ht="23" customHeight="1">
      <x:c r="A145" s="9" t="n">
        <x:v>144</x:v>
      </x:c>
      <x:c r="B145" s="9" t="n">
        <x:v>265</x:v>
      </x:c>
      <x:c r="C145" s="9" t="n">
        <x:v>1018</x:v>
      </x:c>
      <x:c r="D145" s="9" t="n">
        <x:v>1</x:v>
      </x:c>
      <x:c r="E145" s="9" t="n">
        <x:v>71353</x:v>
      </x:c>
      <x:c r="F145" s="9" t="n">
        <x:v>818</x:v>
      </x:c>
      <x:c r="G145" s="9" t="n">
        <x:v>57510</x:v>
      </x:c>
      <x:c r="H145" s="9" t="n">
        <x:v>12449.99999999255</x:v>
      </x:c>
      <x:c r="I145" s="9" t="n">
        <x:v>469.0000000074506</x:v>
      </x:c>
      <x:c r="J145" s="9" t="n">
        <x:v>106</x:v>
      </x:c>
      <x:c r="K145" s="9" t="n">
        <x:f>F145+G145+I145+J145</x:f>
        <x:v>58903.00000000745</x:v>
      </x:c>
      <x:c r="L145" s="10" t="n">
        <x:f>K145/Sources!$B$4*1000</x:f>
        <x:v>16.45544335942346</x:v>
      </x:c>
      <x:c r="M145" s="10" t="n">
        <x:f>E145/Sources!$B$4*1000</x:f>
        <x:v>19.93353903917956</x:v>
      </x:c>
      <x:c r="N145" s="9" t="n">
        <x:f>Sources!$B$6-K145</x:f>
        <x:v>832.9999999925494</x:v>
      </x:c>
      <x:c r="O145" s="1" t="str">
        <x:v>vertical_normal_up</x:v>
      </x:c>
      <x:c r="P145" s="12" t="n">
        <x:v>0</x:v>
      </x:c>
      <x:c r="Q145" s="12" t="n">
        <x:v>-1</x:v>
      </x:c>
      <x:c r="R145" s="12" t="n">
        <x:v>1</x:v>
      </x:c>
      <x:c r="S145" s="12" t="n">
        <x:v>2</x:v>
      </x:c>
      <x:c r="T145" s="1" t="str">
        <x:v>No</x:v>
      </x:c>
      <x:c r="U145" s="1" t="n">
        <x:v>0</x:v>
      </x:c>
    </x:row>
    <x:row r="146" ht="23" customHeight="1">
      <x:c r="A146" s="9" t="n">
        <x:v>145</x:v>
      </x:c>
      <x:c r="B146" s="9" t="n">
        <x:v>265</x:v>
      </x:c>
      <x:c r="C146" s="9" t="n">
        <x:v>1017</x:v>
      </x:c>
      <x:c r="D146" s="9" t="n">
        <x:v>1</x:v>
      </x:c>
      <x:c r="E146" s="9" t="n">
        <x:v>71372</x:v>
      </x:c>
      <x:c r="F146" s="9" t="n">
        <x:v>818</x:v>
      </x:c>
      <x:c r="G146" s="9" t="n">
        <x:v>55371</x:v>
      </x:c>
      <x:c r="H146" s="9" t="n">
        <x:v>14600</x:v>
      </x:c>
      <x:c r="I146" s="9" t="n">
        <x:v>477</x:v>
      </x:c>
      <x:c r="J146" s="9" t="n">
        <x:v>106</x:v>
      </x:c>
      <x:c r="K146" s="9" t="n">
        <x:f>F146+G146+I146+J146</x:f>
        <x:v>56772</x:v>
      </x:c>
      <x:c r="L146" s="10" t="n">
        <x:f>K146/Sources!$B$4*1000</x:f>
        <x:v>15.860116299697308</x:v>
      </x:c>
      <x:c r="M146" s="10" t="n">
        <x:f>E146/Sources!$B$4*1000</x:f>
        <x:v>19.93884697636152</x:v>
      </x:c>
      <x:c r="N146" s="9" t="n">
        <x:f>Sources!$B$6-K146</x:f>
        <x:v>2964</x:v>
      </x:c>
      <x:c r="O146" s="1" t="str">
        <x:v>vertical_normal_up</x:v>
      </x:c>
      <x:c r="P146" s="12" t="n">
        <x:v>0</x:v>
      </x:c>
      <x:c r="Q146" s="12" t="n">
        <x:v>-1</x:v>
      </x:c>
      <x:c r="R146" s="12" t="n">
        <x:v>1</x:v>
      </x:c>
      <x:c r="S146" s="12" t="n">
        <x:v>1</x:v>
      </x:c>
      <x:c r="T146" s="1" t="str">
        <x:v>No</x:v>
      </x:c>
      <x:c r="U146" s="1" t="n">
        <x:v>0</x:v>
      </x:c>
    </x:row>
    <x:row r="147" ht="23" customHeight="1">
      <x:c r="A147" s="9" t="n">
        <x:v>146</x:v>
      </x:c>
      <x:c r="B147" s="9" t="n">
        <x:v>265</x:v>
      </x:c>
      <x:c r="C147" s="9" t="n">
        <x:v>1016</x:v>
      </x:c>
      <x:c r="D147" s="9" t="n">
        <x:v>1</x:v>
      </x:c>
      <x:c r="E147" s="9" t="n">
        <x:v>71358</x:v>
      </x:c>
      <x:c r="F147" s="9" t="n">
        <x:v>818</x:v>
      </x:c>
      <x:c r="G147" s="9" t="n">
        <x:v>55470</x:v>
      </x:c>
      <x:c r="H147" s="9" t="n">
        <x:v>14495</x:v>
      </x:c>
      <x:c r="I147" s="9" t="n">
        <x:v>469</x:v>
      </x:c>
      <x:c r="J147" s="9" t="n">
        <x:v>106</x:v>
      </x:c>
      <x:c r="K147" s="9" t="n">
        <x:f>F147+G147+I147+J147</x:f>
        <x:v>56863</x:v>
      </x:c>
      <x:c r="L147" s="10" t="n">
        <x:f>K147/Sources!$B$4*1000</x:f>
        <x:v>15.88553852514775</x:v>
      </x:c>
      <x:c r="M147" s="10" t="n">
        <x:f>E147/Sources!$B$4*1000</x:f>
        <x:v>19.934935864753758</x:v>
      </x:c>
      <x:c r="N147" s="9" t="n">
        <x:f>Sources!$B$6-K147</x:f>
        <x:v>2873</x:v>
      </x:c>
      <x:c r="O147" s="1" t="str">
        <x:v>vertical_normal_up</x:v>
      </x:c>
      <x:c r="P147" s="12" t="n">
        <x:v>0</x:v>
      </x:c>
      <x:c r="Q147" s="12" t="n">
        <x:v>-1</x:v>
      </x:c>
      <x:c r="R147" s="12" t="n">
        <x:v>1</x:v>
      </x:c>
      <x:c r="S147" s="12" t="n">
        <x:v>0</x:v>
      </x:c>
      <x:c r="T147" s="1" t="str">
        <x:v>No</x:v>
      </x:c>
      <x:c r="U147" s="1" t="n">
        <x:v>0</x:v>
      </x:c>
    </x:row>
    <x:row r="148" ht="23" customHeight="1">
      <x:c r="A148" s="9" t="n">
        <x:v>147</x:v>
      </x:c>
      <x:c r="B148" s="9" t="n">
        <x:v>265</x:v>
      </x:c>
      <x:c r="C148" s="9" t="n">
        <x:v>1015</x:v>
      </x:c>
      <x:c r="D148" s="9" t="n">
        <x:v>1</x:v>
      </x:c>
      <x:c r="E148" s="9" t="n">
        <x:v>142735</x:v>
      </x:c>
      <x:c r="F148" s="9" t="n">
        <x:v>818</x:v>
      </x:c>
      <x:c r="G148" s="9" t="n">
        <x:v>76479</x:v>
      </x:c>
      <x:c r="H148" s="9" t="n">
        <x:v>64855</x:v>
      </x:c>
      <x:c r="I148" s="9" t="n">
        <x:v>476.9999999925494</x:v>
      </x:c>
      <x:c r="J148" s="9" t="n">
        <x:v>106.00000000745058</x:v>
      </x:c>
      <x:c r="K148" s="9" t="n">
        <x:f>F148+G148+I148+J148</x:f>
        <x:v>77880</x:v>
      </x:c>
      <x:c r="L148" s="10" t="n">
        <x:f>K148/Sources!$B$4*1000</x:f>
        <x:v>21.75695514374034</x:v>
      </x:c>
      <x:c r="M148" s="10" t="n">
        <x:f>E148/Sources!$B$4*1000</x:f>
        <x:v>39.875179666689476</x:v>
      </x:c>
      <x:c r="N148" s="9" t="n">
        <x:f>Sources!$B$6-K148</x:f>
        <x:v>-18144</x:v>
      </x:c>
      <x:c r="O148" s="1" t="str">
        <x:v>vertical_normal_up</x:v>
      </x:c>
      <x:c r="P148" s="12" t="n">
        <x:v>0</x:v>
      </x:c>
      <x:c r="Q148" s="12" t="n">
        <x:v>-1</x:v>
      </x:c>
      <x:c r="R148" s="12" t="n">
        <x:v>1</x:v>
      </x:c>
      <x:c r="S148" s="12" t="n">
        <x:v>7</x:v>
      </x:c>
      <x:c r="T148" s="1" t="str">
        <x:v>Yes</x:v>
      </x:c>
      <x:c r="U148" s="1" t="n">
        <x:v>1</x:v>
      </x:c>
    </x:row>
    <x:row r="149" ht="23" customHeight="1">
      <x:c r="A149" s="9" t="n">
        <x:v>148</x:v>
      </x:c>
      <x:c r="B149" s="9" t="n">
        <x:v>265</x:v>
      </x:c>
      <x:c r="C149" s="9" t="n">
        <x:v>1013</x:v>
      </x:c>
      <x:c r="D149" s="9" t="n">
        <x:v>2</x:v>
      </x:c>
      <x:c r="E149" s="9" t="n">
        <x:v>71354.99999999255</x:v>
      </x:c>
      <x:c r="F149" s="9" t="n">
        <x:v>818</x:v>
      </x:c>
      <x:c r="G149" s="9" t="n">
        <x:v>58697</x:v>
      </x:c>
      <x:c r="H149" s="9" t="n">
        <x:v>11265.00000000745</x:v>
      </x:c>
      <x:c r="I149" s="9" t="n">
        <x:v>469</x:v>
      </x:c>
      <x:c r="J149" s="9" t="n">
        <x:v>105.99999998509884</x:v>
      </x:c>
      <x:c r="K149" s="9" t="n">
        <x:f>F149+G149+I149+J149</x:f>
        <x:v>60089.9999999851</x:v>
      </x:c>
      <x:c r="L149" s="10" t="n">
        <x:f>K149/Sources!$B$4*1000</x:f>
        <x:v>16.787049750732315</x:v>
      </x:c>
      <x:c r="M149" s="10" t="n">
        <x:f>E149/Sources!$B$4*1000</x:f>
        <x:v>19.93409776940716</x:v>
      </x:c>
      <x:c r="N149" s="9" t="n">
        <x:f>Sources!$B$6-K149</x:f>
        <x:v>-353.99999998509884</x:v>
      </x:c>
      <x:c r="O149" s="1" t="str">
        <x:v>vertical_normal_up</x:v>
      </x:c>
      <x:c r="P149" s="12" t="n">
        <x:v>0</x:v>
      </x:c>
      <x:c r="Q149" s="12" t="n">
        <x:v>-2</x:v>
      </x:c>
      <x:c r="R149" s="12" t="n">
        <x:v>1</x:v>
      </x:c>
      <x:c r="S149" s="12" t="n">
        <x:v>5</x:v>
      </x:c>
      <x:c r="T149" s="1" t="str">
        <x:v>No</x:v>
      </x:c>
      <x:c r="U149" s="1" t="n">
        <x:v>1</x:v>
      </x:c>
    </x:row>
    <x:row r="150" ht="23" customHeight="1">
      <x:c r="A150" s="9" t="n">
        <x:v>149</x:v>
      </x:c>
      <x:c r="B150" s="9" t="n">
        <x:v>265</x:v>
      </x:c>
      <x:c r="C150" s="9" t="n">
        <x:v>1012</x:v>
      </x:c>
      <x:c r="D150" s="9" t="n">
        <x:v>1</x:v>
      </x:c>
      <x:c r="E150" s="9" t="n">
        <x:v>71376</x:v>
      </x:c>
      <x:c r="F150" s="9" t="n">
        <x:v>818.0000000074506</x:v>
      </x:c>
      <x:c r="G150" s="9" t="n">
        <x:v>56594.99999999255</x:v>
      </x:c>
      <x:c r="H150" s="9" t="n">
        <x:v>13380.00000000745</x:v>
      </x:c>
      <x:c r="I150" s="9" t="n">
        <x:v>477</x:v>
      </x:c>
      <x:c r="J150" s="9" t="n">
        <x:v>105.99999999254942</x:v>
      </x:c>
      <x:c r="K150" s="9" t="n">
        <x:f>F150+G150+I150+J150</x:f>
        <x:v>57995.99999999255</x:v>
      </x:c>
      <x:c r="L150" s="10" t="n">
        <x:f>K150/Sources!$B$4*1000</x:f>
        <x:v>16.202059200259406</x:v>
      </x:c>
      <x:c r="M150" s="10" t="n">
        <x:f>E150/Sources!$B$4*1000</x:f>
        <x:v>19.939964436820883</x:v>
      </x:c>
      <x:c r="N150" s="9" t="n">
        <x:f>Sources!$B$6-K150</x:f>
        <x:v>1740.0000000074506</x:v>
      </x:c>
      <x:c r="O150" s="1" t="str">
        <x:v>vertical_normal_up</x:v>
      </x:c>
      <x:c r="P150" s="12" t="n">
        <x:v>0</x:v>
      </x:c>
      <x:c r="Q150" s="12" t="n">
        <x:v>-1</x:v>
      </x:c>
      <x:c r="R150" s="12" t="n">
        <x:v>1</x:v>
      </x:c>
      <x:c r="S150" s="12" t="n">
        <x:v>4</x:v>
      </x:c>
      <x:c r="T150" s="1" t="str">
        <x:v>No</x:v>
      </x:c>
      <x:c r="U150" s="1" t="n">
        <x:v>0</x:v>
      </x:c>
    </x:row>
    <x:row r="151" ht="23" customHeight="1">
      <x:c r="A151" s="9" t="n">
        <x:v>150</x:v>
      </x:c>
      <x:c r="B151" s="9" t="n">
        <x:v>265</x:v>
      </x:c>
      <x:c r="C151" s="9" t="n">
        <x:v>1011</x:v>
      </x:c>
      <x:c r="D151" s="9" t="n">
        <x:v>1</x:v>
      </x:c>
      <x:c r="E151" s="9" t="n">
        <x:v>71354.00000000745</x:v>
      </x:c>
      <x:c r="F151" s="9" t="n">
        <x:v>818</x:v>
      </x:c>
      <x:c r="G151" s="9" t="n">
        <x:v>58205.99999999255</x:v>
      </x:c>
      <x:c r="H151" s="9" t="n">
        <x:v>11755</x:v>
      </x:c>
      <x:c r="I151" s="9" t="n">
        <x:v>469</x:v>
      </x:c>
      <x:c r="J151" s="9" t="n">
        <x:v>106.00000001490116</x:v>
      </x:c>
      <x:c r="K151" s="9" t="n">
        <x:f>F151+G151+I151+J151</x:f>
        <x:v>59599.00000000745</x:v>
      </x:c>
      <x:c r="L151" s="10" t="n">
        <x:f>K151/Sources!$B$4*1000</x:f>
        <x:v>16.64988147935211</x:v>
      </x:c>
      <x:c r="M151" s="10" t="n">
        <x:f>E151/Sources!$B$4*1000</x:f>
        <x:v>19.93381840429648</x:v>
      </x:c>
      <x:c r="N151" s="9" t="n">
        <x:f>Sources!$B$6-K151</x:f>
        <x:v>136.99999999254942</x:v>
      </x:c>
      <x:c r="O151" s="1" t="str">
        <x:v>vertical_normal_up</x:v>
      </x:c>
      <x:c r="P151" s="12" t="n">
        <x:v>0</x:v>
      </x:c>
      <x:c r="Q151" s="12" t="n">
        <x:v>-1</x:v>
      </x:c>
      <x:c r="R151" s="12" t="n">
        <x:v>1</x:v>
      </x:c>
      <x:c r="S151" s="12" t="n">
        <x:v>3</x:v>
      </x:c>
      <x:c r="T151" s="1" t="str">
        <x:v>No</x:v>
      </x:c>
      <x:c r="U151" s="1" t="n">
        <x:v>0</x:v>
      </x:c>
    </x:row>
    <x:row r="152" ht="23" customHeight="1">
      <x:c r="A152" s="9" t="n">
        <x:v>151</x:v>
      </x:c>
      <x:c r="B152" s="9" t="n">
        <x:v>265</x:v>
      </x:c>
      <x:c r="C152" s="9" t="n">
        <x:v>1010</x:v>
      </x:c>
      <x:c r="D152" s="9" t="n">
        <x:v>1</x:v>
      </x:c>
      <x:c r="E152" s="9" t="n">
        <x:v>71372</x:v>
      </x:c>
      <x:c r="F152" s="9" t="n">
        <x:v>818</x:v>
      </x:c>
      <x:c r="G152" s="9" t="n">
        <x:v>57531</x:v>
      </x:c>
      <x:c r="H152" s="9" t="n">
        <x:v>12440</x:v>
      </x:c>
      <x:c r="I152" s="9" t="n">
        <x:v>477</x:v>
      </x:c>
      <x:c r="J152" s="9" t="n">
        <x:v>106</x:v>
      </x:c>
      <x:c r="K152" s="9" t="n">
        <x:f>F152+G152+I152+J152</x:f>
        <x:v>58932</x:v>
      </x:c>
      <x:c r="L152" s="10" t="n">
        <x:f>K152/Sources!$B$4*1000</x:f>
        <x:v>16.46354494775174</x:v>
      </x:c>
      <x:c r="M152" s="10" t="n">
        <x:f>E152/Sources!$B$4*1000</x:f>
        <x:v>19.93884697636152</x:v>
      </x:c>
      <x:c r="N152" s="9" t="n">
        <x:f>Sources!$B$6-K152</x:f>
        <x:v>804</x:v>
      </x:c>
      <x:c r="O152" s="1" t="str">
        <x:v>vertical_normal_up</x:v>
      </x:c>
      <x:c r="P152" s="12" t="n">
        <x:v>0</x:v>
      </x:c>
      <x:c r="Q152" s="12" t="n">
        <x:v>-1</x:v>
      </x:c>
      <x:c r="R152" s="12" t="n">
        <x:v>1</x:v>
      </x:c>
      <x:c r="S152" s="12" t="n">
        <x:v>2</x:v>
      </x:c>
      <x:c r="T152" s="1" t="str">
        <x:v>No</x:v>
      </x:c>
      <x:c r="U152" s="1" t="n">
        <x:v>0</x:v>
      </x:c>
    </x:row>
    <x:row r="153" ht="23" customHeight="1">
      <x:c r="A153" s="9" t="n">
        <x:v>152</x:v>
      </x:c>
      <x:c r="B153" s="9" t="n">
        <x:v>265</x:v>
      </x:c>
      <x:c r="C153" s="9" t="n">
        <x:v>1009</x:v>
      </x:c>
      <x:c r="D153" s="9" t="n">
        <x:v>1</x:v>
      </x:c>
      <x:c r="E153" s="9" t="n">
        <x:v>71358</x:v>
      </x:c>
      <x:c r="F153" s="9" t="n">
        <x:v>817.9999999925494</x:v>
      </x:c>
      <x:c r="G153" s="9" t="n">
        <x:v>55350.00000000745</x:v>
      </x:c>
      <x:c r="H153" s="9" t="n">
        <x:v>14615</x:v>
      </x:c>
      <x:c r="I153" s="9" t="n">
        <x:v>469</x:v>
      </x:c>
      <x:c r="J153" s="9" t="n">
        <x:v>106</x:v>
      </x:c>
      <x:c r="K153" s="9" t="n">
        <x:f>F153+G153+I153+J153</x:f>
        <x:v>56743</x:v>
      </x:c>
      <x:c r="L153" s="10" t="n">
        <x:f>K153/Sources!$B$4*1000</x:f>
        <x:v>15.85201471136695</x:v>
      </x:c>
      <x:c r="M153" s="10" t="n">
        <x:f>E153/Sources!$B$4*1000</x:f>
        <x:v>19.934935864753758</x:v>
      </x:c>
      <x:c r="N153" s="9" t="n">
        <x:f>Sources!$B$6-K153</x:f>
        <x:v>2993</x:v>
      </x:c>
      <x:c r="O153" s="1" t="str">
        <x:v>vertical_normal_up</x:v>
      </x:c>
      <x:c r="P153" s="12" t="n">
        <x:v>0</x:v>
      </x:c>
      <x:c r="Q153" s="12" t="n">
        <x:v>-1</x:v>
      </x:c>
      <x:c r="R153" s="12" t="n">
        <x:v>1</x:v>
      </x:c>
      <x:c r="S153" s="12" t="n">
        <x:v>1</x:v>
      </x:c>
      <x:c r="T153" s="1" t="str">
        <x:v>No</x:v>
      </x:c>
      <x:c r="U153" s="1" t="n">
        <x:v>0</x:v>
      </x:c>
    </x:row>
    <x:row r="154" ht="23" customHeight="1">
      <x:c r="A154" s="9" t="n">
        <x:v>153</x:v>
      </x:c>
      <x:c r="B154" s="9" t="n">
        <x:v>265</x:v>
      </x:c>
      <x:c r="C154" s="9" t="n">
        <x:v>1008</x:v>
      </x:c>
      <x:c r="D154" s="9" t="n">
        <x:v>1</x:v>
      </x:c>
      <x:c r="E154" s="9" t="n">
        <x:v>71372</x:v>
      </x:c>
      <x:c r="F154" s="9" t="n">
        <x:v>817.9999999925494</x:v>
      </x:c>
      <x:c r="G154" s="9" t="n">
        <x:v>55491.00000000745</x:v>
      </x:c>
      <x:c r="H154" s="9" t="n">
        <x:v>14480</x:v>
      </x:c>
      <x:c r="I154" s="9" t="n">
        <x:v>476.9999999925494</x:v>
      </x:c>
      <x:c r="J154" s="9" t="n">
        <x:v>106.00000000745058</x:v>
      </x:c>
      <x:c r="K154" s="9" t="n">
        <x:f>F154+G154+I154+J154</x:f>
        <x:v>56892</x:v>
      </x:c>
      <x:c r="L154" s="10" t="n">
        <x:f>K154/Sources!$B$4*1000</x:f>
        <x:v>15.89364011347811</x:v>
      </x:c>
      <x:c r="M154" s="10" t="n">
        <x:f>E154/Sources!$B$4*1000</x:f>
        <x:v>19.93884697636152</x:v>
      </x:c>
      <x:c r="N154" s="9" t="n">
        <x:f>Sources!$B$6-K154</x:f>
        <x:v>2844</x:v>
      </x:c>
      <x:c r="O154" s="1" t="str">
        <x:v>vertical_normal_up</x:v>
      </x:c>
      <x:c r="P154" s="12" t="n">
        <x:v>0</x:v>
      </x:c>
      <x:c r="Q154" s="12" t="n">
        <x:v>-1</x:v>
      </x:c>
      <x:c r="R154" s="12" t="n">
        <x:v>1</x:v>
      </x:c>
      <x:c r="S154" s="12" t="n">
        <x:v>0</x:v>
      </x:c>
      <x:c r="T154" s="1" t="str">
        <x:v>No</x:v>
      </x:c>
      <x:c r="U154" s="1" t="n">
        <x:v>0</x:v>
      </x:c>
    </x:row>
    <x:row r="155" ht="23" customHeight="1">
      <x:c r="A155" s="9" t="n">
        <x:v>154</x:v>
      </x:c>
      <x:c r="B155" s="9" t="n">
        <x:v>265</x:v>
      </x:c>
      <x:c r="C155" s="9" t="n">
        <x:v>1007</x:v>
      </x:c>
      <x:c r="D155" s="9" t="n">
        <x:v>1</x:v>
      </x:c>
      <x:c r="E155" s="9" t="n">
        <x:v>142715.99999999255</x:v>
      </x:c>
      <x:c r="F155" s="9" t="n">
        <x:v>818.0000000074506</x:v>
      </x:c>
      <x:c r="G155" s="9" t="n">
        <x:v>76453</x:v>
      </x:c>
      <x:c r="H155" s="9" t="n">
        <x:v>64870</x:v>
      </x:c>
      <x:c r="I155" s="9" t="n">
        <x:v>469</x:v>
      </x:c>
      <x:c r="J155" s="9" t="n">
        <x:v>105.99999998509884</x:v>
      </x:c>
      <x:c r="K155" s="9" t="n">
        <x:f>F155+G155+I155+J155</x:f>
        <x:v>77845.99999999255</x:v>
      </x:c>
      <x:c r="L155" s="10" t="n">
        <x:f>K155/Sources!$B$4*1000</x:f>
        <x:v>21.747456729833694</x:v>
      </x:c>
      <x:c r="M155" s="10" t="n">
        <x:f>E155/Sources!$B$4*1000</x:f>
        <x:v>39.869871729505434</x:v>
      </x:c>
      <x:c r="N155" s="9" t="n">
        <x:f>Sources!$B$6-K155</x:f>
        <x:v>-18109.99999999255</x:v>
      </x:c>
      <x:c r="O155" s="1" t="str">
        <x:v>vertical_normal_up</x:v>
      </x:c>
      <x:c r="P155" s="12" t="n">
        <x:v>0</x:v>
      </x:c>
      <x:c r="Q155" s="12" t="n">
        <x:v>-1</x:v>
      </x:c>
      <x:c r="R155" s="12" t="n">
        <x:v>1</x:v>
      </x:c>
      <x:c r="S155" s="12" t="n">
        <x:v>7</x:v>
      </x:c>
      <x:c r="T155" s="1" t="str">
        <x:v>Yes</x:v>
      </x:c>
      <x:c r="U155" s="1" t="n">
        <x:v>1</x:v>
      </x:c>
    </x:row>
    <x:row r="156" ht="23" customHeight="1">
      <x:c r="A156" s="9" t="n">
        <x:v>155</x:v>
      </x:c>
      <x:c r="B156" s="9" t="n">
        <x:v>265</x:v>
      </x:c>
      <x:c r="C156" s="9" t="n">
        <x:v>1005</x:v>
      </x:c>
      <x:c r="D156" s="9" t="n">
        <x:v>2</x:v>
      </x:c>
      <x:c r="E156" s="9" t="n">
        <x:v>71374.00000000745</x:v>
      </x:c>
      <x:c r="F156" s="9" t="n">
        <x:v>818.0000000074506</x:v>
      </x:c>
      <x:c r="G156" s="9" t="n">
        <x:v>58733</x:v>
      </x:c>
      <x:c r="H156" s="9" t="n">
        <x:v>11240</x:v>
      </x:c>
      <x:c r="I156" s="9" t="n">
        <x:v>476.9999999925494</x:v>
      </x:c>
      <x:c r="J156" s="9" t="n">
        <x:v>106.00000000745058</x:v>
      </x:c>
      <x:c r="K156" s="9" t="n">
        <x:f>F156+G156+I156+J156</x:f>
        <x:v>60134.00000000745</x:v>
      </x:c>
      <x:c r="L156" s="10" t="n">
        <x:f>K156/Sources!$B$4*1000</x:f>
        <x:v>16.79934181579152</x:v>
      </x:c>
      <x:c r="M156" s="10" t="n">
        <x:f>E156/Sources!$B$4*1000</x:f>
        <x:v>19.93940570659328</x:v>
      </x:c>
      <x:c r="N156" s="9" t="n">
        <x:f>Sources!$B$6-K156</x:f>
        <x:v>-398.0000000074506</x:v>
      </x:c>
      <x:c r="O156" s="1" t="str">
        <x:v>vertical_normal_up</x:v>
      </x:c>
      <x:c r="P156" s="12" t="n">
        <x:v>0</x:v>
      </x:c>
      <x:c r="Q156" s="12" t="n">
        <x:v>-2</x:v>
      </x:c>
      <x:c r="R156" s="12" t="n">
        <x:v>1</x:v>
      </x:c>
      <x:c r="S156" s="12" t="n">
        <x:v>5</x:v>
      </x:c>
      <x:c r="T156" s="1" t="str">
        <x:v>No</x:v>
      </x:c>
      <x:c r="U156" s="1" t="n">
        <x:v>1</x:v>
      </x:c>
    </x:row>
    <x:row r="157" ht="23" customHeight="1">
      <x:c r="A157" s="9" t="n">
        <x:v>156</x:v>
      </x:c>
      <x:c r="B157" s="9" t="n">
        <x:v>265</x:v>
      </x:c>
      <x:c r="C157" s="9" t="n">
        <x:v>1004</x:v>
      </x:c>
      <x:c r="D157" s="9" t="n">
        <x:v>1</x:v>
      </x:c>
      <x:c r="E157" s="9" t="n">
        <x:v>71357</x:v>
      </x:c>
      <x:c r="F157" s="9" t="n">
        <x:v>818</x:v>
      </x:c>
      <x:c r="G157" s="9" t="n">
        <x:v>56574</x:v>
      </x:c>
      <x:c r="H157" s="9" t="n">
        <x:v>13390.00000000745</x:v>
      </x:c>
      <x:c r="I157" s="9" t="n">
        <x:v>469</x:v>
      </x:c>
      <x:c r="J157" s="9" t="n">
        <x:v>105.99999999254942</x:v>
      </x:c>
      <x:c r="K157" s="9" t="n">
        <x:f>F157+G157+I157+J157</x:f>
        <x:v>57966.99999999255</x:v>
      </x:c>
      <x:c r="L157" s="10" t="n">
        <x:f>K157/Sources!$B$4*1000</x:f>
        <x:v>16.193957611929044</x:v>
      </x:c>
      <x:c r="M157" s="10" t="n">
        <x:f>E157/Sources!$B$4*1000</x:f>
        <x:v>19.93465649963892</x:v>
      </x:c>
      <x:c r="N157" s="9" t="n">
        <x:f>Sources!$B$6-K157</x:f>
        <x:v>1769.0000000074506</x:v>
      </x:c>
      <x:c r="O157" s="1" t="str">
        <x:v>vertical_normal_up</x:v>
      </x:c>
      <x:c r="P157" s="12" t="n">
        <x:v>0</x:v>
      </x:c>
      <x:c r="Q157" s="12" t="n">
        <x:v>-1</x:v>
      </x:c>
      <x:c r="R157" s="12" t="n">
        <x:v>1</x:v>
      </x:c>
      <x:c r="S157" s="12" t="n">
        <x:v>4</x:v>
      </x:c>
      <x:c r="T157" s="1" t="str">
        <x:v>No</x:v>
      </x:c>
      <x:c r="U157" s="1" t="n">
        <x:v>0</x:v>
      </x:c>
    </x:row>
    <x:row r="158" ht="23" customHeight="1">
      <x:c r="A158" s="9" t="n">
        <x:v>157</x:v>
      </x:c>
      <x:c r="B158" s="9" t="n">
        <x:v>265</x:v>
      </x:c>
      <x:c r="C158" s="9" t="n">
        <x:v>1003</x:v>
      </x:c>
      <x:c r="D158" s="9" t="n">
        <x:v>1</x:v>
      </x:c>
      <x:c r="E158" s="9" t="n">
        <x:v>71373</x:v>
      </x:c>
      <x:c r="F158" s="9" t="n">
        <x:v>818</x:v>
      </x:c>
      <x:c r="G158" s="9" t="n">
        <x:v>58227.00000000745</x:v>
      </x:c>
      <x:c r="H158" s="9" t="n">
        <x:v>11744.99999999255</x:v>
      </x:c>
      <x:c r="I158" s="9" t="n">
        <x:v>477.0000000074506</x:v>
      </x:c>
      <x:c r="J158" s="9" t="n">
        <x:v>105.99999999254942</x:v>
      </x:c>
      <x:c r="K158" s="9" t="n">
        <x:f>F158+G158+I158+J158</x:f>
        <x:v>59628.00000000745</x:v>
      </x:c>
      <x:c r="L158" s="10" t="n">
        <x:f>K158/Sources!$B$4*1000</x:f>
        <x:v>16.657983067682473</x:v>
      </x:c>
      <x:c r="M158" s="10" t="n">
        <x:f>E158/Sources!$B$4*1000</x:f>
        <x:v>19.939126341476364</x:v>
      </x:c>
      <x:c r="N158" s="9" t="n">
        <x:f>Sources!$B$6-K158</x:f>
        <x:v>107.99999999254942</x:v>
      </x:c>
      <x:c r="O158" s="1" t="str">
        <x:v>vertical_normal_up</x:v>
      </x:c>
      <x:c r="P158" s="12" t="n">
        <x:v>0</x:v>
      </x:c>
      <x:c r="Q158" s="12" t="n">
        <x:v>-1</x:v>
      </x:c>
      <x:c r="R158" s="12" t="n">
        <x:v>1</x:v>
      </x:c>
      <x:c r="S158" s="12" t="n">
        <x:v>3</x:v>
      </x:c>
      <x:c r="T158" s="1" t="str">
        <x:v>No</x:v>
      </x:c>
      <x:c r="U158" s="1" t="n">
        <x:v>0</x:v>
      </x:c>
    </x:row>
    <x:row r="159" ht="23" customHeight="1">
      <x:c r="A159" s="9" t="n">
        <x:v>158</x:v>
      </x:c>
      <x:c r="B159" s="9" t="n">
        <x:v>265</x:v>
      </x:c>
      <x:c r="C159" s="9" t="n">
        <x:v>1002</x:v>
      </x:c>
      <x:c r="D159" s="9" t="n">
        <x:v>1</x:v>
      </x:c>
      <x:c r="E159" s="9" t="n">
        <x:v>71353</x:v>
      </x:c>
      <x:c r="F159" s="9" t="n">
        <x:v>818</x:v>
      </x:c>
      <x:c r="G159" s="9" t="n">
        <x:v>57510</x:v>
      </x:c>
      <x:c r="H159" s="9" t="n">
        <x:v>12450</x:v>
      </x:c>
      <x:c r="I159" s="9" t="n">
        <x:v>469</x:v>
      </x:c>
      <x:c r="J159" s="9" t="n">
        <x:v>106</x:v>
      </x:c>
      <x:c r="K159" s="9" t="n">
        <x:f>F159+G159+I159+J159</x:f>
        <x:v>58903</x:v>
      </x:c>
      <x:c r="L159" s="10" t="n">
        <x:f>K159/Sources!$B$4*1000</x:f>
        <x:v>16.455443359421377</x:v>
      </x:c>
      <x:c r="M159" s="10" t="n">
        <x:f>E159/Sources!$B$4*1000</x:f>
        <x:v>19.93353903917956</x:v>
      </x:c>
      <x:c r="N159" s="9" t="n">
        <x:f>Sources!$B$6-K159</x:f>
        <x:v>833</x:v>
      </x:c>
      <x:c r="O159" s="1" t="str">
        <x:v>vertical_normal_up</x:v>
      </x:c>
      <x:c r="P159" s="12" t="n">
        <x:v>0</x:v>
      </x:c>
      <x:c r="Q159" s="12" t="n">
        <x:v>-1</x:v>
      </x:c>
      <x:c r="R159" s="12" t="n">
        <x:v>1</x:v>
      </x:c>
      <x:c r="S159" s="12" t="n">
        <x:v>2</x:v>
      </x:c>
      <x:c r="T159" s="1" t="str">
        <x:v>No</x:v>
      </x:c>
      <x:c r="U159" s="1" t="n">
        <x:v>0</x:v>
      </x:c>
    </x:row>
    <x:row r="160" ht="23" customHeight="1">
      <x:c r="A160" s="9" t="n">
        <x:v>159</x:v>
      </x:c>
      <x:c r="B160" s="9" t="n">
        <x:v>265</x:v>
      </x:c>
      <x:c r="C160" s="9" t="n">
        <x:v>1001</x:v>
      </x:c>
      <x:c r="D160" s="9" t="n">
        <x:v>1</x:v>
      </x:c>
      <x:c r="E160" s="9" t="n">
        <x:v>71371.99999999255</x:v>
      </x:c>
      <x:c r="F160" s="9" t="n">
        <x:v>818</x:v>
      </x:c>
      <x:c r="G160" s="9" t="n">
        <x:v>55371</x:v>
      </x:c>
      <x:c r="H160" s="9" t="n">
        <x:v>14600</x:v>
      </x:c>
      <x:c r="I160" s="9" t="n">
        <x:v>477</x:v>
      </x:c>
      <x:c r="J160" s="9" t="n">
        <x:v>105.99999999254942</x:v>
      </x:c>
      <x:c r="K160" s="9" t="n">
        <x:f>F160+G160+I160+J160</x:f>
        <x:v>56771.99999999255</x:v>
      </x:c>
      <x:c r="L160" s="10" t="n">
        <x:f>K160/Sources!$B$4*1000</x:f>
        <x:v>15.860116299695228</x:v>
      </x:c>
      <x:c r="M160" s="10" t="n">
        <x:f>E160/Sources!$B$4*1000</x:f>
        <x:v>19.93884697635944</x:v>
      </x:c>
      <x:c r="N160" s="9" t="n">
        <x:f>Sources!$B$6-K160</x:f>
        <x:v>2964.0000000074506</x:v>
      </x:c>
      <x:c r="O160" s="1" t="str">
        <x:v>vertical_normal_up</x:v>
      </x:c>
      <x:c r="P160" s="12" t="n">
        <x:v>0</x:v>
      </x:c>
      <x:c r="Q160" s="12" t="n">
        <x:v>-1</x:v>
      </x:c>
      <x:c r="R160" s="12" t="n">
        <x:v>1</x:v>
      </x:c>
      <x:c r="S160" s="12" t="n">
        <x:v>1</x:v>
      </x:c>
      <x:c r="T160" s="1" t="str">
        <x:v>No</x:v>
      </x:c>
      <x:c r="U160" s="1" t="n">
        <x:v>0</x:v>
      </x:c>
    </x:row>
    <x:row r="161" ht="23" customHeight="1">
      <x:c r="A161" s="9" t="n">
        <x:v>160</x:v>
      </x:c>
      <x:c r="B161" s="9" t="n">
        <x:v>265</x:v>
      </x:c>
      <x:c r="C161" s="9" t="n">
        <x:v>1000</x:v>
      </x:c>
      <x:c r="D161" s="9" t="n">
        <x:v>1</x:v>
      </x:c>
      <x:c r="E161" s="9" t="n">
        <x:v>71358</x:v>
      </x:c>
      <x:c r="F161" s="9" t="n">
        <x:v>818.0000000074506</x:v>
      </x:c>
      <x:c r="G161" s="9" t="n">
        <x:v>55470</x:v>
      </x:c>
      <x:c r="H161" s="9" t="n">
        <x:v>14495</x:v>
      </x:c>
      <x:c r="I161" s="9" t="n">
        <x:v>469</x:v>
      </x:c>
      <x:c r="J161" s="9" t="n">
        <x:v>105.99999999254942</x:v>
      </x:c>
      <x:c r="K161" s="9" t="n">
        <x:f>F161+G161+I161+J161</x:f>
        <x:v>56863</x:v>
      </x:c>
      <x:c r="L161" s="10" t="n">
        <x:f>K161/Sources!$B$4*1000</x:f>
        <x:v>15.88553852514775</x:v>
      </x:c>
      <x:c r="M161" s="10" t="n">
        <x:f>E161/Sources!$B$4*1000</x:f>
        <x:v>19.934935864753758</x:v>
      </x:c>
      <x:c r="N161" s="9" t="n">
        <x:f>Sources!$B$6-K161</x:f>
        <x:v>2873</x:v>
      </x:c>
      <x:c r="O161" s="1" t="str">
        <x:v>vertical_normal_up</x:v>
      </x:c>
      <x:c r="P161" s="12" t="n">
        <x:v>0</x:v>
      </x:c>
      <x:c r="Q161" s="12" t="n">
        <x:v>-1</x:v>
      </x:c>
      <x:c r="R161" s="12" t="n">
        <x:v>1</x:v>
      </x:c>
      <x:c r="S161" s="12" t="n">
        <x:v>0</x:v>
      </x:c>
      <x:c r="T161" s="1" t="str">
        <x:v>No</x:v>
      </x:c>
      <x:c r="U161" s="1" t="n">
        <x:v>0</x:v>
      </x:c>
    </x:row>
    <x:row r="162" ht="23" customHeight="1">
      <x:c r="A162" s="9" t="n">
        <x:v>161</x:v>
      </x:c>
      <x:c r="B162" s="9" t="n">
        <x:v>265</x:v>
      </x:c>
      <x:c r="C162" s="9" t="n">
        <x:v>999</x:v>
      </x:c>
      <x:c r="D162" s="9" t="n">
        <x:v>1</x:v>
      </x:c>
      <x:c r="E162" s="9" t="n">
        <x:v>142735.00000000745</x:v>
      </x:c>
      <x:c r="F162" s="9" t="n">
        <x:v>818</x:v>
      </x:c>
      <x:c r="G162" s="9" t="n">
        <x:v>76479</x:v>
      </x:c>
      <x:c r="H162" s="9" t="n">
        <x:v>64855</x:v>
      </x:c>
      <x:c r="I162" s="9" t="n">
        <x:v>477</x:v>
      </x:c>
      <x:c r="J162" s="9" t="n">
        <x:v>106.00000000745058</x:v>
      </x:c>
      <x:c r="K162" s="9" t="n">
        <x:f>F162+G162+I162+J162</x:f>
        <x:v>77880.00000000745</x:v>
      </x:c>
      <x:c r="L162" s="10" t="n">
        <x:f>K162/Sources!$B$4*1000</x:f>
        <x:v>21.75695514374242</x:v>
      </x:c>
      <x:c r="M162" s="10" t="n">
        <x:f>E162/Sources!$B$4*1000</x:f>
        <x:v>39.87517966669156</x:v>
      </x:c>
      <x:c r="N162" s="9" t="n">
        <x:f>Sources!$B$6-K162</x:f>
        <x:v>-18144.00000000745</x:v>
      </x:c>
      <x:c r="O162" s="1" t="str">
        <x:v>vertical_normal_up</x:v>
      </x:c>
      <x:c r="P162" s="12" t="n">
        <x:v>0</x:v>
      </x:c>
      <x:c r="Q162" s="12" t="n">
        <x:v>-1</x:v>
      </x:c>
      <x:c r="R162" s="12" t="n">
        <x:v>1</x:v>
      </x:c>
      <x:c r="S162" s="12" t="n">
        <x:v>7</x:v>
      </x:c>
      <x:c r="T162" s="1" t="str">
        <x:v>Yes</x:v>
      </x:c>
      <x:c r="U162" s="1" t="n">
        <x:v>1</x:v>
      </x:c>
    </x:row>
    <x:row r="163" ht="23" customHeight="1">
      <x:c r="A163" s="9" t="n">
        <x:v>162</x:v>
      </x:c>
      <x:c r="B163" s="9" t="n">
        <x:v>265</x:v>
      </x:c>
      <x:c r="C163" s="9" t="n">
        <x:v>997</x:v>
      </x:c>
      <x:c r="D163" s="9" t="n">
        <x:v>2</x:v>
      </x:c>
      <x:c r="E163" s="9" t="n">
        <x:v>71354.99999999255</x:v>
      </x:c>
      <x:c r="F163" s="9" t="n">
        <x:v>818</x:v>
      </x:c>
      <x:c r="G163" s="9" t="n">
        <x:v>58697</x:v>
      </x:c>
      <x:c r="H163" s="9" t="n">
        <x:v>11265</x:v>
      </x:c>
      <x:c r="I163" s="9" t="n">
        <x:v>469</x:v>
      </x:c>
      <x:c r="J163" s="9" t="n">
        <x:v>105.99999999254942</x:v>
      </x:c>
      <x:c r="K163" s="9" t="n">
        <x:f>F163+G163+I163+J163</x:f>
        <x:v>60089.99999999255</x:v>
      </x:c>
      <x:c r="L163" s="10" t="n">
        <x:f>K163/Sources!$B$4*1000</x:f>
        <x:v>16.787049750734393</x:v>
      </x:c>
      <x:c r="M163" s="10" t="n">
        <x:f>E163/Sources!$B$4*1000</x:f>
        <x:v>19.93409776940716</x:v>
      </x:c>
      <x:c r="N163" s="9" t="n">
        <x:f>Sources!$B$6-K163</x:f>
        <x:v>-353.9999999925494</x:v>
      </x:c>
      <x:c r="O163" s="1" t="str">
        <x:v>vertical_normal_up</x:v>
      </x:c>
      <x:c r="P163" s="12" t="n">
        <x:v>0</x:v>
      </x:c>
      <x:c r="Q163" s="12" t="n">
        <x:v>-2</x:v>
      </x:c>
      <x:c r="R163" s="12" t="n">
        <x:v>1</x:v>
      </x:c>
      <x:c r="S163" s="12" t="n">
        <x:v>5</x:v>
      </x:c>
      <x:c r="T163" s="1" t="str">
        <x:v>No</x:v>
      </x:c>
      <x:c r="U163" s="1" t="n">
        <x:v>1</x:v>
      </x:c>
    </x:row>
    <x:row r="164" ht="23" customHeight="1">
      <x:c r="A164" s="9" t="n">
        <x:v>163</x:v>
      </x:c>
      <x:c r="B164" s="9" t="n">
        <x:v>265</x:v>
      </x:c>
      <x:c r="C164" s="9" t="n">
        <x:v>996</x:v>
      </x:c>
      <x:c r="D164" s="9" t="n">
        <x:v>1</x:v>
      </x:c>
      <x:c r="E164" s="9" t="n">
        <x:v>71371</x:v>
      </x:c>
      <x:c r="F164" s="9" t="n">
        <x:v>818.0000000074506</x:v>
      </x:c>
      <x:c r="G164" s="9" t="n">
        <x:v>56594.99999999255</x:v>
      </x:c>
      <x:c r="H164" s="9" t="n">
        <x:v>13375.00000000745</x:v>
      </x:c>
      <x:c r="I164" s="9" t="n">
        <x:v>477</x:v>
      </x:c>
      <x:c r="J164" s="9" t="n">
        <x:v>105.99999999254942</x:v>
      </x:c>
      <x:c r="K164" s="9" t="n">
        <x:f>F164+G164+I164+J164</x:f>
        <x:v>57995.99999999255</x:v>
      </x:c>
      <x:c r="L164" s="10" t="n">
        <x:f>K164/Sources!$B$4*1000</x:f>
        <x:v>16.202059200259406</x:v>
      </x:c>
      <x:c r="M164" s="10" t="n">
        <x:f>E164/Sources!$B$4*1000</x:f>
        <x:v>19.93856761124668</x:v>
      </x:c>
      <x:c r="N164" s="9" t="n">
        <x:f>Sources!$B$6-K164</x:f>
        <x:v>1740.0000000074506</x:v>
      </x:c>
      <x:c r="O164" s="1" t="str">
        <x:v>vertical_normal_up</x:v>
      </x:c>
      <x:c r="P164" s="12" t="n">
        <x:v>0</x:v>
      </x:c>
      <x:c r="Q164" s="12" t="n">
        <x:v>-1</x:v>
      </x:c>
      <x:c r="R164" s="12" t="n">
        <x:v>1</x:v>
      </x:c>
      <x:c r="S164" s="12" t="n">
        <x:v>4</x:v>
      </x:c>
      <x:c r="T164" s="1" t="str">
        <x:v>No</x:v>
      </x:c>
      <x:c r="U164" s="1" t="n">
        <x:v>0</x:v>
      </x:c>
    </x:row>
    <x:row r="165" ht="23" customHeight="1">
      <x:c r="A165" s="9" t="n">
        <x:v>164</x:v>
      </x:c>
      <x:c r="B165" s="9" t="n">
        <x:v>265</x:v>
      </x:c>
      <x:c r="C165" s="9" t="n">
        <x:v>995</x:v>
      </x:c>
      <x:c r="D165" s="9" t="n">
        <x:v>1</x:v>
      </x:c>
      <x:c r="E165" s="9" t="n">
        <x:v>71359.00000000745</x:v>
      </x:c>
      <x:c r="F165" s="9" t="n">
        <x:v>818.0000000074506</x:v>
      </x:c>
      <x:c r="G165" s="9" t="n">
        <x:v>58206</x:v>
      </x:c>
      <x:c r="H165" s="9" t="n">
        <x:v>11760</x:v>
      </x:c>
      <x:c r="I165" s="9" t="n">
        <x:v>469</x:v>
      </x:c>
      <x:c r="J165" s="9" t="n">
        <x:v>106</x:v>
      </x:c>
      <x:c r="K165" s="9" t="n">
        <x:f>F165+G165+I165+J165</x:f>
        <x:v>59599.00000000745</x:v>
      </x:c>
      <x:c r="L165" s="10" t="n">
        <x:f>K165/Sources!$B$4*1000</x:f>
        <x:v>16.64988147935211</x:v>
      </x:c>
      <x:c r="M165" s="10" t="n">
        <x:f>E165/Sources!$B$4*1000</x:f>
        <x:v>19.935215229870682</x:v>
      </x:c>
      <x:c r="N165" s="9" t="n">
        <x:f>Sources!$B$6-K165</x:f>
        <x:v>136.99999999254942</x:v>
      </x:c>
      <x:c r="O165" s="1" t="str">
        <x:v>vertical_normal_up</x:v>
      </x:c>
      <x:c r="P165" s="12" t="n">
        <x:v>0</x:v>
      </x:c>
      <x:c r="Q165" s="12" t="n">
        <x:v>-1</x:v>
      </x:c>
      <x:c r="R165" s="12" t="n">
        <x:v>1</x:v>
      </x:c>
      <x:c r="S165" s="12" t="n">
        <x:v>3</x:v>
      </x:c>
      <x:c r="T165" s="1" t="str">
        <x:v>No</x:v>
      </x:c>
      <x:c r="U165" s="1" t="n">
        <x:v>0</x:v>
      </x:c>
    </x:row>
    <x:row r="166" ht="23" customHeight="1">
      <x:c r="A166" s="9" t="n">
        <x:v>165</x:v>
      </x:c>
      <x:c r="B166" s="9" t="n">
        <x:v>265</x:v>
      </x:c>
      <x:c r="C166" s="9" t="n">
        <x:v>994</x:v>
      </x:c>
      <x:c r="D166" s="9" t="n">
        <x:v>1</x:v>
      </x:c>
      <x:c r="E166" s="9" t="n">
        <x:v>71372</x:v>
      </x:c>
      <x:c r="F166" s="9" t="n">
        <x:v>818</x:v>
      </x:c>
      <x:c r="G166" s="9" t="n">
        <x:v>57531</x:v>
      </x:c>
      <x:c r="H166" s="9" t="n">
        <x:v>12440</x:v>
      </x:c>
      <x:c r="I166" s="9" t="n">
        <x:v>477</x:v>
      </x:c>
      <x:c r="J166" s="9" t="n">
        <x:v>106</x:v>
      </x:c>
      <x:c r="K166" s="9" t="n">
        <x:f>F166+G166+I166+J166</x:f>
        <x:v>58932</x:v>
      </x:c>
      <x:c r="L166" s="10" t="n">
        <x:f>K166/Sources!$B$4*1000</x:f>
        <x:v>16.46354494775174</x:v>
      </x:c>
      <x:c r="M166" s="10" t="n">
        <x:f>E166/Sources!$B$4*1000</x:f>
        <x:v>19.93884697636152</x:v>
      </x:c>
      <x:c r="N166" s="9" t="n">
        <x:f>Sources!$B$6-K166</x:f>
        <x:v>804</x:v>
      </x:c>
      <x:c r="O166" s="1" t="str">
        <x:v>vertical_normal_up</x:v>
      </x:c>
      <x:c r="P166" s="12" t="n">
        <x:v>0</x:v>
      </x:c>
      <x:c r="Q166" s="12" t="n">
        <x:v>-1</x:v>
      </x:c>
      <x:c r="R166" s="12" t="n">
        <x:v>1</x:v>
      </x:c>
      <x:c r="S166" s="12" t="n">
        <x:v>2</x:v>
      </x:c>
      <x:c r="T166" s="1" t="str">
        <x:v>No</x:v>
      </x:c>
      <x:c r="U166" s="1" t="n">
        <x:v>0</x:v>
      </x:c>
    </x:row>
    <x:row r="167" ht="23" customHeight="1">
      <x:c r="A167" s="9" t="n">
        <x:v>166</x:v>
      </x:c>
      <x:c r="B167" s="9" t="n">
        <x:v>265</x:v>
      </x:c>
      <x:c r="C167" s="9" t="n">
        <x:v>993</x:v>
      </x:c>
      <x:c r="D167" s="9" t="n">
        <x:v>1</x:v>
      </x:c>
      <x:c r="E167" s="9" t="n">
        <x:v>71353</x:v>
      </x:c>
      <x:c r="F167" s="9" t="n">
        <x:v>818</x:v>
      </x:c>
      <x:c r="G167" s="9" t="n">
        <x:v>55350.00000000745</x:v>
      </x:c>
      <x:c r="H167" s="9" t="n">
        <x:v>14610</x:v>
      </x:c>
      <x:c r="I167" s="9" t="n">
        <x:v>469</x:v>
      </x:c>
      <x:c r="J167" s="9" t="n">
        <x:v>105.99999999254942</x:v>
      </x:c>
      <x:c r="K167" s="9" t="n">
        <x:f>F167+G167+I167+J167</x:f>
        <x:v>56743</x:v>
      </x:c>
      <x:c r="L167" s="10" t="n">
        <x:f>K167/Sources!$B$4*1000</x:f>
        <x:v>15.85201471136695</x:v>
      </x:c>
      <x:c r="M167" s="10" t="n">
        <x:f>E167/Sources!$B$4*1000</x:f>
        <x:v>19.93353903917956</x:v>
      </x:c>
      <x:c r="N167" s="9" t="n">
        <x:f>Sources!$B$6-K167</x:f>
        <x:v>2993</x:v>
      </x:c>
      <x:c r="O167" s="1" t="str">
        <x:v>vertical_normal_up</x:v>
      </x:c>
      <x:c r="P167" s="12" t="n">
        <x:v>0</x:v>
      </x:c>
      <x:c r="Q167" s="12" t="n">
        <x:v>-1</x:v>
      </x:c>
      <x:c r="R167" s="12" t="n">
        <x:v>1</x:v>
      </x:c>
      <x:c r="S167" s="12" t="n">
        <x:v>1</x:v>
      </x:c>
      <x:c r="T167" s="1" t="str">
        <x:v>No</x:v>
      </x:c>
      <x:c r="U167" s="1" t="n">
        <x:v>0</x:v>
      </x:c>
    </x:row>
    <x:row r="168" ht="23" customHeight="1">
      <x:c r="A168" s="9" t="n">
        <x:v>167</x:v>
      </x:c>
      <x:c r="B168" s="9" t="n">
        <x:v>265</x:v>
      </x:c>
      <x:c r="C168" s="9" t="n">
        <x:v>992</x:v>
      </x:c>
      <x:c r="D168" s="9" t="n">
        <x:v>1</x:v>
      </x:c>
      <x:c r="E168" s="9" t="n">
        <x:v>71372</x:v>
      </x:c>
      <x:c r="F168" s="9" t="n">
        <x:v>818</x:v>
      </x:c>
      <x:c r="G168" s="9" t="n">
        <x:v>55491</x:v>
      </x:c>
      <x:c r="H168" s="9" t="n">
        <x:v>14480</x:v>
      </x:c>
      <x:c r="I168" s="9" t="n">
        <x:v>477</x:v>
      </x:c>
      <x:c r="J168" s="9" t="n">
        <x:v>106</x:v>
      </x:c>
      <x:c r="K168" s="9" t="n">
        <x:f>F168+G168+I168+J168</x:f>
        <x:v>56892</x:v>
      </x:c>
      <x:c r="L168" s="10" t="n">
        <x:f>K168/Sources!$B$4*1000</x:f>
        <x:v>15.89364011347811</x:v>
      </x:c>
      <x:c r="M168" s="10" t="n">
        <x:f>E168/Sources!$B$4*1000</x:f>
        <x:v>19.93884697636152</x:v>
      </x:c>
      <x:c r="N168" s="9" t="n">
        <x:f>Sources!$B$6-K168</x:f>
        <x:v>2844</x:v>
      </x:c>
      <x:c r="O168" s="1" t="str">
        <x:v>vertical_normal_up</x:v>
      </x:c>
      <x:c r="P168" s="12" t="n">
        <x:v>0</x:v>
      </x:c>
      <x:c r="Q168" s="12" t="n">
        <x:v>-1</x:v>
      </x:c>
      <x:c r="R168" s="12" t="n">
        <x:v>1</x:v>
      </x:c>
      <x:c r="S168" s="12" t="n">
        <x:v>0</x:v>
      </x:c>
      <x:c r="T168" s="1" t="str">
        <x:v>No</x:v>
      </x:c>
      <x:c r="U168" s="1" t="n">
        <x:v>0</x:v>
      </x:c>
    </x:row>
    <x:row r="169" ht="23" customHeight="1">
      <x:c r="A169" s="9" t="n">
        <x:v>168</x:v>
      </x:c>
      <x:c r="B169" s="9" t="n">
        <x:v>265</x:v>
      </x:c>
      <x:c r="C169" s="9" t="n">
        <x:v>991</x:v>
      </x:c>
      <x:c r="D169" s="9" t="n">
        <x:v>1</x:v>
      </x:c>
      <x:c r="E169" s="9" t="n">
        <x:v>142721</x:v>
      </x:c>
      <x:c r="F169" s="9" t="n">
        <x:v>818</x:v>
      </x:c>
      <x:c r="G169" s="9" t="n">
        <x:v>76453</x:v>
      </x:c>
      <x:c r="H169" s="9" t="n">
        <x:v>64875</x:v>
      </x:c>
      <x:c r="I169" s="9" t="n">
        <x:v>468.9999999925494</x:v>
      </x:c>
      <x:c r="J169" s="9" t="n">
        <x:v>106.00000000745058</x:v>
      </x:c>
      <x:c r="K169" s="9" t="n">
        <x:f>F169+G169+I169+J169</x:f>
        <x:v>77846</x:v>
      </x:c>
      <x:c r="L169" s="10" t="n">
        <x:f>K169/Sources!$B$4*1000</x:f>
        <x:v>21.747456729835772</x:v>
      </x:c>
      <x:c r="M169" s="10" t="n">
        <x:f>E169/Sources!$B$4*1000</x:f>
        <x:v>39.87126855508172</x:v>
      </x:c>
      <x:c r="N169" s="9" t="n">
        <x:f>Sources!$B$6-K169</x:f>
        <x:v>-18110</x:v>
      </x:c>
      <x:c r="O169" s="1" t="str">
        <x:v>vertical_normal_up</x:v>
      </x:c>
      <x:c r="P169" s="12" t="n">
        <x:v>0</x:v>
      </x:c>
      <x:c r="Q169" s="12" t="n">
        <x:v>-1</x:v>
      </x:c>
      <x:c r="R169" s="12" t="n">
        <x:v>1</x:v>
      </x:c>
      <x:c r="S169" s="12" t="n">
        <x:v>7</x:v>
      </x:c>
      <x:c r="T169" s="1" t="str">
        <x:v>Yes</x:v>
      </x:c>
      <x:c r="U169" s="1" t="n">
        <x:v>1</x:v>
      </x:c>
    </x:row>
    <x:row r="170" ht="23" customHeight="1">
      <x:c r="A170" s="9" t="n">
        <x:v>169</x:v>
      </x:c>
      <x:c r="B170" s="9" t="n">
        <x:v>265</x:v>
      </x:c>
      <x:c r="C170" s="9" t="n">
        <x:v>989</x:v>
      </x:c>
      <x:c r="D170" s="9" t="n">
        <x:v>2</x:v>
      </x:c>
      <x:c r="E170" s="9" t="n">
        <x:v>71374</x:v>
      </x:c>
      <x:c r="F170" s="9" t="n">
        <x:v>818.0000000074506</x:v>
      </x:c>
      <x:c r="G170" s="9" t="n">
        <x:v>58733</x:v>
      </x:c>
      <x:c r="H170" s="9" t="n">
        <x:v>11240</x:v>
      </x:c>
      <x:c r="I170" s="9" t="n">
        <x:v>477</x:v>
      </x:c>
      <x:c r="J170" s="9" t="n">
        <x:v>105.99999999254942</x:v>
      </x:c>
      <x:c r="K170" s="9" t="n">
        <x:f>F170+G170+I170+J170</x:f>
        <x:v>60134</x:v>
      </x:c>
      <x:c r="L170" s="10" t="n">
        <x:f>K170/Sources!$B$4*1000</x:f>
        <x:v>16.79934181578944</x:v>
      </x:c>
      <x:c r="M170" s="10" t="n">
        <x:f>E170/Sources!$B$4*1000</x:f>
        <x:v>19.939405706591202</x:v>
      </x:c>
      <x:c r="N170" s="9" t="n">
        <x:f>Sources!$B$6-K170</x:f>
        <x:v>-398</x:v>
      </x:c>
      <x:c r="O170" s="1" t="str">
        <x:v>vertical_normal_up</x:v>
      </x:c>
      <x:c r="P170" s="12" t="n">
        <x:v>0</x:v>
      </x:c>
      <x:c r="Q170" s="12" t="n">
        <x:v>-2</x:v>
      </x:c>
      <x:c r="R170" s="12" t="n">
        <x:v>1</x:v>
      </x:c>
      <x:c r="S170" s="12" t="n">
        <x:v>5</x:v>
      </x:c>
      <x:c r="T170" s="1" t="str">
        <x:v>No</x:v>
      </x:c>
      <x:c r="U170" s="1" t="n">
        <x:v>1</x:v>
      </x:c>
    </x:row>
    <x:row r="171" ht="23" customHeight="1">
      <x:c r="A171" s="9" t="n">
        <x:v>170</x:v>
      </x:c>
      <x:c r="B171" s="9" t="n">
        <x:v>265</x:v>
      </x:c>
      <x:c r="C171" s="9" t="n">
        <x:v>988</x:v>
      </x:c>
      <x:c r="D171" s="9" t="n">
        <x:v>1</x:v>
      </x:c>
      <x:c r="E171" s="9" t="n">
        <x:v>71357</x:v>
      </x:c>
      <x:c r="F171" s="9" t="n">
        <x:v>818</x:v>
      </x:c>
      <x:c r="G171" s="9" t="n">
        <x:v>56574</x:v>
      </x:c>
      <x:c r="H171" s="9" t="n">
        <x:v>13390</x:v>
      </x:c>
      <x:c r="I171" s="9" t="n">
        <x:v>469</x:v>
      </x:c>
      <x:c r="J171" s="9" t="n">
        <x:v>106</x:v>
      </x:c>
      <x:c r="K171" s="9" t="n">
        <x:f>F171+G171+I171+J171</x:f>
        <x:v>57967</x:v>
      </x:c>
      <x:c r="L171" s="10" t="n">
        <x:f>K171/Sources!$B$4*1000</x:f>
        <x:v>16.193957611931125</x:v>
      </x:c>
      <x:c r="M171" s="10" t="n">
        <x:f>E171/Sources!$B$4*1000</x:f>
        <x:v>19.93465649963892</x:v>
      </x:c>
      <x:c r="N171" s="9" t="n">
        <x:f>Sources!$B$6-K171</x:f>
        <x:v>1769</x:v>
      </x:c>
      <x:c r="O171" s="1" t="str">
        <x:v>vertical_normal_up</x:v>
      </x:c>
      <x:c r="P171" s="12" t="n">
        <x:v>0</x:v>
      </x:c>
      <x:c r="Q171" s="12" t="n">
        <x:v>-1</x:v>
      </x:c>
      <x:c r="R171" s="12" t="n">
        <x:v>1</x:v>
      </x:c>
      <x:c r="S171" s="12" t="n">
        <x:v>4</x:v>
      </x:c>
      <x:c r="T171" s="1" t="str">
        <x:v>No</x:v>
      </x:c>
      <x:c r="U171" s="1" t="n">
        <x:v>0</x:v>
      </x:c>
    </x:row>
    <x:row r="172" ht="23" customHeight="1">
      <x:c r="A172" s="9" t="n">
        <x:v>171</x:v>
      </x:c>
      <x:c r="B172" s="9" t="n">
        <x:v>265</x:v>
      </x:c>
      <x:c r="C172" s="9" t="n">
        <x:v>987</x:v>
      </x:c>
      <x:c r="D172" s="9" t="n">
        <x:v>1</x:v>
      </x:c>
      <x:c r="E172" s="9" t="n">
        <x:v>71368</x:v>
      </x:c>
      <x:c r="F172" s="9" t="n">
        <x:v>818</x:v>
      </x:c>
      <x:c r="G172" s="9" t="n">
        <x:v>58226.99999999255</x:v>
      </x:c>
      <x:c r="H172" s="9" t="n">
        <x:v>11740.00000000745</x:v>
      </x:c>
      <x:c r="I172" s="9" t="n">
        <x:v>477.0000000074506</x:v>
      </x:c>
      <x:c r="J172" s="9" t="n">
        <x:v>105.99999999254942</x:v>
      </x:c>
      <x:c r="K172" s="9" t="n">
        <x:f>F172+G172+I172+J172</x:f>
        <x:v>59627.99999999255</x:v>
      </x:c>
      <x:c r="L172" s="10" t="n">
        <x:f>K172/Sources!$B$4*1000</x:f>
        <x:v>16.65798306767831</x:v>
      </x:c>
      <x:c r="M172" s="10" t="n">
        <x:f>E172/Sources!$B$4*1000</x:f>
        <x:v>19.93772951590216</x:v>
      </x:c>
      <x:c r="N172" s="9" t="n">
        <x:f>Sources!$B$6-K172</x:f>
        <x:v>108.00000000745058</x:v>
      </x:c>
      <x:c r="O172" s="1" t="str">
        <x:v>vertical_normal_up</x:v>
      </x:c>
      <x:c r="P172" s="12" t="n">
        <x:v>0</x:v>
      </x:c>
      <x:c r="Q172" s="12" t="n">
        <x:v>-1</x:v>
      </x:c>
      <x:c r="R172" s="12" t="n">
        <x:v>1</x:v>
      </x:c>
      <x:c r="S172" s="12" t="n">
        <x:v>3</x:v>
      </x:c>
      <x:c r="T172" s="1" t="str">
        <x:v>No</x:v>
      </x:c>
      <x:c r="U172" s="1" t="n">
        <x:v>0</x:v>
      </x:c>
    </x:row>
    <x:row r="173" ht="23" customHeight="1">
      <x:c r="A173" s="9" t="n">
        <x:v>172</x:v>
      </x:c>
      <x:c r="B173" s="9" t="n">
        <x:v>265</x:v>
      </x:c>
      <x:c r="C173" s="9" t="n">
        <x:v>986</x:v>
      </x:c>
      <x:c r="D173" s="9" t="n">
        <x:v>1</x:v>
      </x:c>
      <x:c r="E173" s="9" t="n">
        <x:v>71358</x:v>
      </x:c>
      <x:c r="F173" s="9" t="n">
        <x:v>817.9999999925494</x:v>
      </x:c>
      <x:c r="G173" s="9" t="n">
        <x:v>57510.00000000745</x:v>
      </x:c>
      <x:c r="H173" s="9" t="n">
        <x:v>12455</x:v>
      </x:c>
      <x:c r="I173" s="9" t="n">
        <x:v>469</x:v>
      </x:c>
      <x:c r="J173" s="9" t="n">
        <x:v>106</x:v>
      </x:c>
      <x:c r="K173" s="9" t="n">
        <x:f>F173+G173+I173+J173</x:f>
        <x:v>58903</x:v>
      </x:c>
      <x:c r="L173" s="10" t="n">
        <x:f>K173/Sources!$B$4*1000</x:f>
        <x:v>16.455443359421377</x:v>
      </x:c>
      <x:c r="M173" s="10" t="n">
        <x:f>E173/Sources!$B$4*1000</x:f>
        <x:v>19.934935864753758</x:v>
      </x:c>
      <x:c r="N173" s="9" t="n">
        <x:f>Sources!$B$6-K173</x:f>
        <x:v>833</x:v>
      </x:c>
      <x:c r="O173" s="1" t="str">
        <x:v>vertical_normal_up</x:v>
      </x:c>
      <x:c r="P173" s="12" t="n">
        <x:v>0</x:v>
      </x:c>
      <x:c r="Q173" s="12" t="n">
        <x:v>-1</x:v>
      </x:c>
      <x:c r="R173" s="12" t="n">
        <x:v>1</x:v>
      </x:c>
      <x:c r="S173" s="12" t="n">
        <x:v>2</x:v>
      </x:c>
      <x:c r="T173" s="1" t="str">
        <x:v>No</x:v>
      </x:c>
      <x:c r="U173" s="1" t="n">
        <x:v>0</x:v>
      </x:c>
    </x:row>
    <x:row r="174" ht="23" customHeight="1">
      <x:c r="A174" s="9" t="n">
        <x:v>173</x:v>
      </x:c>
      <x:c r="B174" s="9" t="n">
        <x:v>265</x:v>
      </x:c>
      <x:c r="C174" s="9" t="n">
        <x:v>985</x:v>
      </x:c>
      <x:c r="D174" s="9" t="n">
        <x:v>1</x:v>
      </x:c>
      <x:c r="E174" s="9" t="n">
        <x:v>71371.99999999255</x:v>
      </x:c>
      <x:c r="F174" s="9" t="n">
        <x:v>817.9999999925494</x:v>
      </x:c>
      <x:c r="G174" s="9" t="n">
        <x:v>55371</x:v>
      </x:c>
      <x:c r="H174" s="9" t="n">
        <x:v>14600</x:v>
      </x:c>
      <x:c r="I174" s="9" t="n">
        <x:v>477</x:v>
      </x:c>
      <x:c r="J174" s="9" t="n">
        <x:v>106</x:v>
      </x:c>
      <x:c r="K174" s="9" t="n">
        <x:f>F174+G174+I174+J174</x:f>
        <x:v>56771.99999999255</x:v>
      </x:c>
      <x:c r="L174" s="10" t="n">
        <x:f>K174/Sources!$B$4*1000</x:f>
        <x:v>15.860116299695228</x:v>
      </x:c>
      <x:c r="M174" s="10" t="n">
        <x:f>E174/Sources!$B$4*1000</x:f>
        <x:v>19.93884697635944</x:v>
      </x:c>
      <x:c r="N174" s="9" t="n">
        <x:f>Sources!$B$6-K174</x:f>
        <x:v>2964.0000000074506</x:v>
      </x:c>
      <x:c r="O174" s="1" t="str">
        <x:v>vertical_normal_up</x:v>
      </x:c>
      <x:c r="P174" s="12" t="n">
        <x:v>0</x:v>
      </x:c>
      <x:c r="Q174" s="12" t="n">
        <x:v>-1</x:v>
      </x:c>
      <x:c r="R174" s="12" t="n">
        <x:v>1</x:v>
      </x:c>
      <x:c r="S174" s="12" t="n">
        <x:v>1</x:v>
      </x:c>
      <x:c r="T174" s="1" t="str">
        <x:v>No</x:v>
      </x:c>
      <x:c r="U174" s="1" t="n">
        <x:v>0</x:v>
      </x:c>
    </x:row>
    <x:row r="175" ht="23" customHeight="1">
      <x:c r="A175" s="9" t="n">
        <x:v>174</x:v>
      </x:c>
      <x:c r="B175" s="9" t="n">
        <x:v>265</x:v>
      </x:c>
      <x:c r="C175" s="9" t="n">
        <x:v>984</x:v>
      </x:c>
      <x:c r="D175" s="9" t="n">
        <x:v>1</x:v>
      </x:c>
      <x:c r="E175" s="9" t="n">
        <x:v>71358</x:v>
      </x:c>
      <x:c r="F175" s="9" t="n">
        <x:v>818.0000000074506</x:v>
      </x:c>
      <x:c r="G175" s="9" t="n">
        <x:v>55469.99999999255</x:v>
      </x:c>
      <x:c r="H175" s="9" t="n">
        <x:v>14495.00000000745</x:v>
      </x:c>
      <x:c r="I175" s="9" t="n">
        <x:v>469</x:v>
      </x:c>
      <x:c r="J175" s="9" t="n">
        <x:v>105.99999999254942</x:v>
      </x:c>
      <x:c r="K175" s="9" t="n">
        <x:f>F175+G175+I175+J175</x:f>
        <x:v>56862.99999999255</x:v>
      </x:c>
      <x:c r="L175" s="10" t="n">
        <x:f>K175/Sources!$B$4*1000</x:f>
        <x:v>15.885538525145668</x:v>
      </x:c>
      <x:c r="M175" s="10" t="n">
        <x:f>E175/Sources!$B$4*1000</x:f>
        <x:v>19.934935864753758</x:v>
      </x:c>
      <x:c r="N175" s="9" t="n">
        <x:f>Sources!$B$6-K175</x:f>
        <x:v>2873.0000000074506</x:v>
      </x:c>
      <x:c r="O175" s="1" t="str">
        <x:v>vertical_normal_up</x:v>
      </x:c>
      <x:c r="P175" s="12" t="n">
        <x:v>0</x:v>
      </x:c>
      <x:c r="Q175" s="12" t="n">
        <x:v>-1</x:v>
      </x:c>
      <x:c r="R175" s="12" t="n">
        <x:v>1</x:v>
      </x:c>
      <x:c r="S175" s="12" t="n">
        <x:v>0</x:v>
      </x:c>
      <x:c r="T175" s="1" t="str">
        <x:v>No</x:v>
      </x:c>
      <x:c r="U175" s="1" t="n">
        <x:v>0</x:v>
      </x:c>
    </x:row>
    <x:row r="176" ht="23" customHeight="1">
      <x:c r="A176" s="9" t="n">
        <x:v>175</x:v>
      </x:c>
      <x:c r="B176" s="9" t="n">
        <x:v>265</x:v>
      </x:c>
      <x:c r="C176" s="9" t="n">
        <x:v>983</x:v>
      </x:c>
      <x:c r="D176" s="9" t="n">
        <x:v>1</x:v>
      </x:c>
      <x:c r="E176" s="9" t="n">
        <x:v>142735.00000000745</x:v>
      </x:c>
      <x:c r="F176" s="9" t="n">
        <x:v>818.0000000074506</x:v>
      </x:c>
      <x:c r="G176" s="9" t="n">
        <x:v>76479</x:v>
      </x:c>
      <x:c r="H176" s="9" t="n">
        <x:v>64855</x:v>
      </x:c>
      <x:c r="I176" s="9" t="n">
        <x:v>477</x:v>
      </x:c>
      <x:c r="J176" s="9" t="n">
        <x:v>106</x:v>
      </x:c>
      <x:c r="K176" s="9" t="n">
        <x:f>F176+G176+I176+J176</x:f>
        <x:v>77880.00000000745</x:v>
      </x:c>
      <x:c r="L176" s="10" t="n">
        <x:f>K176/Sources!$B$4*1000</x:f>
        <x:v>21.75695514374242</x:v>
      </x:c>
      <x:c r="M176" s="10" t="n">
        <x:f>E176/Sources!$B$4*1000</x:f>
        <x:v>39.87517966669156</x:v>
      </x:c>
      <x:c r="N176" s="9" t="n">
        <x:f>Sources!$B$6-K176</x:f>
        <x:v>-18144.00000000745</x:v>
      </x:c>
      <x:c r="O176" s="1" t="str">
        <x:v>vertical_normal_up</x:v>
      </x:c>
      <x:c r="P176" s="12" t="n">
        <x:v>0</x:v>
      </x:c>
      <x:c r="Q176" s="12" t="n">
        <x:v>-1</x:v>
      </x:c>
      <x:c r="R176" s="12" t="n">
        <x:v>1</x:v>
      </x:c>
      <x:c r="S176" s="12" t="n">
        <x:v>7</x:v>
      </x:c>
      <x:c r="T176" s="1" t="str">
        <x:v>Yes</x:v>
      </x:c>
      <x:c r="U176" s="1" t="n">
        <x:v>1</x:v>
      </x:c>
    </x:row>
    <x:row r="177" ht="23" customHeight="1">
      <x:c r="A177" s="9" t="n">
        <x:v>176</x:v>
      </x:c>
      <x:c r="B177" s="9" t="n">
        <x:v>265</x:v>
      </x:c>
      <x:c r="C177" s="9" t="n">
        <x:v>981</x:v>
      </x:c>
      <x:c r="D177" s="9" t="n">
        <x:v>2</x:v>
      </x:c>
      <x:c r="E177" s="9" t="n">
        <x:v>71355</x:v>
      </x:c>
      <x:c r="F177" s="9" t="n">
        <x:v>818</x:v>
      </x:c>
      <x:c r="G177" s="9" t="n">
        <x:v>58697</x:v>
      </x:c>
      <x:c r="H177" s="9" t="n">
        <x:v>11265</x:v>
      </x:c>
      <x:c r="I177" s="9" t="n">
        <x:v>468.9999999925494</x:v>
      </x:c>
      <x:c r="J177" s="9" t="n">
        <x:v>106.00000000745058</x:v>
      </x:c>
      <x:c r="K177" s="9" t="n">
        <x:f>F177+G177+I177+J177</x:f>
        <x:v>60090</x:v>
      </x:c>
      <x:c r="L177" s="10" t="n">
        <x:f>K177/Sources!$B$4*1000</x:f>
        <x:v>16.787049750736475</x:v>
      </x:c>
      <x:c r="M177" s="10" t="n">
        <x:f>E177/Sources!$B$4*1000</x:f>
        <x:v>19.934097769409238</x:v>
      </x:c>
      <x:c r="N177" s="9" t="n">
        <x:f>Sources!$B$6-K177</x:f>
        <x:v>-354</x:v>
      </x:c>
      <x:c r="O177" s="1" t="str">
        <x:v>vertical_normal_up</x:v>
      </x:c>
      <x:c r="P177" s="12" t="n">
        <x:v>0</x:v>
      </x:c>
      <x:c r="Q177" s="12" t="n">
        <x:v>-2</x:v>
      </x:c>
      <x:c r="R177" s="12" t="n">
        <x:v>1</x:v>
      </x:c>
      <x:c r="S177" s="12" t="n">
        <x:v>5</x:v>
      </x:c>
      <x:c r="T177" s="1" t="str">
        <x:v>No</x:v>
      </x:c>
      <x:c r="U177" s="1" t="n">
        <x:v>1</x:v>
      </x:c>
    </x:row>
    <x:row r="178" ht="23" customHeight="1">
      <x:c r="A178" s="9" t="n">
        <x:v>177</x:v>
      </x:c>
      <x:c r="B178" s="9" t="n">
        <x:v>265</x:v>
      </x:c>
      <x:c r="C178" s="9" t="n">
        <x:v>980</x:v>
      </x:c>
      <x:c r="D178" s="9" t="n">
        <x:v>1</x:v>
      </x:c>
      <x:c r="E178" s="9" t="n">
        <x:v>71371</x:v>
      </x:c>
      <x:c r="F178" s="9" t="n">
        <x:v>818.0000000074506</x:v>
      </x:c>
      <x:c r="G178" s="9" t="n">
        <x:v>56595</x:v>
      </x:c>
      <x:c r="H178" s="9" t="n">
        <x:v>13375</x:v>
      </x:c>
      <x:c r="I178" s="9" t="n">
        <x:v>476.9999999925494</x:v>
      </x:c>
      <x:c r="J178" s="9" t="n">
        <x:v>106</x:v>
      </x:c>
      <x:c r="K178" s="9" t="n">
        <x:f>F178+G178+I178+J178</x:f>
        <x:v>57996</x:v>
      </x:c>
      <x:c r="L178" s="10" t="n">
        <x:f>K178/Sources!$B$4*1000</x:f>
        <x:v>16.202059200261484</x:v>
      </x:c>
      <x:c r="M178" s="10" t="n">
        <x:f>E178/Sources!$B$4*1000</x:f>
        <x:v>19.93856761124668</x:v>
      </x:c>
      <x:c r="N178" s="9" t="n">
        <x:f>Sources!$B$6-K178</x:f>
        <x:v>1740</x:v>
      </x:c>
      <x:c r="O178" s="1" t="str">
        <x:v>vertical_normal_up</x:v>
      </x:c>
      <x:c r="P178" s="12" t="n">
        <x:v>0</x:v>
      </x:c>
      <x:c r="Q178" s="12" t="n">
        <x:v>-1</x:v>
      </x:c>
      <x:c r="R178" s="12" t="n">
        <x:v>1</x:v>
      </x:c>
      <x:c r="S178" s="12" t="n">
        <x:v>4</x:v>
      </x:c>
      <x:c r="T178" s="1" t="str">
        <x:v>No</x:v>
      </x:c>
      <x:c r="U178" s="1" t="n">
        <x:v>0</x:v>
      </x:c>
    </x:row>
    <x:row r="179" ht="23" customHeight="1">
      <x:c r="A179" s="9" t="n">
        <x:v>178</x:v>
      </x:c>
      <x:c r="B179" s="9" t="n">
        <x:v>265</x:v>
      </x:c>
      <x:c r="C179" s="9" t="n">
        <x:v>979</x:v>
      </x:c>
      <x:c r="D179" s="9" t="n">
        <x:v>1</x:v>
      </x:c>
      <x:c r="E179" s="9" t="n">
        <x:v>71359</x:v>
      </x:c>
      <x:c r="F179" s="9" t="n">
        <x:v>818.0000000074506</x:v>
      </x:c>
      <x:c r="G179" s="9" t="n">
        <x:v>58206</x:v>
      </x:c>
      <x:c r="H179" s="9" t="n">
        <x:v>11759.99999999255</x:v>
      </x:c>
      <x:c r="I179" s="9" t="n">
        <x:v>469.0000000074506</x:v>
      </x:c>
      <x:c r="J179" s="9" t="n">
        <x:v>105.99999999254942</x:v>
      </x:c>
      <x:c r="K179" s="9" t="n">
        <x:f>F179+G179+I179+J179</x:f>
        <x:v>59599.00000000745</x:v>
      </x:c>
      <x:c r="L179" s="10" t="n">
        <x:f>K179/Sources!$B$4*1000</x:f>
        <x:v>16.64988147935211</x:v>
      </x:c>
      <x:c r="M179" s="10" t="n">
        <x:f>E179/Sources!$B$4*1000</x:f>
        <x:v>19.9352152298686</x:v>
      </x:c>
      <x:c r="N179" s="9" t="n">
        <x:f>Sources!$B$6-K179</x:f>
        <x:v>136.99999999254942</x:v>
      </x:c>
      <x:c r="O179" s="1" t="str">
        <x:v>vertical_normal_up</x:v>
      </x:c>
      <x:c r="P179" s="12" t="n">
        <x:v>0</x:v>
      </x:c>
      <x:c r="Q179" s="12" t="n">
        <x:v>-1</x:v>
      </x:c>
      <x:c r="R179" s="12" t="n">
        <x:v>1</x:v>
      </x:c>
      <x:c r="S179" s="12" t="n">
        <x:v>3</x:v>
      </x:c>
      <x:c r="T179" s="1" t="str">
        <x:v>No</x:v>
      </x:c>
      <x:c r="U179" s="1" t="n">
        <x:v>0</x:v>
      </x:c>
    </x:row>
    <x:row r="180" ht="23" customHeight="1">
      <x:c r="A180" s="9" t="n">
        <x:v>179</x:v>
      </x:c>
      <x:c r="B180" s="9" t="n">
        <x:v>265</x:v>
      </x:c>
      <x:c r="C180" s="9" t="n">
        <x:v>978</x:v>
      </x:c>
      <x:c r="D180" s="9" t="n">
        <x:v>1</x:v>
      </x:c>
      <x:c r="E180" s="9" t="n">
        <x:v>71372</x:v>
      </x:c>
      <x:c r="F180" s="9" t="n">
        <x:v>818</x:v>
      </x:c>
      <x:c r="G180" s="9" t="n">
        <x:v>57531</x:v>
      </x:c>
      <x:c r="H180" s="9" t="n">
        <x:v>12440</x:v>
      </x:c>
      <x:c r="I180" s="9" t="n">
        <x:v>477</x:v>
      </x:c>
      <x:c r="J180" s="9" t="n">
        <x:v>106</x:v>
      </x:c>
      <x:c r="K180" s="9" t="n">
        <x:f>F180+G180+I180+J180</x:f>
        <x:v>58932</x:v>
      </x:c>
      <x:c r="L180" s="10" t="n">
        <x:f>K180/Sources!$B$4*1000</x:f>
        <x:v>16.46354494775174</x:v>
      </x:c>
      <x:c r="M180" s="10" t="n">
        <x:f>E180/Sources!$B$4*1000</x:f>
        <x:v>19.93884697636152</x:v>
      </x:c>
      <x:c r="N180" s="9" t="n">
        <x:f>Sources!$B$6-K180</x:f>
        <x:v>804</x:v>
      </x:c>
      <x:c r="O180" s="1" t="str">
        <x:v>vertical_normal_up</x:v>
      </x:c>
      <x:c r="P180" s="12" t="n">
        <x:v>0</x:v>
      </x:c>
      <x:c r="Q180" s="12" t="n">
        <x:v>-1</x:v>
      </x:c>
      <x:c r="R180" s="12" t="n">
        <x:v>1</x:v>
      </x:c>
      <x:c r="S180" s="12" t="n">
        <x:v>2</x:v>
      </x:c>
      <x:c r="T180" s="1" t="str">
        <x:v>No</x:v>
      </x:c>
      <x:c r="U180" s="1" t="n">
        <x:v>0</x:v>
      </x:c>
    </x:row>
    <x:row r="181" ht="23" customHeight="1">
      <x:c r="A181" s="9" t="n">
        <x:v>180</x:v>
      </x:c>
      <x:c r="B181" s="9" t="n">
        <x:v>265</x:v>
      </x:c>
      <x:c r="C181" s="9" t="n">
        <x:v>977</x:v>
      </x:c>
      <x:c r="D181" s="9" t="n">
        <x:v>1</x:v>
      </x:c>
      <x:c r="E181" s="9" t="n">
        <x:v>71353</x:v>
      </x:c>
      <x:c r="F181" s="9" t="n">
        <x:v>818</x:v>
      </x:c>
      <x:c r="G181" s="9" t="n">
        <x:v>55350</x:v>
      </x:c>
      <x:c r="H181" s="9" t="n">
        <x:v>14610</x:v>
      </x:c>
      <x:c r="I181" s="9" t="n">
        <x:v>469</x:v>
      </x:c>
      <x:c r="J181" s="9" t="n">
        <x:v>106</x:v>
      </x:c>
      <x:c r="K181" s="9" t="n">
        <x:f>F181+G181+I181+J181</x:f>
        <x:v>56743</x:v>
      </x:c>
      <x:c r="L181" s="10" t="n">
        <x:f>K181/Sources!$B$4*1000</x:f>
        <x:v>15.85201471136695</x:v>
      </x:c>
      <x:c r="M181" s="10" t="n">
        <x:f>E181/Sources!$B$4*1000</x:f>
        <x:v>19.93353903917956</x:v>
      </x:c>
      <x:c r="N181" s="9" t="n">
        <x:f>Sources!$B$6-K181</x:f>
        <x:v>2993</x:v>
      </x:c>
      <x:c r="O181" s="1" t="str">
        <x:v>vertical_normal_up</x:v>
      </x:c>
      <x:c r="P181" s="12" t="n">
        <x:v>0</x:v>
      </x:c>
      <x:c r="Q181" s="12" t="n">
        <x:v>-1</x:v>
      </x:c>
      <x:c r="R181" s="12" t="n">
        <x:v>1</x:v>
      </x:c>
      <x:c r="S181" s="12" t="n">
        <x:v>1</x:v>
      </x:c>
      <x:c r="T181" s="1" t="str">
        <x:v>No</x:v>
      </x:c>
      <x:c r="U181" s="1" t="n">
        <x:v>0</x:v>
      </x:c>
    </x:row>
    <x:row r="182" ht="23" customHeight="1">
      <x:c r="A182" s="9" t="n">
        <x:v>181</x:v>
      </x:c>
      <x:c r="B182" s="9" t="n">
        <x:v>265</x:v>
      </x:c>
      <x:c r="C182" s="9" t="n">
        <x:v>976</x:v>
      </x:c>
      <x:c r="D182" s="9" t="n">
        <x:v>1</x:v>
      </x:c>
      <x:c r="E182" s="9" t="n">
        <x:v>71372</x:v>
      </x:c>
      <x:c r="F182" s="9" t="n">
        <x:v>818</x:v>
      </x:c>
      <x:c r="G182" s="9" t="n">
        <x:v>55490.99999999255</x:v>
      </x:c>
      <x:c r="H182" s="9" t="n">
        <x:v>14480</x:v>
      </x:c>
      <x:c r="I182" s="9" t="n">
        <x:v>477</x:v>
      </x:c>
      <x:c r="J182" s="9" t="n">
        <x:v>106.00000000745058</x:v>
      </x:c>
      <x:c r="K182" s="9" t="n">
        <x:f>F182+G182+I182+J182</x:f>
        <x:v>56892</x:v>
      </x:c>
      <x:c r="L182" s="10" t="n">
        <x:f>K182/Sources!$B$4*1000</x:f>
        <x:v>15.89364011347811</x:v>
      </x:c>
      <x:c r="M182" s="10" t="n">
        <x:f>E182/Sources!$B$4*1000</x:f>
        <x:v>19.93884697636152</x:v>
      </x:c>
      <x:c r="N182" s="9" t="n">
        <x:f>Sources!$B$6-K182</x:f>
        <x:v>2844</x:v>
      </x:c>
      <x:c r="O182" s="1" t="str">
        <x:v>vertical_normal_up</x:v>
      </x:c>
      <x:c r="P182" s="12" t="n">
        <x:v>0</x:v>
      </x:c>
      <x:c r="Q182" s="12" t="n">
        <x:v>-1</x:v>
      </x:c>
      <x:c r="R182" s="12" t="n">
        <x:v>1</x:v>
      </x:c>
      <x:c r="S182" s="12" t="n">
        <x:v>0</x:v>
      </x:c>
      <x:c r="T182" s="1" t="str">
        <x:v>No</x:v>
      </x:c>
      <x:c r="U182" s="1" t="n">
        <x:v>0</x:v>
      </x:c>
    </x:row>
    <x:row r="183" ht="23" customHeight="1">
      <x:c r="A183" s="9" t="n">
        <x:v>182</x:v>
      </x:c>
      <x:c r="B183" s="9" t="n">
        <x:v>265</x:v>
      </x:c>
      <x:c r="C183" s="9" t="n">
        <x:v>975</x:v>
      </x:c>
      <x:c r="D183" s="9" t="n">
        <x:v>1</x:v>
      </x:c>
      <x:c r="E183" s="9" t="n">
        <x:v>142721</x:v>
      </x:c>
      <x:c r="F183" s="9" t="n">
        <x:v>818</x:v>
      </x:c>
      <x:c r="G183" s="9" t="n">
        <x:v>76453</x:v>
      </x:c>
      <x:c r="H183" s="9" t="n">
        <x:v>64875</x:v>
      </x:c>
      <x:c r="I183" s="9" t="n">
        <x:v>468.9999999925494</x:v>
      </x:c>
      <x:c r="J183" s="9" t="n">
        <x:v>106.00000000745058</x:v>
      </x:c>
      <x:c r="K183" s="9" t="n">
        <x:f>F183+G183+I183+J183</x:f>
        <x:v>77846</x:v>
      </x:c>
      <x:c r="L183" s="10" t="n">
        <x:f>K183/Sources!$B$4*1000</x:f>
        <x:v>21.747456729835772</x:v>
      </x:c>
      <x:c r="M183" s="10" t="n">
        <x:f>E183/Sources!$B$4*1000</x:f>
        <x:v>39.87126855508172</x:v>
      </x:c>
      <x:c r="N183" s="9" t="n">
        <x:f>Sources!$B$6-K183</x:f>
        <x:v>-18110</x:v>
      </x:c>
      <x:c r="O183" s="1" t="str">
        <x:v>vertical_normal_up</x:v>
      </x:c>
      <x:c r="P183" s="12" t="n">
        <x:v>0</x:v>
      </x:c>
      <x:c r="Q183" s="12" t="n">
        <x:v>-1</x:v>
      </x:c>
      <x:c r="R183" s="12" t="n">
        <x:v>1</x:v>
      </x:c>
      <x:c r="S183" s="12" t="n">
        <x:v>7</x:v>
      </x:c>
      <x:c r="T183" s="1" t="str">
        <x:v>Yes</x:v>
      </x:c>
      <x:c r="U183" s="1" t="n">
        <x:v>1</x:v>
      </x:c>
    </x:row>
    <x:row r="184" ht="23" customHeight="1">
      <x:c r="A184" s="9" t="n">
        <x:v>183</x:v>
      </x:c>
      <x:c r="B184" s="9" t="n">
        <x:v>265</x:v>
      </x:c>
      <x:c r="C184" s="9" t="n">
        <x:v>973</x:v>
      </x:c>
      <x:c r="D184" s="9" t="n">
        <x:v>2</x:v>
      </x:c>
      <x:c r="E184" s="9" t="n">
        <x:v>71374</x:v>
      </x:c>
      <x:c r="F184" s="9" t="n">
        <x:v>818</x:v>
      </x:c>
      <x:c r="G184" s="9" t="n">
        <x:v>58732.99999999255</x:v>
      </x:c>
      <x:c r="H184" s="9" t="n">
        <x:v>11240.00000000745</x:v>
      </x:c>
      <x:c r="I184" s="9" t="n">
        <x:v>477</x:v>
      </x:c>
      <x:c r="J184" s="9" t="n">
        <x:v>106</x:v>
      </x:c>
      <x:c r="K184" s="9" t="n">
        <x:f>F184+G184+I184+J184</x:f>
        <x:v>60133.99999999255</x:v>
      </x:c>
      <x:c r="L184" s="10" t="n">
        <x:f>K184/Sources!$B$4*1000</x:f>
        <x:v>16.799341815787358</x:v>
      </x:c>
      <x:c r="M184" s="10" t="n">
        <x:f>E184/Sources!$B$4*1000</x:f>
        <x:v>19.939405706591202</x:v>
      </x:c>
      <x:c r="N184" s="9" t="n">
        <x:f>Sources!$B$6-K184</x:f>
        <x:v>-397.9999999925494</x:v>
      </x:c>
      <x:c r="O184" s="1" t="str">
        <x:v>vertical_normal_up</x:v>
      </x:c>
      <x:c r="P184" s="12" t="n">
        <x:v>0</x:v>
      </x:c>
      <x:c r="Q184" s="12" t="n">
        <x:v>-2</x:v>
      </x:c>
      <x:c r="R184" s="12" t="n">
        <x:v>1</x:v>
      </x:c>
      <x:c r="S184" s="12" t="n">
        <x:v>5</x:v>
      </x:c>
      <x:c r="T184" s="1" t="str">
        <x:v>No</x:v>
      </x:c>
      <x:c r="U184" s="1" t="n">
        <x:v>1</x:v>
      </x:c>
    </x:row>
    <x:row r="185" ht="23" customHeight="1">
      <x:c r="A185" s="9" t="n">
        <x:v>184</x:v>
      </x:c>
      <x:c r="B185" s="9" t="n">
        <x:v>265</x:v>
      </x:c>
      <x:c r="C185" s="9" t="n">
        <x:v>972</x:v>
      </x:c>
      <x:c r="D185" s="9" t="n">
        <x:v>1</x:v>
      </x:c>
      <x:c r="E185" s="9" t="n">
        <x:v>71351.99999999255</x:v>
      </x:c>
      <x:c r="F185" s="9" t="n">
        <x:v>818</x:v>
      </x:c>
      <x:c r="G185" s="9" t="n">
        <x:v>56574</x:v>
      </x:c>
      <x:c r="H185" s="9" t="n">
        <x:v>13385</x:v>
      </x:c>
      <x:c r="I185" s="9" t="n">
        <x:v>469</x:v>
      </x:c>
      <x:c r="J185" s="9" t="n">
        <x:v>105.99999999254942</x:v>
      </x:c>
      <x:c r="K185" s="9" t="n">
        <x:f>F185+G185+I185+J185</x:f>
        <x:v>57966.99999999255</x:v>
      </x:c>
      <x:c r="L185" s="10" t="n">
        <x:f>K185/Sources!$B$4*1000</x:f>
        <x:v>16.193957611929044</x:v>
      </x:c>
      <x:c r="M185" s="10" t="n">
        <x:f>E185/Sources!$B$4*1000</x:f>
        <x:v>19.933259674062636</x:v>
      </x:c>
      <x:c r="N185" s="9" t="n">
        <x:f>Sources!$B$6-K185</x:f>
        <x:v>1769.0000000074506</x:v>
      </x:c>
      <x:c r="O185" s="1" t="str">
        <x:v>vertical_normal_up</x:v>
      </x:c>
      <x:c r="P185" s="12" t="n">
        <x:v>0</x:v>
      </x:c>
      <x:c r="Q185" s="12" t="n">
        <x:v>-1</x:v>
      </x:c>
      <x:c r="R185" s="12" t="n">
        <x:v>1</x:v>
      </x:c>
      <x:c r="S185" s="12" t="n">
        <x:v>4</x:v>
      </x:c>
      <x:c r="T185" s="1" t="str">
        <x:v>No</x:v>
      </x:c>
      <x:c r="U185" s="1" t="n">
        <x:v>0</x:v>
      </x:c>
    </x:row>
    <x:row r="186" ht="23" customHeight="1">
      <x:c r="A186" s="9" t="n">
        <x:v>185</x:v>
      </x:c>
      <x:c r="B186" s="9" t="n">
        <x:v>265</x:v>
      </x:c>
      <x:c r="C186" s="9" t="n">
        <x:v>971</x:v>
      </x:c>
      <x:c r="D186" s="9" t="n">
        <x:v>1</x:v>
      </x:c>
      <x:c r="E186" s="9" t="n">
        <x:v>71373.00000000745</x:v>
      </x:c>
      <x:c r="F186" s="9" t="n">
        <x:v>818.0000000074506</x:v>
      </x:c>
      <x:c r="G186" s="9" t="n">
        <x:v>58227</x:v>
      </x:c>
      <x:c r="H186" s="9" t="n">
        <x:v>11745.00000000745</x:v>
      </x:c>
      <x:c r="I186" s="9" t="n">
        <x:v>477</x:v>
      </x:c>
      <x:c r="J186" s="9" t="n">
        <x:v>105.99999999254942</x:v>
      </x:c>
      <x:c r="K186" s="9" t="n">
        <x:f>F186+G186+I186+J186</x:f>
        <x:v>59628</x:v>
      </x:c>
      <x:c r="L186" s="10" t="n">
        <x:f>K186/Sources!$B$4*1000</x:f>
        <x:v>16.65798306768039</x:v>
      </x:c>
      <x:c r="M186" s="10" t="n">
        <x:f>E186/Sources!$B$4*1000</x:f>
        <x:v>19.939126341478442</x:v>
      </x:c>
      <x:c r="N186" s="9" t="n">
        <x:f>Sources!$B$6-K186</x:f>
        <x:v>108</x:v>
      </x:c>
      <x:c r="O186" s="1" t="str">
        <x:v>vertical_normal_up</x:v>
      </x:c>
      <x:c r="P186" s="12" t="n">
        <x:v>0</x:v>
      </x:c>
      <x:c r="Q186" s="12" t="n">
        <x:v>-1</x:v>
      </x:c>
      <x:c r="R186" s="12" t="n">
        <x:v>1</x:v>
      </x:c>
      <x:c r="S186" s="12" t="n">
        <x:v>3</x:v>
      </x:c>
      <x:c r="T186" s="1" t="str">
        <x:v>No</x:v>
      </x:c>
      <x:c r="U186" s="1" t="n">
        <x:v>0</x:v>
      </x:c>
    </x:row>
    <x:row r="187" ht="23" customHeight="1">
      <x:c r="A187" s="9" t="n">
        <x:v>186</x:v>
      </x:c>
      <x:c r="B187" s="9" t="n">
        <x:v>265</x:v>
      </x:c>
      <x:c r="C187" s="9" t="n">
        <x:v>970</x:v>
      </x:c>
      <x:c r="D187" s="9" t="n">
        <x:v>1</x:v>
      </x:c>
      <x:c r="E187" s="9" t="n">
        <x:v>71358</x:v>
      </x:c>
      <x:c r="F187" s="9" t="n">
        <x:v>817.9999999925494</x:v>
      </x:c>
      <x:c r="G187" s="9" t="n">
        <x:v>57510.00000000745</x:v>
      </x:c>
      <x:c r="H187" s="9" t="n">
        <x:v>12455</x:v>
      </x:c>
      <x:c r="I187" s="9" t="n">
        <x:v>469</x:v>
      </x:c>
      <x:c r="J187" s="9" t="n">
        <x:v>106</x:v>
      </x:c>
      <x:c r="K187" s="9" t="n">
        <x:f>F187+G187+I187+J187</x:f>
        <x:v>58903</x:v>
      </x:c>
      <x:c r="L187" s="10" t="n">
        <x:f>K187/Sources!$B$4*1000</x:f>
        <x:v>16.455443359421377</x:v>
      </x:c>
      <x:c r="M187" s="10" t="n">
        <x:f>E187/Sources!$B$4*1000</x:f>
        <x:v>19.934935864753758</x:v>
      </x:c>
      <x:c r="N187" s="9" t="n">
        <x:f>Sources!$B$6-K187</x:f>
        <x:v>833</x:v>
      </x:c>
      <x:c r="O187" s="1" t="str">
        <x:v>vertical_normal_up</x:v>
      </x:c>
      <x:c r="P187" s="12" t="n">
        <x:v>0</x:v>
      </x:c>
      <x:c r="Q187" s="12" t="n">
        <x:v>-1</x:v>
      </x:c>
      <x:c r="R187" s="12" t="n">
        <x:v>1</x:v>
      </x:c>
      <x:c r="S187" s="12" t="n">
        <x:v>2</x:v>
      </x:c>
      <x:c r="T187" s="1" t="str">
        <x:v>No</x:v>
      </x:c>
      <x:c r="U187" s="1" t="n">
        <x:v>0</x:v>
      </x:c>
    </x:row>
    <x:row r="188" ht="23" customHeight="1">
      <x:c r="A188" s="9" t="n">
        <x:v>187</x:v>
      </x:c>
      <x:c r="B188" s="9" t="n">
        <x:v>265</x:v>
      </x:c>
      <x:c r="C188" s="9" t="n">
        <x:v>969</x:v>
      </x:c>
      <x:c r="D188" s="9" t="n">
        <x:v>1</x:v>
      </x:c>
      <x:c r="E188" s="9" t="n">
        <x:v>71372</x:v>
      </x:c>
      <x:c r="F188" s="9" t="n">
        <x:v>817.9999999925494</x:v>
      </x:c>
      <x:c r="G188" s="9" t="n">
        <x:v>55371.00000000745</x:v>
      </x:c>
      <x:c r="H188" s="9" t="n">
        <x:v>14600</x:v>
      </x:c>
      <x:c r="I188" s="9" t="n">
        <x:v>476.9999999925494</x:v>
      </x:c>
      <x:c r="J188" s="9" t="n">
        <x:v>106.00000000745058</x:v>
      </x:c>
      <x:c r="K188" s="9" t="n">
        <x:f>F188+G188+I188+J188</x:f>
        <x:v>56772</x:v>
      </x:c>
      <x:c r="L188" s="10" t="n">
        <x:f>K188/Sources!$B$4*1000</x:f>
        <x:v>15.860116299697308</x:v>
      </x:c>
      <x:c r="M188" s="10" t="n">
        <x:f>E188/Sources!$B$4*1000</x:f>
        <x:v>19.93884697636152</x:v>
      </x:c>
      <x:c r="N188" s="9" t="n">
        <x:f>Sources!$B$6-K188</x:f>
        <x:v>2964</x:v>
      </x:c>
      <x:c r="O188" s="1" t="str">
        <x:v>vertical_normal_up</x:v>
      </x:c>
      <x:c r="P188" s="12" t="n">
        <x:v>0</x:v>
      </x:c>
      <x:c r="Q188" s="12" t="n">
        <x:v>-1</x:v>
      </x:c>
      <x:c r="R188" s="12" t="n">
        <x:v>1</x:v>
      </x:c>
      <x:c r="S188" s="12" t="n">
        <x:v>1</x:v>
      </x:c>
      <x:c r="T188" s="1" t="str">
        <x:v>No</x:v>
      </x:c>
      <x:c r="U188" s="1" t="n">
        <x:v>0</x:v>
      </x:c>
    </x:row>
    <x:row r="189" ht="23" customHeight="1">
      <x:c r="A189" s="9" t="n">
        <x:v>188</x:v>
      </x:c>
      <x:c r="B189" s="9" t="n">
        <x:v>265</x:v>
      </x:c>
      <x:c r="C189" s="9" t="n">
        <x:v>968</x:v>
      </x:c>
      <x:c r="D189" s="9" t="n">
        <x:v>1</x:v>
      </x:c>
      <x:c r="E189" s="9" t="n">
        <x:v>71353</x:v>
      </x:c>
      <x:c r="F189" s="9" t="n">
        <x:v>818.0000000074506</x:v>
      </x:c>
      <x:c r="G189" s="9" t="n">
        <x:v>55469.99999999255</x:v>
      </x:c>
      <x:c r="H189" s="9" t="n">
        <x:v>14490.00000000745</x:v>
      </x:c>
      <x:c r="I189" s="9" t="n">
        <x:v>468.9999999925494</x:v>
      </x:c>
      <x:c r="J189" s="9" t="n">
        <x:v>106</x:v>
      </x:c>
      <x:c r="K189" s="9" t="n">
        <x:f>F189+G189+I189+J189</x:f>
        <x:v>56862.99999999255</x:v>
      </x:c>
      <x:c r="L189" s="10" t="n">
        <x:f>K189/Sources!$B$4*1000</x:f>
        <x:v>15.885538525145668</x:v>
      </x:c>
      <x:c r="M189" s="10" t="n">
        <x:f>E189/Sources!$B$4*1000</x:f>
        <x:v>19.93353903917956</x:v>
      </x:c>
      <x:c r="N189" s="9" t="n">
        <x:f>Sources!$B$6-K189</x:f>
        <x:v>2873.0000000074506</x:v>
      </x:c>
      <x:c r="O189" s="1" t="str">
        <x:v>vertical_normal_up</x:v>
      </x:c>
      <x:c r="P189" s="12" t="n">
        <x:v>0</x:v>
      </x:c>
      <x:c r="Q189" s="12" t="n">
        <x:v>-1</x:v>
      </x:c>
      <x:c r="R189" s="12" t="n">
        <x:v>1</x:v>
      </x:c>
      <x:c r="S189" s="12" t="n">
        <x:v>0</x:v>
      </x:c>
      <x:c r="T189" s="1" t="str">
        <x:v>No</x:v>
      </x:c>
      <x:c r="U189" s="1" t="n">
        <x:v>0</x:v>
      </x:c>
    </x:row>
    <x:row r="190" ht="23" customHeight="1">
      <x:c r="A190" s="9" t="n">
        <x:v>189</x:v>
      </x:c>
      <x:c r="B190" s="9" t="n">
        <x:v>265</x:v>
      </x:c>
      <x:c r="C190" s="9" t="n">
        <x:v>967</x:v>
      </x:c>
      <x:c r="D190" s="9" t="n">
        <x:v>1</x:v>
      </x:c>
      <x:c r="E190" s="9" t="n">
        <x:v>142740</x:v>
      </x:c>
      <x:c r="F190" s="9" t="n">
        <x:v>818</x:v>
      </x:c>
      <x:c r="G190" s="9" t="n">
        <x:v>76479</x:v>
      </x:c>
      <x:c r="H190" s="9" t="n">
        <x:v>64860</x:v>
      </x:c>
      <x:c r="I190" s="9" t="n">
        <x:v>477</x:v>
      </x:c>
      <x:c r="J190" s="9" t="n">
        <x:v>106</x:v>
      </x:c>
      <x:c r="K190" s="9" t="n">
        <x:f>F190+G190+I190+J190</x:f>
        <x:v>77880</x:v>
      </x:c>
      <x:c r="L190" s="10" t="n">
        <x:f>K190/Sources!$B$4*1000</x:f>
        <x:v>21.75695514374034</x:v>
      </x:c>
      <x:c r="M190" s="10" t="n">
        <x:f>E190/Sources!$B$4*1000</x:f>
        <x:v>39.87657649226368</x:v>
      </x:c>
      <x:c r="N190" s="9" t="n">
        <x:f>Sources!$B$6-K190</x:f>
        <x:v>-18144</x:v>
      </x:c>
      <x:c r="O190" s="1" t="str">
        <x:v>vertical_normal_up</x:v>
      </x:c>
      <x:c r="P190" s="12" t="n">
        <x:v>0</x:v>
      </x:c>
      <x:c r="Q190" s="12" t="n">
        <x:v>-1</x:v>
      </x:c>
      <x:c r="R190" s="12" t="n">
        <x:v>1</x:v>
      </x:c>
      <x:c r="S190" s="12" t="n">
        <x:v>7</x:v>
      </x:c>
      <x:c r="T190" s="1" t="str">
        <x:v>Yes</x:v>
      </x:c>
      <x:c r="U190" s="1" t="n">
        <x:v>1</x:v>
      </x:c>
    </x:row>
    <x:row r="191" ht="23" customHeight="1">
      <x:c r="A191" s="9" t="n">
        <x:v>190</x:v>
      </x:c>
      <x:c r="B191" s="9" t="n">
        <x:v>265</x:v>
      </x:c>
      <x:c r="C191" s="9" t="n">
        <x:v>965</x:v>
      </x:c>
      <x:c r="D191" s="9" t="n">
        <x:v>2</x:v>
      </x:c>
      <x:c r="E191" s="9" t="n">
        <x:v>71355</x:v>
      </x:c>
      <x:c r="F191" s="9" t="n">
        <x:v>818</x:v>
      </x:c>
      <x:c r="G191" s="9" t="n">
        <x:v>58697</x:v>
      </x:c>
      <x:c r="H191" s="9" t="n">
        <x:v>11265</x:v>
      </x:c>
      <x:c r="I191" s="9" t="n">
        <x:v>468.9999999925494</x:v>
      </x:c>
      <x:c r="J191" s="9" t="n">
        <x:v>106.00000000745058</x:v>
      </x:c>
      <x:c r="K191" s="9" t="n">
        <x:f>F191+G191+I191+J191</x:f>
        <x:v>60090</x:v>
      </x:c>
      <x:c r="L191" s="10" t="n">
        <x:f>K191/Sources!$B$4*1000</x:f>
        <x:v>16.787049750736475</x:v>
      </x:c>
      <x:c r="M191" s="10" t="n">
        <x:f>E191/Sources!$B$4*1000</x:f>
        <x:v>19.934097769409238</x:v>
      </x:c>
      <x:c r="N191" s="9" t="n">
        <x:f>Sources!$B$6-K191</x:f>
        <x:v>-354</x:v>
      </x:c>
      <x:c r="O191" s="1" t="str">
        <x:v>vertical_normal_up</x:v>
      </x:c>
      <x:c r="P191" s="12" t="n">
        <x:v>0</x:v>
      </x:c>
      <x:c r="Q191" s="12" t="n">
        <x:v>-2</x:v>
      </x:c>
      <x:c r="R191" s="12" t="n">
        <x:v>1</x:v>
      </x:c>
      <x:c r="S191" s="12" t="n">
        <x:v>5</x:v>
      </x:c>
      <x:c r="T191" s="1" t="str">
        <x:v>No</x:v>
      </x:c>
      <x:c r="U191" s="1" t="n">
        <x:v>1</x:v>
      </x:c>
    </x:row>
    <x:row r="192" ht="23" customHeight="1">
      <x:c r="A192" s="9" t="n">
        <x:v>191</x:v>
      </x:c>
      <x:c r="B192" s="9" t="n">
        <x:v>265</x:v>
      </x:c>
      <x:c r="C192" s="9" t="n">
        <x:v>964</x:v>
      </x:c>
      <x:c r="D192" s="9" t="n">
        <x:v>1</x:v>
      </x:c>
      <x:c r="E192" s="9" t="n">
        <x:v>71371</x:v>
      </x:c>
      <x:c r="F192" s="9" t="n">
        <x:v>818</x:v>
      </x:c>
      <x:c r="G192" s="9" t="n">
        <x:v>56595</x:v>
      </x:c>
      <x:c r="H192" s="9" t="n">
        <x:v>13375</x:v>
      </x:c>
      <x:c r="I192" s="9" t="n">
        <x:v>476.9999999925494</x:v>
      </x:c>
      <x:c r="J192" s="9" t="n">
        <x:v>106.00000000745058</x:v>
      </x:c>
      <x:c r="K192" s="9" t="n">
        <x:f>F192+G192+I192+J192</x:f>
        <x:v>57996</x:v>
      </x:c>
      <x:c r="L192" s="10" t="n">
        <x:f>K192/Sources!$B$4*1000</x:f>
        <x:v>16.202059200261484</x:v>
      </x:c>
      <x:c r="M192" s="10" t="n">
        <x:f>E192/Sources!$B$4*1000</x:f>
        <x:v>19.93856761124668</x:v>
      </x:c>
      <x:c r="N192" s="9" t="n">
        <x:f>Sources!$B$6-K192</x:f>
        <x:v>1740</x:v>
      </x:c>
      <x:c r="O192" s="1" t="str">
        <x:v>vertical_normal_up</x:v>
      </x:c>
      <x:c r="P192" s="12" t="n">
        <x:v>0</x:v>
      </x:c>
      <x:c r="Q192" s="12" t="n">
        <x:v>-1</x:v>
      </x:c>
      <x:c r="R192" s="12" t="n">
        <x:v>1</x:v>
      </x:c>
      <x:c r="S192" s="12" t="n">
        <x:v>4</x:v>
      </x:c>
      <x:c r="T192" s="1" t="str">
        <x:v>No</x:v>
      </x:c>
      <x:c r="U192" s="1" t="n">
        <x:v>0</x:v>
      </x:c>
    </x:row>
    <x:row r="193" ht="23" customHeight="1">
      <x:c r="A193" s="9" t="n">
        <x:v>192</x:v>
      </x:c>
      <x:c r="B193" s="9" t="n">
        <x:v>265</x:v>
      </x:c>
      <x:c r="C193" s="9" t="n">
        <x:v>963</x:v>
      </x:c>
      <x:c r="D193" s="9" t="n">
        <x:v>1</x:v>
      </x:c>
      <x:c r="E193" s="9" t="n">
        <x:v>71354</x:v>
      </x:c>
      <x:c r="F193" s="9" t="n">
        <x:v>818</x:v>
      </x:c>
      <x:c r="G193" s="9" t="n">
        <x:v>58206</x:v>
      </x:c>
      <x:c r="H193" s="9" t="n">
        <x:v>11755</x:v>
      </x:c>
      <x:c r="I193" s="9" t="n">
        <x:v>469.0000000074506</x:v>
      </x:c>
      <x:c r="J193" s="9" t="n">
        <x:v>105.99999999254942</x:v>
      </x:c>
      <x:c r="K193" s="9" t="n">
        <x:f>F193+G193+I193+J193</x:f>
        <x:v>59599</x:v>
      </x:c>
      <x:c r="L193" s="10" t="n">
        <x:f>K193/Sources!$B$4*1000</x:f>
        <x:v>16.64988147935003</x:v>
      </x:c>
      <x:c r="M193" s="10" t="n">
        <x:f>E193/Sources!$B$4*1000</x:f>
        <x:v>19.9338184042944</x:v>
      </x:c>
      <x:c r="N193" s="9" t="n">
        <x:f>Sources!$B$6-K193</x:f>
        <x:v>137</x:v>
      </x:c>
      <x:c r="O193" s="1" t="str">
        <x:v>vertical_normal_up</x:v>
      </x:c>
      <x:c r="P193" s="12" t="n">
        <x:v>0</x:v>
      </x:c>
      <x:c r="Q193" s="12" t="n">
        <x:v>-1</x:v>
      </x:c>
      <x:c r="R193" s="12" t="n">
        <x:v>1</x:v>
      </x:c>
      <x:c r="S193" s="12" t="n">
        <x:v>3</x:v>
      </x:c>
      <x:c r="T193" s="1" t="str">
        <x:v>No</x:v>
      </x:c>
      <x:c r="U193" s="1" t="n">
        <x:v>0</x:v>
      </x:c>
    </x:row>
    <x:row r="194" ht="23" customHeight="1">
      <x:c r="A194" s="9" t="n">
        <x:v>193</x:v>
      </x:c>
      <x:c r="B194" s="9" t="n">
        <x:v>265</x:v>
      </x:c>
      <x:c r="C194" s="9" t="n">
        <x:v>962</x:v>
      </x:c>
      <x:c r="D194" s="9" t="n">
        <x:v>1</x:v>
      </x:c>
      <x:c r="E194" s="9" t="n">
        <x:v>71371.99999999255</x:v>
      </x:c>
      <x:c r="F194" s="9" t="n">
        <x:v>818</x:v>
      </x:c>
      <x:c r="G194" s="9" t="n">
        <x:v>57531</x:v>
      </x:c>
      <x:c r="H194" s="9" t="n">
        <x:v>12440</x:v>
      </x:c>
      <x:c r="I194" s="9" t="n">
        <x:v>477</x:v>
      </x:c>
      <x:c r="J194" s="9" t="n">
        <x:v>105.99999999254942</x:v>
      </x:c>
      <x:c r="K194" s="9" t="n">
        <x:f>F194+G194+I194+J194</x:f>
        <x:v>58931.99999999255</x:v>
      </x:c>
      <x:c r="L194" s="10" t="n">
        <x:f>K194/Sources!$B$4*1000</x:f>
        <x:v>16.463544947749657</x:v>
      </x:c>
      <x:c r="M194" s="10" t="n">
        <x:f>E194/Sources!$B$4*1000</x:f>
        <x:v>19.93884697635944</x:v>
      </x:c>
      <x:c r="N194" s="9" t="n">
        <x:f>Sources!$B$6-K194</x:f>
        <x:v>804.0000000074506</x:v>
      </x:c>
      <x:c r="O194" s="1" t="str">
        <x:v>vertical_normal_up</x:v>
      </x:c>
      <x:c r="P194" s="12" t="n">
        <x:v>0</x:v>
      </x:c>
      <x:c r="Q194" s="12" t="n">
        <x:v>-1</x:v>
      </x:c>
      <x:c r="R194" s="12" t="n">
        <x:v>1</x:v>
      </x:c>
      <x:c r="S194" s="12" t="n">
        <x:v>2</x:v>
      </x:c>
      <x:c r="T194" s="1" t="str">
        <x:v>No</x:v>
      </x:c>
      <x:c r="U194" s="1" t="n">
        <x:v>0</x:v>
      </x:c>
    </x:row>
    <x:row r="195" ht="23" customHeight="1">
      <x:c r="A195" s="9" t="n">
        <x:v>194</x:v>
      </x:c>
      <x:c r="B195" s="9" t="n">
        <x:v>265</x:v>
      </x:c>
      <x:c r="C195" s="9" t="n">
        <x:v>961</x:v>
      </x:c>
      <x:c r="D195" s="9" t="n">
        <x:v>1</x:v>
      </x:c>
      <x:c r="E195" s="9" t="n">
        <x:v>71358</x:v>
      </x:c>
      <x:c r="F195" s="9" t="n">
        <x:v>818.0000000074506</x:v>
      </x:c>
      <x:c r="G195" s="9" t="n">
        <x:v>55350</x:v>
      </x:c>
      <x:c r="H195" s="9" t="n">
        <x:v>14615</x:v>
      </x:c>
      <x:c r="I195" s="9" t="n">
        <x:v>469</x:v>
      </x:c>
      <x:c r="J195" s="9" t="n">
        <x:v>105.99999999254942</x:v>
      </x:c>
      <x:c r="K195" s="9" t="n">
        <x:f>F195+G195+I195+J195</x:f>
        <x:v>56743</x:v>
      </x:c>
      <x:c r="L195" s="10" t="n">
        <x:f>K195/Sources!$B$4*1000</x:f>
        <x:v>15.85201471136695</x:v>
      </x:c>
      <x:c r="M195" s="10" t="n">
        <x:f>E195/Sources!$B$4*1000</x:f>
        <x:v>19.934935864753758</x:v>
      </x:c>
      <x:c r="N195" s="9" t="n">
        <x:f>Sources!$B$6-K195</x:f>
        <x:v>2993</x:v>
      </x:c>
      <x:c r="O195" s="1" t="str">
        <x:v>vertical_normal_up</x:v>
      </x:c>
      <x:c r="P195" s="12" t="n">
        <x:v>0</x:v>
      </x:c>
      <x:c r="Q195" s="12" t="n">
        <x:v>-1</x:v>
      </x:c>
      <x:c r="R195" s="12" t="n">
        <x:v>1</x:v>
      </x:c>
      <x:c r="S195" s="12" t="n">
        <x:v>1</x:v>
      </x:c>
      <x:c r="T195" s="1" t="str">
        <x:v>No</x:v>
      </x:c>
      <x:c r="U195" s="1" t="n">
        <x:v>0</x:v>
      </x:c>
    </x:row>
    <x:row r="196" ht="23" customHeight="1">
      <x:c r="A196" s="9" t="n">
        <x:v>195</x:v>
      </x:c>
      <x:c r="B196" s="9" t="n">
        <x:v>265</x:v>
      </x:c>
      <x:c r="C196" s="9" t="n">
        <x:v>960</x:v>
      </x:c>
      <x:c r="D196" s="9" t="n">
        <x:v>1</x:v>
      </x:c>
      <x:c r="E196" s="9" t="n">
        <x:v>71372.00000000745</x:v>
      </x:c>
      <x:c r="F196" s="9" t="n">
        <x:v>818</x:v>
      </x:c>
      <x:c r="G196" s="9" t="n">
        <x:v>55490.99999999255</x:v>
      </x:c>
      <x:c r="H196" s="9" t="n">
        <x:v>14480.00000000745</x:v>
      </x:c>
      <x:c r="I196" s="9" t="n">
        <x:v>477</x:v>
      </x:c>
      <x:c r="J196" s="9" t="n">
        <x:v>106.00000000745058</x:v>
      </x:c>
      <x:c r="K196" s="9" t="n">
        <x:f>F196+G196+I196+J196</x:f>
        <x:v>56892</x:v>
      </x:c>
      <x:c r="L196" s="10" t="n">
        <x:f>K196/Sources!$B$4*1000</x:f>
        <x:v>15.89364011347811</x:v>
      </x:c>
      <x:c r="M196" s="10" t="n">
        <x:f>E196/Sources!$B$4*1000</x:f>
        <x:v>19.9388469763636</x:v>
      </x:c>
      <x:c r="N196" s="9" t="n">
        <x:f>Sources!$B$6-K196</x:f>
        <x:v>2844</x:v>
      </x:c>
      <x:c r="O196" s="1" t="str">
        <x:v>vertical_normal_up</x:v>
      </x:c>
      <x:c r="P196" s="12" t="n">
        <x:v>0</x:v>
      </x:c>
      <x:c r="Q196" s="12" t="n">
        <x:v>-1</x:v>
      </x:c>
      <x:c r="R196" s="12" t="n">
        <x:v>1</x:v>
      </x:c>
      <x:c r="S196" s="12" t="n">
        <x:v>0</x:v>
      </x:c>
      <x:c r="T196" s="1" t="str">
        <x:v>No</x:v>
      </x:c>
      <x:c r="U196" s="1" t="n">
        <x:v>0</x:v>
      </x:c>
    </x:row>
    <x:row r="197" ht="23" customHeight="1">
      <x:c r="A197" s="9" t="n">
        <x:v>196</x:v>
      </x:c>
      <x:c r="B197" s="9" t="n">
        <x:v>265</x:v>
      </x:c>
      <x:c r="C197" s="9" t="n">
        <x:v>959</x:v>
      </x:c>
      <x:c r="D197" s="9" t="n">
        <x:v>1</x:v>
      </x:c>
      <x:c r="E197" s="9" t="n">
        <x:v>142721</x:v>
      </x:c>
      <x:c r="F197" s="9" t="n">
        <x:v>818</x:v>
      </x:c>
      <x:c r="G197" s="9" t="n">
        <x:v>76452.99999999255</x:v>
      </x:c>
      <x:c r="H197" s="9" t="n">
        <x:v>64875</x:v>
      </x:c>
      <x:c r="I197" s="9" t="n">
        <x:v>468.9999999925494</x:v>
      </x:c>
      <x:c r="J197" s="9" t="n">
        <x:v>106.00000001490116</x:v>
      </x:c>
      <x:c r="K197" s="9" t="n">
        <x:f>F197+G197+I197+J197</x:f>
        <x:v>77846</x:v>
      </x:c>
      <x:c r="L197" s="10" t="n">
        <x:f>K197/Sources!$B$4*1000</x:f>
        <x:v>21.747456729835772</x:v>
      </x:c>
      <x:c r="M197" s="10" t="n">
        <x:f>E197/Sources!$B$4*1000</x:f>
        <x:v>39.87126855508172</x:v>
      </x:c>
      <x:c r="N197" s="9" t="n">
        <x:f>Sources!$B$6-K197</x:f>
        <x:v>-18110</x:v>
      </x:c>
      <x:c r="O197" s="1" t="str">
        <x:v>vertical_normal_up</x:v>
      </x:c>
      <x:c r="P197" s="12" t="n">
        <x:v>0</x:v>
      </x:c>
      <x:c r="Q197" s="12" t="n">
        <x:v>-1</x:v>
      </x:c>
      <x:c r="R197" s="12" t="n">
        <x:v>1</x:v>
      </x:c>
      <x:c r="S197" s="12" t="n">
        <x:v>7</x:v>
      </x:c>
      <x:c r="T197" s="1" t="str">
        <x:v>Yes</x:v>
      </x:c>
      <x:c r="U197" s="1" t="n">
        <x:v>1</x:v>
      </x:c>
    </x:row>
    <x:row r="198" ht="23" customHeight="1">
      <x:c r="A198" s="9" t="n">
        <x:v>197</x:v>
      </x:c>
      <x:c r="B198" s="9" t="n">
        <x:v>265</x:v>
      </x:c>
      <x:c r="C198" s="9" t="n">
        <x:v>961</x:v>
      </x:c>
      <x:c r="D198" s="9" t="n">
        <x:v>2</x:v>
      </x:c>
      <x:c r="E198" s="9" t="n">
        <x:v>71372</x:v>
      </x:c>
      <x:c r="F198" s="9" t="n">
        <x:v>785</x:v>
      </x:c>
      <x:c r="G198" s="9" t="n">
        <x:v>69359</x:v>
      </x:c>
      <x:c r="H198" s="9" t="n">
        <x:v>644.9999999925494</x:v>
      </x:c>
      <x:c r="I198" s="9" t="n">
        <x:v>477.0000000074506</x:v>
      </x:c>
      <x:c r="J198" s="9" t="n">
        <x:v>106</x:v>
      </x:c>
      <x:c r="K198" s="9" t="n">
        <x:f>F198+G198+I198+J198</x:f>
        <x:v>70727.00000000745</x:v>
      </x:c>
      <x:c r="L198" s="10" t="n">
        <x:f>K198/Sources!$B$4*1000</x:f>
        <x:v>19.758656477291794</x:v>
      </x:c>
      <x:c r="M198" s="10" t="n">
        <x:f>E198/Sources!$B$4*1000</x:f>
        <x:v>19.93884697636152</x:v>
      </x:c>
      <x:c r="N198" s="9" t="n">
        <x:f>Sources!$B$6-K198</x:f>
        <x:v>-10991.00000000745</x:v>
      </x:c>
      <x:c r="O198" s="1" t="str">
        <x:v>vertical_normal_down</x:v>
      </x:c>
      <x:c r="P198" s="12" t="n">
        <x:v>0</x:v>
      </x:c>
      <x:c r="Q198" s="12" t="n">
        <x:v>2</x:v>
      </x:c>
      <x:c r="R198" s="12" t="n">
        <x:v>1</x:v>
      </x:c>
      <x:c r="S198" s="12" t="n">
        <x:v>1</x:v>
      </x:c>
      <x:c r="T198" s="1" t="str">
        <x:v>Yes</x:v>
      </x:c>
      <x:c r="U198" s="1" t="n">
        <x:v>0</x:v>
      </x:c>
    </x:row>
    <x:row r="199" ht="23" customHeight="1">
      <x:c r="A199" s="9" t="n">
        <x:v>198</x:v>
      </x:c>
      <x:c r="B199" s="9" t="n">
        <x:v>265</x:v>
      </x:c>
      <x:c r="C199" s="9" t="n">
        <x:v>962</x:v>
      </x:c>
      <x:c r="D199" s="9" t="n">
        <x:v>1</x:v>
      </x:c>
      <x:c r="E199" s="9" t="n">
        <x:v>71355</x:v>
      </x:c>
      <x:c r="F199" s="9" t="n">
        <x:v>785</x:v>
      </x:c>
      <x:c r="G199" s="9" t="n">
        <x:v>58989.99999999255</x:v>
      </x:c>
      <x:c r="H199" s="9" t="n">
        <x:v>11005.00000000745</x:v>
      </x:c>
      <x:c r="I199" s="9" t="n">
        <x:v>469</x:v>
      </x:c>
      <x:c r="J199" s="9" t="n">
        <x:v>106</x:v>
      </x:c>
      <x:c r="K199" s="9" t="n">
        <x:f>F199+G199+I199+J199</x:f>
        <x:v>60349.99999999255</x:v>
      </x:c>
      <x:c r="L199" s="10" t="n">
        <x:f>K199/Sources!$B$4*1000</x:f>
        <x:v>16.859684680592796</x:v>
      </x:c>
      <x:c r="M199" s="10" t="n">
        <x:f>E199/Sources!$B$4*1000</x:f>
        <x:v>19.934097769409238</x:v>
      </x:c>
      <x:c r="N199" s="9" t="n">
        <x:f>Sources!$B$6-K199</x:f>
        <x:v>-613.9999999925494</x:v>
      </x:c>
      <x:c r="O199" s="1" t="str">
        <x:v>vertical_normal_down</x:v>
      </x:c>
      <x:c r="P199" s="12" t="n">
        <x:v>0</x:v>
      </x:c>
      <x:c r="Q199" s="12" t="n">
        <x:v>1</x:v>
      </x:c>
      <x:c r="R199" s="12" t="n">
        <x:v>1</x:v>
      </x:c>
      <x:c r="S199" s="12" t="n">
        <x:v>2</x:v>
      </x:c>
      <x:c r="T199" s="1" t="str">
        <x:v>No</x:v>
      </x:c>
      <x:c r="U199" s="1" t="n">
        <x:v>1</x:v>
      </x:c>
    </x:row>
    <x:row r="200" ht="23" customHeight="1">
      <x:c r="A200" s="9" t="n">
        <x:v>199</x:v>
      </x:c>
      <x:c r="B200" s="9" t="n">
        <x:v>265</x:v>
      </x:c>
      <x:c r="C200" s="9" t="n">
        <x:v>963</x:v>
      </x:c>
      <x:c r="D200" s="9" t="n">
        <x:v>1</x:v>
      </x:c>
      <x:c r="E200" s="9" t="n">
        <x:v>71371</x:v>
      </x:c>
      <x:c r="F200" s="9" t="n">
        <x:v>784.9999999925494</x:v>
      </x:c>
      <x:c r="G200" s="9" t="n">
        <x:v>58443</x:v>
      </x:c>
      <x:c r="H200" s="9" t="n">
        <x:v>11560</x:v>
      </x:c>
      <x:c r="I200" s="9" t="n">
        <x:v>477</x:v>
      </x:c>
      <x:c r="J200" s="9" t="n">
        <x:v>106.00000000745058</x:v>
      </x:c>
      <x:c r="K200" s="9" t="n">
        <x:f>F200+G200+I200+J200</x:f>
        <x:v>59811</x:v>
      </x:c>
      <x:c r="L200" s="10" t="n">
        <x:f>K200/Sources!$B$4*1000</x:f>
        <x:v>16.709106883696112</x:v>
      </x:c>
      <x:c r="M200" s="10" t="n">
        <x:f>E200/Sources!$B$4*1000</x:f>
        <x:v>19.93856761124668</x:v>
      </x:c>
      <x:c r="N200" s="9" t="n">
        <x:f>Sources!$B$6-K200</x:f>
        <x:v>-75</x:v>
      </x:c>
      <x:c r="O200" s="1" t="str">
        <x:v>vertical_normal_down</x:v>
      </x:c>
      <x:c r="P200" s="12" t="n">
        <x:v>0</x:v>
      </x:c>
      <x:c r="Q200" s="12" t="n">
        <x:v>1</x:v>
      </x:c>
      <x:c r="R200" s="12" t="n">
        <x:v>1</x:v>
      </x:c>
      <x:c r="S200" s="12" t="n">
        <x:v>3</x:v>
      </x:c>
      <x:c r="T200" s="1" t="str">
        <x:v>No</x:v>
      </x:c>
      <x:c r="U200" s="1" t="n">
        <x:v>0</x:v>
      </x:c>
    </x:row>
    <x:row r="201" ht="23" customHeight="1">
      <x:c r="A201" s="9" t="n">
        <x:v>200</x:v>
      </x:c>
      <x:c r="B201" s="9" t="n">
        <x:v>265</x:v>
      </x:c>
      <x:c r="C201" s="9" t="n">
        <x:v>964</x:v>
      </x:c>
      <x:c r="D201" s="9" t="n">
        <x:v>1</x:v>
      </x:c>
      <x:c r="E201" s="9" t="n">
        <x:v>71355</x:v>
      </x:c>
      <x:c r="F201" s="9" t="n">
        <x:v>784.9999999925494</x:v>
      </x:c>
      <x:c r="G201" s="9" t="n">
        <x:v>56310</x:v>
      </x:c>
      <x:c r="H201" s="9" t="n">
        <x:v>13685</x:v>
      </x:c>
      <x:c r="I201" s="9" t="n">
        <x:v>468.9999999925494</x:v>
      </x:c>
      <x:c r="J201" s="9" t="n">
        <x:v>106.00000001490116</x:v>
      </x:c>
      <x:c r="K201" s="9" t="n">
        <x:f>F201+G201+I201+J201</x:f>
        <x:v>57670</x:v>
      </x:c>
      <x:c r="L201" s="10" t="n">
        <x:f>K201/Sources!$B$4*1000</x:f>
        <x:v>16.11098617282364</x:v>
      </x:c>
      <x:c r="M201" s="10" t="n">
        <x:f>E201/Sources!$B$4*1000</x:f>
        <x:v>19.934097769409238</x:v>
      </x:c>
      <x:c r="N201" s="9" t="n">
        <x:f>Sources!$B$6-K201</x:f>
        <x:v>2066</x:v>
      </x:c>
      <x:c r="O201" s="1" t="str">
        <x:v>vertical_normal_down</x:v>
      </x:c>
      <x:c r="P201" s="12" t="n">
        <x:v>0</x:v>
      </x:c>
      <x:c r="Q201" s="12" t="n">
        <x:v>1</x:v>
      </x:c>
      <x:c r="R201" s="12" t="n">
        <x:v>1</x:v>
      </x:c>
      <x:c r="S201" s="12" t="n">
        <x:v>4</x:v>
      </x:c>
      <x:c r="T201" s="1" t="str">
        <x:v>No</x:v>
      </x:c>
      <x:c r="U201" s="1" t="n">
        <x:v>0</x:v>
      </x:c>
    </x:row>
    <x:row r="202" ht="23" customHeight="1">
      <x:c r="A202" s="9" t="n">
        <x:v>201</x:v>
      </x:c>
      <x:c r="B202" s="9" t="n">
        <x:v>265</x:v>
      </x:c>
      <x:c r="C202" s="9" t="n">
        <x:v>965</x:v>
      </x:c>
      <x:c r="D202" s="9" t="n">
        <x:v>1</x:v>
      </x:c>
      <x:c r="E202" s="9" t="n">
        <x:v>71376</x:v>
      </x:c>
      <x:c r="F202" s="9" t="n">
        <x:v>785</x:v>
      </x:c>
      <x:c r="G202" s="9" t="n">
        <x:v>57843</x:v>
      </x:c>
      <x:c r="H202" s="9" t="n">
        <x:v>12165.00000000745</x:v>
      </x:c>
      <x:c r="I202" s="9" t="n">
        <x:v>476.9999999925494</x:v>
      </x:c>
      <x:c r="J202" s="9" t="n">
        <x:v>106</x:v>
      </x:c>
      <x:c r="K202" s="9" t="n">
        <x:f>F202+G202+I202+J202</x:f>
        <x:v>59210.99999999255</x:v>
      </x:c>
      <x:c r="L202" s="10" t="n">
        <x:f>K202/Sources!$B$4*1000</x:f>
        <x:v>16.54148781479002</x:v>
      </x:c>
      <x:c r="M202" s="10" t="n">
        <x:f>E202/Sources!$B$4*1000</x:f>
        <x:v>19.939964436820883</x:v>
      </x:c>
      <x:c r="N202" s="9" t="n">
        <x:f>Sources!$B$6-K202</x:f>
        <x:v>525.0000000074506</x:v>
      </x:c>
      <x:c r="O202" s="1" t="str">
        <x:v>vertical_normal_down</x:v>
      </x:c>
      <x:c r="P202" s="12" t="n">
        <x:v>0</x:v>
      </x:c>
      <x:c r="Q202" s="12" t="n">
        <x:v>1</x:v>
      </x:c>
      <x:c r="R202" s="12" t="n">
        <x:v>1</x:v>
      </x:c>
      <x:c r="S202" s="12" t="n">
        <x:v>5</x:v>
      </x:c>
      <x:c r="T202" s="1" t="str">
        <x:v>No</x:v>
      </x:c>
      <x:c r="U202" s="1" t="n">
        <x:v>0</x:v>
      </x:c>
    </x:row>
    <x:row r="203" ht="23" customHeight="1">
      <x:c r="A203" s="9" t="n">
        <x:v>202</x:v>
      </x:c>
      <x:c r="B203" s="9" t="n">
        <x:v>265</x:v>
      </x:c>
      <x:c r="C203" s="9" t="n">
        <x:v>966</x:v>
      </x:c>
      <x:c r="D203" s="9" t="n">
        <x:v>1</x:v>
      </x:c>
      <x:c r="E203" s="9" t="n">
        <x:v>71354</x:v>
      </x:c>
      <x:c r="F203" s="9" t="n">
        <x:v>785</x:v>
      </x:c>
      <x:c r="G203" s="9" t="n">
        <x:v>61134</x:v>
      </x:c>
      <x:c r="H203" s="9" t="n">
        <x:v>8860</x:v>
      </x:c>
      <x:c r="I203" s="9" t="n">
        <x:v>469.0000000074506</x:v>
      </x:c>
      <x:c r="J203" s="9" t="n">
        <x:v>105.99999999254942</x:v>
      </x:c>
      <x:c r="K203" s="9" t="n">
        <x:f>F203+G203+I203+J203</x:f>
        <x:v>62494</x:v>
      </x:c>
      <x:c r="L203" s="10" t="n">
        <x:f>K203/Sources!$B$4*1000</x:f>
        <x:v>17.458643486811873</x:v>
      </x:c>
      <x:c r="M203" s="10" t="n">
        <x:f>E203/Sources!$B$4*1000</x:f>
        <x:v>19.9338184042944</x:v>
      </x:c>
      <x:c r="N203" s="9" t="n">
        <x:f>Sources!$B$6-K203</x:f>
        <x:v>-2758</x:v>
      </x:c>
      <x:c r="O203" s="1" t="str">
        <x:v>vertical_normal_down</x:v>
      </x:c>
      <x:c r="P203" s="12" t="n">
        <x:v>0</x:v>
      </x:c>
      <x:c r="Q203" s="12" t="n">
        <x:v>1</x:v>
      </x:c>
      <x:c r="R203" s="12" t="n">
        <x:v>1</x:v>
      </x:c>
      <x:c r="S203" s="12" t="n">
        <x:v>6</x:v>
      </x:c>
      <x:c r="T203" s="1" t="str">
        <x:v>No</x:v>
      </x:c>
      <x:c r="U203" s="1" t="n">
        <x:v>0</x:v>
      </x:c>
    </x:row>
    <x:row r="204" ht="23" customHeight="1">
      <x:c r="A204" s="9" t="n">
        <x:v>203</x:v>
      </x:c>
      <x:c r="B204" s="9" t="n">
        <x:v>265</x:v>
      </x:c>
      <x:c r="C204" s="9" t="n">
        <x:v>967</x:v>
      </x:c>
      <x:c r="D204" s="9" t="n">
        <x:v>1</x:v>
      </x:c>
      <x:c r="E204" s="9" t="n">
        <x:v>71374</x:v>
      </x:c>
      <x:c r="F204" s="9" t="n">
        <x:v>785</x:v>
      </x:c>
      <x:c r="G204" s="9" t="n">
        <x:v>59091.00000000745</x:v>
      </x:c>
      <x:c r="H204" s="9" t="n">
        <x:v>10915.00000000745</x:v>
      </x:c>
      <x:c r="I204" s="9" t="n">
        <x:v>477</x:v>
      </x:c>
      <x:c r="J204" s="9" t="n">
        <x:v>105.99999998509884</x:v>
      </x:c>
      <x:c r="K204" s="9" t="n">
        <x:f>F204+G204+I204+J204</x:f>
        <x:v>60458.99999999255</x:v>
      </x:c>
      <x:c r="L204" s="10" t="n">
        <x:f>K204/Sources!$B$4*1000</x:f>
        <x:v>16.89013547811036</x:v>
      </x:c>
      <x:c r="M204" s="10" t="n">
        <x:f>E204/Sources!$B$4*1000</x:f>
        <x:v>19.939405706591202</x:v>
      </x:c>
      <x:c r="N204" s="9" t="n">
        <x:f>Sources!$B$6-K204</x:f>
        <x:v>-722.9999999925494</x:v>
      </x:c>
      <x:c r="O204" s="1" t="str">
        <x:v>vertical_normal_down</x:v>
      </x:c>
      <x:c r="P204" s="12" t="n">
        <x:v>0</x:v>
      </x:c>
      <x:c r="Q204" s="12" t="n">
        <x:v>1</x:v>
      </x:c>
      <x:c r="R204" s="12" t="n">
        <x:v>1</x:v>
      </x:c>
      <x:c r="S204" s="12" t="n">
        <x:v>7</x:v>
      </x:c>
      <x:c r="T204" s="1" t="str">
        <x:v>No</x:v>
      </x:c>
      <x:c r="U204" s="1" t="n">
        <x:v>0</x:v>
      </x:c>
    </x:row>
    <x:row r="205" ht="23" customHeight="1">
      <x:c r="A205" s="9" t="n">
        <x:v>204</x:v>
      </x:c>
      <x:c r="B205" s="9" t="n">
        <x:v>265</x:v>
      </x:c>
      <x:c r="C205" s="9" t="n">
        <x:v>968</x:v>
      </x:c>
      <x:c r="D205" s="9" t="n">
        <x:v>1</x:v>
      </x:c>
      <x:c r="E205" s="9" t="n">
        <x:v>142716</x:v>
      </x:c>
      <x:c r="F205" s="9" t="n">
        <x:v>785</x:v>
      </x:c>
      <x:c r="G205" s="9" t="n">
        <x:v>71941</x:v>
      </x:c>
      <x:c r="H205" s="9" t="n">
        <x:v>69415</x:v>
      </x:c>
      <x:c r="I205" s="9" t="n">
        <x:v>469</x:v>
      </x:c>
      <x:c r="J205" s="9" t="n">
        <x:v>106</x:v>
      </x:c>
      <x:c r="K205" s="9" t="n">
        <x:f>F205+G205+I205+J205</x:f>
        <x:v>73301</x:v>
      </x:c>
      <x:c r="L205" s="10" t="n">
        <x:f>K205/Sources!$B$4*1000</x:f>
        <x:v>20.477742282887906</x:v>
      </x:c>
      <x:c r="M205" s="10" t="n">
        <x:f>E205/Sources!$B$4*1000</x:f>
        <x:v>39.869871729507516</x:v>
      </x:c>
      <x:c r="N205" s="9" t="n">
        <x:f>Sources!$B$6-K205</x:f>
        <x:v>-13565</x:v>
      </x:c>
      <x:c r="O205" s="1" t="str">
        <x:v>vertical_normal_down</x:v>
      </x:c>
      <x:c r="P205" s="12" t="n">
        <x:v>0</x:v>
      </x:c>
      <x:c r="Q205" s="12" t="n">
        <x:v>1</x:v>
      </x:c>
      <x:c r="R205" s="12" t="n">
        <x:v>1</x:v>
      </x:c>
      <x:c r="S205" s="12" t="n">
        <x:v>0</x:v>
      </x:c>
      <x:c r="T205" s="1" t="str">
        <x:v>Yes</x:v>
      </x:c>
      <x:c r="U205" s="1" t="n">
        <x:v>1</x:v>
      </x:c>
    </x:row>
    <x:row r="206" ht="23" customHeight="1">
      <x:c r="A206" s="9" t="n">
        <x:v>205</x:v>
      </x:c>
      <x:c r="B206" s="9" t="n">
        <x:v>265</x:v>
      </x:c>
      <x:c r="C206" s="9" t="n">
        <x:v>970</x:v>
      </x:c>
      <x:c r="D206" s="9" t="n">
        <x:v>2</x:v>
      </x:c>
      <x:c r="E206" s="9" t="n">
        <x:v>71374</x:v>
      </x:c>
      <x:c r="F206" s="9" t="n">
        <x:v>785</x:v>
      </x:c>
      <x:c r="G206" s="9" t="n">
        <x:v>59016</x:v>
      </x:c>
      <x:c r="H206" s="9" t="n">
        <x:v>10990</x:v>
      </x:c>
      <x:c r="I206" s="9" t="n">
        <x:v>477</x:v>
      </x:c>
      <x:c r="J206" s="9" t="n">
        <x:v>106</x:v>
      </x:c>
      <x:c r="K206" s="9" t="n">
        <x:f>F206+G206+I206+J206</x:f>
        <x:v>60384</x:v>
      </x:c>
      <x:c r="L206" s="10" t="n">
        <x:f>K206/Sources!$B$4*1000</x:f>
        <x:v>16.869183094499437</x:v>
      </x:c>
      <x:c r="M206" s="10" t="n">
        <x:f>E206/Sources!$B$4*1000</x:f>
        <x:v>19.939405706591202</x:v>
      </x:c>
      <x:c r="N206" s="9" t="n">
        <x:f>Sources!$B$6-K206</x:f>
        <x:v>-648</x:v>
      </x:c>
      <x:c r="O206" s="1" t="str">
        <x:v>vertical_normal_down</x:v>
      </x:c>
      <x:c r="P206" s="12" t="n">
        <x:v>0</x:v>
      </x:c>
      <x:c r="Q206" s="12" t="n">
        <x:v>2</x:v>
      </x:c>
      <x:c r="R206" s="12" t="n">
        <x:v>1</x:v>
      </x:c>
      <x:c r="S206" s="12" t="n">
        <x:v>2</x:v>
      </x:c>
      <x:c r="T206" s="1" t="str">
        <x:v>No</x:v>
      </x:c>
      <x:c r="U206" s="1" t="n">
        <x:v>1</x:v>
      </x:c>
    </x:row>
    <x:row r="207" ht="23" customHeight="1">
      <x:c r="A207" s="9" t="n">
        <x:v>206</x:v>
      </x:c>
      <x:c r="B207" s="9" t="n">
        <x:v>265</x:v>
      </x:c>
      <x:c r="C207" s="9" t="n">
        <x:v>971</x:v>
      </x:c>
      <x:c r="D207" s="9" t="n">
        <x:v>1</x:v>
      </x:c>
      <x:c r="E207" s="9" t="n">
        <x:v>71355.99999999255</x:v>
      </x:c>
      <x:c r="F207" s="9" t="n">
        <x:v>785</x:v>
      </x:c>
      <x:c r="G207" s="9" t="n">
        <x:v>58326</x:v>
      </x:c>
      <x:c r="H207" s="9" t="n">
        <x:v>11670</x:v>
      </x:c>
      <x:c r="I207" s="9" t="n">
        <x:v>469</x:v>
      </x:c>
      <x:c r="J207" s="9" t="n">
        <x:v>105.99999999254942</x:v>
      </x:c>
      <x:c r="K207" s="9" t="n">
        <x:f>F207+G207+I207+J207</x:f>
        <x:v>59685.99999999255</x:v>
      </x:c>
      <x:c r="L207" s="10" t="n">
        <x:f>K207/Sources!$B$4*1000</x:f>
        <x:v>16.67418624433903</x:v>
      </x:c>
      <x:c r="M207" s="10" t="n">
        <x:f>E207/Sources!$B$4*1000</x:f>
        <x:v>19.934377134522002</x:v>
      </x:c>
      <x:c r="N207" s="9" t="n">
        <x:f>Sources!$B$6-K207</x:f>
        <x:v>50.00000000745058</x:v>
      </x:c>
      <x:c r="O207" s="1" t="str">
        <x:v>vertical_normal_down</x:v>
      </x:c>
      <x:c r="P207" s="12" t="n">
        <x:v>0</x:v>
      </x:c>
      <x:c r="Q207" s="12" t="n">
        <x:v>1</x:v>
      </x:c>
      <x:c r="R207" s="12" t="n">
        <x:v>1</x:v>
      </x:c>
      <x:c r="S207" s="12" t="n">
        <x:v>3</x:v>
      </x:c>
      <x:c r="T207" s="1" t="str">
        <x:v>No</x:v>
      </x:c>
      <x:c r="U207" s="1" t="n">
        <x:v>0</x:v>
      </x:c>
    </x:row>
    <x:row r="208" ht="23" customHeight="1">
      <x:c r="A208" s="9" t="n">
        <x:v>207</x:v>
      </x:c>
      <x:c r="B208" s="9" t="n">
        <x:v>265</x:v>
      </x:c>
      <x:c r="C208" s="9" t="n">
        <x:v>972</x:v>
      </x:c>
      <x:c r="D208" s="9" t="n">
        <x:v>1</x:v>
      </x:c>
      <x:c r="E208" s="9" t="n">
        <x:v>71374.00000000745</x:v>
      </x:c>
      <x:c r="F208" s="9" t="n">
        <x:v>785.0000000074506</x:v>
      </x:c>
      <x:c r="G208" s="9" t="n">
        <x:v>56331</x:v>
      </x:c>
      <x:c r="H208" s="9" t="n">
        <x:v>13675</x:v>
      </x:c>
      <x:c r="I208" s="9" t="n">
        <x:v>476.9999999925494</x:v>
      </x:c>
      <x:c r="J208" s="9" t="n">
        <x:v>106.00000000745058</x:v>
      </x:c>
      <x:c r="K208" s="9" t="n">
        <x:f>F208+G208+I208+J208</x:f>
        <x:v>57699.00000000745</x:v>
      </x:c>
      <x:c r="L208" s="10" t="n">
        <x:f>K208/Sources!$B$4*1000</x:f>
        <x:v>16.119087761156084</x:v>
      </x:c>
      <x:c r="M208" s="10" t="n">
        <x:f>E208/Sources!$B$4*1000</x:f>
        <x:v>19.93940570659328</x:v>
      </x:c>
      <x:c r="N208" s="9" t="n">
        <x:f>Sources!$B$6-K208</x:f>
        <x:v>2036.9999999925494</x:v>
      </x:c>
      <x:c r="O208" s="1" t="str">
        <x:v>vertical_normal_down</x:v>
      </x:c>
      <x:c r="P208" s="12" t="n">
        <x:v>0</x:v>
      </x:c>
      <x:c r="Q208" s="12" t="n">
        <x:v>1</x:v>
      </x:c>
      <x:c r="R208" s="12" t="n">
        <x:v>1</x:v>
      </x:c>
      <x:c r="S208" s="12" t="n">
        <x:v>4</x:v>
      </x:c>
      <x:c r="T208" s="1" t="str">
        <x:v>No</x:v>
      </x:c>
      <x:c r="U208" s="1" t="n">
        <x:v>0</x:v>
      </x:c>
    </x:row>
    <x:row r="209" ht="23" customHeight="1">
      <x:c r="A209" s="9" t="n">
        <x:v>208</x:v>
      </x:c>
      <x:c r="B209" s="9" t="n">
        <x:v>265</x:v>
      </x:c>
      <x:c r="C209" s="9" t="n">
        <x:v>973</x:v>
      </x:c>
      <x:c r="D209" s="9" t="n">
        <x:v>1</x:v>
      </x:c>
      <x:c r="E209" s="9" t="n">
        <x:v>71352</x:v>
      </x:c>
      <x:c r="F209" s="9" t="n">
        <x:v>785</x:v>
      </x:c>
      <x:c r="G209" s="9" t="n">
        <x:v>57821.99999999255</x:v>
      </x:c>
      <x:c r="H209" s="9" t="n">
        <x:v>12170</x:v>
      </x:c>
      <x:c r="I209" s="9" t="n">
        <x:v>469</x:v>
      </x:c>
      <x:c r="J209" s="9" t="n">
        <x:v>106.00000000745058</x:v>
      </x:c>
      <x:c r="K209" s="9" t="n">
        <x:f>F209+G209+I209+J209</x:f>
        <x:v>59182</x:v>
      </x:c>
      <x:c r="L209" s="10" t="n">
        <x:f>K209/Sources!$B$4*1000</x:f>
        <x:v>16.533386226461744</x:v>
      </x:c>
      <x:c r="M209" s="10" t="n">
        <x:f>E209/Sources!$B$4*1000</x:f>
        <x:v>19.93325967406472</x:v>
      </x:c>
      <x:c r="N209" s="9" t="n">
        <x:f>Sources!$B$6-K209</x:f>
        <x:v>554</x:v>
      </x:c>
      <x:c r="O209" s="1" t="str">
        <x:v>vertical_normal_down</x:v>
      </x:c>
      <x:c r="P209" s="12" t="n">
        <x:v>0</x:v>
      </x:c>
      <x:c r="Q209" s="12" t="n">
        <x:v>1</x:v>
      </x:c>
      <x:c r="R209" s="12" t="n">
        <x:v>1</x:v>
      </x:c>
      <x:c r="S209" s="12" t="n">
        <x:v>5</x:v>
      </x:c>
      <x:c r="T209" s="1" t="str">
        <x:v>No</x:v>
      </x:c>
      <x:c r="U209" s="1" t="n">
        <x:v>0</x:v>
      </x:c>
    </x:row>
    <x:row r="210" ht="23" customHeight="1">
      <x:c r="A210" s="9" t="n">
        <x:v>209</x:v>
      </x:c>
      <x:c r="B210" s="9" t="n">
        <x:v>265</x:v>
      </x:c>
      <x:c r="C210" s="9" t="n">
        <x:v>974</x:v>
      </x:c>
      <x:c r="D210" s="9" t="n">
        <x:v>1</x:v>
      </x:c>
      <x:c r="E210" s="9" t="n">
        <x:v>71373</x:v>
      </x:c>
      <x:c r="F210" s="9" t="n">
        <x:v>785</x:v>
      </x:c>
      <x:c r="G210" s="9" t="n">
        <x:v>61155</x:v>
      </x:c>
      <x:c r="H210" s="9" t="n">
        <x:v>8849.99999999255</x:v>
      </x:c>
      <x:c r="I210" s="9" t="n">
        <x:v>477.0000000074506</x:v>
      </x:c>
      <x:c r="J210" s="9" t="n">
        <x:v>106</x:v>
      </x:c>
      <x:c r="K210" s="9" t="n">
        <x:f>F210+G210+I210+J210</x:f>
        <x:v>62523.00000000745</x:v>
      </x:c>
      <x:c r="L210" s="10" t="n">
        <x:f>K210/Sources!$B$4*1000</x:f>
        <x:v>17.466745075144313</x:v>
      </x:c>
      <x:c r="M210" s="10" t="n">
        <x:f>E210/Sources!$B$4*1000</x:f>
        <x:v>19.939126341476364</x:v>
      </x:c>
      <x:c r="N210" s="9" t="n">
        <x:f>Sources!$B$6-K210</x:f>
        <x:v>-2787.0000000074506</x:v>
      </x:c>
      <x:c r="O210" s="1" t="str">
        <x:v>vertical_normal_down</x:v>
      </x:c>
      <x:c r="P210" s="12" t="n">
        <x:v>0</x:v>
      </x:c>
      <x:c r="Q210" s="12" t="n">
        <x:v>1</x:v>
      </x:c>
      <x:c r="R210" s="12" t="n">
        <x:v>1</x:v>
      </x:c>
      <x:c r="S210" s="12" t="n">
        <x:v>6</x:v>
      </x:c>
      <x:c r="T210" s="1" t="str">
        <x:v>No</x:v>
      </x:c>
      <x:c r="U210" s="1" t="n">
        <x:v>0</x:v>
      </x:c>
    </x:row>
    <x:row r="211" ht="23" customHeight="1">
      <x:c r="A211" s="9" t="n">
        <x:v>210</x:v>
      </x:c>
      <x:c r="B211" s="9" t="n">
        <x:v>265</x:v>
      </x:c>
      <x:c r="C211" s="9" t="n">
        <x:v>975</x:v>
      </x:c>
      <x:c r="D211" s="9" t="n">
        <x:v>1</x:v>
      </x:c>
      <x:c r="E211" s="9" t="n">
        <x:v>71355</x:v>
      </x:c>
      <x:c r="F211" s="9" t="n">
        <x:v>785</x:v>
      </x:c>
      <x:c r="G211" s="9" t="n">
        <x:v>59069.99999999255</x:v>
      </x:c>
      <x:c r="H211" s="9" t="n">
        <x:v>10925</x:v>
      </x:c>
      <x:c r="I211" s="9" t="n">
        <x:v>469</x:v>
      </x:c>
      <x:c r="J211" s="9" t="n">
        <x:v>106.00000000745058</x:v>
      </x:c>
      <x:c r="K211" s="9" t="n">
        <x:f>F211+G211+I211+J211</x:f>
        <x:v>60430</x:v>
      </x:c>
      <x:c r="L211" s="10" t="n">
        <x:f>K211/Sources!$B$4*1000</x:f>
        <x:v>16.882033889782083</x:v>
      </x:c>
      <x:c r="M211" s="10" t="n">
        <x:f>E211/Sources!$B$4*1000</x:f>
        <x:v>19.934097769409238</x:v>
      </x:c>
      <x:c r="N211" s="9" t="n">
        <x:f>Sources!$B$6-K211</x:f>
        <x:v>-694</x:v>
      </x:c>
      <x:c r="O211" s="1" t="str">
        <x:v>vertical_normal_down</x:v>
      </x:c>
      <x:c r="P211" s="12" t="n">
        <x:v>0</x:v>
      </x:c>
      <x:c r="Q211" s="12" t="n">
        <x:v>1</x:v>
      </x:c>
      <x:c r="R211" s="12" t="n">
        <x:v>1</x:v>
      </x:c>
      <x:c r="S211" s="12" t="n">
        <x:v>7</x:v>
      </x:c>
      <x:c r="T211" s="1" t="str">
        <x:v>No</x:v>
      </x:c>
      <x:c r="U211" s="1" t="n">
        <x:v>0</x:v>
      </x:c>
    </x:row>
    <x:row r="212" ht="23" customHeight="1">
      <x:c r="A212" s="9" t="n">
        <x:v>211</x:v>
      </x:c>
      <x:c r="B212" s="9" t="n">
        <x:v>265</x:v>
      </x:c>
      <x:c r="C212" s="9" t="n">
        <x:v>976</x:v>
      </x:c>
      <x:c r="D212" s="9" t="n">
        <x:v>1</x:v>
      </x:c>
      <x:c r="E212" s="9" t="n">
        <x:v>142740</x:v>
      </x:c>
      <x:c r="F212" s="9" t="n">
        <x:v>784.9999999925494</x:v>
      </x:c>
      <x:c r="G212" s="9" t="n">
        <x:v>71967.00000000745</x:v>
      </x:c>
      <x:c r="H212" s="9" t="n">
        <x:v>69404.99999999255</x:v>
      </x:c>
      <x:c r="I212" s="9" t="n">
        <x:v>477.0000000074506</x:v>
      </x:c>
      <x:c r="J212" s="9" t="n">
        <x:v>106</x:v>
      </x:c>
      <x:c r="K212" s="9" t="n">
        <x:f>F212+G212+I212+J212</x:f>
        <x:v>73335.00000000745</x:v>
      </x:c>
      <x:c r="L212" s="10" t="n">
        <x:f>K212/Sources!$B$4*1000</x:f>
        <x:v>20.48724069679455</x:v>
      </x:c>
      <x:c r="M212" s="10" t="n">
        <x:f>E212/Sources!$B$4*1000</x:f>
        <x:v>39.87657649226368</x:v>
      </x:c>
      <x:c r="N212" s="9" t="n">
        <x:f>Sources!$B$6-K212</x:f>
        <x:v>-13599.00000000745</x:v>
      </x:c>
      <x:c r="O212" s="1" t="str">
        <x:v>vertical_normal_down</x:v>
      </x:c>
      <x:c r="P212" s="12" t="n">
        <x:v>0</x:v>
      </x:c>
      <x:c r="Q212" s="12" t="n">
        <x:v>1</x:v>
      </x:c>
      <x:c r="R212" s="12" t="n">
        <x:v>1</x:v>
      </x:c>
      <x:c r="S212" s="12" t="n">
        <x:v>0</x:v>
      </x:c>
      <x:c r="T212" s="1" t="str">
        <x:v>Yes</x:v>
      </x:c>
      <x:c r="U212" s="1" t="n">
        <x:v>1</x:v>
      </x:c>
    </x:row>
    <x:row r="213" ht="23" customHeight="1">
      <x:c r="A213" s="9" t="n">
        <x:v>212</x:v>
      </x:c>
      <x:c r="B213" s="9" t="n">
        <x:v>265</x:v>
      </x:c>
      <x:c r="C213" s="9" t="n">
        <x:v>978</x:v>
      </x:c>
      <x:c r="D213" s="9" t="n">
        <x:v>2</x:v>
      </x:c>
      <x:c r="E213" s="9" t="n">
        <x:v>71355</x:v>
      </x:c>
      <x:c r="F213" s="9" t="n">
        <x:v>785</x:v>
      </x:c>
      <x:c r="G213" s="9" t="n">
        <x:v>58990</x:v>
      </x:c>
      <x:c r="H213" s="9" t="n">
        <x:v>11005</x:v>
      </x:c>
      <x:c r="I213" s="9" t="n">
        <x:v>469.0000000074506</x:v>
      </x:c>
      <x:c r="J213" s="9" t="n">
        <x:v>105.99999999254942</x:v>
      </x:c>
      <x:c r="K213" s="9" t="n">
        <x:f>F213+G213+I213+J213</x:f>
        <x:v>60350</x:v>
      </x:c>
      <x:c r="L213" s="10" t="n">
        <x:f>K213/Sources!$B$4*1000</x:f>
        <x:v>16.859684680594878</x:v>
      </x:c>
      <x:c r="M213" s="10" t="n">
        <x:f>E213/Sources!$B$4*1000</x:f>
        <x:v>19.934097769409238</x:v>
      </x:c>
      <x:c r="N213" s="9" t="n">
        <x:f>Sources!$B$6-K213</x:f>
        <x:v>-614</x:v>
      </x:c>
      <x:c r="O213" s="1" t="str">
        <x:v>vertical_normal_down</x:v>
      </x:c>
      <x:c r="P213" s="12" t="n">
        <x:v>0</x:v>
      </x:c>
      <x:c r="Q213" s="12" t="n">
        <x:v>2</x:v>
      </x:c>
      <x:c r="R213" s="12" t="n">
        <x:v>1</x:v>
      </x:c>
      <x:c r="S213" s="12" t="n">
        <x:v>2</x:v>
      </x:c>
      <x:c r="T213" s="1" t="str">
        <x:v>No</x:v>
      </x:c>
      <x:c r="U213" s="1" t="n">
        <x:v>1</x:v>
      </x:c>
    </x:row>
    <x:row r="214" ht="23" customHeight="1">
      <x:c r="A214" s="9" t="n">
        <x:v>213</x:v>
      </x:c>
      <x:c r="B214" s="9" t="n">
        <x:v>265</x:v>
      </x:c>
      <x:c r="C214" s="9" t="n">
        <x:v>979</x:v>
      </x:c>
      <x:c r="D214" s="9" t="n">
        <x:v>1</x:v>
      </x:c>
      <x:c r="E214" s="9" t="n">
        <x:v>71369.99999999255</x:v>
      </x:c>
      <x:c r="F214" s="9" t="n">
        <x:v>784.9999999925494</x:v>
      </x:c>
      <x:c r="G214" s="9" t="n">
        <x:v>58347.00000000745</x:v>
      </x:c>
      <x:c r="H214" s="9" t="n">
        <x:v>11655</x:v>
      </x:c>
      <x:c r="I214" s="9" t="n">
        <x:v>476.9999999925494</x:v>
      </x:c>
      <x:c r="J214" s="9" t="n">
        <x:v>106</x:v>
      </x:c>
      <x:c r="K214" s="9" t="n">
        <x:f>F214+G214+I214+J214</x:f>
        <x:v>59714.99999999255</x:v>
      </x:c>
      <x:c r="L214" s="10" t="n">
        <x:f>K214/Sources!$B$4*1000</x:f>
        <x:v>16.682287832669388</x:v>
      </x:c>
      <x:c r="M214" s="10" t="n">
        <x:f>E214/Sources!$B$4*1000</x:f>
        <x:v>19.938288246129762</x:v>
      </x:c>
      <x:c r="N214" s="9" t="n">
        <x:f>Sources!$B$6-K214</x:f>
        <x:v>21.00000000745058</x:v>
      </x:c>
      <x:c r="O214" s="1" t="str">
        <x:v>vertical_normal_down</x:v>
      </x:c>
      <x:c r="P214" s="12" t="n">
        <x:v>0</x:v>
      </x:c>
      <x:c r="Q214" s="12" t="n">
        <x:v>1</x:v>
      </x:c>
      <x:c r="R214" s="12" t="n">
        <x:v>1</x:v>
      </x:c>
      <x:c r="S214" s="12" t="n">
        <x:v>3</x:v>
      </x:c>
      <x:c r="T214" s="1" t="str">
        <x:v>No</x:v>
      </x:c>
      <x:c r="U214" s="1" t="n">
        <x:v>0</x:v>
      </x:c>
    </x:row>
    <x:row r="215" ht="23" customHeight="1">
      <x:c r="A215" s="9" t="n">
        <x:v>214</x:v>
      </x:c>
      <x:c r="B215" s="9" t="n">
        <x:v>265</x:v>
      </x:c>
      <x:c r="C215" s="9" t="n">
        <x:v>980</x:v>
      </x:c>
      <x:c r="D215" s="9" t="n">
        <x:v>1</x:v>
      </x:c>
      <x:c r="E215" s="9" t="n">
        <x:v>71355.00000000745</x:v>
      </x:c>
      <x:c r="F215" s="9" t="n">
        <x:v>785.0000000074506</x:v>
      </x:c>
      <x:c r="G215" s="9" t="n">
        <x:v>56310</x:v>
      </x:c>
      <x:c r="H215" s="9" t="n">
        <x:v>13685.00000000745</x:v>
      </x:c>
      <x:c r="I215" s="9" t="n">
        <x:v>469</x:v>
      </x:c>
      <x:c r="J215" s="9" t="n">
        <x:v>105.99999999254942</x:v>
      </x:c>
      <x:c r="K215" s="9" t="n">
        <x:f>F215+G215+I215+J215</x:f>
        <x:v>57670</x:v>
      </x:c>
      <x:c r="L215" s="10" t="n">
        <x:f>K215/Sources!$B$4*1000</x:f>
        <x:v>16.11098617282364</x:v>
      </x:c>
      <x:c r="M215" s="10" t="n">
        <x:f>E215/Sources!$B$4*1000</x:f>
        <x:v>19.93409776941132</x:v>
      </x:c>
      <x:c r="N215" s="9" t="n">
        <x:f>Sources!$B$6-K215</x:f>
        <x:v>2066</x:v>
      </x:c>
      <x:c r="O215" s="1" t="str">
        <x:v>vertical_normal_down</x:v>
      </x:c>
      <x:c r="P215" s="12" t="n">
        <x:v>0</x:v>
      </x:c>
      <x:c r="Q215" s="12" t="n">
        <x:v>1</x:v>
      </x:c>
      <x:c r="R215" s="12" t="n">
        <x:v>1</x:v>
      </x:c>
      <x:c r="S215" s="12" t="n">
        <x:v>4</x:v>
      </x:c>
      <x:c r="T215" s="1" t="str">
        <x:v>No</x:v>
      </x:c>
      <x:c r="U215" s="1" t="n">
        <x:v>0</x:v>
      </x:c>
    </x:row>
    <x:row r="216" ht="23" customHeight="1">
      <x:c r="A216" s="9" t="n">
        <x:v>215</x:v>
      </x:c>
      <x:c r="B216" s="9" t="n">
        <x:v>265</x:v>
      </x:c>
      <x:c r="C216" s="9" t="n">
        <x:v>981</x:v>
      </x:c>
      <x:c r="D216" s="9" t="n">
        <x:v>1</x:v>
      </x:c>
      <x:c r="E216" s="9" t="n">
        <x:v>71376</x:v>
      </x:c>
      <x:c r="F216" s="9" t="n">
        <x:v>785</x:v>
      </x:c>
      <x:c r="G216" s="9" t="n">
        <x:v>57843</x:v>
      </x:c>
      <x:c r="H216" s="9" t="n">
        <x:v>12165</x:v>
      </x:c>
      <x:c r="I216" s="9" t="n">
        <x:v>477</x:v>
      </x:c>
      <x:c r="J216" s="9" t="n">
        <x:v>106</x:v>
      </x:c>
      <x:c r="K216" s="9" t="n">
        <x:f>F216+G216+I216+J216</x:f>
        <x:v>59211</x:v>
      </x:c>
      <x:c r="L216" s="10" t="n">
        <x:f>K216/Sources!$B$4*1000</x:f>
        <x:v>16.541487814792102</x:v>
      </x:c>
      <x:c r="M216" s="10" t="n">
        <x:f>E216/Sources!$B$4*1000</x:f>
        <x:v>19.939964436820883</x:v>
      </x:c>
      <x:c r="N216" s="9" t="n">
        <x:f>Sources!$B$6-K216</x:f>
        <x:v>525</x:v>
      </x:c>
      <x:c r="O216" s="1" t="str">
        <x:v>vertical_normal_down</x:v>
      </x:c>
      <x:c r="P216" s="12" t="n">
        <x:v>0</x:v>
      </x:c>
      <x:c r="Q216" s="12" t="n">
        <x:v>1</x:v>
      </x:c>
      <x:c r="R216" s="12" t="n">
        <x:v>1</x:v>
      </x:c>
      <x:c r="S216" s="12" t="n">
        <x:v>5</x:v>
      </x:c>
      <x:c r="T216" s="1" t="str">
        <x:v>No</x:v>
      </x:c>
      <x:c r="U216" s="1" t="n">
        <x:v>0</x:v>
      </x:c>
    </x:row>
    <x:row r="217" ht="23" customHeight="1">
      <x:c r="A217" s="9" t="n">
        <x:v>216</x:v>
      </x:c>
      <x:c r="B217" s="9" t="n">
        <x:v>265</x:v>
      </x:c>
      <x:c r="C217" s="9" t="n">
        <x:v>982</x:v>
      </x:c>
      <x:c r="D217" s="9" t="n">
        <x:v>1</x:v>
      </x:c>
      <x:c r="E217" s="9" t="n">
        <x:v>71354</x:v>
      </x:c>
      <x:c r="F217" s="9" t="n">
        <x:v>785</x:v>
      </x:c>
      <x:c r="G217" s="9" t="n">
        <x:v>61134</x:v>
      </x:c>
      <x:c r="H217" s="9" t="n">
        <x:v>8860</x:v>
      </x:c>
      <x:c r="I217" s="9" t="n">
        <x:v>469</x:v>
      </x:c>
      <x:c r="J217" s="9" t="n">
        <x:v>106</x:v>
      </x:c>
      <x:c r="K217" s="9" t="n">
        <x:f>F217+G217+I217+J217</x:f>
        <x:v>62494</x:v>
      </x:c>
      <x:c r="L217" s="10" t="n">
        <x:f>K217/Sources!$B$4*1000</x:f>
        <x:v>17.458643486811873</x:v>
      </x:c>
      <x:c r="M217" s="10" t="n">
        <x:f>E217/Sources!$B$4*1000</x:f>
        <x:v>19.9338184042944</x:v>
      </x:c>
      <x:c r="N217" s="9" t="n">
        <x:f>Sources!$B$6-K217</x:f>
        <x:v>-2758</x:v>
      </x:c>
      <x:c r="O217" s="1" t="str">
        <x:v>vertical_normal_down</x:v>
      </x:c>
      <x:c r="P217" s="12" t="n">
        <x:v>0</x:v>
      </x:c>
      <x:c r="Q217" s="12" t="n">
        <x:v>1</x:v>
      </x:c>
      <x:c r="R217" s="12" t="n">
        <x:v>1</x:v>
      </x:c>
      <x:c r="S217" s="12" t="n">
        <x:v>6</x:v>
      </x:c>
      <x:c r="T217" s="1" t="str">
        <x:v>No</x:v>
      </x:c>
      <x:c r="U217" s="1" t="n">
        <x:v>0</x:v>
      </x:c>
    </x:row>
    <x:row r="218" ht="23" customHeight="1">
      <x:c r="A218" s="9" t="n">
        <x:v>217</x:v>
      </x:c>
      <x:c r="B218" s="9" t="n">
        <x:v>265</x:v>
      </x:c>
      <x:c r="C218" s="9" t="n">
        <x:v>983</x:v>
      </x:c>
      <x:c r="D218" s="9" t="n">
        <x:v>1</x:v>
      </x:c>
      <x:c r="E218" s="9" t="n">
        <x:v>71374</x:v>
      </x:c>
      <x:c r="F218" s="9" t="n">
        <x:v>785</x:v>
      </x:c>
      <x:c r="G218" s="9" t="n">
        <x:v>59091</x:v>
      </x:c>
      <x:c r="H218" s="9" t="n">
        <x:v>10915</x:v>
      </x:c>
      <x:c r="I218" s="9" t="n">
        <x:v>477</x:v>
      </x:c>
      <x:c r="J218" s="9" t="n">
        <x:v>106</x:v>
      </x:c>
      <x:c r="K218" s="9" t="n">
        <x:f>F218+G218+I218+J218</x:f>
        <x:v>60459</x:v>
      </x:c>
      <x:c r="L218" s="10" t="n">
        <x:f>K218/Sources!$B$4*1000</x:f>
        <x:v>16.89013547811244</x:v>
      </x:c>
      <x:c r="M218" s="10" t="n">
        <x:f>E218/Sources!$B$4*1000</x:f>
        <x:v>19.939405706591202</x:v>
      </x:c>
      <x:c r="N218" s="9" t="n">
        <x:f>Sources!$B$6-K218</x:f>
        <x:v>-723</x:v>
      </x:c>
      <x:c r="O218" s="1" t="str">
        <x:v>vertical_normal_down</x:v>
      </x:c>
      <x:c r="P218" s="12" t="n">
        <x:v>0</x:v>
      </x:c>
      <x:c r="Q218" s="12" t="n">
        <x:v>1</x:v>
      </x:c>
      <x:c r="R218" s="12" t="n">
        <x:v>1</x:v>
      </x:c>
      <x:c r="S218" s="12" t="n">
        <x:v>7</x:v>
      </x:c>
      <x:c r="T218" s="1" t="str">
        <x:v>No</x:v>
      </x:c>
      <x:c r="U218" s="1" t="n">
        <x:v>0</x:v>
      </x:c>
    </x:row>
    <x:row r="219" ht="23" customHeight="1">
      <x:c r="A219" s="9" t="n">
        <x:v>218</x:v>
      </x:c>
      <x:c r="B219" s="9" t="n">
        <x:v>265</x:v>
      </x:c>
      <x:c r="C219" s="9" t="n">
        <x:v>984</x:v>
      </x:c>
      <x:c r="D219" s="9" t="n">
        <x:v>1</x:v>
      </x:c>
      <x:c r="E219" s="9" t="n">
        <x:v>142716</x:v>
      </x:c>
      <x:c r="F219" s="9" t="n">
        <x:v>784.9999999925494</x:v>
      </x:c>
      <x:c r="G219" s="9" t="n">
        <x:v>71941</x:v>
      </x:c>
      <x:c r="H219" s="9" t="n">
        <x:v>69415</x:v>
      </x:c>
      <x:c r="I219" s="9" t="n">
        <x:v>469</x:v>
      </x:c>
      <x:c r="J219" s="9" t="n">
        <x:v>106.00000000745058</x:v>
      </x:c>
      <x:c r="K219" s="9" t="n">
        <x:f>F219+G219+I219+J219</x:f>
        <x:v>73301</x:v>
      </x:c>
      <x:c r="L219" s="10" t="n">
        <x:f>K219/Sources!$B$4*1000</x:f>
        <x:v>20.477742282887906</x:v>
      </x:c>
      <x:c r="M219" s="10" t="n">
        <x:f>E219/Sources!$B$4*1000</x:f>
        <x:v>39.869871729507516</x:v>
      </x:c>
      <x:c r="N219" s="9" t="n">
        <x:f>Sources!$B$6-K219</x:f>
        <x:v>-13565</x:v>
      </x:c>
      <x:c r="O219" s="1" t="str">
        <x:v>vertical_normal_down</x:v>
      </x:c>
      <x:c r="P219" s="12" t="n">
        <x:v>0</x:v>
      </x:c>
      <x:c r="Q219" s="12" t="n">
        <x:v>1</x:v>
      </x:c>
      <x:c r="R219" s="12" t="n">
        <x:v>1</x:v>
      </x:c>
      <x:c r="S219" s="12" t="n">
        <x:v>0</x:v>
      </x:c>
      <x:c r="T219" s="1" t="str">
        <x:v>Yes</x:v>
      </x:c>
      <x:c r="U219" s="1" t="n">
        <x:v>1</x:v>
      </x:c>
    </x:row>
    <x:row r="220" ht="23" customHeight="1">
      <x:c r="A220" s="9" t="n">
        <x:v>219</x:v>
      </x:c>
      <x:c r="B220" s="9" t="n">
        <x:v>265</x:v>
      </x:c>
      <x:c r="C220" s="9" t="n">
        <x:v>986</x:v>
      </x:c>
      <x:c r="D220" s="9" t="n">
        <x:v>2</x:v>
      </x:c>
      <x:c r="E220" s="9" t="n">
        <x:v>71374</x:v>
      </x:c>
      <x:c r="F220" s="9" t="n">
        <x:v>785</x:v>
      </x:c>
      <x:c r="G220" s="9" t="n">
        <x:v>59016</x:v>
      </x:c>
      <x:c r="H220" s="9" t="n">
        <x:v>10989.99999999255</x:v>
      </x:c>
      <x:c r="I220" s="9" t="n">
        <x:v>477</x:v>
      </x:c>
      <x:c r="J220" s="9" t="n">
        <x:v>106.00000000745058</x:v>
      </x:c>
      <x:c r="K220" s="9" t="n">
        <x:f>F220+G220+I220+J220</x:f>
        <x:v>60384.00000000745</x:v>
      </x:c>
      <x:c r="L220" s="10" t="n">
        <x:f>K220/Sources!$B$4*1000</x:f>
        <x:v>16.86918309450152</x:v>
      </x:c>
      <x:c r="M220" s="10" t="n">
        <x:f>E220/Sources!$B$4*1000</x:f>
        <x:v>19.939405706591202</x:v>
      </x:c>
      <x:c r="N220" s="9" t="n">
        <x:f>Sources!$B$6-K220</x:f>
        <x:v>-648.0000000074506</x:v>
      </x:c>
      <x:c r="O220" s="1" t="str">
        <x:v>vertical_normal_down</x:v>
      </x:c>
      <x:c r="P220" s="12" t="n">
        <x:v>0</x:v>
      </x:c>
      <x:c r="Q220" s="12" t="n">
        <x:v>2</x:v>
      </x:c>
      <x:c r="R220" s="12" t="n">
        <x:v>1</x:v>
      </x:c>
      <x:c r="S220" s="12" t="n">
        <x:v>2</x:v>
      </x:c>
      <x:c r="T220" s="1" t="str">
        <x:v>No</x:v>
      </x:c>
      <x:c r="U220" s="1" t="n">
        <x:v>1</x:v>
      </x:c>
    </x:row>
    <x:row r="221" ht="23" customHeight="1">
      <x:c r="A221" s="9" t="n">
        <x:v>220</x:v>
      </x:c>
      <x:c r="B221" s="9" t="n">
        <x:v>265</x:v>
      </x:c>
      <x:c r="C221" s="9" t="n">
        <x:v>987</x:v>
      </x:c>
      <x:c r="D221" s="9" t="n">
        <x:v>1</x:v>
      </x:c>
      <x:c r="E221" s="9" t="n">
        <x:v>71356</x:v>
      </x:c>
      <x:c r="F221" s="9" t="n">
        <x:v>784.9999999925494</x:v>
      </x:c>
      <x:c r="G221" s="9" t="n">
        <x:v>58326.00000000745</x:v>
      </x:c>
      <x:c r="H221" s="9" t="n">
        <x:v>11670</x:v>
      </x:c>
      <x:c r="I221" s="9" t="n">
        <x:v>469</x:v>
      </x:c>
      <x:c r="J221" s="9" t="n">
        <x:v>106</x:v>
      </x:c>
      <x:c r="K221" s="9" t="n">
        <x:f>F221+G221+I221+J221</x:f>
        <x:v>59686</x:v>
      </x:c>
      <x:c r="L221" s="10" t="n">
        <x:f>K221/Sources!$B$4*1000</x:f>
        <x:v>16.67418624434111</x:v>
      </x:c>
      <x:c r="M221" s="10" t="n">
        <x:f>E221/Sources!$B$4*1000</x:f>
        <x:v>19.93437713452408</x:v>
      </x:c>
      <x:c r="N221" s="9" t="n">
        <x:f>Sources!$B$6-K221</x:f>
        <x:v>50</x:v>
      </x:c>
      <x:c r="O221" s="1" t="str">
        <x:v>vertical_normal_down</x:v>
      </x:c>
      <x:c r="P221" s="12" t="n">
        <x:v>0</x:v>
      </x:c>
      <x:c r="Q221" s="12" t="n">
        <x:v>1</x:v>
      </x:c>
      <x:c r="R221" s="12" t="n">
        <x:v>1</x:v>
      </x:c>
      <x:c r="S221" s="12" t="n">
        <x:v>3</x:v>
      </x:c>
      <x:c r="T221" s="1" t="str">
        <x:v>No</x:v>
      </x:c>
      <x:c r="U221" s="1" t="n">
        <x:v>0</x:v>
      </x:c>
    </x:row>
    <x:row r="222" ht="23" customHeight="1">
      <x:c r="A222" s="9" t="n">
        <x:v>221</x:v>
      </x:c>
      <x:c r="B222" s="9" t="n">
        <x:v>265</x:v>
      </x:c>
      <x:c r="C222" s="9" t="n">
        <x:v>988</x:v>
      </x:c>
      <x:c r="D222" s="9" t="n">
        <x:v>1</x:v>
      </x:c>
      <x:c r="E222" s="9" t="n">
        <x:v>71374</x:v>
      </x:c>
      <x:c r="F222" s="9" t="n">
        <x:v>785</x:v>
      </x:c>
      <x:c r="G222" s="9" t="n">
        <x:v>56331</x:v>
      </x:c>
      <x:c r="H222" s="9" t="n">
        <x:v>13675</x:v>
      </x:c>
      <x:c r="I222" s="9" t="n">
        <x:v>477</x:v>
      </x:c>
      <x:c r="J222" s="9" t="n">
        <x:v>106</x:v>
      </x:c>
      <x:c r="K222" s="9" t="n">
        <x:f>F222+G222+I222+J222</x:f>
        <x:v>57699</x:v>
      </x:c>
      <x:c r="L222" s="10" t="n">
        <x:f>K222/Sources!$B$4*1000</x:f>
        <x:v>16.119087761154002</x:v>
      </x:c>
      <x:c r="M222" s="10" t="n">
        <x:f>E222/Sources!$B$4*1000</x:f>
        <x:v>19.939405706591202</x:v>
      </x:c>
      <x:c r="N222" s="9" t="n">
        <x:f>Sources!$B$6-K222</x:f>
        <x:v>2037</x:v>
      </x:c>
      <x:c r="O222" s="1" t="str">
        <x:v>vertical_normal_down</x:v>
      </x:c>
      <x:c r="P222" s="12" t="n">
        <x:v>0</x:v>
      </x:c>
      <x:c r="Q222" s="12" t="n">
        <x:v>1</x:v>
      </x:c>
      <x:c r="R222" s="12" t="n">
        <x:v>1</x:v>
      </x:c>
      <x:c r="S222" s="12" t="n">
        <x:v>4</x:v>
      </x:c>
      <x:c r="T222" s="1" t="str">
        <x:v>No</x:v>
      </x:c>
      <x:c r="U222" s="1" t="n">
        <x:v>0</x:v>
      </x:c>
    </x:row>
    <x:row r="223" ht="23" customHeight="1">
      <x:c r="A223" s="9" t="n">
        <x:v>222</x:v>
      </x:c>
      <x:c r="B223" s="9" t="n">
        <x:v>265</x:v>
      </x:c>
      <x:c r="C223" s="9" t="n">
        <x:v>989</x:v>
      </x:c>
      <x:c r="D223" s="9" t="n">
        <x:v>1</x:v>
      </x:c>
      <x:c r="E223" s="9" t="n">
        <x:v>71352</x:v>
      </x:c>
      <x:c r="F223" s="9" t="n">
        <x:v>785</x:v>
      </x:c>
      <x:c r="G223" s="9" t="n">
        <x:v>57822</x:v>
      </x:c>
      <x:c r="H223" s="9" t="n">
        <x:v>12169.99999999255</x:v>
      </x:c>
      <x:c r="I223" s="9" t="n">
        <x:v>469.0000000074506</x:v>
      </x:c>
      <x:c r="J223" s="9" t="n">
        <x:v>106</x:v>
      </x:c>
      <x:c r="K223" s="9" t="n">
        <x:f>F223+G223+I223+J223</x:f>
        <x:v>59182.00000000745</x:v>
      </x:c>
      <x:c r="L223" s="10" t="n">
        <x:f>K223/Sources!$B$4*1000</x:f>
        <x:v>16.533386226463826</x:v>
      </x:c>
      <x:c r="M223" s="10" t="n">
        <x:f>E223/Sources!$B$4*1000</x:f>
        <x:v>19.93325967406472</x:v>
      </x:c>
      <x:c r="N223" s="9" t="n">
        <x:f>Sources!$B$6-K223</x:f>
        <x:v>553.9999999925494</x:v>
      </x:c>
      <x:c r="O223" s="1" t="str">
        <x:v>vertical_normal_down</x:v>
      </x:c>
      <x:c r="P223" s="12" t="n">
        <x:v>0</x:v>
      </x:c>
      <x:c r="Q223" s="12" t="n">
        <x:v>1</x:v>
      </x:c>
      <x:c r="R223" s="12" t="n">
        <x:v>1</x:v>
      </x:c>
      <x:c r="S223" s="12" t="n">
        <x:v>5</x:v>
      </x:c>
      <x:c r="T223" s="1" t="str">
        <x:v>No</x:v>
      </x:c>
      <x:c r="U223" s="1" t="n">
        <x:v>0</x:v>
      </x:c>
    </x:row>
    <x:row r="224" ht="23" customHeight="1">
      <x:c r="A224" s="9" t="n">
        <x:v>223</x:v>
      </x:c>
      <x:c r="B224" s="9" t="n">
        <x:v>265</x:v>
      </x:c>
      <x:c r="C224" s="9" t="n">
        <x:v>990</x:v>
      </x:c>
      <x:c r="D224" s="9" t="n">
        <x:v>1</x:v>
      </x:c>
      <x:c r="E224" s="9" t="n">
        <x:v>71373</x:v>
      </x:c>
      <x:c r="F224" s="9" t="n">
        <x:v>784.9999999925494</x:v>
      </x:c>
      <x:c r="G224" s="9" t="n">
        <x:v>61155.00000000745</x:v>
      </x:c>
      <x:c r="H224" s="9" t="n">
        <x:v>8850</x:v>
      </x:c>
      <x:c r="I224" s="9" t="n">
        <x:v>477</x:v>
      </x:c>
      <x:c r="J224" s="9" t="n">
        <x:v>106</x:v>
      </x:c>
      <x:c r="K224" s="9" t="n">
        <x:f>F224+G224+I224+J224</x:f>
        <x:v>62523</x:v>
      </x:c>
      <x:c r="L224" s="10" t="n">
        <x:f>K224/Sources!$B$4*1000</x:f>
        <x:v>17.46674507514223</x:v>
      </x:c>
      <x:c r="M224" s="10" t="n">
        <x:f>E224/Sources!$B$4*1000</x:f>
        <x:v>19.939126341476364</x:v>
      </x:c>
      <x:c r="N224" s="9" t="n">
        <x:f>Sources!$B$6-K224</x:f>
        <x:v>-2787</x:v>
      </x:c>
      <x:c r="O224" s="1" t="str">
        <x:v>vertical_normal_down</x:v>
      </x:c>
      <x:c r="P224" s="12" t="n">
        <x:v>0</x:v>
      </x:c>
      <x:c r="Q224" s="12" t="n">
        <x:v>1</x:v>
      </x:c>
      <x:c r="R224" s="12" t="n">
        <x:v>1</x:v>
      </x:c>
      <x:c r="S224" s="12" t="n">
        <x:v>6</x:v>
      </x:c>
      <x:c r="T224" s="1" t="str">
        <x:v>No</x:v>
      </x:c>
      <x:c r="U224" s="1" t="n">
        <x:v>0</x:v>
      </x:c>
    </x:row>
    <x:row r="225" ht="23" customHeight="1">
      <x:c r="A225" s="9" t="n">
        <x:v>224</x:v>
      </x:c>
      <x:c r="B225" s="9" t="n">
        <x:v>265</x:v>
      </x:c>
      <x:c r="C225" s="9" t="n">
        <x:v>991</x:v>
      </x:c>
      <x:c r="D225" s="9" t="n">
        <x:v>1</x:v>
      </x:c>
      <x:c r="E225" s="9" t="n">
        <x:v>71355</x:v>
      </x:c>
      <x:c r="F225" s="9" t="n">
        <x:v>785</x:v>
      </x:c>
      <x:c r="G225" s="9" t="n">
        <x:v>59070</x:v>
      </x:c>
      <x:c r="H225" s="9" t="n">
        <x:v>10925</x:v>
      </x:c>
      <x:c r="I225" s="9" t="n">
        <x:v>468.9999999925494</x:v>
      </x:c>
      <x:c r="J225" s="9" t="n">
        <x:v>106.00000000745058</x:v>
      </x:c>
      <x:c r="K225" s="9" t="n">
        <x:f>F225+G225+I225+J225</x:f>
        <x:v>60430</x:v>
      </x:c>
      <x:c r="L225" s="10" t="n">
        <x:f>K225/Sources!$B$4*1000</x:f>
        <x:v>16.882033889782083</x:v>
      </x:c>
      <x:c r="M225" s="10" t="n">
        <x:f>E225/Sources!$B$4*1000</x:f>
        <x:v>19.934097769409238</x:v>
      </x:c>
      <x:c r="N225" s="9" t="n">
        <x:f>Sources!$B$6-K225</x:f>
        <x:v>-694</x:v>
      </x:c>
      <x:c r="O225" s="1" t="str">
        <x:v>vertical_normal_down</x:v>
      </x:c>
      <x:c r="P225" s="12" t="n">
        <x:v>0</x:v>
      </x:c>
      <x:c r="Q225" s="12" t="n">
        <x:v>1</x:v>
      </x:c>
      <x:c r="R225" s="12" t="n">
        <x:v>1</x:v>
      </x:c>
      <x:c r="S225" s="12" t="n">
        <x:v>7</x:v>
      </x:c>
      <x:c r="T225" s="1" t="str">
        <x:v>No</x:v>
      </x:c>
      <x:c r="U225" s="1" t="n">
        <x:v>0</x:v>
      </x:c>
    </x:row>
    <x:row r="226" ht="23" customHeight="1">
      <x:c r="A226" s="9" t="n">
        <x:v>225</x:v>
      </x:c>
      <x:c r="B226" s="9" t="n">
        <x:v>265</x:v>
      </x:c>
      <x:c r="C226" s="9" t="n">
        <x:v>992</x:v>
      </x:c>
      <x:c r="D226" s="9" t="n">
        <x:v>1</x:v>
      </x:c>
      <x:c r="E226" s="9" t="n">
        <x:v>142740</x:v>
      </x:c>
      <x:c r="F226" s="9" t="n">
        <x:v>785.0000000074506</x:v>
      </x:c>
      <x:c r="G226" s="9" t="n">
        <x:v>71966.99999999255</x:v>
      </x:c>
      <x:c r="H226" s="9" t="n">
        <x:v>69405.00000000745</x:v>
      </x:c>
      <x:c r="I226" s="9" t="n">
        <x:v>477</x:v>
      </x:c>
      <x:c r="J226" s="9" t="n">
        <x:v>105.99999999254942</x:v>
      </x:c>
      <x:c r="K226" s="9" t="n">
        <x:f>F226+G226+I226+J226</x:f>
        <x:v>73334.99999999255</x:v>
      </x:c>
      <x:c r="L226" s="10" t="n">
        <x:f>K226/Sources!$B$4*1000</x:f>
        <x:v>20.48724069679039</x:v>
      </x:c>
      <x:c r="M226" s="10" t="n">
        <x:f>E226/Sources!$B$4*1000</x:f>
        <x:v>39.87657649226368</x:v>
      </x:c>
      <x:c r="N226" s="9" t="n">
        <x:f>Sources!$B$6-K226</x:f>
        <x:v>-13598.99999999255</x:v>
      </x:c>
      <x:c r="O226" s="1" t="str">
        <x:v>vertical_normal_down</x:v>
      </x:c>
      <x:c r="P226" s="12" t="n">
        <x:v>0</x:v>
      </x:c>
      <x:c r="Q226" s="12" t="n">
        <x:v>1</x:v>
      </x:c>
      <x:c r="R226" s="12" t="n">
        <x:v>1</x:v>
      </x:c>
      <x:c r="S226" s="12" t="n">
        <x:v>0</x:v>
      </x:c>
      <x:c r="T226" s="1" t="str">
        <x:v>Yes</x:v>
      </x:c>
      <x:c r="U226" s="1" t="n">
        <x:v>1</x:v>
      </x:c>
    </x:row>
    <x:row r="227" ht="23" customHeight="1">
      <x:c r="A227" s="9" t="n">
        <x:v>226</x:v>
      </x:c>
      <x:c r="B227" s="9" t="n">
        <x:v>265</x:v>
      </x:c>
      <x:c r="C227" s="9" t="n">
        <x:v>994</x:v>
      </x:c>
      <x:c r="D227" s="9" t="n">
        <x:v>2</x:v>
      </x:c>
      <x:c r="E227" s="9" t="n">
        <x:v>71355</x:v>
      </x:c>
      <x:c r="F227" s="9" t="n">
        <x:v>785</x:v>
      </x:c>
      <x:c r="G227" s="9" t="n">
        <x:v>58990</x:v>
      </x:c>
      <x:c r="H227" s="9" t="n">
        <x:v>11005</x:v>
      </x:c>
      <x:c r="I227" s="9" t="n">
        <x:v>468.9999999925494</x:v>
      </x:c>
      <x:c r="J227" s="9" t="n">
        <x:v>106.00000000745058</x:v>
      </x:c>
      <x:c r="K227" s="9" t="n">
        <x:f>F227+G227+I227+J227</x:f>
        <x:v>60350</x:v>
      </x:c>
      <x:c r="L227" s="10" t="n">
        <x:f>K227/Sources!$B$4*1000</x:f>
        <x:v>16.859684680594878</x:v>
      </x:c>
      <x:c r="M227" s="10" t="n">
        <x:f>E227/Sources!$B$4*1000</x:f>
        <x:v>19.934097769409238</x:v>
      </x:c>
      <x:c r="N227" s="9" t="n">
        <x:f>Sources!$B$6-K227</x:f>
        <x:v>-614</x:v>
      </x:c>
      <x:c r="O227" s="1" t="str">
        <x:v>vertical_normal_down</x:v>
      </x:c>
      <x:c r="P227" s="12" t="n">
        <x:v>0</x:v>
      </x:c>
      <x:c r="Q227" s="12" t="n">
        <x:v>2</x:v>
      </x:c>
      <x:c r="R227" s="12" t="n">
        <x:v>1</x:v>
      </x:c>
      <x:c r="S227" s="12" t="n">
        <x:v>2</x:v>
      </x:c>
      <x:c r="T227" s="1" t="str">
        <x:v>No</x:v>
      </x:c>
      <x:c r="U227" s="1" t="n">
        <x:v>1</x:v>
      </x:c>
    </x:row>
    <x:row r="228" ht="23" customHeight="1">
      <x:c r="A228" s="9" t="n">
        <x:v>227</x:v>
      </x:c>
      <x:c r="B228" s="9" t="n">
        <x:v>265</x:v>
      </x:c>
      <x:c r="C228" s="9" t="n">
        <x:v>995</x:v>
      </x:c>
      <x:c r="D228" s="9" t="n">
        <x:v>1</x:v>
      </x:c>
      <x:c r="E228" s="9" t="n">
        <x:v>71370</x:v>
      </x:c>
      <x:c r="F228" s="9" t="n">
        <x:v>785</x:v>
      </x:c>
      <x:c r="G228" s="9" t="n">
        <x:v>58347</x:v>
      </x:c>
      <x:c r="H228" s="9" t="n">
        <x:v>11655</x:v>
      </x:c>
      <x:c r="I228" s="9" t="n">
        <x:v>477</x:v>
      </x:c>
      <x:c r="J228" s="9" t="n">
        <x:v>106</x:v>
      </x:c>
      <x:c r="K228" s="9" t="n">
        <x:f>F228+G228+I228+J228</x:f>
        <x:v>59715</x:v>
      </x:c>
      <x:c r="L228" s="10" t="n">
        <x:f>K228/Sources!$B$4*1000</x:f>
        <x:v>16.68228783267147</x:v>
      </x:c>
      <x:c r="M228" s="10" t="n">
        <x:f>E228/Sources!$B$4*1000</x:f>
        <x:v>19.93828824613184</x:v>
      </x:c>
      <x:c r="N228" s="9" t="n">
        <x:f>Sources!$B$6-K228</x:f>
        <x:v>21</x:v>
      </x:c>
      <x:c r="O228" s="1" t="str">
        <x:v>vertical_normal_down</x:v>
      </x:c>
      <x:c r="P228" s="12" t="n">
        <x:v>0</x:v>
      </x:c>
      <x:c r="Q228" s="12" t="n">
        <x:v>1</x:v>
      </x:c>
      <x:c r="R228" s="12" t="n">
        <x:v>1</x:v>
      </x:c>
      <x:c r="S228" s="12" t="n">
        <x:v>3</x:v>
      </x:c>
      <x:c r="T228" s="1" t="str">
        <x:v>No</x:v>
      </x:c>
      <x:c r="U228" s="1" t="n">
        <x:v>0</x:v>
      </x:c>
    </x:row>
    <x:row r="229" ht="23" customHeight="1">
      <x:c r="A229" s="9" t="n">
        <x:v>228</x:v>
      </x:c>
      <x:c r="B229" s="9" t="n">
        <x:v>265</x:v>
      </x:c>
      <x:c r="C229" s="9" t="n">
        <x:v>996</x:v>
      </x:c>
      <x:c r="D229" s="9" t="n">
        <x:v>1</x:v>
      </x:c>
      <x:c r="E229" s="9" t="n">
        <x:v>71355</x:v>
      </x:c>
      <x:c r="F229" s="9" t="n">
        <x:v>785</x:v>
      </x:c>
      <x:c r="G229" s="9" t="n">
        <x:v>56310</x:v>
      </x:c>
      <x:c r="H229" s="9" t="n">
        <x:v>13684.99999999255</x:v>
      </x:c>
      <x:c r="I229" s="9" t="n">
        <x:v>469.0000000074506</x:v>
      </x:c>
      <x:c r="J229" s="9" t="n">
        <x:v>106</x:v>
      </x:c>
      <x:c r="K229" s="9" t="n">
        <x:f>F229+G229+I229+J229</x:f>
        <x:v>57670.00000000745</x:v>
      </x:c>
      <x:c r="L229" s="10" t="n">
        <x:f>K229/Sources!$B$4*1000</x:f>
        <x:v>16.110986172825722</x:v>
      </x:c>
      <x:c r="M229" s="10" t="n">
        <x:f>E229/Sources!$B$4*1000</x:f>
        <x:v>19.934097769409238</x:v>
      </x:c>
      <x:c r="N229" s="9" t="n">
        <x:f>Sources!$B$6-K229</x:f>
        <x:v>2065.9999999925494</x:v>
      </x:c>
      <x:c r="O229" s="1" t="str">
        <x:v>vertical_normal_down</x:v>
      </x:c>
      <x:c r="P229" s="12" t="n">
        <x:v>0</x:v>
      </x:c>
      <x:c r="Q229" s="12" t="n">
        <x:v>1</x:v>
      </x:c>
      <x:c r="R229" s="12" t="n">
        <x:v>1</x:v>
      </x:c>
      <x:c r="S229" s="12" t="n">
        <x:v>4</x:v>
      </x:c>
      <x:c r="T229" s="1" t="str">
        <x:v>No</x:v>
      </x:c>
      <x:c r="U229" s="1" t="n">
        <x:v>0</x:v>
      </x:c>
    </x:row>
    <x:row r="230" ht="23" customHeight="1">
      <x:c r="A230" s="9" t="n">
        <x:v>229</x:v>
      </x:c>
      <x:c r="B230" s="9" t="n">
        <x:v>265</x:v>
      </x:c>
      <x:c r="C230" s="9" t="n">
        <x:v>997</x:v>
      </x:c>
      <x:c r="D230" s="9" t="n">
        <x:v>1</x:v>
      </x:c>
      <x:c r="E230" s="9" t="n">
        <x:v>71376</x:v>
      </x:c>
      <x:c r="F230" s="9" t="n">
        <x:v>785</x:v>
      </x:c>
      <x:c r="G230" s="9" t="n">
        <x:v>57843.00000000745</x:v>
      </x:c>
      <x:c r="H230" s="9" t="n">
        <x:v>12165</x:v>
      </x:c>
      <x:c r="I230" s="9" t="n">
        <x:v>477</x:v>
      </x:c>
      <x:c r="J230" s="9" t="n">
        <x:v>105.99999999254942</x:v>
      </x:c>
      <x:c r="K230" s="9" t="n">
        <x:f>F230+G230+I230+J230</x:f>
        <x:v>59211</x:v>
      </x:c>
      <x:c r="L230" s="10" t="n">
        <x:f>K230/Sources!$B$4*1000</x:f>
        <x:v>16.541487814792102</x:v>
      </x:c>
      <x:c r="M230" s="10" t="n">
        <x:f>E230/Sources!$B$4*1000</x:f>
        <x:v>19.939964436820883</x:v>
      </x:c>
      <x:c r="N230" s="9" t="n">
        <x:f>Sources!$B$6-K230</x:f>
        <x:v>525</x:v>
      </x:c>
      <x:c r="O230" s="1" t="str">
        <x:v>vertical_normal_down</x:v>
      </x:c>
      <x:c r="P230" s="12" t="n">
        <x:v>0</x:v>
      </x:c>
      <x:c r="Q230" s="12" t="n">
        <x:v>1</x:v>
      </x:c>
      <x:c r="R230" s="12" t="n">
        <x:v>1</x:v>
      </x:c>
      <x:c r="S230" s="12" t="n">
        <x:v>5</x:v>
      </x:c>
      <x:c r="T230" s="1" t="str">
        <x:v>No</x:v>
      </x:c>
      <x:c r="U230" s="1" t="n">
        <x:v>0</x:v>
      </x:c>
    </x:row>
    <x:row r="231" ht="23" customHeight="1">
      <x:c r="A231" s="9" t="n">
        <x:v>230</x:v>
      </x:c>
      <x:c r="B231" s="9" t="n">
        <x:v>265</x:v>
      </x:c>
      <x:c r="C231" s="9" t="n">
        <x:v>998</x:v>
      </x:c>
      <x:c r="D231" s="9" t="n">
        <x:v>1</x:v>
      </x:c>
      <x:c r="E231" s="9" t="n">
        <x:v>71354</x:v>
      </x:c>
      <x:c r="F231" s="9" t="n">
        <x:v>784.9999999925494</x:v>
      </x:c>
      <x:c r="G231" s="9" t="n">
        <x:v>61134</x:v>
      </x:c>
      <x:c r="H231" s="9" t="n">
        <x:v>8860.00000000745</x:v>
      </x:c>
      <x:c r="I231" s="9" t="n">
        <x:v>469</x:v>
      </x:c>
      <x:c r="J231" s="9" t="n">
        <x:v>106</x:v>
      </x:c>
      <x:c r="K231" s="9" t="n">
        <x:f>F231+G231+I231+J231</x:f>
        <x:v>62493.99999999255</x:v>
      </x:c>
      <x:c r="L231" s="10" t="n">
        <x:f>K231/Sources!$B$4*1000</x:f>
        <x:v>17.45864348680979</x:v>
      </x:c>
      <x:c r="M231" s="10" t="n">
        <x:f>E231/Sources!$B$4*1000</x:f>
        <x:v>19.9338184042944</x:v>
      </x:c>
      <x:c r="N231" s="9" t="n">
        <x:f>Sources!$B$6-K231</x:f>
        <x:v>-2757.9999999925494</x:v>
      </x:c>
      <x:c r="O231" s="1" t="str">
        <x:v>vertical_normal_down</x:v>
      </x:c>
      <x:c r="P231" s="12" t="n">
        <x:v>0</x:v>
      </x:c>
      <x:c r="Q231" s="12" t="n">
        <x:v>1</x:v>
      </x:c>
      <x:c r="R231" s="12" t="n">
        <x:v>1</x:v>
      </x:c>
      <x:c r="S231" s="12" t="n">
        <x:v>6</x:v>
      </x:c>
      <x:c r="T231" s="1" t="str">
        <x:v>No</x:v>
      </x:c>
      <x:c r="U231" s="1" t="n">
        <x:v>0</x:v>
      </x:c>
    </x:row>
    <x:row r="232" ht="23" customHeight="1">
      <x:c r="A232" s="9" t="n">
        <x:v>231</x:v>
      </x:c>
      <x:c r="B232" s="9" t="n">
        <x:v>265</x:v>
      </x:c>
      <x:c r="C232" s="9" t="n">
        <x:v>999</x:v>
      </x:c>
      <x:c r="D232" s="9" t="n">
        <x:v>1</x:v>
      </x:c>
      <x:c r="E232" s="9" t="n">
        <x:v>71373.99999999255</x:v>
      </x:c>
      <x:c r="F232" s="9" t="n">
        <x:v>785</x:v>
      </x:c>
      <x:c r="G232" s="9" t="n">
        <x:v>59091</x:v>
      </x:c>
      <x:c r="H232" s="9" t="n">
        <x:v>10915</x:v>
      </x:c>
      <x:c r="I232" s="9" t="n">
        <x:v>476.9999999925494</x:v>
      </x:c>
      <x:c r="J232" s="9" t="n">
        <x:v>106</x:v>
      </x:c>
      <x:c r="K232" s="9" t="n">
        <x:f>F232+G232+I232+J232</x:f>
        <x:v>60458.99999999255</x:v>
      </x:c>
      <x:c r="L232" s="10" t="n">
        <x:f>K232/Sources!$B$4*1000</x:f>
        <x:v>16.89013547811036</x:v>
      </x:c>
      <x:c r="M232" s="10" t="n">
        <x:f>E232/Sources!$B$4*1000</x:f>
        <x:v>19.93940570658912</x:v>
      </x:c>
      <x:c r="N232" s="9" t="n">
        <x:f>Sources!$B$6-K232</x:f>
        <x:v>-722.9999999925494</x:v>
      </x:c>
      <x:c r="O232" s="1" t="str">
        <x:v>vertical_normal_down</x:v>
      </x:c>
      <x:c r="P232" s="12" t="n">
        <x:v>0</x:v>
      </x:c>
      <x:c r="Q232" s="12" t="n">
        <x:v>1</x:v>
      </x:c>
      <x:c r="R232" s="12" t="n">
        <x:v>1</x:v>
      </x:c>
      <x:c r="S232" s="12" t="n">
        <x:v>7</x:v>
      </x:c>
      <x:c r="T232" s="1" t="str">
        <x:v>No</x:v>
      </x:c>
      <x:c r="U232" s="1" t="n">
        <x:v>0</x:v>
      </x:c>
    </x:row>
    <x:row r="233" ht="23" customHeight="1">
      <x:c r="A233" s="9" t="n">
        <x:v>232</x:v>
      </x:c>
      <x:c r="B233" s="9" t="n">
        <x:v>265</x:v>
      </x:c>
      <x:c r="C233" s="9" t="n">
        <x:v>1000</x:v>
      </x:c>
      <x:c r="D233" s="9" t="n">
        <x:v>1</x:v>
      </x:c>
      <x:c r="E233" s="9" t="n">
        <x:v>142716</x:v>
      </x:c>
      <x:c r="F233" s="9" t="n">
        <x:v>785.0000000074506</x:v>
      </x:c>
      <x:c r="G233" s="9" t="n">
        <x:v>71940.99999999255</x:v>
      </x:c>
      <x:c r="H233" s="9" t="n">
        <x:v>69415.00000000745</x:v>
      </x:c>
      <x:c r="I233" s="9" t="n">
        <x:v>469</x:v>
      </x:c>
      <x:c r="J233" s="9" t="n">
        <x:v>105.99999999254942</x:v>
      </x:c>
      <x:c r="K233" s="9" t="n">
        <x:f>F233+G233+I233+J233</x:f>
        <x:v>73300.99999999255</x:v>
      </x:c>
      <x:c r="L233" s="10" t="n">
        <x:f>K233/Sources!$B$4*1000</x:f>
        <x:v>20.477742282885828</x:v>
      </x:c>
      <x:c r="M233" s="10" t="n">
        <x:f>E233/Sources!$B$4*1000</x:f>
        <x:v>39.869871729507516</x:v>
      </x:c>
      <x:c r="N233" s="9" t="n">
        <x:f>Sources!$B$6-K233</x:f>
        <x:v>-13564.99999999255</x:v>
      </x:c>
      <x:c r="O233" s="1" t="str">
        <x:v>vertical_normal_down</x:v>
      </x:c>
      <x:c r="P233" s="12" t="n">
        <x:v>0</x:v>
      </x:c>
      <x:c r="Q233" s="12" t="n">
        <x:v>1</x:v>
      </x:c>
      <x:c r="R233" s="12" t="n">
        <x:v>1</x:v>
      </x:c>
      <x:c r="S233" s="12" t="n">
        <x:v>0</x:v>
      </x:c>
      <x:c r="T233" s="1" t="str">
        <x:v>Yes</x:v>
      </x:c>
      <x:c r="U233" s="1" t="n">
        <x:v>1</x:v>
      </x:c>
    </x:row>
    <x:row r="234" ht="23" customHeight="1">
      <x:c r="A234" s="9" t="n">
        <x:v>233</x:v>
      </x:c>
      <x:c r="B234" s="9" t="n">
        <x:v>265</x:v>
      </x:c>
      <x:c r="C234" s="9" t="n">
        <x:v>1002</x:v>
      </x:c>
      <x:c r="D234" s="9" t="n">
        <x:v>2</x:v>
      </x:c>
      <x:c r="E234" s="9" t="n">
        <x:v>71374.00000000745</x:v>
      </x:c>
      <x:c r="F234" s="9" t="n">
        <x:v>785.0000000074506</x:v>
      </x:c>
      <x:c r="G234" s="9" t="n">
        <x:v>59016</x:v>
      </x:c>
      <x:c r="H234" s="9" t="n">
        <x:v>10990</x:v>
      </x:c>
      <x:c r="I234" s="9" t="n">
        <x:v>476.9999999925494</x:v>
      </x:c>
      <x:c r="J234" s="9" t="n">
        <x:v>106.00000000745058</x:v>
      </x:c>
      <x:c r="K234" s="9" t="n">
        <x:f>F234+G234+I234+J234</x:f>
        <x:v>60384.00000000745</x:v>
      </x:c>
      <x:c r="L234" s="10" t="n">
        <x:f>K234/Sources!$B$4*1000</x:f>
        <x:v>16.86918309450152</x:v>
      </x:c>
      <x:c r="M234" s="10" t="n">
        <x:f>E234/Sources!$B$4*1000</x:f>
        <x:v>19.93940570659328</x:v>
      </x:c>
      <x:c r="N234" s="9" t="n">
        <x:f>Sources!$B$6-K234</x:f>
        <x:v>-648.0000000074506</x:v>
      </x:c>
      <x:c r="O234" s="1" t="str">
        <x:v>vertical_normal_down</x:v>
      </x:c>
      <x:c r="P234" s="12" t="n">
        <x:v>0</x:v>
      </x:c>
      <x:c r="Q234" s="12" t="n">
        <x:v>2</x:v>
      </x:c>
      <x:c r="R234" s="12" t="n">
        <x:v>1</x:v>
      </x:c>
      <x:c r="S234" s="12" t="n">
        <x:v>2</x:v>
      </x:c>
      <x:c r="T234" s="1" t="str">
        <x:v>No</x:v>
      </x:c>
      <x:c r="U234" s="1" t="n">
        <x:v>1</x:v>
      </x:c>
    </x:row>
    <x:row r="235" ht="23" customHeight="1">
      <x:c r="A235" s="9" t="n">
        <x:v>234</x:v>
      </x:c>
      <x:c r="B235" s="9" t="n">
        <x:v>265</x:v>
      </x:c>
      <x:c r="C235" s="9" t="n">
        <x:v>1003</x:v>
      </x:c>
      <x:c r="D235" s="9" t="n">
        <x:v>1</x:v>
      </x:c>
      <x:c r="E235" s="9" t="n">
        <x:v>71356</x:v>
      </x:c>
      <x:c r="F235" s="9" t="n">
        <x:v>785</x:v>
      </x:c>
      <x:c r="G235" s="9" t="n">
        <x:v>58326</x:v>
      </x:c>
      <x:c r="H235" s="9" t="n">
        <x:v>11670</x:v>
      </x:c>
      <x:c r="I235" s="9" t="n">
        <x:v>469</x:v>
      </x:c>
      <x:c r="J235" s="9" t="n">
        <x:v>106</x:v>
      </x:c>
      <x:c r="K235" s="9" t="n">
        <x:f>F235+G235+I235+J235</x:f>
        <x:v>59686</x:v>
      </x:c>
      <x:c r="L235" s="10" t="n">
        <x:f>K235/Sources!$B$4*1000</x:f>
        <x:v>16.67418624434111</x:v>
      </x:c>
      <x:c r="M235" s="10" t="n">
        <x:f>E235/Sources!$B$4*1000</x:f>
        <x:v>19.93437713452408</x:v>
      </x:c>
      <x:c r="N235" s="9" t="n">
        <x:f>Sources!$B$6-K235</x:f>
        <x:v>50</x:v>
      </x:c>
      <x:c r="O235" s="1" t="str">
        <x:v>vertical_normal_down</x:v>
      </x:c>
      <x:c r="P235" s="12" t="n">
        <x:v>0</x:v>
      </x:c>
      <x:c r="Q235" s="12" t="n">
        <x:v>1</x:v>
      </x:c>
      <x:c r="R235" s="12" t="n">
        <x:v>1</x:v>
      </x:c>
      <x:c r="S235" s="12" t="n">
        <x:v>3</x:v>
      </x:c>
      <x:c r="T235" s="1" t="str">
        <x:v>No</x:v>
      </x:c>
      <x:c r="U235" s="1" t="n">
        <x:v>0</x:v>
      </x:c>
    </x:row>
    <x:row r="236" ht="23" customHeight="1">
      <x:c r="A236" s="9" t="n">
        <x:v>235</x:v>
      </x:c>
      <x:c r="B236" s="9" t="n">
        <x:v>265</x:v>
      </x:c>
      <x:c r="C236" s="9" t="n">
        <x:v>1004</x:v>
      </x:c>
      <x:c r="D236" s="9" t="n">
        <x:v>1</x:v>
      </x:c>
      <x:c r="E236" s="9" t="n">
        <x:v>71374</x:v>
      </x:c>
      <x:c r="F236" s="9" t="n">
        <x:v>785</x:v>
      </x:c>
      <x:c r="G236" s="9" t="n">
        <x:v>56331</x:v>
      </x:c>
      <x:c r="H236" s="9" t="n">
        <x:v>13674.99999999255</x:v>
      </x:c>
      <x:c r="I236" s="9" t="n">
        <x:v>477</x:v>
      </x:c>
      <x:c r="J236" s="9" t="n">
        <x:v>106.00000000745058</x:v>
      </x:c>
      <x:c r="K236" s="9" t="n">
        <x:f>F236+G236+I236+J236</x:f>
        <x:v>57699.00000000745</x:v>
      </x:c>
      <x:c r="L236" s="10" t="n">
        <x:f>K236/Sources!$B$4*1000</x:f>
        <x:v>16.119087761156084</x:v>
      </x:c>
      <x:c r="M236" s="10" t="n">
        <x:f>E236/Sources!$B$4*1000</x:f>
        <x:v>19.939405706591202</x:v>
      </x:c>
      <x:c r="N236" s="9" t="n">
        <x:f>Sources!$B$6-K236</x:f>
        <x:v>2036.9999999925494</x:v>
      </x:c>
      <x:c r="O236" s="1" t="str">
        <x:v>vertical_normal_down</x:v>
      </x:c>
      <x:c r="P236" s="12" t="n">
        <x:v>0</x:v>
      </x:c>
      <x:c r="Q236" s="12" t="n">
        <x:v>1</x:v>
      </x:c>
      <x:c r="R236" s="12" t="n">
        <x:v>1</x:v>
      </x:c>
      <x:c r="S236" s="12" t="n">
        <x:v>4</x:v>
      </x:c>
      <x:c r="T236" s="1" t="str">
        <x:v>No</x:v>
      </x:c>
      <x:c r="U236" s="1" t="n">
        <x:v>0</x:v>
      </x:c>
    </x:row>
    <x:row r="237" ht="23" customHeight="1">
      <x:c r="A237" s="9" t="n">
        <x:v>236</x:v>
      </x:c>
      <x:c r="B237" s="9" t="n">
        <x:v>265</x:v>
      </x:c>
      <x:c r="C237" s="9" t="n">
        <x:v>1005</x:v>
      </x:c>
      <x:c r="D237" s="9" t="n">
        <x:v>1</x:v>
      </x:c>
      <x:c r="E237" s="9" t="n">
        <x:v>71352</x:v>
      </x:c>
      <x:c r="F237" s="9" t="n">
        <x:v>784.9999999925494</x:v>
      </x:c>
      <x:c r="G237" s="9" t="n">
        <x:v>57822.00000000745</x:v>
      </x:c>
      <x:c r="H237" s="9" t="n">
        <x:v>12170</x:v>
      </x:c>
      <x:c r="I237" s="9" t="n">
        <x:v>468.9999999925494</x:v>
      </x:c>
      <x:c r="J237" s="9" t="n">
        <x:v>106.00000000745058</x:v>
      </x:c>
      <x:c r="K237" s="9" t="n">
        <x:f>F237+G237+I237+J237</x:f>
        <x:v>59182</x:v>
      </x:c>
      <x:c r="L237" s="10" t="n">
        <x:f>K237/Sources!$B$4*1000</x:f>
        <x:v>16.533386226461744</x:v>
      </x:c>
      <x:c r="M237" s="10" t="n">
        <x:f>E237/Sources!$B$4*1000</x:f>
        <x:v>19.93325967406472</x:v>
      </x:c>
      <x:c r="N237" s="9" t="n">
        <x:f>Sources!$B$6-K237</x:f>
        <x:v>554</x:v>
      </x:c>
      <x:c r="O237" s="1" t="str">
        <x:v>vertical_normal_down</x:v>
      </x:c>
      <x:c r="P237" s="12" t="n">
        <x:v>0</x:v>
      </x:c>
      <x:c r="Q237" s="12" t="n">
        <x:v>1</x:v>
      </x:c>
      <x:c r="R237" s="12" t="n">
        <x:v>1</x:v>
      </x:c>
      <x:c r="S237" s="12" t="n">
        <x:v>5</x:v>
      </x:c>
      <x:c r="T237" s="1" t="str">
        <x:v>No</x:v>
      </x:c>
      <x:c r="U237" s="1" t="n">
        <x:v>0</x:v>
      </x:c>
    </x:row>
    <x:row r="238" ht="23" customHeight="1">
      <x:c r="A238" s="9" t="n">
        <x:v>237</x:v>
      </x:c>
      <x:c r="B238" s="9" t="n">
        <x:v>265</x:v>
      </x:c>
      <x:c r="C238" s="9" t="n">
        <x:v>1006</x:v>
      </x:c>
      <x:c r="D238" s="9" t="n">
        <x:v>1</x:v>
      </x:c>
      <x:c r="E238" s="9" t="n">
        <x:v>71372.99999999255</x:v>
      </x:c>
      <x:c r="F238" s="9" t="n">
        <x:v>785</x:v>
      </x:c>
      <x:c r="G238" s="9" t="n">
        <x:v>61155</x:v>
      </x:c>
      <x:c r="H238" s="9" t="n">
        <x:v>8850</x:v>
      </x:c>
      <x:c r="I238" s="9" t="n">
        <x:v>477</x:v>
      </x:c>
      <x:c r="J238" s="9" t="n">
        <x:v>105.99999999254942</x:v>
      </x:c>
      <x:c r="K238" s="9" t="n">
        <x:f>F238+G238+I238+J238</x:f>
        <x:v>62522.99999999255</x:v>
      </x:c>
      <x:c r="L238" s="10" t="n">
        <x:f>K238/Sources!$B$4*1000</x:f>
        <x:v>17.46674507514015</x:v>
      </x:c>
      <x:c r="M238" s="10" t="n">
        <x:f>E238/Sources!$B$4*1000</x:f>
        <x:v>19.93912634147428</x:v>
      </x:c>
      <x:c r="N238" s="9" t="n">
        <x:f>Sources!$B$6-K238</x:f>
        <x:v>-2786.9999999925494</x:v>
      </x:c>
      <x:c r="O238" s="1" t="str">
        <x:v>vertical_normal_down</x:v>
      </x:c>
      <x:c r="P238" s="12" t="n">
        <x:v>0</x:v>
      </x:c>
      <x:c r="Q238" s="12" t="n">
        <x:v>1</x:v>
      </x:c>
      <x:c r="R238" s="12" t="n">
        <x:v>1</x:v>
      </x:c>
      <x:c r="S238" s="12" t="n">
        <x:v>6</x:v>
      </x:c>
      <x:c r="T238" s="1" t="str">
        <x:v>No</x:v>
      </x:c>
      <x:c r="U238" s="1" t="n">
        <x:v>0</x:v>
      </x:c>
    </x:row>
    <x:row r="239" ht="23" customHeight="1">
      <x:c r="A239" s="9" t="n">
        <x:v>238</x:v>
      </x:c>
      <x:c r="B239" s="9" t="n">
        <x:v>265</x:v>
      </x:c>
      <x:c r="C239" s="9" t="n">
        <x:v>1007</x:v>
      </x:c>
      <x:c r="D239" s="9" t="n">
        <x:v>1</x:v>
      </x:c>
      <x:c r="E239" s="9" t="n">
        <x:v>71355.00000000745</x:v>
      </x:c>
      <x:c r="F239" s="9" t="n">
        <x:v>785</x:v>
      </x:c>
      <x:c r="G239" s="9" t="n">
        <x:v>59070</x:v>
      </x:c>
      <x:c r="H239" s="9" t="n">
        <x:v>10925</x:v>
      </x:c>
      <x:c r="I239" s="9" t="n">
        <x:v>469</x:v>
      </x:c>
      <x:c r="J239" s="9" t="n">
        <x:v>106.00000000745058</x:v>
      </x:c>
      <x:c r="K239" s="9" t="n">
        <x:f>F239+G239+I239+J239</x:f>
        <x:v>60430.00000000745</x:v>
      </x:c>
      <x:c r="L239" s="10" t="n">
        <x:f>K239/Sources!$B$4*1000</x:f>
        <x:v>16.882033889784164</x:v>
      </x:c>
      <x:c r="M239" s="10" t="n">
        <x:f>E239/Sources!$B$4*1000</x:f>
        <x:v>19.93409776941132</x:v>
      </x:c>
      <x:c r="N239" s="9" t="n">
        <x:f>Sources!$B$6-K239</x:f>
        <x:v>-694.0000000074506</x:v>
      </x:c>
      <x:c r="O239" s="1" t="str">
        <x:v>vertical_normal_down</x:v>
      </x:c>
      <x:c r="P239" s="12" t="n">
        <x:v>0</x:v>
      </x:c>
      <x:c r="Q239" s="12" t="n">
        <x:v>1</x:v>
      </x:c>
      <x:c r="R239" s="12" t="n">
        <x:v>1</x:v>
      </x:c>
      <x:c r="S239" s="12" t="n">
        <x:v>7</x:v>
      </x:c>
      <x:c r="T239" s="1" t="str">
        <x:v>No</x:v>
      </x:c>
      <x:c r="U239" s="1" t="n">
        <x:v>0</x:v>
      </x:c>
    </x:row>
    <x:row r="240" ht="23" customHeight="1">
      <x:c r="A240" s="9" t="n">
        <x:v>239</x:v>
      </x:c>
      <x:c r="B240" s="9" t="n">
        <x:v>265</x:v>
      </x:c>
      <x:c r="C240" s="9" t="n">
        <x:v>1008</x:v>
      </x:c>
      <x:c r="D240" s="9" t="n">
        <x:v>1</x:v>
      </x:c>
      <x:c r="E240" s="9" t="n">
        <x:v>142739.99999999255</x:v>
      </x:c>
      <x:c r="F240" s="9" t="n">
        <x:v>785</x:v>
      </x:c>
      <x:c r="G240" s="9" t="n">
        <x:v>71967</x:v>
      </x:c>
      <x:c r="H240" s="9" t="n">
        <x:v>69405</x:v>
      </x:c>
      <x:c r="I240" s="9" t="n">
        <x:v>477</x:v>
      </x:c>
      <x:c r="J240" s="9" t="n">
        <x:v>105.99999999254942</x:v>
      </x:c>
      <x:c r="K240" s="9" t="n">
        <x:f>F240+G240+I240+J240</x:f>
        <x:v>73334.99999999255</x:v>
      </x:c>
      <x:c r="L240" s="10" t="n">
        <x:f>K240/Sources!$B$4*1000</x:f>
        <x:v>20.48724069679039</x:v>
      </x:c>
      <x:c r="M240" s="10" t="n">
        <x:f>E240/Sources!$B$4*1000</x:f>
        <x:v>39.876576492261606</x:v>
      </x:c>
      <x:c r="N240" s="9" t="n">
        <x:f>Sources!$B$6-K240</x:f>
        <x:v>-13598.99999999255</x:v>
      </x:c>
      <x:c r="O240" s="1" t="str">
        <x:v>vertical_normal_down</x:v>
      </x:c>
      <x:c r="P240" s="12" t="n">
        <x:v>0</x:v>
      </x:c>
      <x:c r="Q240" s="12" t="n">
        <x:v>1</x:v>
      </x:c>
      <x:c r="R240" s="12" t="n">
        <x:v>1</x:v>
      </x:c>
      <x:c r="S240" s="12" t="n">
        <x:v>0</x:v>
      </x:c>
      <x:c r="T240" s="1" t="str">
        <x:v>Yes</x:v>
      </x:c>
      <x:c r="U240" s="1" t="n">
        <x:v>1</x:v>
      </x:c>
    </x:row>
    <x:row r="241" ht="23" customHeight="1">
      <x:c r="A241" s="9" t="n">
        <x:v>240</x:v>
      </x:c>
      <x:c r="B241" s="9" t="n">
        <x:v>265</x:v>
      </x:c>
      <x:c r="C241" s="9" t="n">
        <x:v>1010</x:v>
      </x:c>
      <x:c r="D241" s="9" t="n">
        <x:v>2</x:v>
      </x:c>
      <x:c r="E241" s="9" t="n">
        <x:v>71355.00000000745</x:v>
      </x:c>
      <x:c r="F241" s="9" t="n">
        <x:v>785.0000000074506</x:v>
      </x:c>
      <x:c r="G241" s="9" t="n">
        <x:v>58990</x:v>
      </x:c>
      <x:c r="H241" s="9" t="n">
        <x:v>11005</x:v>
      </x:c>
      <x:c r="I241" s="9" t="n">
        <x:v>469</x:v>
      </x:c>
      <x:c r="J241" s="9" t="n">
        <x:v>106</x:v>
      </x:c>
      <x:c r="K241" s="9" t="n">
        <x:f>F241+G241+I241+J241</x:f>
        <x:v>60350.00000000745</x:v>
      </x:c>
      <x:c r="L241" s="10" t="n">
        <x:f>K241/Sources!$B$4*1000</x:f>
        <x:v>16.85968468059696</x:v>
      </x:c>
      <x:c r="M241" s="10" t="n">
        <x:f>E241/Sources!$B$4*1000</x:f>
        <x:v>19.93409776941132</x:v>
      </x:c>
      <x:c r="N241" s="9" t="n">
        <x:f>Sources!$B$6-K241</x:f>
        <x:v>-614.0000000074506</x:v>
      </x:c>
      <x:c r="O241" s="1" t="str">
        <x:v>vertical_normal_down</x:v>
      </x:c>
      <x:c r="P241" s="12" t="n">
        <x:v>0</x:v>
      </x:c>
      <x:c r="Q241" s="12" t="n">
        <x:v>2</x:v>
      </x:c>
      <x:c r="R241" s="12" t="n">
        <x:v>1</x:v>
      </x:c>
      <x:c r="S241" s="12" t="n">
        <x:v>2</x:v>
      </x:c>
      <x:c r="T241" s="1" t="str">
        <x:v>No</x:v>
      </x:c>
      <x:c r="U241" s="1" t="n">
        <x:v>1</x:v>
      </x:c>
    </x:row>
    <x:row r="242" ht="23" customHeight="1">
      <x:c r="A242" s="9" t="n">
        <x:v>241</x:v>
      </x:c>
      <x:c r="B242" s="9" t="n">
        <x:v>265</x:v>
      </x:c>
      <x:c r="C242" s="9" t="n">
        <x:v>1011</x:v>
      </x:c>
      <x:c r="D242" s="9" t="n">
        <x:v>1</x:v>
      </x:c>
      <x:c r="E242" s="9" t="n">
        <x:v>71370</x:v>
      </x:c>
      <x:c r="F242" s="9" t="n">
        <x:v>785</x:v>
      </x:c>
      <x:c r="G242" s="9" t="n">
        <x:v>58347</x:v>
      </x:c>
      <x:c r="H242" s="9" t="n">
        <x:v>11655</x:v>
      </x:c>
      <x:c r="I242" s="9" t="n">
        <x:v>477</x:v>
      </x:c>
      <x:c r="J242" s="9" t="n">
        <x:v>106</x:v>
      </x:c>
      <x:c r="K242" s="9" t="n">
        <x:f>F242+G242+I242+J242</x:f>
        <x:v>59715</x:v>
      </x:c>
      <x:c r="L242" s="10" t="n">
        <x:f>K242/Sources!$B$4*1000</x:f>
        <x:v>16.68228783267147</x:v>
      </x:c>
      <x:c r="M242" s="10" t="n">
        <x:f>E242/Sources!$B$4*1000</x:f>
        <x:v>19.93828824613184</x:v>
      </x:c>
      <x:c r="N242" s="9" t="n">
        <x:f>Sources!$B$6-K242</x:f>
        <x:v>21</x:v>
      </x:c>
      <x:c r="O242" s="1" t="str">
        <x:v>vertical_normal_down</x:v>
      </x:c>
      <x:c r="P242" s="12" t="n">
        <x:v>0</x:v>
      </x:c>
      <x:c r="Q242" s="12" t="n">
        <x:v>1</x:v>
      </x:c>
      <x:c r="R242" s="12" t="n">
        <x:v>1</x:v>
      </x:c>
      <x:c r="S242" s="12" t="n">
        <x:v>3</x:v>
      </x:c>
      <x:c r="T242" s="1" t="str">
        <x:v>No</x:v>
      </x:c>
      <x:c r="U242" s="1" t="n">
        <x:v>0</x:v>
      </x:c>
    </x:row>
    <x:row r="243" ht="23" customHeight="1">
      <x:c r="A243" s="9" t="n">
        <x:v>242</x:v>
      </x:c>
      <x:c r="B243" s="9" t="n">
        <x:v>265</x:v>
      </x:c>
      <x:c r="C243" s="9" t="n">
        <x:v>1012</x:v>
      </x:c>
      <x:c r="D243" s="9" t="n">
        <x:v>1</x:v>
      </x:c>
      <x:c r="E243" s="9" t="n">
        <x:v>71355</x:v>
      </x:c>
      <x:c r="F243" s="9" t="n">
        <x:v>784.9999999925494</x:v>
      </x:c>
      <x:c r="G243" s="9" t="n">
        <x:v>56310</x:v>
      </x:c>
      <x:c r="H243" s="9" t="n">
        <x:v>13685</x:v>
      </x:c>
      <x:c r="I243" s="9" t="n">
        <x:v>468.9999999925494</x:v>
      </x:c>
      <x:c r="J243" s="9" t="n">
        <x:v>106.00000001490116</x:v>
      </x:c>
      <x:c r="K243" s="9" t="n">
        <x:f>F243+G243+I243+J243</x:f>
        <x:v>57670</x:v>
      </x:c>
      <x:c r="L243" s="10" t="n">
        <x:f>K243/Sources!$B$4*1000</x:f>
        <x:v>16.11098617282364</x:v>
      </x:c>
      <x:c r="M243" s="10" t="n">
        <x:f>E243/Sources!$B$4*1000</x:f>
        <x:v>19.934097769409238</x:v>
      </x:c>
      <x:c r="N243" s="9" t="n">
        <x:f>Sources!$B$6-K243</x:f>
        <x:v>2066</x:v>
      </x:c>
      <x:c r="O243" s="1" t="str">
        <x:v>vertical_normal_down</x:v>
      </x:c>
      <x:c r="P243" s="12" t="n">
        <x:v>0</x:v>
      </x:c>
      <x:c r="Q243" s="12" t="n">
        <x:v>1</x:v>
      </x:c>
      <x:c r="R243" s="12" t="n">
        <x:v>1</x:v>
      </x:c>
      <x:c r="S243" s="12" t="n">
        <x:v>4</x:v>
      </x:c>
      <x:c r="T243" s="1" t="str">
        <x:v>No</x:v>
      </x:c>
      <x:c r="U243" s="1" t="n">
        <x:v>0</x:v>
      </x:c>
    </x:row>
    <x:row r="244" ht="23" customHeight="1">
      <x:c r="A244" s="9" t="n">
        <x:v>243</x:v>
      </x:c>
      <x:c r="B244" s="9" t="n">
        <x:v>265</x:v>
      </x:c>
      <x:c r="C244" s="9" t="n">
        <x:v>1013</x:v>
      </x:c>
      <x:c r="D244" s="9" t="n">
        <x:v>1</x:v>
      </x:c>
      <x:c r="E244" s="9" t="n">
        <x:v>71376</x:v>
      </x:c>
      <x:c r="F244" s="9" t="n">
        <x:v>785</x:v>
      </x:c>
      <x:c r="G244" s="9" t="n">
        <x:v>57843</x:v>
      </x:c>
      <x:c r="H244" s="9" t="n">
        <x:v>12165.00000000745</x:v>
      </x:c>
      <x:c r="I244" s="9" t="n">
        <x:v>476.9999999925494</x:v>
      </x:c>
      <x:c r="J244" s="9" t="n">
        <x:v>106</x:v>
      </x:c>
      <x:c r="K244" s="9" t="n">
        <x:f>F244+G244+I244+J244</x:f>
        <x:v>59210.99999999255</x:v>
      </x:c>
      <x:c r="L244" s="10" t="n">
        <x:f>K244/Sources!$B$4*1000</x:f>
        <x:v>16.54148781479002</x:v>
      </x:c>
      <x:c r="M244" s="10" t="n">
        <x:f>E244/Sources!$B$4*1000</x:f>
        <x:v>19.939964436820883</x:v>
      </x:c>
      <x:c r="N244" s="9" t="n">
        <x:f>Sources!$B$6-K244</x:f>
        <x:v>525.0000000074506</x:v>
      </x:c>
      <x:c r="O244" s="1" t="str">
        <x:v>vertical_normal_down</x:v>
      </x:c>
      <x:c r="P244" s="12" t="n">
        <x:v>0</x:v>
      </x:c>
      <x:c r="Q244" s="12" t="n">
        <x:v>1</x:v>
      </x:c>
      <x:c r="R244" s="12" t="n">
        <x:v>1</x:v>
      </x:c>
      <x:c r="S244" s="12" t="n">
        <x:v>5</x:v>
      </x:c>
      <x:c r="T244" s="1" t="str">
        <x:v>No</x:v>
      </x:c>
      <x:c r="U244" s="1" t="n">
        <x:v>0</x:v>
      </x:c>
    </x:row>
    <x:row r="245" ht="23" customHeight="1">
      <x:c r="A245" s="9" t="n">
        <x:v>244</x:v>
      </x:c>
      <x:c r="B245" s="9" t="n">
        <x:v>265</x:v>
      </x:c>
      <x:c r="C245" s="9" t="n">
        <x:v>1014</x:v>
      </x:c>
      <x:c r="D245" s="9" t="n">
        <x:v>1</x:v>
      </x:c>
      <x:c r="E245" s="9" t="n">
        <x:v>71354</x:v>
      </x:c>
      <x:c r="F245" s="9" t="n">
        <x:v>785</x:v>
      </x:c>
      <x:c r="G245" s="9" t="n">
        <x:v>61134</x:v>
      </x:c>
      <x:c r="H245" s="9" t="n">
        <x:v>8859.99999999255</x:v>
      </x:c>
      <x:c r="I245" s="9" t="n">
        <x:v>469.0000000074506</x:v>
      </x:c>
      <x:c r="J245" s="9" t="n">
        <x:v>106</x:v>
      </x:c>
      <x:c r="K245" s="9" t="n">
        <x:f>F245+G245+I245+J245</x:f>
        <x:v>62494.00000000745</x:v>
      </x:c>
      <x:c r="L245" s="10" t="n">
        <x:f>K245/Sources!$B$4*1000</x:f>
        <x:v>17.458643486813955</x:v>
      </x:c>
      <x:c r="M245" s="10" t="n">
        <x:f>E245/Sources!$B$4*1000</x:f>
        <x:v>19.9338184042944</x:v>
      </x:c>
      <x:c r="N245" s="9" t="n">
        <x:f>Sources!$B$6-K245</x:f>
        <x:v>-2758.0000000074506</x:v>
      </x:c>
      <x:c r="O245" s="1" t="str">
        <x:v>vertical_normal_down</x:v>
      </x:c>
      <x:c r="P245" s="12" t="n">
        <x:v>0</x:v>
      </x:c>
      <x:c r="Q245" s="12" t="n">
        <x:v>1</x:v>
      </x:c>
      <x:c r="R245" s="12" t="n">
        <x:v>1</x:v>
      </x:c>
      <x:c r="S245" s="12" t="n">
        <x:v>6</x:v>
      </x:c>
      <x:c r="T245" s="1" t="str">
        <x:v>No</x:v>
      </x:c>
      <x:c r="U245" s="1" t="n">
        <x:v>0</x:v>
      </x:c>
    </x:row>
    <x:row r="246" ht="23" customHeight="1">
      <x:c r="A246" s="9" t="n">
        <x:v>245</x:v>
      </x:c>
      <x:c r="B246" s="9" t="n">
        <x:v>265</x:v>
      </x:c>
      <x:c r="C246" s="9" t="n">
        <x:v>1015</x:v>
      </x:c>
      <x:c r="D246" s="9" t="n">
        <x:v>1</x:v>
      </x:c>
      <x:c r="E246" s="9" t="n">
        <x:v>71374</x:v>
      </x:c>
      <x:c r="F246" s="9" t="n">
        <x:v>785</x:v>
      </x:c>
      <x:c r="G246" s="9" t="n">
        <x:v>59091</x:v>
      </x:c>
      <x:c r="H246" s="9" t="n">
        <x:v>10915.00000000745</x:v>
      </x:c>
      <x:c r="I246" s="9" t="n">
        <x:v>477</x:v>
      </x:c>
      <x:c r="J246" s="9" t="n">
        <x:v>105.99999999254942</x:v>
      </x:c>
      <x:c r="K246" s="9" t="n">
        <x:f>F246+G246+I246+J246</x:f>
        <x:v>60458.99999999255</x:v>
      </x:c>
      <x:c r="L246" s="10" t="n">
        <x:f>K246/Sources!$B$4*1000</x:f>
        <x:v>16.89013547811036</x:v>
      </x:c>
      <x:c r="M246" s="10" t="n">
        <x:f>E246/Sources!$B$4*1000</x:f>
        <x:v>19.939405706591202</x:v>
      </x:c>
      <x:c r="N246" s="9" t="n">
        <x:f>Sources!$B$6-K246</x:f>
        <x:v>-722.9999999925494</x:v>
      </x:c>
      <x:c r="O246" s="1" t="str">
        <x:v>vertical_normal_down</x:v>
      </x:c>
      <x:c r="P246" s="12" t="n">
        <x:v>0</x:v>
      </x:c>
      <x:c r="Q246" s="12" t="n">
        <x:v>1</x:v>
      </x:c>
      <x:c r="R246" s="12" t="n">
        <x:v>1</x:v>
      </x:c>
      <x:c r="S246" s="12" t="n">
        <x:v>7</x:v>
      </x:c>
      <x:c r="T246" s="1" t="str">
        <x:v>No</x:v>
      </x:c>
      <x:c r="U246" s="1" t="n">
        <x:v>0</x:v>
      </x:c>
    </x:row>
    <x:row r="247" ht="23" customHeight="1">
      <x:c r="A247" s="9" t="n">
        <x:v>246</x:v>
      </x:c>
      <x:c r="B247" s="9" t="n">
        <x:v>265</x:v>
      </x:c>
      <x:c r="C247" s="9" t="n">
        <x:v>1016</x:v>
      </x:c>
      <x:c r="D247" s="9" t="n">
        <x:v>1</x:v>
      </x:c>
      <x:c r="E247" s="9" t="n">
        <x:v>142716</x:v>
      </x:c>
      <x:c r="F247" s="9" t="n">
        <x:v>785</x:v>
      </x:c>
      <x:c r="G247" s="9" t="n">
        <x:v>71941</x:v>
      </x:c>
      <x:c r="H247" s="9" t="n">
        <x:v>69415</x:v>
      </x:c>
      <x:c r="I247" s="9" t="n">
        <x:v>469</x:v>
      </x:c>
      <x:c r="J247" s="9" t="n">
        <x:v>106</x:v>
      </x:c>
      <x:c r="K247" s="9" t="n">
        <x:f>F247+G247+I247+J247</x:f>
        <x:v>73301</x:v>
      </x:c>
      <x:c r="L247" s="10" t="n">
        <x:f>K247/Sources!$B$4*1000</x:f>
        <x:v>20.477742282887906</x:v>
      </x:c>
      <x:c r="M247" s="10" t="n">
        <x:f>E247/Sources!$B$4*1000</x:f>
        <x:v>39.869871729507516</x:v>
      </x:c>
      <x:c r="N247" s="9" t="n">
        <x:f>Sources!$B$6-K247</x:f>
        <x:v>-13565</x:v>
      </x:c>
      <x:c r="O247" s="1" t="str">
        <x:v>vertical_normal_down</x:v>
      </x:c>
      <x:c r="P247" s="12" t="n">
        <x:v>0</x:v>
      </x:c>
      <x:c r="Q247" s="12" t="n">
        <x:v>1</x:v>
      </x:c>
      <x:c r="R247" s="12" t="n">
        <x:v>1</x:v>
      </x:c>
      <x:c r="S247" s="12" t="n">
        <x:v>0</x:v>
      </x:c>
      <x:c r="T247" s="1" t="str">
        <x:v>Yes</x:v>
      </x:c>
      <x:c r="U247" s="1" t="n">
        <x:v>1</x:v>
      </x:c>
    </x:row>
    <x:row r="248" ht="23" customHeight="1">
      <x:c r="A248" s="9" t="n">
        <x:v>247</x:v>
      </x:c>
      <x:c r="B248" s="9" t="n">
        <x:v>265</x:v>
      </x:c>
      <x:c r="C248" s="9" t="n">
        <x:v>1018</x:v>
      </x:c>
      <x:c r="D248" s="9" t="n">
        <x:v>2</x:v>
      </x:c>
      <x:c r="E248" s="9" t="n">
        <x:v>71374</x:v>
      </x:c>
      <x:c r="F248" s="9" t="n">
        <x:v>785</x:v>
      </x:c>
      <x:c r="G248" s="9" t="n">
        <x:v>59016</x:v>
      </x:c>
      <x:c r="H248" s="9" t="n">
        <x:v>10990</x:v>
      </x:c>
      <x:c r="I248" s="9" t="n">
        <x:v>477</x:v>
      </x:c>
      <x:c r="J248" s="9" t="n">
        <x:v>106</x:v>
      </x:c>
      <x:c r="K248" s="9" t="n">
        <x:f>F248+G248+I248+J248</x:f>
        <x:v>60384</x:v>
      </x:c>
      <x:c r="L248" s="10" t="n">
        <x:f>K248/Sources!$B$4*1000</x:f>
        <x:v>16.869183094499437</x:v>
      </x:c>
      <x:c r="M248" s="10" t="n">
        <x:f>E248/Sources!$B$4*1000</x:f>
        <x:v>19.939405706591202</x:v>
      </x:c>
      <x:c r="N248" s="9" t="n">
        <x:f>Sources!$B$6-K248</x:f>
        <x:v>-648</x:v>
      </x:c>
      <x:c r="O248" s="1" t="str">
        <x:v>vertical_normal_down</x:v>
      </x:c>
      <x:c r="P248" s="12" t="n">
        <x:v>0</x:v>
      </x:c>
      <x:c r="Q248" s="12" t="n">
        <x:v>2</x:v>
      </x:c>
      <x:c r="R248" s="12" t="n">
        <x:v>1</x:v>
      </x:c>
      <x:c r="S248" s="12" t="n">
        <x:v>2</x:v>
      </x:c>
      <x:c r="T248" s="1" t="str">
        <x:v>No</x:v>
      </x:c>
      <x:c r="U248" s="1" t="n">
        <x:v>1</x:v>
      </x:c>
    </x:row>
    <x:row r="249" ht="23" customHeight="1">
      <x:c r="A249" s="9" t="n">
        <x:v>248</x:v>
      </x:c>
      <x:c r="B249" s="9" t="n">
        <x:v>265</x:v>
      </x:c>
      <x:c r="C249" s="9" t="n">
        <x:v>1019</x:v>
      </x:c>
      <x:c r="D249" s="9" t="n">
        <x:v>1</x:v>
      </x:c>
      <x:c r="E249" s="9" t="n">
        <x:v>71355.99999999255</x:v>
      </x:c>
      <x:c r="F249" s="9" t="n">
        <x:v>785</x:v>
      </x:c>
      <x:c r="G249" s="9" t="n">
        <x:v>58326</x:v>
      </x:c>
      <x:c r="H249" s="9" t="n">
        <x:v>11670</x:v>
      </x:c>
      <x:c r="I249" s="9" t="n">
        <x:v>469</x:v>
      </x:c>
      <x:c r="J249" s="9" t="n">
        <x:v>105.99999999254942</x:v>
      </x:c>
      <x:c r="K249" s="9" t="n">
        <x:f>F249+G249+I249+J249</x:f>
        <x:v>59685.99999999255</x:v>
      </x:c>
      <x:c r="L249" s="10" t="n">
        <x:f>K249/Sources!$B$4*1000</x:f>
        <x:v>16.67418624433903</x:v>
      </x:c>
      <x:c r="M249" s="10" t="n">
        <x:f>E249/Sources!$B$4*1000</x:f>
        <x:v>19.934377134522002</x:v>
      </x:c>
      <x:c r="N249" s="9" t="n">
        <x:f>Sources!$B$6-K249</x:f>
        <x:v>50.00000000745058</x:v>
      </x:c>
      <x:c r="O249" s="1" t="str">
        <x:v>vertical_normal_down</x:v>
      </x:c>
      <x:c r="P249" s="12" t="n">
        <x:v>0</x:v>
      </x:c>
      <x:c r="Q249" s="12" t="n">
        <x:v>1</x:v>
      </x:c>
      <x:c r="R249" s="12" t="n">
        <x:v>1</x:v>
      </x:c>
      <x:c r="S249" s="12" t="n">
        <x:v>3</x:v>
      </x:c>
      <x:c r="T249" s="1" t="str">
        <x:v>No</x:v>
      </x:c>
      <x:c r="U249" s="1" t="n">
        <x:v>0</x:v>
      </x:c>
    </x:row>
    <x:row r="250" ht="23" customHeight="1">
      <x:c r="A250" s="9" t="n">
        <x:v>249</x:v>
      </x:c>
      <x:c r="B250" s="9" t="n">
        <x:v>265</x:v>
      </x:c>
      <x:c r="C250" s="9" t="n">
        <x:v>1020</x:v>
      </x:c>
      <x:c r="D250" s="9" t="n">
        <x:v>1</x:v>
      </x:c>
      <x:c r="E250" s="9" t="n">
        <x:v>71374.00000000745</x:v>
      </x:c>
      <x:c r="F250" s="9" t="n">
        <x:v>785.0000000074506</x:v>
      </x:c>
      <x:c r="G250" s="9" t="n">
        <x:v>56331</x:v>
      </x:c>
      <x:c r="H250" s="9" t="n">
        <x:v>13675</x:v>
      </x:c>
      <x:c r="I250" s="9" t="n">
        <x:v>476.9999999925494</x:v>
      </x:c>
      <x:c r="J250" s="9" t="n">
        <x:v>106.00000000745058</x:v>
      </x:c>
      <x:c r="K250" s="9" t="n">
        <x:f>F250+G250+I250+J250</x:f>
        <x:v>57699.00000000745</x:v>
      </x:c>
      <x:c r="L250" s="10" t="n">
        <x:f>K250/Sources!$B$4*1000</x:f>
        <x:v>16.119087761156084</x:v>
      </x:c>
      <x:c r="M250" s="10" t="n">
        <x:f>E250/Sources!$B$4*1000</x:f>
        <x:v>19.93940570659328</x:v>
      </x:c>
      <x:c r="N250" s="9" t="n">
        <x:f>Sources!$B$6-K250</x:f>
        <x:v>2036.9999999925494</x:v>
      </x:c>
      <x:c r="O250" s="1" t="str">
        <x:v>vertical_normal_down</x:v>
      </x:c>
      <x:c r="P250" s="12" t="n">
        <x:v>0</x:v>
      </x:c>
      <x:c r="Q250" s="12" t="n">
        <x:v>1</x:v>
      </x:c>
      <x:c r="R250" s="12" t="n">
        <x:v>1</x:v>
      </x:c>
      <x:c r="S250" s="12" t="n">
        <x:v>4</x:v>
      </x:c>
      <x:c r="T250" s="1" t="str">
        <x:v>No</x:v>
      </x:c>
      <x:c r="U250" s="1" t="n">
        <x:v>0</x:v>
      </x:c>
    </x:row>
    <x:row r="251" ht="23" customHeight="1">
      <x:c r="A251" s="9" t="n">
        <x:v>250</x:v>
      </x:c>
      <x:c r="B251" s="9" t="n">
        <x:v>265</x:v>
      </x:c>
      <x:c r="C251" s="9" t="n">
        <x:v>1021</x:v>
      </x:c>
      <x:c r="D251" s="9" t="n">
        <x:v>1</x:v>
      </x:c>
      <x:c r="E251" s="9" t="n">
        <x:v>71352</x:v>
      </x:c>
      <x:c r="F251" s="9" t="n">
        <x:v>785</x:v>
      </x:c>
      <x:c r="G251" s="9" t="n">
        <x:v>57821.99999999255</x:v>
      </x:c>
      <x:c r="H251" s="9" t="n">
        <x:v>12170</x:v>
      </x:c>
      <x:c r="I251" s="9" t="n">
        <x:v>469</x:v>
      </x:c>
      <x:c r="J251" s="9" t="n">
        <x:v>106.00000000745058</x:v>
      </x:c>
      <x:c r="K251" s="9" t="n">
        <x:f>F251+G251+I251+J251</x:f>
        <x:v>59182</x:v>
      </x:c>
      <x:c r="L251" s="10" t="n">
        <x:f>K251/Sources!$B$4*1000</x:f>
        <x:v>16.533386226461744</x:v>
      </x:c>
      <x:c r="M251" s="10" t="n">
        <x:f>E251/Sources!$B$4*1000</x:f>
        <x:v>19.93325967406472</x:v>
      </x:c>
      <x:c r="N251" s="9" t="n">
        <x:f>Sources!$B$6-K251</x:f>
        <x:v>554</x:v>
      </x:c>
      <x:c r="O251" s="1" t="str">
        <x:v>vertical_normal_down</x:v>
      </x:c>
      <x:c r="P251" s="12" t="n">
        <x:v>0</x:v>
      </x:c>
      <x:c r="Q251" s="12" t="n">
        <x:v>1</x:v>
      </x:c>
      <x:c r="R251" s="12" t="n">
        <x:v>1</x:v>
      </x:c>
      <x:c r="S251" s="12" t="n">
        <x:v>5</x:v>
      </x:c>
      <x:c r="T251" s="1" t="str">
        <x:v>No</x:v>
      </x:c>
      <x:c r="U251" s="1" t="n">
        <x:v>0</x:v>
      </x:c>
    </x:row>
    <x:row r="252" ht="23" customHeight="1">
      <x:c r="A252" s="9" t="n">
        <x:v>251</x:v>
      </x:c>
      <x:c r="B252" s="9" t="n">
        <x:v>265</x:v>
      </x:c>
      <x:c r="C252" s="9" t="n">
        <x:v>1022</x:v>
      </x:c>
      <x:c r="D252" s="9" t="n">
        <x:v>1</x:v>
      </x:c>
      <x:c r="E252" s="9" t="n">
        <x:v>71373</x:v>
      </x:c>
      <x:c r="F252" s="9" t="n">
        <x:v>785</x:v>
      </x:c>
      <x:c r="G252" s="9" t="n">
        <x:v>61155</x:v>
      </x:c>
      <x:c r="H252" s="9" t="n">
        <x:v>8849.99999999255</x:v>
      </x:c>
      <x:c r="I252" s="9" t="n">
        <x:v>477.0000000074506</x:v>
      </x:c>
      <x:c r="J252" s="9" t="n">
        <x:v>106</x:v>
      </x:c>
      <x:c r="K252" s="9" t="n">
        <x:f>F252+G252+I252+J252</x:f>
        <x:v>62523.00000000745</x:v>
      </x:c>
      <x:c r="L252" s="10" t="n">
        <x:f>K252/Sources!$B$4*1000</x:f>
        <x:v>17.466745075144313</x:v>
      </x:c>
      <x:c r="M252" s="10" t="n">
        <x:f>E252/Sources!$B$4*1000</x:f>
        <x:v>19.939126341476364</x:v>
      </x:c>
      <x:c r="N252" s="9" t="n">
        <x:f>Sources!$B$6-K252</x:f>
        <x:v>-2787.0000000074506</x:v>
      </x:c>
      <x:c r="O252" s="1" t="str">
        <x:v>vertical_normal_down</x:v>
      </x:c>
      <x:c r="P252" s="12" t="n">
        <x:v>0</x:v>
      </x:c>
      <x:c r="Q252" s="12" t="n">
        <x:v>1</x:v>
      </x:c>
      <x:c r="R252" s="12" t="n">
        <x:v>1</x:v>
      </x:c>
      <x:c r="S252" s="12" t="n">
        <x:v>6</x:v>
      </x:c>
      <x:c r="T252" s="1" t="str">
        <x:v>No</x:v>
      </x:c>
      <x:c r="U252" s="1" t="n">
        <x:v>0</x:v>
      </x:c>
    </x:row>
    <x:row r="253" ht="23" customHeight="1">
      <x:c r="A253" s="9" t="n">
        <x:v>252</x:v>
      </x:c>
      <x:c r="B253" s="9" t="n">
        <x:v>265</x:v>
      </x:c>
      <x:c r="C253" s="9" t="n">
        <x:v>1023</x:v>
      </x:c>
      <x:c r="D253" s="9" t="n">
        <x:v>1</x:v>
      </x:c>
      <x:c r="E253" s="9" t="n">
        <x:v>71355</x:v>
      </x:c>
      <x:c r="F253" s="9" t="n">
        <x:v>785</x:v>
      </x:c>
      <x:c r="G253" s="9" t="n">
        <x:v>59069.99999999255</x:v>
      </x:c>
      <x:c r="H253" s="9" t="n">
        <x:v>10925</x:v>
      </x:c>
      <x:c r="I253" s="9" t="n">
        <x:v>469</x:v>
      </x:c>
      <x:c r="J253" s="9" t="n">
        <x:v>106.00000000745058</x:v>
      </x:c>
      <x:c r="K253" s="9" t="n">
        <x:f>F253+G253+I253+J253</x:f>
        <x:v>60430</x:v>
      </x:c>
      <x:c r="L253" s="10" t="n">
        <x:f>K253/Sources!$B$4*1000</x:f>
        <x:v>16.882033889782083</x:v>
      </x:c>
      <x:c r="M253" s="10" t="n">
        <x:f>E253/Sources!$B$4*1000</x:f>
        <x:v>19.934097769409238</x:v>
      </x:c>
      <x:c r="N253" s="9" t="n">
        <x:f>Sources!$B$6-K253</x:f>
        <x:v>-694</x:v>
      </x:c>
      <x:c r="O253" s="1" t="str">
        <x:v>vertical_normal_down</x:v>
      </x:c>
      <x:c r="P253" s="12" t="n">
        <x:v>0</x:v>
      </x:c>
      <x:c r="Q253" s="12" t="n">
        <x:v>1</x:v>
      </x:c>
      <x:c r="R253" s="12" t="n">
        <x:v>1</x:v>
      </x:c>
      <x:c r="S253" s="12" t="n">
        <x:v>7</x:v>
      </x:c>
      <x:c r="T253" s="1" t="str">
        <x:v>No</x:v>
      </x:c>
      <x:c r="U253" s="1" t="n">
        <x:v>0</x:v>
      </x:c>
    </x:row>
    <x:row r="254" ht="23" customHeight="1">
      <x:c r="A254" s="9" t="n">
        <x:v>253</x:v>
      </x:c>
      <x:c r="B254" s="9" t="n">
        <x:v>265</x:v>
      </x:c>
      <x:c r="C254" s="9" t="n">
        <x:v>1024</x:v>
      </x:c>
      <x:c r="D254" s="9" t="n">
        <x:v>1</x:v>
      </x:c>
      <x:c r="E254" s="9" t="n">
        <x:v>142740</x:v>
      </x:c>
      <x:c r="F254" s="9" t="n">
        <x:v>784.9999999925494</x:v>
      </x:c>
      <x:c r="G254" s="9" t="n">
        <x:v>71967.00000000745</x:v>
      </x:c>
      <x:c r="H254" s="9" t="n">
        <x:v>69404.99999999255</x:v>
      </x:c>
      <x:c r="I254" s="9" t="n">
        <x:v>477.0000000074506</x:v>
      </x:c>
      <x:c r="J254" s="9" t="n">
        <x:v>106</x:v>
      </x:c>
      <x:c r="K254" s="9" t="n">
        <x:f>F254+G254+I254+J254</x:f>
        <x:v>73335.00000000745</x:v>
      </x:c>
      <x:c r="L254" s="10" t="n">
        <x:f>K254/Sources!$B$4*1000</x:f>
        <x:v>20.48724069679455</x:v>
      </x:c>
      <x:c r="M254" s="10" t="n">
        <x:f>E254/Sources!$B$4*1000</x:f>
        <x:v>39.87657649226368</x:v>
      </x:c>
      <x:c r="N254" s="9" t="n">
        <x:f>Sources!$B$6-K254</x:f>
        <x:v>-13599.00000000745</x:v>
      </x:c>
      <x:c r="O254" s="1" t="str">
        <x:v>vertical_normal_down</x:v>
      </x:c>
      <x:c r="P254" s="12" t="n">
        <x:v>0</x:v>
      </x:c>
      <x:c r="Q254" s="12" t="n">
        <x:v>1</x:v>
      </x:c>
      <x:c r="R254" s="12" t="n">
        <x:v>1</x:v>
      </x:c>
      <x:c r="S254" s="12" t="n">
        <x:v>0</x:v>
      </x:c>
      <x:c r="T254" s="1" t="str">
        <x:v>Yes</x:v>
      </x:c>
      <x:c r="U254" s="1" t="n">
        <x:v>1</x:v>
      </x:c>
    </x:row>
    <x:row r="255" ht="23" customHeight="1">
      <x:c r="A255" s="9" t="n">
        <x:v>254</x:v>
      </x:c>
      <x:c r="B255" s="9" t="n">
        <x:v>265</x:v>
      </x:c>
      <x:c r="C255" s="9" t="n">
        <x:v>1026</x:v>
      </x:c>
      <x:c r="D255" s="9" t="n">
        <x:v>2</x:v>
      </x:c>
      <x:c r="E255" s="9" t="n">
        <x:v>71355</x:v>
      </x:c>
      <x:c r="F255" s="9" t="n">
        <x:v>785</x:v>
      </x:c>
      <x:c r="G255" s="9" t="n">
        <x:v>58990</x:v>
      </x:c>
      <x:c r="H255" s="9" t="n">
        <x:v>11005</x:v>
      </x:c>
      <x:c r="I255" s="9" t="n">
        <x:v>469.0000000074506</x:v>
      </x:c>
      <x:c r="J255" s="9" t="n">
        <x:v>105.99999999254942</x:v>
      </x:c>
      <x:c r="K255" s="9" t="n">
        <x:f>F255+G255+I255+J255</x:f>
        <x:v>60350</x:v>
      </x:c>
      <x:c r="L255" s="10" t="n">
        <x:f>K255/Sources!$B$4*1000</x:f>
        <x:v>16.859684680594878</x:v>
      </x:c>
      <x:c r="M255" s="10" t="n">
        <x:f>E255/Sources!$B$4*1000</x:f>
        <x:v>19.934097769409238</x:v>
      </x:c>
      <x:c r="N255" s="9" t="n">
        <x:f>Sources!$B$6-K255</x:f>
        <x:v>-614</x:v>
      </x:c>
      <x:c r="O255" s="1" t="str">
        <x:v>vertical_normal_down</x:v>
      </x:c>
      <x:c r="P255" s="12" t="n">
        <x:v>0</x:v>
      </x:c>
      <x:c r="Q255" s="12" t="n">
        <x:v>2</x:v>
      </x:c>
      <x:c r="R255" s="12" t="n">
        <x:v>1</x:v>
      </x:c>
      <x:c r="S255" s="12" t="n">
        <x:v>2</x:v>
      </x:c>
      <x:c r="T255" s="1" t="str">
        <x:v>No</x:v>
      </x:c>
      <x:c r="U255" s="1" t="n">
        <x:v>1</x:v>
      </x:c>
    </x:row>
    <x:row r="256" ht="23" customHeight="1">
      <x:c r="A256" s="9" t="n">
        <x:v>255</x:v>
      </x:c>
      <x:c r="B256" s="9" t="n">
        <x:v>265</x:v>
      </x:c>
      <x:c r="C256" s="9" t="n">
        <x:v>1027</x:v>
      </x:c>
      <x:c r="D256" s="9" t="n">
        <x:v>1</x:v>
      </x:c>
      <x:c r="E256" s="9" t="n">
        <x:v>71369.99999999255</x:v>
      </x:c>
      <x:c r="F256" s="9" t="n">
        <x:v>784.9999999925494</x:v>
      </x:c>
      <x:c r="G256" s="9" t="n">
        <x:v>58347.00000000745</x:v>
      </x:c>
      <x:c r="H256" s="9" t="n">
        <x:v>11655</x:v>
      </x:c>
      <x:c r="I256" s="9" t="n">
        <x:v>476.9999999925494</x:v>
      </x:c>
      <x:c r="J256" s="9" t="n">
        <x:v>106</x:v>
      </x:c>
      <x:c r="K256" s="9" t="n">
        <x:f>F256+G256+I256+J256</x:f>
        <x:v>59714.99999999255</x:v>
      </x:c>
      <x:c r="L256" s="10" t="n">
        <x:f>K256/Sources!$B$4*1000</x:f>
        <x:v>16.682287832669388</x:v>
      </x:c>
      <x:c r="M256" s="10" t="n">
        <x:f>E256/Sources!$B$4*1000</x:f>
        <x:v>19.938288246129762</x:v>
      </x:c>
      <x:c r="N256" s="9" t="n">
        <x:f>Sources!$B$6-K256</x:f>
        <x:v>21.00000000745058</x:v>
      </x:c>
      <x:c r="O256" s="1" t="str">
        <x:v>vertical_normal_down</x:v>
      </x:c>
      <x:c r="P256" s="12" t="n">
        <x:v>0</x:v>
      </x:c>
      <x:c r="Q256" s="12" t="n">
        <x:v>1</x:v>
      </x:c>
      <x:c r="R256" s="12" t="n">
        <x:v>1</x:v>
      </x:c>
      <x:c r="S256" s="12" t="n">
        <x:v>3</x:v>
      </x:c>
      <x:c r="T256" s="1" t="str">
        <x:v>No</x:v>
      </x:c>
      <x:c r="U256" s="1" t="n">
        <x:v>0</x:v>
      </x:c>
    </x:row>
    <x:row r="257" ht="23" customHeight="1">
      <x:c r="A257" s="9" t="n">
        <x:v>256</x:v>
      </x:c>
      <x:c r="B257" s="9" t="n">
        <x:v>265</x:v>
      </x:c>
      <x:c r="C257" s="9" t="n">
        <x:v>1028</x:v>
      </x:c>
      <x:c r="D257" s="9" t="n">
        <x:v>1</x:v>
      </x:c>
      <x:c r="E257" s="9" t="n">
        <x:v>71355.00000000745</x:v>
      </x:c>
      <x:c r="F257" s="9" t="n">
        <x:v>785.0000000074506</x:v>
      </x:c>
      <x:c r="G257" s="9" t="n">
        <x:v>56310</x:v>
      </x:c>
      <x:c r="H257" s="9" t="n">
        <x:v>13685.00000000745</x:v>
      </x:c>
      <x:c r="I257" s="9" t="n">
        <x:v>469</x:v>
      </x:c>
      <x:c r="J257" s="9" t="n">
        <x:v>105.99999999254942</x:v>
      </x:c>
      <x:c r="K257" s="9" t="n">
        <x:f>F257+G257+I257+J257</x:f>
        <x:v>57670</x:v>
      </x:c>
      <x:c r="L257" s="10" t="n">
        <x:f>K257/Sources!$B$4*1000</x:f>
        <x:v>16.11098617282364</x:v>
      </x:c>
      <x:c r="M257" s="10" t="n">
        <x:f>E257/Sources!$B$4*1000</x:f>
        <x:v>19.93409776941132</x:v>
      </x:c>
      <x:c r="N257" s="9" t="n">
        <x:f>Sources!$B$6-K257</x:f>
        <x:v>2066</x:v>
      </x:c>
      <x:c r="O257" s="1" t="str">
        <x:v>vertical_normal_down</x:v>
      </x:c>
      <x:c r="P257" s="12" t="n">
        <x:v>0</x:v>
      </x:c>
      <x:c r="Q257" s="12" t="n">
        <x:v>1</x:v>
      </x:c>
      <x:c r="R257" s="12" t="n">
        <x:v>1</x:v>
      </x:c>
      <x:c r="S257" s="12" t="n">
        <x:v>4</x:v>
      </x:c>
      <x:c r="T257" s="1" t="str">
        <x:v>No</x:v>
      </x:c>
      <x:c r="U257" s="1" t="n">
        <x:v>0</x:v>
      </x:c>
    </x:row>
    <x:row r="258" ht="23" customHeight="1">
      <x:c r="A258" s="9" t="n">
        <x:v>257</x:v>
      </x:c>
      <x:c r="B258" s="9" t="n">
        <x:v>265</x:v>
      </x:c>
      <x:c r="C258" s="9" t="n">
        <x:v>1029</x:v>
      </x:c>
      <x:c r="D258" s="9" t="n">
        <x:v>1</x:v>
      </x:c>
      <x:c r="E258" s="9" t="n">
        <x:v>71376</x:v>
      </x:c>
      <x:c r="F258" s="9" t="n">
        <x:v>785</x:v>
      </x:c>
      <x:c r="G258" s="9" t="n">
        <x:v>57843</x:v>
      </x:c>
      <x:c r="H258" s="9" t="n">
        <x:v>12165</x:v>
      </x:c>
      <x:c r="I258" s="9" t="n">
        <x:v>477</x:v>
      </x:c>
      <x:c r="J258" s="9" t="n">
        <x:v>106</x:v>
      </x:c>
      <x:c r="K258" s="9" t="n">
        <x:f>F258+G258+I258+J258</x:f>
        <x:v>59211</x:v>
      </x:c>
      <x:c r="L258" s="10" t="n">
        <x:f>K258/Sources!$B$4*1000</x:f>
        <x:v>16.541487814792102</x:v>
      </x:c>
      <x:c r="M258" s="10" t="n">
        <x:f>E258/Sources!$B$4*1000</x:f>
        <x:v>19.939964436820883</x:v>
      </x:c>
      <x:c r="N258" s="9" t="n">
        <x:f>Sources!$B$6-K258</x:f>
        <x:v>525</x:v>
      </x:c>
      <x:c r="O258" s="1" t="str">
        <x:v>vertical_normal_down</x:v>
      </x:c>
      <x:c r="P258" s="12" t="n">
        <x:v>0</x:v>
      </x:c>
      <x:c r="Q258" s="12" t="n">
        <x:v>1</x:v>
      </x:c>
      <x:c r="R258" s="12" t="n">
        <x:v>1</x:v>
      </x:c>
      <x:c r="S258" s="12" t="n">
        <x:v>5</x:v>
      </x:c>
      <x:c r="T258" s="1" t="str">
        <x:v>No</x:v>
      </x:c>
      <x:c r="U258" s="1" t="n">
        <x:v>0</x:v>
      </x:c>
    </x:row>
    <x:row r="259" ht="23" customHeight="1">
      <x:c r="A259" s="9" t="n">
        <x:v>258</x:v>
      </x:c>
      <x:c r="B259" s="9" t="n">
        <x:v>265</x:v>
      </x:c>
      <x:c r="C259" s="9" t="n">
        <x:v>1030</x:v>
      </x:c>
      <x:c r="D259" s="9" t="n">
        <x:v>1</x:v>
      </x:c>
      <x:c r="E259" s="9" t="n">
        <x:v>71354</x:v>
      </x:c>
      <x:c r="F259" s="9" t="n">
        <x:v>785</x:v>
      </x:c>
      <x:c r="G259" s="9" t="n">
        <x:v>61134</x:v>
      </x:c>
      <x:c r="H259" s="9" t="n">
        <x:v>8860</x:v>
      </x:c>
      <x:c r="I259" s="9" t="n">
        <x:v>468.9999999925494</x:v>
      </x:c>
      <x:c r="J259" s="9" t="n">
        <x:v>106.00000000745058</x:v>
      </x:c>
      <x:c r="K259" s="9" t="n">
        <x:f>F259+G259+I259+J259</x:f>
        <x:v>62494</x:v>
      </x:c>
      <x:c r="L259" s="10" t="n">
        <x:f>K259/Sources!$B$4*1000</x:f>
        <x:v>17.458643486811873</x:v>
      </x:c>
      <x:c r="M259" s="10" t="n">
        <x:f>E259/Sources!$B$4*1000</x:f>
        <x:v>19.9338184042944</x:v>
      </x:c>
      <x:c r="N259" s="9" t="n">
        <x:f>Sources!$B$6-K259</x:f>
        <x:v>-2758</x:v>
      </x:c>
      <x:c r="O259" s="1" t="str">
        <x:v>vertical_normal_down</x:v>
      </x:c>
      <x:c r="P259" s="12" t="n">
        <x:v>0</x:v>
      </x:c>
      <x:c r="Q259" s="12" t="n">
        <x:v>1</x:v>
      </x:c>
      <x:c r="R259" s="12" t="n">
        <x:v>1</x:v>
      </x:c>
      <x:c r="S259" s="12" t="n">
        <x:v>6</x:v>
      </x:c>
      <x:c r="T259" s="1" t="str">
        <x:v>No</x:v>
      </x:c>
      <x:c r="U259" s="1" t="n">
        <x:v>0</x:v>
      </x:c>
    </x:row>
    <x:row r="260" ht="23" customHeight="1">
      <x:c r="A260" s="9" t="n">
        <x:v>259</x:v>
      </x:c>
      <x:c r="B260" s="9" t="n">
        <x:v>265</x:v>
      </x:c>
      <x:c r="C260" s="9" t="n">
        <x:v>1031</x:v>
      </x:c>
      <x:c r="D260" s="9" t="n">
        <x:v>1</x:v>
      </x:c>
      <x:c r="E260" s="9" t="n">
        <x:v>71374</x:v>
      </x:c>
      <x:c r="F260" s="9" t="n">
        <x:v>785</x:v>
      </x:c>
      <x:c r="G260" s="9" t="n">
        <x:v>59091</x:v>
      </x:c>
      <x:c r="H260" s="9" t="n">
        <x:v>10915</x:v>
      </x:c>
      <x:c r="I260" s="9" t="n">
        <x:v>477</x:v>
      </x:c>
      <x:c r="J260" s="9" t="n">
        <x:v>106</x:v>
      </x:c>
      <x:c r="K260" s="9" t="n">
        <x:f>F260+G260+I260+J260</x:f>
        <x:v>60459</x:v>
      </x:c>
      <x:c r="L260" s="10" t="n">
        <x:f>K260/Sources!$B$4*1000</x:f>
        <x:v>16.89013547811244</x:v>
      </x:c>
      <x:c r="M260" s="10" t="n">
        <x:f>E260/Sources!$B$4*1000</x:f>
        <x:v>19.939405706591202</x:v>
      </x:c>
      <x:c r="N260" s="9" t="n">
        <x:f>Sources!$B$6-K260</x:f>
        <x:v>-723</x:v>
      </x:c>
      <x:c r="O260" s="1" t="str">
        <x:v>vertical_normal_down</x:v>
      </x:c>
      <x:c r="P260" s="12" t="n">
        <x:v>0</x:v>
      </x:c>
      <x:c r="Q260" s="12" t="n">
        <x:v>1</x:v>
      </x:c>
      <x:c r="R260" s="12" t="n">
        <x:v>1</x:v>
      </x:c>
      <x:c r="S260" s="12" t="n">
        <x:v>7</x:v>
      </x:c>
      <x:c r="T260" s="1" t="str">
        <x:v>No</x:v>
      </x:c>
      <x:c r="U260" s="1" t="n">
        <x:v>0</x:v>
      </x:c>
    </x:row>
    <x:row r="261" ht="23" customHeight="1">
      <x:c r="A261" s="9" t="n">
        <x:v>260</x:v>
      </x:c>
      <x:c r="B261" s="9" t="n">
        <x:v>265</x:v>
      </x:c>
      <x:c r="C261" s="9" t="n">
        <x:v>1032</x:v>
      </x:c>
      <x:c r="D261" s="9" t="n">
        <x:v>1</x:v>
      </x:c>
      <x:c r="E261" s="9" t="n">
        <x:v>142716</x:v>
      </x:c>
      <x:c r="F261" s="9" t="n">
        <x:v>784.9999999925494</x:v>
      </x:c>
      <x:c r="G261" s="9" t="n">
        <x:v>71941</x:v>
      </x:c>
      <x:c r="H261" s="9" t="n">
        <x:v>69415</x:v>
      </x:c>
      <x:c r="I261" s="9" t="n">
        <x:v>469</x:v>
      </x:c>
      <x:c r="J261" s="9" t="n">
        <x:v>106.00000000745058</x:v>
      </x:c>
      <x:c r="K261" s="9" t="n">
        <x:f>F261+G261+I261+J261</x:f>
        <x:v>73301</x:v>
      </x:c>
      <x:c r="L261" s="10" t="n">
        <x:f>K261/Sources!$B$4*1000</x:f>
        <x:v>20.477742282887906</x:v>
      </x:c>
      <x:c r="M261" s="10" t="n">
        <x:f>E261/Sources!$B$4*1000</x:f>
        <x:v>39.869871729507516</x:v>
      </x:c>
      <x:c r="N261" s="9" t="n">
        <x:f>Sources!$B$6-K261</x:f>
        <x:v>-13565</x:v>
      </x:c>
      <x:c r="O261" s="1" t="str">
        <x:v>vertical_normal_down</x:v>
      </x:c>
      <x:c r="P261" s="12" t="n">
        <x:v>0</x:v>
      </x:c>
      <x:c r="Q261" s="12" t="n">
        <x:v>1</x:v>
      </x:c>
      <x:c r="R261" s="12" t="n">
        <x:v>1</x:v>
      </x:c>
      <x:c r="S261" s="12" t="n">
        <x:v>0</x:v>
      </x:c>
      <x:c r="T261" s="1" t="str">
        <x:v>Yes</x:v>
      </x:c>
      <x:c r="U261" s="1" t="n">
        <x:v>1</x:v>
      </x:c>
    </x:row>
    <x:row r="262" ht="23" customHeight="1">
      <x:c r="A262" s="9" t="n">
        <x:v>261</x:v>
      </x:c>
      <x:c r="B262" s="9" t="n">
        <x:v>269</x:v>
      </x:c>
      <x:c r="C262" s="9" t="n">
        <x:v>1032</x:v>
      </x:c>
      <x:c r="D262" s="9" t="n">
        <x:v>2</x:v>
      </x:c>
      <x:c r="E262" s="9" t="n">
        <x:v>142737</x:v>
      </x:c>
      <x:c r="F262" s="9" t="n">
        <x:v>785</x:v>
      </x:c>
      <x:c r="G262" s="9" t="n">
        <x:v>72723.99999999255</x:v>
      </x:c>
      <x:c r="H262" s="9" t="n">
        <x:v>68645.00000000745</x:v>
      </x:c>
      <x:c r="I262" s="9" t="n">
        <x:v>477</x:v>
      </x:c>
      <x:c r="J262" s="9" t="n">
        <x:v>106</x:v>
      </x:c>
      <x:c r="K262" s="9" t="n">
        <x:f>F262+G262+I262+J262</x:f>
        <x:v>74091.99999999255</x:v>
      </x:c>
      <x:c r="L262" s="10" t="n">
        <x:f>K262/Sources!$B$4*1000</x:f>
        <x:v>20.69872008872428</x:v>
      </x:c>
      <x:c r="M262" s="10" t="n">
        <x:f>E262/Sources!$B$4*1000</x:f>
        <x:v>39.87573839691916</x:v>
      </x:c>
      <x:c r="N262" s="9" t="n">
        <x:f>Sources!$B$6-K262</x:f>
        <x:v>-14355.99999999255</x:v>
      </x:c>
      <x:c r="O262" s="1" t="str">
        <x:v>horizontal_shift_right</x:v>
      </x:c>
      <x:c r="P262" s="12" t="n">
        <x:v>4</x:v>
      </x:c>
      <x:c r="Q262" s="12" t="n">
        <x:v>0</x:v>
      </x:c>
      <x:c r="R262" s="12" t="n">
        <x:v>5</x:v>
      </x:c>
      <x:c r="S262" s="12" t="n">
        <x:v>0</x:v>
      </x:c>
      <x:c r="T262" s="1" t="str">
        <x:v>No</x:v>
      </x:c>
      <x:c r="U262" s="1" t="n">
        <x:v>1</x:v>
      </x:c>
    </x:row>
    <x:row r="263" ht="23" customHeight="1">
      <x:c r="A263" s="9" t="n">
        <x:v>262</x:v>
      </x:c>
      <x:c r="B263" s="9" t="n">
        <x:v>273</x:v>
      </x:c>
      <x:c r="C263" s="9" t="n">
        <x:v>1032</x:v>
      </x:c>
      <x:c r="D263" s="9" t="n">
        <x:v>2</x:v>
      </x:c>
      <x:c r="E263" s="9" t="n">
        <x:v>71358</x:v>
      </x:c>
      <x:c r="F263" s="9" t="n">
        <x:v>784.9999999925494</x:v>
      </x:c>
      <x:c r="G263" s="9" t="n">
        <x:v>63928.00000000745</x:v>
      </x:c>
      <x:c r="H263" s="9" t="n">
        <x:v>6070</x:v>
      </x:c>
      <x:c r="I263" s="9" t="n">
        <x:v>469</x:v>
      </x:c>
      <x:c r="J263" s="9" t="n">
        <x:v>106</x:v>
      </x:c>
      <x:c r="K263" s="9" t="n">
        <x:f>F263+G263+I263+J263</x:f>
        <x:v>65288</x:v>
      </x:c>
      <x:c r="L263" s="10" t="n">
        <x:f>K263/Sources!$B$4*1000</x:f>
        <x:v>18.23918961767487</x:v>
      </x:c>
      <x:c r="M263" s="10" t="n">
        <x:f>E263/Sources!$B$4*1000</x:f>
        <x:v>19.934935864753758</x:v>
      </x:c>
      <x:c r="N263" s="9" t="n">
        <x:f>Sources!$B$6-K263</x:f>
        <x:v>-5552</x:v>
      </x:c>
      <x:c r="O263" s="1" t="str">
        <x:v>horizontal_shift_right</x:v>
      </x:c>
      <x:c r="P263" s="12" t="n">
        <x:v>4</x:v>
      </x:c>
      <x:c r="Q263" s="12" t="n">
        <x:v>0</x:v>
      </x:c>
      <x:c r="R263" s="12" t="n">
        <x:v>1</x:v>
      </x:c>
      <x:c r="S263" s="12" t="n">
        <x:v>0</x:v>
      </x:c>
      <x:c r="T263" s="1" t="str">
        <x:v>Yes</x:v>
      </x:c>
      <x:c r="U263" s="1" t="n">
        <x:v>1</x:v>
      </x:c>
    </x:row>
    <x:row r="264" ht="23" customHeight="1">
      <x:c r="A264" s="9" t="n">
        <x:v>263</x:v>
      </x:c>
      <x:c r="B264" s="9" t="n">
        <x:v>275</x:v>
      </x:c>
      <x:c r="C264" s="9" t="n">
        <x:v>1032</x:v>
      </x:c>
      <x:c r="D264" s="9" t="n">
        <x:v>1</x:v>
      </x:c>
      <x:c r="E264" s="9" t="n">
        <x:v>142737</x:v>
      </x:c>
      <x:c r="F264" s="9" t="n">
        <x:v>784.9999999925494</x:v>
      </x:c>
      <x:c r="G264" s="9" t="n">
        <x:v>74149</x:v>
      </x:c>
      <x:c r="H264" s="9" t="n">
        <x:v>67220</x:v>
      </x:c>
      <x:c r="I264" s="9" t="n">
        <x:v>477</x:v>
      </x:c>
      <x:c r="J264" s="9" t="n">
        <x:v>106.00000000745058</x:v>
      </x:c>
      <x:c r="K264" s="9" t="n">
        <x:f>F264+G264+I264+J264</x:f>
        <x:v>75517</x:v>
      </x:c>
      <x:c r="L264" s="10" t="n">
        <x:f>K264/Sources!$B$4*1000</x:f>
        <x:v>21.09681537737338</x:v>
      </x:c>
      <x:c r="M264" s="10" t="n">
        <x:f>E264/Sources!$B$4*1000</x:f>
        <x:v>39.87573839691916</x:v>
      </x:c>
      <x:c r="N264" s="9" t="n">
        <x:f>Sources!$B$6-K264</x:f>
        <x:v>-15781</x:v>
      </x:c>
      <x:c r="O264" s="1" t="str">
        <x:v>horizontal_shift_right</x:v>
      </x:c>
      <x:c r="P264" s="12" t="n">
        <x:v>2</x:v>
      </x:c>
      <x:c r="Q264" s="12" t="n">
        <x:v>0</x:v>
      </x:c>
      <x:c r="R264" s="12" t="n">
        <x:v>3</x:v>
      </x:c>
      <x:c r="S264" s="12" t="n">
        <x:v>0</x:v>
      </x:c>
      <x:c r="T264" s="1" t="str">
        <x:v>No</x:v>
      </x:c>
      <x:c r="U264" s="1" t="n">
        <x:v>1</x:v>
      </x:c>
    </x:row>
    <x:row r="265" ht="23" customHeight="1">
      <x:c r="A265" s="9" t="n">
        <x:v>264</x:v>
      </x:c>
      <x:c r="B265" s="9" t="n">
        <x:v>279</x:v>
      </x:c>
      <x:c r="C265" s="9" t="n">
        <x:v>1032</x:v>
      </x:c>
      <x:c r="D265" s="9" t="n">
        <x:v>2</x:v>
      </x:c>
      <x:c r="E265" s="9" t="n">
        <x:v>71354</x:v>
      </x:c>
      <x:c r="F265" s="9" t="n">
        <x:v>784.9999999925494</x:v>
      </x:c>
      <x:c r="G265" s="9" t="n">
        <x:v>68239.00000000745</x:v>
      </x:c>
      <x:c r="H265" s="9" t="n">
        <x:v>1755</x:v>
      </x:c>
      <x:c r="I265" s="9" t="n">
        <x:v>469</x:v>
      </x:c>
      <x:c r="J265" s="9" t="n">
        <x:v>106</x:v>
      </x:c>
      <x:c r="K265" s="9" t="n">
        <x:f>F265+G265+I265+J265</x:f>
        <x:v>69599</x:v>
      </x:c>
      <x:c r="L265" s="10" t="n">
        <x:f>K265/Sources!$B$4*1000</x:f>
        <x:v>19.443532627750173</x:v>
      </x:c>
      <x:c r="M265" s="10" t="n">
        <x:f>E265/Sources!$B$4*1000</x:f>
        <x:v>19.9338184042944</x:v>
      </x:c>
      <x:c r="N265" s="9" t="n">
        <x:f>Sources!$B$6-K265</x:f>
        <x:v>-9863</x:v>
      </x:c>
      <x:c r="O265" s="1" t="str">
        <x:v>horizontal_shift_right</x:v>
      </x:c>
      <x:c r="P265" s="12" t="n">
        <x:v>4</x:v>
      </x:c>
      <x:c r="Q265" s="12" t="n">
        <x:v>0</x:v>
      </x:c>
      <x:c r="R265" s="12" t="n">
        <x:v>7</x:v>
      </x:c>
      <x:c r="S265" s="12" t="n">
        <x:v>0</x:v>
      </x:c>
      <x:c r="T265" s="1" t="str">
        <x:v>No</x:v>
      </x:c>
      <x:c r="U265" s="1" t="n">
        <x:v>0</x:v>
      </x:c>
    </x:row>
    <x:row r="266" ht="23" customHeight="1">
      <x:c r="A266" s="9" t="n">
        <x:v>265</x:v>
      </x:c>
      <x:c r="B266" s="9" t="n">
        <x:v>281</x:v>
      </x:c>
      <x:c r="C266" s="9" t="n">
        <x:v>1032</x:v>
      </x:c>
      <x:c r="D266" s="9" t="n">
        <x:v>1</x:v>
      </x:c>
      <x:c r="E266" s="9" t="n">
        <x:v>142734</x:v>
      </x:c>
      <x:c r="F266" s="9" t="n">
        <x:v>785</x:v>
      </x:c>
      <x:c r="G266" s="9" t="n">
        <x:v>97861</x:v>
      </x:c>
      <x:c r="H266" s="9" t="n">
        <x:v>43505</x:v>
      </x:c>
      <x:c r="I266" s="9" t="n">
        <x:v>477</x:v>
      </x:c>
      <x:c r="J266" s="9" t="n">
        <x:v>106</x:v>
      </x:c>
      <x:c r="K266" s="9" t="n">
        <x:f>F266+G266+I266+J266</x:f>
        <x:v>99229</x:v>
      </x:c>
      <x:c r="L266" s="10" t="n">
        <x:f>K266/Sources!$B$4*1000</x:f>
        <x:v>27.721120980459805</x:v>
      </x:c>
      <x:c r="M266" s="10" t="n">
        <x:f>E266/Sources!$B$4*1000</x:f>
        <x:v>39.87490030157464</x:v>
      </x:c>
      <x:c r="N266" s="9" t="n">
        <x:f>Sources!$B$6-K266</x:f>
        <x:v>-39493</x:v>
      </x:c>
      <x:c r="O266" s="1" t="str">
        <x:v>horizontal_shift_right</x:v>
      </x:c>
      <x:c r="P266" s="12" t="n">
        <x:v>2</x:v>
      </x:c>
      <x:c r="Q266" s="12" t="n">
        <x:v>0</x:v>
      </x:c>
      <x:c r="R266" s="12" t="n">
        <x:v>1</x:v>
      </x:c>
      <x:c r="S266" s="12" t="n">
        <x:v>0</x:v>
      </x:c>
      <x:c r="T266" s="1" t="str">
        <x:v>Yes</x:v>
      </x:c>
      <x:c r="U266" s="1" t="n">
        <x:v>1</x:v>
      </x:c>
    </x:row>
    <x:row r="267" ht="23" customHeight="1">
      <x:c r="A267" s="9" t="n">
        <x:v>266</x:v>
      </x:c>
      <x:c r="B267" s="9" t="n">
        <x:v>285</x:v>
      </x:c>
      <x:c r="C267" s="9" t="n">
        <x:v>1032</x:v>
      </x:c>
      <x:c r="D267" s="9" t="n">
        <x:v>2</x:v>
      </x:c>
      <x:c r="E267" s="9" t="n">
        <x:v>142721.99999999255</x:v>
      </x:c>
      <x:c r="F267" s="9" t="n">
        <x:v>785</x:v>
      </x:c>
      <x:c r="G267" s="9" t="n">
        <x:v>81917</x:v>
      </x:c>
      <x:c r="H267" s="9" t="n">
        <x:v>59445</x:v>
      </x:c>
      <x:c r="I267" s="9" t="n">
        <x:v>469</x:v>
      </x:c>
      <x:c r="J267" s="9" t="n">
        <x:v>105.99999999254942</x:v>
      </x:c>
      <x:c r="K267" s="9" t="n">
        <x:f>F267+G267+I267+J267</x:f>
        <x:v>83276.99999999255</x:v>
      </x:c>
      <x:c r="L267" s="10" t="n">
        <x:f>K267/Sources!$B$4*1000</x:f>
        <x:v>23.264688668529814</x:v>
      </x:c>
      <x:c r="M267" s="10" t="n">
        <x:f>E267/Sources!$B$4*1000</x:f>
        <x:v>39.87154792019447</x:v>
      </x:c>
      <x:c r="N267" s="9" t="n">
        <x:f>Sources!$B$6-K267</x:f>
        <x:v>-23540.99999999255</x:v>
      </x:c>
      <x:c r="O267" s="1" t="str">
        <x:v>horizontal_shift_right</x:v>
      </x:c>
      <x:c r="P267" s="12" t="n">
        <x:v>4</x:v>
      </x:c>
      <x:c r="Q267" s="12" t="n">
        <x:v>0</x:v>
      </x:c>
      <x:c r="R267" s="12" t="n">
        <x:v>5</x:v>
      </x:c>
      <x:c r="S267" s="12" t="n">
        <x:v>0</x:v>
      </x:c>
      <x:c r="T267" s="1" t="str">
        <x:v>No</x:v>
      </x:c>
      <x:c r="U267" s="1" t="n">
        <x:v>1</x:v>
      </x:c>
    </x:row>
    <x:row r="268" ht="23" customHeight="1">
      <x:c r="A268" s="9" t="n">
        <x:v>267</x:v>
      </x:c>
      <x:c r="B268" s="9" t="n">
        <x:v>289</x:v>
      </x:c>
      <x:c r="C268" s="9" t="n">
        <x:v>1032</x:v>
      </x:c>
      <x:c r="D268" s="9" t="n">
        <x:v>2</x:v>
      </x:c>
      <x:c r="E268" s="9" t="n">
        <x:v>71374.00000000745</x:v>
      </x:c>
      <x:c r="F268" s="9" t="n">
        <x:v>785.0000000074506</x:v>
      </x:c>
      <x:c r="G268" s="9" t="n">
        <x:v>63986</x:v>
      </x:c>
      <x:c r="H268" s="9" t="n">
        <x:v>6020</x:v>
      </x:c>
      <x:c r="I268" s="9" t="n">
        <x:v>476.9999999925494</x:v>
      </x:c>
      <x:c r="J268" s="9" t="n">
        <x:v>106.00000000745058</x:v>
      </x:c>
      <x:c r="K268" s="9" t="n">
        <x:f>F268+G268+I268+J268</x:f>
        <x:v>65354.00000000745</x:v>
      </x:c>
      <x:c r="L268" s="10" t="n">
        <x:f>K268/Sources!$B$4*1000</x:f>
        <x:v>18.257627715256394</x:v>
      </x:c>
      <x:c r="M268" s="10" t="n">
        <x:f>E268/Sources!$B$4*1000</x:f>
        <x:v>19.93940570659328</x:v>
      </x:c>
      <x:c r="N268" s="9" t="n">
        <x:f>Sources!$B$6-K268</x:f>
        <x:v>-5618.000000007451</x:v>
      </x:c>
      <x:c r="O268" s="1" t="str">
        <x:v>horizontal_shift_right</x:v>
      </x:c>
      <x:c r="P268" s="12" t="n">
        <x:v>4</x:v>
      </x:c>
      <x:c r="Q268" s="12" t="n">
        <x:v>0</x:v>
      </x:c>
      <x:c r="R268" s="12" t="n">
        <x:v>1</x:v>
      </x:c>
      <x:c r="S268" s="12" t="n">
        <x:v>0</x:v>
      </x:c>
      <x:c r="T268" s="1" t="str">
        <x:v>Yes</x:v>
      </x:c>
      <x:c r="U268" s="1" t="n">
        <x:v>1</x:v>
      </x:c>
    </x:row>
    <x:row r="269" ht="23" customHeight="1">
      <x:c r="A269" s="9" t="n">
        <x:v>268</x:v>
      </x:c>
      <x:c r="B269" s="9" t="n">
        <x:v>291</x:v>
      </x:c>
      <x:c r="C269" s="9" t="n">
        <x:v>1032</x:v>
      </x:c>
      <x:c r="D269" s="9" t="n">
        <x:v>1</x:v>
      </x:c>
      <x:c r="E269" s="9" t="n">
        <x:v>142717</x:v>
      </x:c>
      <x:c r="F269" s="9" t="n">
        <x:v>785</x:v>
      </x:c>
      <x:c r="G269" s="9" t="n">
        <x:v>73967</x:v>
      </x:c>
      <x:c r="H269" s="9" t="n">
        <x:v>67389.99999999255</x:v>
      </x:c>
      <x:c r="I269" s="9" t="n">
        <x:v>469.0000000074506</x:v>
      </x:c>
      <x:c r="J269" s="9" t="n">
        <x:v>106</x:v>
      </x:c>
      <x:c r="K269" s="9" t="n">
        <x:f>F269+G269+I269+J269</x:f>
        <x:v>75327.00000000745</x:v>
      </x:c>
      <x:c r="L269" s="10" t="n">
        <x:f>K269/Sources!$B$4*1000</x:f>
        <x:v>21.043736005555857</x:v>
      </x:c>
      <x:c r="M269" s="10" t="n">
        <x:f>E269/Sources!$B$4*1000</x:f>
        <x:v>39.87015109462236</x:v>
      </x:c>
      <x:c r="N269" s="9" t="n">
        <x:f>Sources!$B$6-K269</x:f>
        <x:v>-15591.00000000745</x:v>
      </x:c>
      <x:c r="O269" s="1" t="str">
        <x:v>horizontal_shift_right</x:v>
      </x:c>
      <x:c r="P269" s="12" t="n">
        <x:v>2</x:v>
      </x:c>
      <x:c r="Q269" s="12" t="n">
        <x:v>0</x:v>
      </x:c>
      <x:c r="R269" s="12" t="n">
        <x:v>3</x:v>
      </x:c>
      <x:c r="S269" s="12" t="n">
        <x:v>0</x:v>
      </x:c>
      <x:c r="T269" s="1" t="str">
        <x:v>No</x:v>
      </x:c>
      <x:c r="U269" s="1" t="n">
        <x:v>1</x:v>
      </x:c>
    </x:row>
    <x:row r="270" ht="23" customHeight="1">
      <x:c r="A270" s="9" t="n">
        <x:v>269</x:v>
      </x:c>
      <x:c r="B270" s="9" t="n">
        <x:v>295</x:v>
      </x:c>
      <x:c r="C270" s="9" t="n">
        <x:v>1032</x:v>
      </x:c>
      <x:c r="D270" s="9" t="n">
        <x:v>2</x:v>
      </x:c>
      <x:c r="E270" s="9" t="n">
        <x:v>71371.99999999255</x:v>
      </x:c>
      <x:c r="F270" s="9" t="n">
        <x:v>784.9999999925494</x:v>
      </x:c>
      <x:c r="G270" s="9" t="n">
        <x:v>68299</x:v>
      </x:c>
      <x:c r="H270" s="9" t="n">
        <x:v>1705.0000000074506</x:v>
      </x:c>
      <x:c r="I270" s="9" t="n">
        <x:v>477</x:v>
      </x:c>
      <x:c r="J270" s="9" t="n">
        <x:v>105.99999999254942</x:v>
      </x:c>
      <x:c r="K270" s="9" t="n">
        <x:f>F270+G270+I270+J270</x:f>
        <x:v>69666.9999999851</x:v>
      </x:c>
      <x:c r="L270" s="10" t="n">
        <x:f>K270/Sources!$B$4*1000</x:f>
        <x:v>19.462529455555135</x:v>
      </x:c>
      <x:c r="M270" s="10" t="n">
        <x:f>E270/Sources!$B$4*1000</x:f>
        <x:v>19.93884697635944</x:v>
      </x:c>
      <x:c r="N270" s="9" t="n">
        <x:f>Sources!$B$6-K270</x:f>
        <x:v>-9930.999999985099</x:v>
      </x:c>
      <x:c r="O270" s="1" t="str">
        <x:v>horizontal_shift_right</x:v>
      </x:c>
      <x:c r="P270" s="12" t="n">
        <x:v>4</x:v>
      </x:c>
      <x:c r="Q270" s="12" t="n">
        <x:v>0</x:v>
      </x:c>
      <x:c r="R270" s="12" t="n">
        <x:v>7</x:v>
      </x:c>
      <x:c r="S270" s="12" t="n">
        <x:v>0</x:v>
      </x:c>
      <x:c r="T270" s="1" t="str">
        <x:v>No</x:v>
      </x:c>
      <x:c r="U270" s="1" t="n">
        <x:v>0</x:v>
      </x:c>
    </x:row>
    <x:row r="271" ht="23" customHeight="1">
      <x:c r="A271" s="9" t="n">
        <x:v>270</x:v>
      </x:c>
      <x:c r="B271" s="9" t="n">
        <x:v>297</x:v>
      </x:c>
      <x:c r="C271" s="9" t="n">
        <x:v>1032</x:v>
      </x:c>
      <x:c r="D271" s="9" t="n">
        <x:v>1</x:v>
      </x:c>
      <x:c r="E271" s="9" t="n">
        <x:v>142722.00000000745</x:v>
      </x:c>
      <x:c r="F271" s="9" t="n">
        <x:v>785</x:v>
      </x:c>
      <x:c r="G271" s="9" t="n">
        <x:v>97537</x:v>
      </x:c>
      <x:c r="H271" s="9" t="n">
        <x:v>43825</x:v>
      </x:c>
      <x:c r="I271" s="9" t="n">
        <x:v>468.9999999925494</x:v>
      </x:c>
      <x:c r="J271" s="9" t="n">
        <x:v>106.00000001490116</x:v>
      </x:c>
      <x:c r="K271" s="9" t="n">
        <x:f>F271+G271+I271+J271</x:f>
        <x:v>98897.00000000745</x:v>
      </x:c>
      <x:c r="L271" s="10" t="n">
        <x:f>K271/Sources!$B$4*1000</x:f>
        <x:v>27.628371762335004</x:v>
      </x:c>
      <x:c r="M271" s="10" t="n">
        <x:f>E271/Sources!$B$4*1000</x:f>
        <x:v>39.87154792019864</x:v>
      </x:c>
      <x:c r="N271" s="9" t="n">
        <x:f>Sources!$B$6-K271</x:f>
        <x:v>-39161.00000000745</x:v>
      </x:c>
      <x:c r="O271" s="1" t="str">
        <x:v>horizontal_shift_right</x:v>
      </x:c>
      <x:c r="P271" s="12" t="n">
        <x:v>2</x:v>
      </x:c>
      <x:c r="Q271" s="12" t="n">
        <x:v>0</x:v>
      </x:c>
      <x:c r="R271" s="12" t="n">
        <x:v>1</x:v>
      </x:c>
      <x:c r="S271" s="12" t="n">
        <x:v>0</x:v>
      </x:c>
      <x:c r="T271" s="1" t="str">
        <x:v>Yes</x:v>
      </x:c>
      <x:c r="U271" s="1" t="n">
        <x:v>1</x:v>
      </x:c>
    </x:row>
    <x:row r="272" ht="23" customHeight="1">
      <x:c r="A272" s="9" t="n">
        <x:v>271</x:v>
      </x:c>
      <x:c r="B272" s="9" t="n">
        <x:v>301</x:v>
      </x:c>
      <x:c r="C272" s="9" t="n">
        <x:v>1032</x:v>
      </x:c>
      <x:c r="D272" s="9" t="n">
        <x:v>2</x:v>
      </x:c>
      <x:c r="E272" s="9" t="n">
        <x:v>142736</x:v>
      </x:c>
      <x:c r="F272" s="9" t="n">
        <x:v>785</x:v>
      </x:c>
      <x:c r="G272" s="9" t="n">
        <x:v>82118</x:v>
      </x:c>
      <x:c r="H272" s="9" t="n">
        <x:v>59250</x:v>
      </x:c>
      <x:c r="I272" s="9" t="n">
        <x:v>477</x:v>
      </x:c>
      <x:c r="J272" s="9" t="n">
        <x:v>106</x:v>
      </x:c>
      <x:c r="K272" s="9" t="n">
        <x:f>F272+G272+I272+J272</x:f>
        <x:v>83486</x:v>
      </x:c>
      <x:c r="L272" s="10" t="n">
        <x:f>K272/Sources!$B$4*1000</x:f>
        <x:v>23.32307597753346</x:v>
      </x:c>
      <x:c r="M272" s="10" t="n">
        <x:f>E272/Sources!$B$4*1000</x:f>
        <x:v>39.87545903180432</x:v>
      </x:c>
      <x:c r="N272" s="9" t="n">
        <x:f>Sources!$B$6-K272</x:f>
        <x:v>-23750</x:v>
      </x:c>
      <x:c r="O272" s="1" t="str">
        <x:v>horizontal_shift_right</x:v>
      </x:c>
      <x:c r="P272" s="12" t="n">
        <x:v>4</x:v>
      </x:c>
      <x:c r="Q272" s="12" t="n">
        <x:v>0</x:v>
      </x:c>
      <x:c r="R272" s="12" t="n">
        <x:v>5</x:v>
      </x:c>
      <x:c r="S272" s="12" t="n">
        <x:v>0</x:v>
      </x:c>
      <x:c r="T272" s="1" t="str">
        <x:v>No</x:v>
      </x:c>
      <x:c r="U272" s="1" t="n">
        <x:v>1</x:v>
      </x:c>
    </x:row>
    <x:row r="273" ht="23" customHeight="1">
      <x:c r="A273" s="9" t="n">
        <x:v>272</x:v>
      </x:c>
      <x:c r="B273" s="9" t="n">
        <x:v>305</x:v>
      </x:c>
      <x:c r="C273" s="9" t="n">
        <x:v>1032</x:v>
      </x:c>
      <x:c r="D273" s="9" t="n">
        <x:v>2</x:v>
      </x:c>
      <x:c r="E273" s="9" t="n">
        <x:v>71355</x:v>
      </x:c>
      <x:c r="F273" s="9" t="n">
        <x:v>785</x:v>
      </x:c>
      <x:c r="G273" s="9" t="n">
        <x:v>63805</x:v>
      </x:c>
      <x:c r="H273" s="9" t="n">
        <x:v>6190</x:v>
      </x:c>
      <x:c r="I273" s="9" t="n">
        <x:v>469</x:v>
      </x:c>
      <x:c r="J273" s="9" t="n">
        <x:v>106</x:v>
      </x:c>
      <x:c r="K273" s="9" t="n">
        <x:f>F273+G273+I273+J273</x:f>
        <x:v>65165</x:v>
      </x:c>
      <x:c r="L273" s="10" t="n">
        <x:f>K273/Sources!$B$4*1000</x:f>
        <x:v>18.204827708549548</x:v>
      </x:c>
      <x:c r="M273" s="10" t="n">
        <x:f>E273/Sources!$B$4*1000</x:f>
        <x:v>19.934097769409238</x:v>
      </x:c>
      <x:c r="N273" s="9" t="n">
        <x:f>Sources!$B$6-K273</x:f>
        <x:v>-5429</x:v>
      </x:c>
      <x:c r="O273" s="1" t="str">
        <x:v>horizontal_shift_right</x:v>
      </x:c>
      <x:c r="P273" s="12" t="n">
        <x:v>4</x:v>
      </x:c>
      <x:c r="Q273" s="12" t="n">
        <x:v>0</x:v>
      </x:c>
      <x:c r="R273" s="12" t="n">
        <x:v>1</x:v>
      </x:c>
      <x:c r="S273" s="12" t="n">
        <x:v>0</x:v>
      </x:c>
      <x:c r="T273" s="1" t="str">
        <x:v>Yes</x:v>
      </x:c>
      <x:c r="U273" s="1" t="n">
        <x:v>1</x:v>
      </x:c>
    </x:row>
    <x:row r="274" ht="23" customHeight="1">
      <x:c r="A274" s="9" t="n">
        <x:v>273</x:v>
      </x:c>
      <x:c r="B274" s="9" t="n">
        <x:v>307</x:v>
      </x:c>
      <x:c r="C274" s="9" t="n">
        <x:v>1032</x:v>
      </x:c>
      <x:c r="D274" s="9" t="n">
        <x:v>1</x:v>
      </x:c>
      <x:c r="E274" s="9" t="n">
        <x:v>142736</x:v>
      </x:c>
      <x:c r="F274" s="9" t="n">
        <x:v>785</x:v>
      </x:c>
      <x:c r="G274" s="9" t="n">
        <x:v>74168</x:v>
      </x:c>
      <x:c r="H274" s="9" t="n">
        <x:v>67200</x:v>
      </x:c>
      <x:c r="I274" s="9" t="n">
        <x:v>477</x:v>
      </x:c>
      <x:c r="J274" s="9" t="n">
        <x:v>106</x:v>
      </x:c>
      <x:c r="K274" s="9" t="n">
        <x:f>F274+G274+I274+J274</x:f>
        <x:v>75536</x:v>
      </x:c>
      <x:c r="L274" s="10" t="n">
        <x:f>K274/Sources!$B$4*1000</x:f>
        <x:v>21.10212331455534</x:v>
      </x:c>
      <x:c r="M274" s="10" t="n">
        <x:f>E274/Sources!$B$4*1000</x:f>
        <x:v>39.87545903180432</x:v>
      </x:c>
      <x:c r="N274" s="9" t="n">
        <x:f>Sources!$B$6-K274</x:f>
        <x:v>-15800</x:v>
      </x:c>
      <x:c r="O274" s="1" t="str">
        <x:v>horizontal_shift_right</x:v>
      </x:c>
      <x:c r="P274" s="12" t="n">
        <x:v>2</x:v>
      </x:c>
      <x:c r="Q274" s="12" t="n">
        <x:v>0</x:v>
      </x:c>
      <x:c r="R274" s="12" t="n">
        <x:v>3</x:v>
      </x:c>
      <x:c r="S274" s="12" t="n">
        <x:v>0</x:v>
      </x:c>
      <x:c r="T274" s="1" t="str">
        <x:v>No</x:v>
      </x:c>
      <x:c r="U274" s="1" t="n">
        <x:v>1</x:v>
      </x:c>
    </x:row>
    <x:row r="275" ht="23" customHeight="1">
      <x:c r="A275" s="9" t="n">
        <x:v>274</x:v>
      </x:c>
      <x:c r="B275" s="9" t="n">
        <x:v>311</x:v>
      </x:c>
      <x:c r="C275" s="9" t="n">
        <x:v>1032</x:v>
      </x:c>
      <x:c r="D275" s="9" t="n">
        <x:v>2</x:v>
      </x:c>
      <x:c r="E275" s="9" t="n">
        <x:v>71356.99999999255</x:v>
      </x:c>
      <x:c r="F275" s="9" t="n">
        <x:v>785</x:v>
      </x:c>
      <x:c r="G275" s="9" t="n">
        <x:v>68277</x:v>
      </x:c>
      <x:c r="H275" s="9" t="n">
        <x:v>1720</x:v>
      </x:c>
      <x:c r="I275" s="9" t="n">
        <x:v>469</x:v>
      </x:c>
      <x:c r="J275" s="9" t="n">
        <x:v>105.99999999254942</x:v>
      </x:c>
      <x:c r="K275" s="9" t="n">
        <x:f>F275+G275+I275+J275</x:f>
        <x:v>69636.99999999255</x:v>
      </x:c>
      <x:c r="L275" s="10" t="n">
        <x:f>K275/Sources!$B$4*1000</x:f>
        <x:v>19.454148502112012</x:v>
      </x:c>
      <x:c r="M275" s="10" t="n">
        <x:f>E275/Sources!$B$4*1000</x:f>
        <x:v>19.93465649963684</x:v>
      </x:c>
      <x:c r="N275" s="9" t="n">
        <x:f>Sources!$B$6-K275</x:f>
        <x:v>-9900.99999999255</x:v>
      </x:c>
      <x:c r="O275" s="1" t="str">
        <x:v>horizontal_shift_right</x:v>
      </x:c>
      <x:c r="P275" s="12" t="n">
        <x:v>4</x:v>
      </x:c>
      <x:c r="Q275" s="12" t="n">
        <x:v>0</x:v>
      </x:c>
      <x:c r="R275" s="12" t="n">
        <x:v>7</x:v>
      </x:c>
      <x:c r="S275" s="12" t="n">
        <x:v>0</x:v>
      </x:c>
      <x:c r="T275" s="1" t="str">
        <x:v>No</x:v>
      </x:c>
      <x:c r="U275" s="1" t="n">
        <x:v>0</x:v>
      </x:c>
    </x:row>
    <x:row r="276" ht="23" customHeight="1">
      <x:c r="A276" s="9" t="n">
        <x:v>275</x:v>
      </x:c>
      <x:c r="B276" s="9" t="n">
        <x:v>313</x:v>
      </x:c>
      <x:c r="C276" s="9" t="n">
        <x:v>1032</x:v>
      </x:c>
      <x:c r="D276" s="9" t="n">
        <x:v>1</x:v>
      </x:c>
      <x:c r="E276" s="9" t="n">
        <x:v>142735.00000000745</x:v>
      </x:c>
      <x:c r="F276" s="9" t="n">
        <x:v>785</x:v>
      </x:c>
      <x:c r="G276" s="9" t="n">
        <x:v>111961.99999999255</x:v>
      </x:c>
      <x:c r="H276" s="9" t="n">
        <x:v>29405.00000000745</x:v>
      </x:c>
      <x:c r="I276" s="9" t="n">
        <x:v>476.9999999925494</x:v>
      </x:c>
      <x:c r="J276" s="9" t="n">
        <x:v>106.00000001490116</x:v>
      </x:c>
      <x:c r="K276" s="9" t="n">
        <x:f>F276+G276+I276+J276</x:f>
        <x:v>113330</x:v>
      </x:c>
      <x:c r="L276" s="10" t="n">
        <x:f>K276/Sources!$B$4*1000</x:f>
        <x:v>31.660448464818852</x:v>
      </x:c>
      <x:c r="M276" s="10" t="n">
        <x:f>E276/Sources!$B$4*1000</x:f>
        <x:v>39.87517966669156</x:v>
      </x:c>
      <x:c r="N276" s="9" t="n">
        <x:f>Sources!$B$6-K276</x:f>
        <x:v>-53594</x:v>
      </x:c>
      <x:c r="O276" s="1" t="str">
        <x:v>horizontal_shift_right</x:v>
      </x:c>
      <x:c r="P276" s="12" t="n">
        <x:v>2</x:v>
      </x:c>
      <x:c r="Q276" s="12" t="n">
        <x:v>0</x:v>
      </x:c>
      <x:c r="R276" s="12" t="n">
        <x:v>1</x:v>
      </x:c>
      <x:c r="S276" s="12" t="n">
        <x:v>0</x:v>
      </x:c>
      <x:c r="T276" s="1" t="str">
        <x:v>Yes</x:v>
      </x:c>
      <x:c r="U276" s="1" t="n">
        <x:v>1</x:v>
      </x:c>
    </x:row>
    <x:row r="277" ht="23" customHeight="1">
      <x:c r="A277" s="9" t="n">
        <x:v>276</x:v>
      </x:c>
      <x:c r="B277" s="9" t="n">
        <x:v>317</x:v>
      </x:c>
      <x:c r="C277" s="9" t="n">
        <x:v>1032</x:v>
      </x:c>
      <x:c r="D277" s="9" t="n">
        <x:v>2</x:v>
      </x:c>
      <x:c r="E277" s="9" t="n">
        <x:v>142720.99999999255</x:v>
      </x:c>
      <x:c r="F277" s="9" t="n">
        <x:v>785</x:v>
      </x:c>
      <x:c r="G277" s="9" t="n">
        <x:v>81936</x:v>
      </x:c>
      <x:c r="H277" s="9" t="n">
        <x:v>59425</x:v>
      </x:c>
      <x:c r="I277" s="9" t="n">
        <x:v>468.9999999925494</x:v>
      </x:c>
      <x:c r="J277" s="9" t="n">
        <x:v>106</x:v>
      </x:c>
      <x:c r="K277" s="9" t="n">
        <x:f>F277+G277+I277+J277</x:f>
        <x:v>83295.99999999255</x:v>
      </x:c>
      <x:c r="L277" s="10" t="n">
        <x:f>K277/Sources!$B$4*1000</x:f>
        <x:v>23.269996605711775</x:v>
      </x:c>
      <x:c r="M277" s="10" t="n">
        <x:f>E277/Sources!$B$4*1000</x:f>
        <x:v>39.87126855507964</x:v>
      </x:c>
      <x:c r="N277" s="9" t="n">
        <x:f>Sources!$B$6-K277</x:f>
        <x:v>-23559.99999999255</x:v>
      </x:c>
      <x:c r="O277" s="1" t="str">
        <x:v>horizontal_shift_right</x:v>
      </x:c>
      <x:c r="P277" s="12" t="n">
        <x:v>4</x:v>
      </x:c>
      <x:c r="Q277" s="12" t="n">
        <x:v>0</x:v>
      </x:c>
      <x:c r="R277" s="12" t="n">
        <x:v>5</x:v>
      </x:c>
      <x:c r="S277" s="12" t="n">
        <x:v>0</x:v>
      </x:c>
      <x:c r="T277" s="1" t="str">
        <x:v>No</x:v>
      </x:c>
      <x:c r="U277" s="1" t="n">
        <x:v>1</x:v>
      </x:c>
    </x:row>
    <x:row r="278" ht="23" customHeight="1">
      <x:c r="A278" s="9" t="n">
        <x:v>277</x:v>
      </x:c>
      <x:c r="B278" s="9" t="n">
        <x:v>321</x:v>
      </x:c>
      <x:c r="C278" s="9" t="n">
        <x:v>1032</x:v>
      </x:c>
      <x:c r="D278" s="9" t="n">
        <x:v>2</x:v>
      </x:c>
      <x:c r="E278" s="9" t="n">
        <x:v>142736.00000000745</x:v>
      </x:c>
      <x:c r="F278" s="9" t="n">
        <x:v>785.0000000074506</x:v>
      </x:c>
      <x:c r="G278" s="9" t="n">
        <x:v>75358</x:v>
      </x:c>
      <x:c r="H278" s="9" t="n">
        <x:v>66010</x:v>
      </x:c>
      <x:c r="I278" s="9" t="n">
        <x:v>477</x:v>
      </x:c>
      <x:c r="J278" s="9" t="n">
        <x:v>106</x:v>
      </x:c>
      <x:c r="K278" s="9" t="n">
        <x:f>F278+G278+I278+J278</x:f>
        <x:v>76726.00000000745</x:v>
      </x:c>
      <x:c r="L278" s="10" t="n">
        <x:f>K278/Sources!$B$4*1000</x:f>
        <x:v>21.43456780121704</x:v>
      </x:c>
      <x:c r="M278" s="10" t="n">
        <x:f>E278/Sources!$B$4*1000</x:f>
        <x:v>39.8754590318064</x:v>
      </x:c>
      <x:c r="N278" s="9" t="n">
        <x:f>Sources!$B$6-K278</x:f>
        <x:v>-16990.00000000745</x:v>
      </x:c>
      <x:c r="O278" s="1" t="str">
        <x:v>horizontal_shift_right</x:v>
      </x:c>
      <x:c r="P278" s="12" t="n">
        <x:v>4</x:v>
      </x:c>
      <x:c r="Q278" s="12" t="n">
        <x:v>0</x:v>
      </x:c>
      <x:c r="R278" s="12" t="n">
        <x:v>1</x:v>
      </x:c>
      <x:c r="S278" s="12" t="n">
        <x:v>0</x:v>
      </x:c>
      <x:c r="T278" s="1" t="str">
        <x:v>Yes</x:v>
      </x:c>
      <x:c r="U278" s="1" t="n">
        <x:v>1</x:v>
      </x:c>
    </x:row>
    <x:row r="279" ht="23" customHeight="1">
      <x:c r="A279" s="9" t="n">
        <x:v>278</x:v>
      </x:c>
      <x:c r="B279" s="9" t="n">
        <x:v>325</x:v>
      </x:c>
      <x:c r="C279" s="9" t="n">
        <x:v>1032</x:v>
      </x:c>
      <x:c r="D279" s="9" t="n">
        <x:v>2</x:v>
      </x:c>
      <x:c r="E279" s="9" t="n">
        <x:v>71357</x:v>
      </x:c>
      <x:c r="F279" s="9" t="n">
        <x:v>785</x:v>
      </x:c>
      <x:c r="G279" s="9" t="n">
        <x:v>36507</x:v>
      </x:c>
      <x:c r="H279" s="9" t="n">
        <x:v>33490</x:v>
      </x:c>
      <x:c r="I279" s="9" t="n">
        <x:v>469</x:v>
      </x:c>
      <x:c r="J279" s="9" t="n">
        <x:v>106</x:v>
      </x:c>
      <x:c r="K279" s="9" t="n">
        <x:f>F279+G279+I279+J279</x:f>
        <x:v>37867</x:v>
      </x:c>
      <x:c r="L279" s="10" t="n">
        <x:f>K279/Sources!$B$4*1000</x:f>
        <x:v>10.578718803646833</x:v>
      </x:c>
      <x:c r="M279" s="10" t="n">
        <x:f>E279/Sources!$B$4*1000</x:f>
        <x:v>19.93465649963892</x:v>
      </x:c>
      <x:c r="N279" s="9" t="n">
        <x:f>Sources!$B$6-K279</x:f>
        <x:v>21869</x:v>
      </x:c>
      <x:c r="O279" s="1" t="str">
        <x:v>horizontal_shift_right</x:v>
      </x:c>
      <x:c r="P279" s="12" t="n">
        <x:v>4</x:v>
      </x:c>
      <x:c r="Q279" s="12" t="n">
        <x:v>0</x:v>
      </x:c>
      <x:c r="R279" s="12" t="n">
        <x:v>5</x:v>
      </x:c>
      <x:c r="S279" s="12" t="n">
        <x:v>0</x:v>
      </x:c>
      <x:c r="T279" s="1" t="str">
        <x:v>No</x:v>
      </x:c>
      <x:c r="U279" s="1" t="n">
        <x:v>1</x:v>
      </x:c>
    </x:row>
    <x:row r="280" ht="23" customHeight="1">
      <x:c r="A280" s="9" t="n">
        <x:v>279</x:v>
      </x:c>
      <x:c r="B280" s="9" t="n">
        <x:v>327</x:v>
      </x:c>
      <x:c r="C280" s="9" t="n">
        <x:v>1032</x:v>
      </x:c>
      <x:c r="D280" s="9" t="n">
        <x:v>1</x:v>
      </x:c>
      <x:c r="E280" s="9" t="n">
        <x:v>71369.99999999255</x:v>
      </x:c>
      <x:c r="F280" s="9" t="n">
        <x:v>785</x:v>
      </x:c>
      <x:c r="G280" s="9" t="n">
        <x:v>65297</x:v>
      </x:c>
      <x:c r="H280" s="9" t="n">
        <x:v>4705</x:v>
      </x:c>
      <x:c r="I280" s="9" t="n">
        <x:v>477</x:v>
      </x:c>
      <x:c r="J280" s="9" t="n">
        <x:v>105.99999999254942</x:v>
      </x:c>
      <x:c r="K280" s="9" t="n">
        <x:f>F280+G280+I280+J280</x:f>
        <x:v>66664.99999999255</x:v>
      </x:c>
      <x:c r="L280" s="10" t="n">
        <x:f>K280/Sources!$B$4*1000</x:f>
        <x:v>18.62387538080749</x:v>
      </x:c>
      <x:c r="M280" s="10" t="n">
        <x:f>E280/Sources!$B$4*1000</x:f>
        <x:v>19.938288246129762</x:v>
      </x:c>
      <x:c r="N280" s="9" t="n">
        <x:f>Sources!$B$6-K280</x:f>
        <x:v>-6928.999999992549</x:v>
      </x:c>
      <x:c r="O280" s="1" t="str">
        <x:v>horizontal_shift_right</x:v>
      </x:c>
      <x:c r="P280" s="12" t="n">
        <x:v>2</x:v>
      </x:c>
      <x:c r="Q280" s="12" t="n">
        <x:v>0</x:v>
      </x:c>
      <x:c r="R280" s="12" t="n">
        <x:v>7</x:v>
      </x:c>
      <x:c r="S280" s="12" t="n">
        <x:v>0</x:v>
      </x:c>
      <x:c r="T280" s="1" t="str">
        <x:v>No</x:v>
      </x:c>
      <x:c r="U280" s="1" t="n">
        <x:v>0</x:v>
      </x:c>
    </x:row>
    <x:row r="281" ht="23" customHeight="1">
      <x:c r="A281" s="9" t="n">
        <x:v>280</x:v>
      </x:c>
      <x:c r="B281" s="9" t="n">
        <x:v>329</x:v>
      </x:c>
      <x:c r="C281" s="9" t="n">
        <x:v>1032</x:v>
      </x:c>
      <x:c r="D281" s="9" t="n">
        <x:v>1</x:v>
      </x:c>
      <x:c r="E281" s="9" t="n">
        <x:v>142718.00000000745</x:v>
      </x:c>
      <x:c r="F281" s="9" t="n">
        <x:v>785.0000000074506</x:v>
      </x:c>
      <x:c r="G281" s="9" t="n">
        <x:v>94812.99999999255</x:v>
      </x:c>
      <x:c r="H281" s="9" t="n">
        <x:v>46545.00000000745</x:v>
      </x:c>
      <x:c r="I281" s="9" t="n">
        <x:v>469</x:v>
      </x:c>
      <x:c r="J281" s="9" t="n">
        <x:v>106</x:v>
      </x:c>
      <x:c r="K281" s="9" t="n">
        <x:f>F281+G281+I281+J281</x:f>
        <x:v>96173</x:v>
      </x:c>
      <x:c r="L281" s="10" t="n">
        <x:f>K281/Sources!$B$4*1000</x:f>
        <x:v>26.867381189508723</x:v>
      </x:c>
      <x:c r="M281" s="10" t="n">
        <x:f>E281/Sources!$B$4*1000</x:f>
        <x:v>39.87043045973928</x:v>
      </x:c>
      <x:c r="N281" s="9" t="n">
        <x:f>Sources!$B$6-K281</x:f>
        <x:v>-36437</x:v>
      </x:c>
      <x:c r="O281" s="1" t="str">
        <x:v>horizontal_shift_right</x:v>
      </x:c>
      <x:c r="P281" s="12" t="n">
        <x:v>2</x:v>
      </x:c>
      <x:c r="Q281" s="12" t="n">
        <x:v>0</x:v>
      </x:c>
      <x:c r="R281" s="12" t="n">
        <x:v>1</x:v>
      </x:c>
      <x:c r="S281" s="12" t="n">
        <x:v>0</x:v>
      </x:c>
      <x:c r="T281" s="1" t="str">
        <x:v>Yes</x:v>
      </x:c>
      <x:c r="U281" s="1" t="n">
        <x:v>1</x:v>
      </x:c>
    </x:row>
    <x:row r="282" ht="23" customHeight="1">
      <x:c r="A282" s="9" t="n">
        <x:v>281</x:v>
      </x:c>
      <x:c r="B282" s="9" t="n">
        <x:v>333</x:v>
      </x:c>
      <x:c r="C282" s="9" t="n">
        <x:v>1032</x:v>
      </x:c>
      <x:c r="D282" s="9" t="n">
        <x:v>2</x:v>
      </x:c>
      <x:c r="E282" s="9" t="n">
        <x:v>142739</x:v>
      </x:c>
      <x:c r="F282" s="9" t="n">
        <x:v>785</x:v>
      </x:c>
      <x:c r="G282" s="9" t="n">
        <x:v>79116</x:v>
      </x:c>
      <x:c r="H282" s="9" t="n">
        <x:v>62254.99999999255</x:v>
      </x:c>
      <x:c r="I282" s="9" t="n">
        <x:v>477.0000000074506</x:v>
      </x:c>
      <x:c r="J282" s="9" t="n">
        <x:v>106</x:v>
      </x:c>
      <x:c r="K282" s="9" t="n">
        <x:f>F282+G282+I282+J282</x:f>
        <x:v>80484.00000000745</x:v>
      </x:c>
      <x:c r="L282" s="10" t="n">
        <x:f>K282/Sources!$B$4*1000</x:f>
        <x:v>22.484421902785815</x:v>
      </x:c>
      <x:c r="M282" s="10" t="n">
        <x:f>E282/Sources!$B$4*1000</x:f>
        <x:v>39.87629712714884</x:v>
      </x:c>
      <x:c r="N282" s="9" t="n">
        <x:f>Sources!$B$6-K282</x:f>
        <x:v>-20748.00000000745</x:v>
      </x:c>
      <x:c r="O282" s="1" t="str">
        <x:v>horizontal_shift_right</x:v>
      </x:c>
      <x:c r="P282" s="12" t="n">
        <x:v>4</x:v>
      </x:c>
      <x:c r="Q282" s="12" t="n">
        <x:v>0</x:v>
      </x:c>
      <x:c r="R282" s="12" t="n">
        <x:v>5</x:v>
      </x:c>
      <x:c r="S282" s="12" t="n">
        <x:v>0</x:v>
      </x:c>
      <x:c r="T282" s="1" t="str">
        <x:v>No</x:v>
      </x:c>
      <x:c r="U282" s="1" t="n">
        <x:v>1</x:v>
      </x:c>
    </x:row>
    <x:row r="283" ht="23" customHeight="1">
      <x:c r="A283" s="9" t="n">
        <x:v>282</x:v>
      </x:c>
      <x:c r="B283" s="9" t="n">
        <x:v>337</x:v>
      </x:c>
      <x:c r="C283" s="9" t="n">
        <x:v>1032</x:v>
      </x:c>
      <x:c r="D283" s="9" t="n">
        <x:v>2</x:v>
      </x:c>
      <x:c r="E283" s="9" t="n">
        <x:v>71356.99999999255</x:v>
      </x:c>
      <x:c r="F283" s="9" t="n">
        <x:v>784.9999999925494</x:v>
      </x:c>
      <x:c r="G283" s="9" t="n">
        <x:v>60812.00000000745</x:v>
      </x:c>
      <x:c r="H283" s="9" t="n">
        <x:v>9185</x:v>
      </x:c>
      <x:c r="I283" s="9" t="n">
        <x:v>468.9999999925494</x:v>
      </x:c>
      <x:c r="J283" s="9" t="n">
        <x:v>106</x:v>
      </x:c>
      <x:c r="K283" s="9" t="n">
        <x:f>F283+G283+I283+J283</x:f>
        <x:v>62171.99999999255</x:v>
      </x:c>
      <x:c r="L283" s="10" t="n">
        <x:f>K283/Sources!$B$4*1000</x:f>
        <x:v>17.368687919831306</x:v>
      </x:c>
      <x:c r="M283" s="10" t="n">
        <x:f>E283/Sources!$B$4*1000</x:f>
        <x:v>19.93465649963684</x:v>
      </x:c>
      <x:c r="N283" s="9" t="n">
        <x:f>Sources!$B$6-K283</x:f>
        <x:v>-2435.9999999925494</x:v>
      </x:c>
      <x:c r="O283" s="1" t="str">
        <x:v>horizontal_shift_right</x:v>
      </x:c>
      <x:c r="P283" s="12" t="n">
        <x:v>4</x:v>
      </x:c>
      <x:c r="Q283" s="12" t="n">
        <x:v>0</x:v>
      </x:c>
      <x:c r="R283" s="12" t="n">
        <x:v>1</x:v>
      </x:c>
      <x:c r="S283" s="12" t="n">
        <x:v>0</x:v>
      </x:c>
      <x:c r="T283" s="1" t="str">
        <x:v>Yes</x:v>
      </x:c>
      <x:c r="U283" s="1" t="n">
        <x:v>1</x:v>
      </x:c>
    </x:row>
    <x:row r="284" ht="23" customHeight="1">
      <x:c r="A284" s="9" t="n">
        <x:v>283</x:v>
      </x:c>
      <x:c r="B284" s="9" t="n">
        <x:v>339</x:v>
      </x:c>
      <x:c r="C284" s="9" t="n">
        <x:v>1032</x:v>
      </x:c>
      <x:c r="D284" s="9" t="n">
        <x:v>1</x:v>
      </x:c>
      <x:c r="E284" s="9" t="n">
        <x:v>142733.00000000745</x:v>
      </x:c>
      <x:c r="F284" s="9" t="n">
        <x:v>785.0000000074506</x:v>
      </x:c>
      <x:c r="G284" s="9" t="n">
        <x:v>71185</x:v>
      </x:c>
      <x:c r="H284" s="9" t="n">
        <x:v>70179.99999999255</x:v>
      </x:c>
      <x:c r="I284" s="9" t="n">
        <x:v>477.0000000074506</x:v>
      </x:c>
      <x:c r="J284" s="9" t="n">
        <x:v>106</x:v>
      </x:c>
      <x:c r="K284" s="9" t="n">
        <x:f>F284+G284+I284+J284</x:f>
        <x:v>72553.0000000149</x:v>
      </x:c>
      <x:c r="L284" s="10" t="n">
        <x:f>K284/Sources!$B$4*1000</x:f>
        <x:v>20.268777176991744</x:v>
      </x:c>
      <x:c r="M284" s="10" t="n">
        <x:f>E284/Sources!$B$4*1000</x:f>
        <x:v>39.87462093646188</x:v>
      </x:c>
      <x:c r="N284" s="9" t="n">
        <x:f>Sources!$B$6-K284</x:f>
        <x:v>-12817.000000014901</x:v>
      </x:c>
      <x:c r="O284" s="1" t="str">
        <x:v>horizontal_shift_right</x:v>
      </x:c>
      <x:c r="P284" s="12" t="n">
        <x:v>2</x:v>
      </x:c>
      <x:c r="Q284" s="12" t="n">
        <x:v>0</x:v>
      </x:c>
      <x:c r="R284" s="12" t="n">
        <x:v>3</x:v>
      </x:c>
      <x:c r="S284" s="12" t="n">
        <x:v>0</x:v>
      </x:c>
      <x:c r="T284" s="1" t="str">
        <x:v>No</x:v>
      </x:c>
      <x:c r="U284" s="1" t="n">
        <x:v>1</x:v>
      </x:c>
    </x:row>
    <x:row r="285" ht="23" customHeight="1">
      <x:c r="A285" s="9" t="n">
        <x:v>284</x:v>
      </x:c>
      <x:c r="B285" s="9" t="n">
        <x:v>343</x:v>
      </x:c>
      <x:c r="C285" s="9" t="n">
        <x:v>1032</x:v>
      </x:c>
      <x:c r="D285" s="9" t="n">
        <x:v>2</x:v>
      </x:c>
      <x:c r="E285" s="9" t="n">
        <x:v>71358</x:v>
      </x:c>
      <x:c r="F285" s="9" t="n">
        <x:v>785</x:v>
      </x:c>
      <x:c r="G285" s="9" t="n">
        <x:v>65133</x:v>
      </x:c>
      <x:c r="H285" s="9" t="n">
        <x:v>4865</x:v>
      </x:c>
      <x:c r="I285" s="9" t="n">
        <x:v>469.0000000074506</x:v>
      </x:c>
      <x:c r="J285" s="9" t="n">
        <x:v>105.99999999254942</x:v>
      </x:c>
      <x:c r="K285" s="9" t="n">
        <x:f>F285+G285+I285+J285</x:f>
        <x:v>66493</x:v>
      </x:c>
      <x:c r="L285" s="10" t="n">
        <x:f>K285/Sources!$B$4*1000</x:f>
        <x:v>18.575824581057088</x:v>
      </x:c>
      <x:c r="M285" s="10" t="n">
        <x:f>E285/Sources!$B$4*1000</x:f>
        <x:v>19.934935864753758</x:v>
      </x:c>
      <x:c r="N285" s="9" t="n">
        <x:f>Sources!$B$6-K285</x:f>
        <x:v>-6757</x:v>
      </x:c>
      <x:c r="O285" s="1" t="str">
        <x:v>horizontal_shift_right</x:v>
      </x:c>
      <x:c r="P285" s="12" t="n">
        <x:v>4</x:v>
      </x:c>
      <x:c r="Q285" s="12" t="n">
        <x:v>0</x:v>
      </x:c>
      <x:c r="R285" s="12" t="n">
        <x:v>7</x:v>
      </x:c>
      <x:c r="S285" s="12" t="n">
        <x:v>0</x:v>
      </x:c>
      <x:c r="T285" s="1" t="str">
        <x:v>No</x:v>
      </x:c>
      <x:c r="U285" s="1" t="n">
        <x:v>0</x:v>
      </x:c>
    </x:row>
    <x:row r="286" ht="23" customHeight="1">
      <x:c r="A286" s="9" t="n">
        <x:v>285</x:v>
      </x:c>
      <x:c r="B286" s="9" t="n">
        <x:v>345</x:v>
      </x:c>
      <x:c r="C286" s="9" t="n">
        <x:v>1032</x:v>
      </x:c>
      <x:c r="D286" s="9" t="n">
        <x:v>1</x:v>
      </x:c>
      <x:c r="E286" s="9" t="n">
        <x:v>142733</x:v>
      </x:c>
      <x:c r="F286" s="9" t="n">
        <x:v>785</x:v>
      </x:c>
      <x:c r="G286" s="9" t="n">
        <x:v>94745.00000000745</x:v>
      </x:c>
      <x:c r="H286" s="9" t="n">
        <x:v>46620</x:v>
      </x:c>
      <x:c r="I286" s="9" t="n">
        <x:v>476.9999999925494</x:v>
      </x:c>
      <x:c r="J286" s="9" t="n">
        <x:v>106</x:v>
      </x:c>
      <x:c r="K286" s="9" t="n">
        <x:f>F286+G286+I286+J286</x:f>
        <x:v>96113</x:v>
      </x:c>
      <x:c r="L286" s="10" t="n">
        <x:f>K286/Sources!$B$4*1000</x:f>
        <x:v>26.85061928261832</x:v>
      </x:c>
      <x:c r="M286" s="10" t="n">
        <x:f>E286/Sources!$B$4*1000</x:f>
        <x:v>39.8746209364598</x:v>
      </x:c>
      <x:c r="N286" s="9" t="n">
        <x:f>Sources!$B$6-K286</x:f>
        <x:v>-36377</x:v>
      </x:c>
      <x:c r="O286" s="1" t="str">
        <x:v>horizontal_shift_right</x:v>
      </x:c>
      <x:c r="P286" s="12" t="n">
        <x:v>2</x:v>
      </x:c>
      <x:c r="Q286" s="12" t="n">
        <x:v>0</x:v>
      </x:c>
      <x:c r="R286" s="12" t="n">
        <x:v>1</x:v>
      </x:c>
      <x:c r="S286" s="12" t="n">
        <x:v>0</x:v>
      </x:c>
      <x:c r="T286" s="1" t="str">
        <x:v>Yes</x:v>
      </x:c>
      <x:c r="U286" s="1" t="n">
        <x:v>1</x:v>
      </x:c>
    </x:row>
    <x:row r="287" ht="23" customHeight="1">
      <x:c r="A287" s="9" t="n">
        <x:v>286</x:v>
      </x:c>
      <x:c r="B287" s="9" t="n">
        <x:v>349</x:v>
      </x:c>
      <x:c r="C287" s="9" t="n">
        <x:v>1032</x:v>
      </x:c>
      <x:c r="D287" s="9" t="n">
        <x:v>2</x:v>
      </x:c>
      <x:c r="E287" s="9" t="n">
        <x:v>142724</x:v>
      </x:c>
      <x:c r="F287" s="9" t="n">
        <x:v>785.0000000074506</x:v>
      </x:c>
      <x:c r="G287" s="9" t="n">
        <x:v>78934</x:v>
      </x:c>
      <x:c r="H287" s="9" t="n">
        <x:v>62430</x:v>
      </x:c>
      <x:c r="I287" s="9" t="n">
        <x:v>468.9999999925494</x:v>
      </x:c>
      <x:c r="J287" s="9" t="n">
        <x:v>106</x:v>
      </x:c>
      <x:c r="K287" s="9" t="n">
        <x:f>F287+G287+I287+J287</x:f>
        <x:v>80294</x:v>
      </x:c>
      <x:c r="L287" s="10" t="n">
        <x:f>K287/Sources!$B$4*1000</x:f>
        <x:v>22.43134253096413</x:v>
      </x:c>
      <x:c r="M287" s="10" t="n">
        <x:f>E287/Sources!$B$4*1000</x:f>
        <x:v>39.87210665042624</x:v>
      </x:c>
      <x:c r="N287" s="9" t="n">
        <x:f>Sources!$B$6-K287</x:f>
        <x:v>-20558</x:v>
      </x:c>
      <x:c r="O287" s="1" t="str">
        <x:v>horizontal_shift_right</x:v>
      </x:c>
      <x:c r="P287" s="12" t="n">
        <x:v>4</x:v>
      </x:c>
      <x:c r="Q287" s="12" t="n">
        <x:v>0</x:v>
      </x:c>
      <x:c r="R287" s="12" t="n">
        <x:v>5</x:v>
      </x:c>
      <x:c r="S287" s="12" t="n">
        <x:v>0</x:v>
      </x:c>
      <x:c r="T287" s="1" t="str">
        <x:v>No</x:v>
      </x:c>
      <x:c r="U287" s="1" t="n">
        <x:v>1</x:v>
      </x:c>
    </x:row>
    <x:row r="288" ht="23" customHeight="1">
      <x:c r="A288" s="9" t="n">
        <x:v>287</x:v>
      </x:c>
      <x:c r="B288" s="9" t="n">
        <x:v>353</x:v>
      </x:c>
      <x:c r="C288" s="9" t="n">
        <x:v>1032</x:v>
      </x:c>
      <x:c r="D288" s="9" t="n">
        <x:v>2</x:v>
      </x:c>
      <x:c r="E288" s="9" t="n">
        <x:v>71371</x:v>
      </x:c>
      <x:c r="F288" s="9" t="n">
        <x:v>785.0000000074506</x:v>
      </x:c>
      <x:c r="G288" s="9" t="n">
        <x:v>60993</x:v>
      </x:c>
      <x:c r="H288" s="9" t="n">
        <x:v>9010</x:v>
      </x:c>
      <x:c r="I288" s="9" t="n">
        <x:v>476.9999999925494</x:v>
      </x:c>
      <x:c r="J288" s="9" t="n">
        <x:v>106</x:v>
      </x:c>
      <x:c r="K288" s="9" t="n">
        <x:f>F288+G288+I288+J288</x:f>
        <x:v>62361</x:v>
      </x:c>
      <x:c r="L288" s="10" t="n">
        <x:f>K288/Sources!$B$4*1000</x:f>
        <x:v>17.42148792653815</x:v>
      </x:c>
      <x:c r="M288" s="10" t="n">
        <x:f>E288/Sources!$B$4*1000</x:f>
        <x:v>19.93856761124668</x:v>
      </x:c>
      <x:c r="N288" s="9" t="n">
        <x:f>Sources!$B$6-K288</x:f>
        <x:v>-2625</x:v>
      </x:c>
      <x:c r="O288" s="1" t="str">
        <x:v>horizontal_shift_right</x:v>
      </x:c>
      <x:c r="P288" s="12" t="n">
        <x:v>4</x:v>
      </x:c>
      <x:c r="Q288" s="12" t="n">
        <x:v>0</x:v>
      </x:c>
      <x:c r="R288" s="12" t="n">
        <x:v>1</x:v>
      </x:c>
      <x:c r="S288" s="12" t="n">
        <x:v>0</x:v>
      </x:c>
      <x:c r="T288" s="1" t="str">
        <x:v>Yes</x:v>
      </x:c>
      <x:c r="U288" s="1" t="n">
        <x:v>1</x:v>
      </x:c>
    </x:row>
    <x:row r="289" ht="23" customHeight="1">
      <x:c r="A289" s="9" t="n">
        <x:v>288</x:v>
      </x:c>
      <x:c r="B289" s="9" t="n">
        <x:v>355</x:v>
      </x:c>
      <x:c r="C289" s="9" t="n">
        <x:v>1032</x:v>
      </x:c>
      <x:c r="D289" s="9" t="n">
        <x:v>1</x:v>
      </x:c>
      <x:c r="E289" s="9" t="n">
        <x:v>142719</x:v>
      </x:c>
      <x:c r="F289" s="9" t="n">
        <x:v>785.0000000074506</x:v>
      </x:c>
      <x:c r="G289" s="9" t="n">
        <x:v>70983.99999999255</x:v>
      </x:c>
      <x:c r="H289" s="9" t="n">
        <x:v>70375.00000000745</x:v>
      </x:c>
      <x:c r="I289" s="9" t="n">
        <x:v>468.9999999925494</x:v>
      </x:c>
      <x:c r="J289" s="9" t="n">
        <x:v>106</x:v>
      </x:c>
      <x:c r="K289" s="9" t="n">
        <x:f>F289+G289+I289+J289</x:f>
        <x:v>72343.99999999255</x:v>
      </x:c>
      <x:c r="L289" s="10" t="n">
        <x:f>K289/Sources!$B$4*1000</x:f>
        <x:v>20.210389867983935</x:v>
      </x:c>
      <x:c r="M289" s="10" t="n">
        <x:f>E289/Sources!$B$4*1000</x:f>
        <x:v>39.870709824852035</x:v>
      </x:c>
      <x:c r="N289" s="9" t="n">
        <x:f>Sources!$B$6-K289</x:f>
        <x:v>-12607.99999999255</x:v>
      </x:c>
      <x:c r="O289" s="1" t="str">
        <x:v>horizontal_shift_right</x:v>
      </x:c>
      <x:c r="P289" s="12" t="n">
        <x:v>2</x:v>
      </x:c>
      <x:c r="Q289" s="12" t="n">
        <x:v>0</x:v>
      </x:c>
      <x:c r="R289" s="12" t="n">
        <x:v>3</x:v>
      </x:c>
      <x:c r="S289" s="12" t="n">
        <x:v>0</x:v>
      </x:c>
      <x:c r="T289" s="1" t="str">
        <x:v>No</x:v>
      </x:c>
      <x:c r="U289" s="1" t="n">
        <x:v>1</x:v>
      </x:c>
    </x:row>
    <x:row r="290" ht="23" customHeight="1">
      <x:c r="A290" s="9" t="n">
        <x:v>289</x:v>
      </x:c>
      <x:c r="B290" s="9" t="n">
        <x:v>359</x:v>
      </x:c>
      <x:c r="C290" s="9" t="n">
        <x:v>1032</x:v>
      </x:c>
      <x:c r="D290" s="9" t="n">
        <x:v>2</x:v>
      </x:c>
      <x:c r="E290" s="9" t="n">
        <x:v>71371</x:v>
      </x:c>
      <x:c r="F290" s="9" t="n">
        <x:v>785</x:v>
      </x:c>
      <x:c r="G290" s="9" t="n">
        <x:v>65183</x:v>
      </x:c>
      <x:c r="H290" s="9" t="n">
        <x:v>4820</x:v>
      </x:c>
      <x:c r="I290" s="9" t="n">
        <x:v>476.9999999925494</x:v>
      </x:c>
      <x:c r="J290" s="9" t="n">
        <x:v>106.00000000745058</x:v>
      </x:c>
      <x:c r="K290" s="9" t="n">
        <x:f>F290+G290+I290+J290</x:f>
        <x:v>66551</x:v>
      </x:c>
      <x:c r="L290" s="10" t="n">
        <x:f>K290/Sources!$B$4*1000</x:f>
        <x:v>18.59202775771781</x:v>
      </x:c>
      <x:c r="M290" s="10" t="n">
        <x:f>E290/Sources!$B$4*1000</x:f>
        <x:v>19.93856761124668</x:v>
      </x:c>
      <x:c r="N290" s="9" t="n">
        <x:f>Sources!$B$6-K290</x:f>
        <x:v>-6815</x:v>
      </x:c>
      <x:c r="O290" s="1" t="str">
        <x:v>horizontal_shift_right</x:v>
      </x:c>
      <x:c r="P290" s="12" t="n">
        <x:v>4</x:v>
      </x:c>
      <x:c r="Q290" s="12" t="n">
        <x:v>0</x:v>
      </x:c>
      <x:c r="R290" s="12" t="n">
        <x:v>7</x:v>
      </x:c>
      <x:c r="S290" s="12" t="n">
        <x:v>0</x:v>
      </x:c>
      <x:c r="T290" s="1" t="str">
        <x:v>No</x:v>
      </x:c>
      <x:c r="U290" s="1" t="n">
        <x:v>0</x:v>
      </x:c>
    </x:row>
    <x:row r="291" ht="23" customHeight="1">
      <x:c r="A291" s="9" t="n">
        <x:v>290</x:v>
      </x:c>
      <x:c r="B291" s="9" t="n">
        <x:v>361</x:v>
      </x:c>
      <x:c r="C291" s="9" t="n">
        <x:v>1032</x:v>
      </x:c>
      <x:c r="D291" s="9" t="n">
        <x:v>1</x:v>
      </x:c>
      <x:c r="E291" s="9" t="n">
        <x:v>142723</x:v>
      </x:c>
      <x:c r="F291" s="9" t="n">
        <x:v>785</x:v>
      </x:c>
      <x:c r="G291" s="9" t="n">
        <x:v>94563</x:v>
      </x:c>
      <x:c r="H291" s="9" t="n">
        <x:v>46800</x:v>
      </x:c>
      <x:c r="I291" s="9" t="n">
        <x:v>469</x:v>
      </x:c>
      <x:c r="J291" s="9" t="n">
        <x:v>106</x:v>
      </x:c>
      <x:c r="K291" s="9" t="n">
        <x:f>F291+G291+I291+J291</x:f>
        <x:v>95923</x:v>
      </x:c>
      <x:c r="L291" s="10" t="n">
        <x:f>K291/Sources!$B$4*1000</x:f>
        <x:v>26.79753991079872</x:v>
      </x:c>
      <x:c r="M291" s="10" t="n">
        <x:f>E291/Sources!$B$4*1000</x:f>
        <x:v>39.8718272853114</x:v>
      </x:c>
      <x:c r="N291" s="9" t="n">
        <x:f>Sources!$B$6-K291</x:f>
        <x:v>-36187</x:v>
      </x:c>
      <x:c r="O291" s="1" t="str">
        <x:v>horizontal_shift_right</x:v>
      </x:c>
      <x:c r="P291" s="12" t="n">
        <x:v>2</x:v>
      </x:c>
      <x:c r="Q291" s="12" t="n">
        <x:v>0</x:v>
      </x:c>
      <x:c r="R291" s="12" t="n">
        <x:v>1</x:v>
      </x:c>
      <x:c r="S291" s="12" t="n">
        <x:v>0</x:v>
      </x:c>
      <x:c r="T291" s="1" t="str">
        <x:v>Yes</x:v>
      </x:c>
      <x:c r="U291" s="1" t="n">
        <x:v>1</x:v>
      </x:c>
    </x:row>
    <x:row r="292" ht="23" customHeight="1">
      <x:c r="A292" s="9" t="n">
        <x:v>291</x:v>
      </x:c>
      <x:c r="B292" s="9" t="n">
        <x:v>365</x:v>
      </x:c>
      <x:c r="C292" s="9" t="n">
        <x:v>1032</x:v>
      </x:c>
      <x:c r="D292" s="9" t="n">
        <x:v>2</x:v>
      </x:c>
      <x:c r="E292" s="9" t="n">
        <x:v>142731.99999999255</x:v>
      </x:c>
      <x:c r="F292" s="9" t="n">
        <x:v>785</x:v>
      </x:c>
      <x:c r="G292" s="9" t="n">
        <x:v>79154</x:v>
      </x:c>
      <x:c r="H292" s="9" t="n">
        <x:v>62210</x:v>
      </x:c>
      <x:c r="I292" s="9" t="n">
        <x:v>477</x:v>
      </x:c>
      <x:c r="J292" s="9" t="n">
        <x:v>105.99999999254942</x:v>
      </x:c>
      <x:c r="K292" s="9" t="n">
        <x:f>F292+G292+I292+J292</x:f>
        <x:v>80521.99999999255</x:v>
      </x:c>
      <x:c r="L292" s="10" t="n">
        <x:f>K292/Sources!$B$4*1000</x:f>
        <x:v>22.495037777145573</x:v>
      </x:c>
      <x:c r="M292" s="10" t="n">
        <x:f>E292/Sources!$B$4*1000</x:f>
        <x:v>39.87434157134288</x:v>
      </x:c>
      <x:c r="N292" s="9" t="n">
        <x:f>Sources!$B$6-K292</x:f>
        <x:v>-20785.99999999255</x:v>
      </x:c>
      <x:c r="O292" s="1" t="str">
        <x:v>horizontal_shift_right</x:v>
      </x:c>
      <x:c r="P292" s="12" t="n">
        <x:v>4</x:v>
      </x:c>
      <x:c r="Q292" s="12" t="n">
        <x:v>0</x:v>
      </x:c>
      <x:c r="R292" s="12" t="n">
        <x:v>5</x:v>
      </x:c>
      <x:c r="S292" s="12" t="n">
        <x:v>0</x:v>
      </x:c>
      <x:c r="T292" s="1" t="str">
        <x:v>No</x:v>
      </x:c>
      <x:c r="U292" s="1" t="n">
        <x:v>1</x:v>
      </x:c>
    </x:row>
    <x:row r="293" ht="23" customHeight="1">
      <x:c r="A293" s="9" t="n">
        <x:v>292</x:v>
      </x:c>
      <x:c r="B293" s="9" t="n">
        <x:v>369</x:v>
      </x:c>
      <x:c r="C293" s="9" t="n">
        <x:v>1032</x:v>
      </x:c>
      <x:c r="D293" s="9" t="n">
        <x:v>2</x:v>
      </x:c>
      <x:c r="E293" s="9" t="n">
        <x:v>71356.00000000745</x:v>
      </x:c>
      <x:c r="F293" s="9" t="n">
        <x:v>785.0000000074506</x:v>
      </x:c>
      <x:c r="G293" s="9" t="n">
        <x:v>60831</x:v>
      </x:c>
      <x:c r="H293" s="9" t="n">
        <x:v>9165</x:v>
      </x:c>
      <x:c r="I293" s="9" t="n">
        <x:v>468.9999999925494</x:v>
      </x:c>
      <x:c r="J293" s="9" t="n">
        <x:v>106.00000000745058</x:v>
      </x:c>
      <x:c r="K293" s="9" t="n">
        <x:f>F293+G293+I293+J293</x:f>
        <x:v>62191.00000000745</x:v>
      </x:c>
      <x:c r="L293" s="10" t="n">
        <x:f>K293/Sources!$B$4*1000</x:f>
        <x:v>17.37399585701743</x:v>
      </x:c>
      <x:c r="M293" s="10" t="n">
        <x:f>E293/Sources!$B$4*1000</x:f>
        <x:v>19.934377134526162</x:v>
      </x:c>
      <x:c r="N293" s="9" t="n">
        <x:f>Sources!$B$6-K293</x:f>
        <x:v>-2455.0000000074506</x:v>
      </x:c>
      <x:c r="O293" s="1" t="str">
        <x:v>horizontal_shift_right</x:v>
      </x:c>
      <x:c r="P293" s="12" t="n">
        <x:v>4</x:v>
      </x:c>
      <x:c r="Q293" s="12" t="n">
        <x:v>0</x:v>
      </x:c>
      <x:c r="R293" s="12" t="n">
        <x:v>1</x:v>
      </x:c>
      <x:c r="S293" s="12" t="n">
        <x:v>0</x:v>
      </x:c>
      <x:c r="T293" s="1" t="str">
        <x:v>Yes</x:v>
      </x:c>
      <x:c r="U293" s="1" t="n">
        <x:v>1</x:v>
      </x:c>
    </x:row>
    <x:row r="294" ht="23" customHeight="1">
      <x:c r="A294" s="9" t="n">
        <x:v>293</x:v>
      </x:c>
      <x:c r="B294" s="9" t="n">
        <x:v>371</x:v>
      </x:c>
      <x:c r="C294" s="9" t="n">
        <x:v>1032</x:v>
      </x:c>
      <x:c r="D294" s="9" t="n">
        <x:v>1</x:v>
      </x:c>
      <x:c r="E294" s="9" t="n">
        <x:v>142737</x:v>
      </x:c>
      <x:c r="F294" s="9" t="n">
        <x:v>785</x:v>
      </x:c>
      <x:c r="G294" s="9" t="n">
        <x:v>71204</x:v>
      </x:c>
      <x:c r="H294" s="9" t="n">
        <x:v>70165.00000000745</x:v>
      </x:c>
      <x:c r="I294" s="9" t="n">
        <x:v>477</x:v>
      </x:c>
      <x:c r="J294" s="9" t="n">
        <x:v>105.99999999254942</x:v>
      </x:c>
      <x:c r="K294" s="9" t="n">
        <x:f>F294+G294+I294+J294</x:f>
        <x:v>72571.99999999255</x:v>
      </x:c>
      <x:c r="L294" s="10" t="n">
        <x:f>K294/Sources!$B$4*1000</x:f>
        <x:v>20.27408511416746</x:v>
      </x:c>
      <x:c r="M294" s="10" t="n">
        <x:f>E294/Sources!$B$4*1000</x:f>
        <x:v>39.87573839691916</x:v>
      </x:c>
      <x:c r="N294" s="9" t="n">
        <x:f>Sources!$B$6-K294</x:f>
        <x:v>-12835.99999999255</x:v>
      </x:c>
      <x:c r="O294" s="1" t="str">
        <x:v>horizontal_shift_right</x:v>
      </x:c>
      <x:c r="P294" s="12" t="n">
        <x:v>2</x:v>
      </x:c>
      <x:c r="Q294" s="12" t="n">
        <x:v>0</x:v>
      </x:c>
      <x:c r="R294" s="12" t="n">
        <x:v>3</x:v>
      </x:c>
      <x:c r="S294" s="12" t="n">
        <x:v>0</x:v>
      </x:c>
      <x:c r="T294" s="1" t="str">
        <x:v>No</x:v>
      </x:c>
      <x:c r="U294" s="1" t="n">
        <x:v>1</x:v>
      </x:c>
    </x:row>
    <x:row r="295" ht="23" customHeight="1">
      <x:c r="A295" s="9" t="n">
        <x:v>294</x:v>
      </x:c>
      <x:c r="B295" s="9" t="n">
        <x:v>375</x:v>
      </x:c>
      <x:c r="C295" s="9" t="n">
        <x:v>1032</x:v>
      </x:c>
      <x:c r="D295" s="9" t="n">
        <x:v>2</x:v>
      </x:c>
      <x:c r="E295" s="9" t="n">
        <x:v>71357</x:v>
      </x:c>
      <x:c r="F295" s="9" t="n">
        <x:v>785</x:v>
      </x:c>
      <x:c r="G295" s="9" t="n">
        <x:v>65142</x:v>
      </x:c>
      <x:c r="H295" s="9" t="n">
        <x:v>4855</x:v>
      </x:c>
      <x:c r="I295" s="9" t="n">
        <x:v>469</x:v>
      </x:c>
      <x:c r="J295" s="9" t="n">
        <x:v>106</x:v>
      </x:c>
      <x:c r="K295" s="9" t="n">
        <x:f>F295+G295+I295+J295</x:f>
        <x:v>66502</x:v>
      </x:c>
      <x:c r="L295" s="10" t="n">
        <x:f>K295/Sources!$B$4*1000</x:f>
        <x:v>18.57833886709065</x:v>
      </x:c>
      <x:c r="M295" s="10" t="n">
        <x:f>E295/Sources!$B$4*1000</x:f>
        <x:v>19.93465649963892</x:v>
      </x:c>
      <x:c r="N295" s="9" t="n">
        <x:f>Sources!$B$6-K295</x:f>
        <x:v>-6766</x:v>
      </x:c>
      <x:c r="O295" s="1" t="str">
        <x:v>horizontal_shift_right</x:v>
      </x:c>
      <x:c r="P295" s="12" t="n">
        <x:v>4</x:v>
      </x:c>
      <x:c r="Q295" s="12" t="n">
        <x:v>0</x:v>
      </x:c>
      <x:c r="R295" s="12" t="n">
        <x:v>7</x:v>
      </x:c>
      <x:c r="S295" s="12" t="n">
        <x:v>0</x:v>
      </x:c>
      <x:c r="T295" s="1" t="str">
        <x:v>No</x:v>
      </x:c>
      <x:c r="U295" s="1" t="n">
        <x:v>0</x:v>
      </x:c>
    </x:row>
    <x:row r="296" ht="23" customHeight="1">
      <x:c r="A296" s="9" t="n">
        <x:v>295</x:v>
      </x:c>
      <x:c r="B296" s="9" t="n">
        <x:v>377</x:v>
      </x:c>
      <x:c r="C296" s="9" t="n">
        <x:v>1032</x:v>
      </x:c>
      <x:c r="D296" s="9" t="n">
        <x:v>1</x:v>
      </x:c>
      <x:c r="E296" s="9" t="n">
        <x:v>142736.99999999255</x:v>
      </x:c>
      <x:c r="F296" s="9" t="n">
        <x:v>785</x:v>
      </x:c>
      <x:c r="G296" s="9" t="n">
        <x:v>94763.99999999255</x:v>
      </x:c>
      <x:c r="H296" s="9" t="n">
        <x:v>46605.00000000745</x:v>
      </x:c>
      <x:c r="I296" s="9" t="n">
        <x:v>477</x:v>
      </x:c>
      <x:c r="J296" s="9" t="n">
        <x:v>105.99999999254942</x:v>
      </x:c>
      <x:c r="K296" s="9" t="n">
        <x:f>F296+G296+I296+J296</x:f>
        <x:v>96131.9999999851</x:v>
      </x:c>
      <x:c r="L296" s="10" t="n">
        <x:f>K296/Sources!$B$4*1000</x:f>
        <x:v>26.855927219796122</x:v>
      </x:c>
      <x:c r="M296" s="10" t="n">
        <x:f>E296/Sources!$B$4*1000</x:f>
        <x:v>39.875738396917086</x:v>
      </x:c>
      <x:c r="N296" s="9" t="n">
        <x:f>Sources!$B$6-K296</x:f>
        <x:v>-36395.9999999851</x:v>
      </x:c>
      <x:c r="O296" s="1" t="str">
        <x:v>horizontal_shift_right</x:v>
      </x:c>
      <x:c r="P296" s="12" t="n">
        <x:v>2</x:v>
      </x:c>
      <x:c r="Q296" s="12" t="n">
        <x:v>0</x:v>
      </x:c>
      <x:c r="R296" s="12" t="n">
        <x:v>1</x:v>
      </x:c>
      <x:c r="S296" s="12" t="n">
        <x:v>0</x:v>
      </x:c>
      <x:c r="T296" s="1" t="str">
        <x:v>Yes</x:v>
      </x:c>
      <x:c r="U296" s="1" t="n">
        <x:v>1</x:v>
      </x:c>
    </x:row>
    <x:row r="297" ht="23" customHeight="1">
      <x:c r="A297" s="9" t="n">
        <x:v>296</x:v>
      </x:c>
      <x:c r="B297" s="9" t="n">
        <x:v>381</x:v>
      </x:c>
      <x:c r="C297" s="9" t="n">
        <x:v>1032</x:v>
      </x:c>
      <x:c r="D297" s="9" t="n">
        <x:v>2</x:v>
      </x:c>
      <x:c r="E297" s="9" t="n">
        <x:v>142718.00000000745</x:v>
      </x:c>
      <x:c r="F297" s="9" t="n">
        <x:v>785.0000000074506</x:v>
      </x:c>
      <x:c r="G297" s="9" t="n">
        <x:v>78953</x:v>
      </x:c>
      <x:c r="H297" s="9" t="n">
        <x:v>62405</x:v>
      </x:c>
      <x:c r="I297" s="9" t="n">
        <x:v>469</x:v>
      </x:c>
      <x:c r="J297" s="9" t="n">
        <x:v>106</x:v>
      </x:c>
      <x:c r="K297" s="9" t="n">
        <x:f>F297+G297+I297+J297</x:f>
        <x:v>80313.00000000745</x:v>
      </x:c>
      <x:c r="L297" s="10" t="n">
        <x:f>K297/Sources!$B$4*1000</x:f>
        <x:v>22.436650468148173</x:v>
      </x:c>
      <x:c r="M297" s="10" t="n">
        <x:f>E297/Sources!$B$4*1000</x:f>
        <x:v>39.87043045973928</x:v>
      </x:c>
      <x:c r="N297" s="9" t="n">
        <x:f>Sources!$B$6-K297</x:f>
        <x:v>-20577.00000000745</x:v>
      </x:c>
      <x:c r="O297" s="1" t="str">
        <x:v>horizontal_shift_right</x:v>
      </x:c>
      <x:c r="P297" s="12" t="n">
        <x:v>4</x:v>
      </x:c>
      <x:c r="Q297" s="12" t="n">
        <x:v>0</x:v>
      </x:c>
      <x:c r="R297" s="12" t="n">
        <x:v>5</x:v>
      </x:c>
      <x:c r="S297" s="12" t="n">
        <x:v>0</x:v>
      </x:c>
      <x:c r="T297" s="1" t="str">
        <x:v>No</x:v>
      </x:c>
      <x:c r="U297" s="1" t="n">
        <x:v>1</x:v>
      </x:c>
    </x:row>
    <x:row r="298" ht="23" customHeight="1">
      <x:c r="A298" s="9" t="n">
        <x:v>297</x:v>
      </x:c>
      <x:c r="B298" s="9" t="n">
        <x:v>385</x:v>
      </x:c>
      <x:c r="C298" s="9" t="n">
        <x:v>1032</x:v>
      </x:c>
      <x:c r="D298" s="9" t="n">
        <x:v>2</x:v>
      </x:c>
      <x:c r="E298" s="9" t="n">
        <x:v>71374</x:v>
      </x:c>
      <x:c r="F298" s="9" t="n">
        <x:v>785</x:v>
      </x:c>
      <x:c r="G298" s="9" t="n">
        <x:v>61031</x:v>
      </x:c>
      <x:c r="H298" s="9" t="n">
        <x:v>8975</x:v>
      </x:c>
      <x:c r="I298" s="9" t="n">
        <x:v>477</x:v>
      </x:c>
      <x:c r="J298" s="9" t="n">
        <x:v>106</x:v>
      </x:c>
      <x:c r="K298" s="9" t="n">
        <x:f>F298+G298+I298+J298</x:f>
        <x:v>62399</x:v>
      </x:c>
      <x:c r="L298" s="10" t="n">
        <x:f>K298/Sources!$B$4*1000</x:f>
        <x:v>17.43210380090207</x:v>
      </x:c>
      <x:c r="M298" s="10" t="n">
        <x:f>E298/Sources!$B$4*1000</x:f>
        <x:v>19.939405706591202</x:v>
      </x:c>
      <x:c r="N298" s="9" t="n">
        <x:f>Sources!$B$6-K298</x:f>
        <x:v>-2663</x:v>
      </x:c>
      <x:c r="O298" s="1" t="str">
        <x:v>horizontal_shift_right</x:v>
      </x:c>
      <x:c r="P298" s="12" t="n">
        <x:v>4</x:v>
      </x:c>
      <x:c r="Q298" s="12" t="n">
        <x:v>0</x:v>
      </x:c>
      <x:c r="R298" s="12" t="n">
        <x:v>1</x:v>
      </x:c>
      <x:c r="S298" s="12" t="n">
        <x:v>0</x:v>
      </x:c>
      <x:c r="T298" s="1" t="str">
        <x:v>Yes</x:v>
      </x:c>
      <x:c r="U298" s="1" t="n">
        <x:v>1</x:v>
      </x:c>
    </x:row>
    <x:row r="299" ht="23" customHeight="1">
      <x:c r="A299" s="9" t="n">
        <x:v>298</x:v>
      </x:c>
      <x:c r="B299" s="9" t="n">
        <x:v>387</x:v>
      </x:c>
      <x:c r="C299" s="9" t="n">
        <x:v>1032</x:v>
      </x:c>
      <x:c r="D299" s="9" t="n">
        <x:v>1</x:v>
      </x:c>
      <x:c r="E299" s="9" t="n">
        <x:v>142717</x:v>
      </x:c>
      <x:c r="F299" s="9" t="n">
        <x:v>785</x:v>
      </x:c>
      <x:c r="G299" s="9" t="n">
        <x:v>71022</x:v>
      </x:c>
      <x:c r="H299" s="9" t="n">
        <x:v>70335</x:v>
      </x:c>
      <x:c r="I299" s="9" t="n">
        <x:v>468.9999999925494</x:v>
      </x:c>
      <x:c r="J299" s="9" t="n">
        <x:v>106.00000000745058</x:v>
      </x:c>
      <x:c r="K299" s="9" t="n">
        <x:f>F299+G299+I299+J299</x:f>
        <x:v>72382</x:v>
      </x:c>
      <x:c r="L299" s="10" t="n">
        <x:f>K299/Sources!$B$4*1000</x:f>
        <x:v>20.221005742349934</x:v>
      </x:c>
      <x:c r="M299" s="10" t="n">
        <x:f>E299/Sources!$B$4*1000</x:f>
        <x:v>39.87015109462236</x:v>
      </x:c>
      <x:c r="N299" s="9" t="n">
        <x:f>Sources!$B$6-K299</x:f>
        <x:v>-12646</x:v>
      </x:c>
      <x:c r="O299" s="1" t="str">
        <x:v>horizontal_shift_right</x:v>
      </x:c>
      <x:c r="P299" s="12" t="n">
        <x:v>2</x:v>
      </x:c>
      <x:c r="Q299" s="12" t="n">
        <x:v>0</x:v>
      </x:c>
      <x:c r="R299" s="12" t="n">
        <x:v>3</x:v>
      </x:c>
      <x:c r="S299" s="12" t="n">
        <x:v>0</x:v>
      </x:c>
      <x:c r="T299" s="1" t="str">
        <x:v>No</x:v>
      </x:c>
      <x:c r="U299" s="1" t="n">
        <x:v>1</x:v>
      </x:c>
    </x:row>
    <x:row r="300" ht="23" customHeight="1">
      <x:c r="A300" s="9" t="n">
        <x:v>299</x:v>
      </x:c>
      <x:c r="B300" s="9" t="n">
        <x:v>391</x:v>
      </x:c>
      <x:c r="C300" s="9" t="n">
        <x:v>1032</x:v>
      </x:c>
      <x:c r="D300" s="9" t="n">
        <x:v>2</x:v>
      </x:c>
      <x:c r="E300" s="9" t="n">
        <x:v>71375</x:v>
      </x:c>
      <x:c r="F300" s="9" t="n">
        <x:v>785.0000000074506</x:v>
      </x:c>
      <x:c r="G300" s="9" t="n">
        <x:v>65201.99999999255</x:v>
      </x:c>
      <x:c r="H300" s="9" t="n">
        <x:v>4804.999999992549</x:v>
      </x:c>
      <x:c r="I300" s="9" t="n">
        <x:v>477.0000000074506</x:v>
      </x:c>
      <x:c r="J300" s="9" t="n">
        <x:v>106</x:v>
      </x:c>
      <x:c r="K300" s="9" t="n">
        <x:f>F300+G300+I300+J300</x:f>
        <x:v>66570.00000000745</x:v>
      </x:c>
      <x:c r="L300" s="10" t="n">
        <x:f>K300/Sources!$B$4*1000</x:f>
        <x:v>18.59733569490185</x:v>
      </x:c>
      <x:c r="M300" s="10" t="n">
        <x:f>E300/Sources!$B$4*1000</x:f>
        <x:v>19.93968507170604</x:v>
      </x:c>
      <x:c r="N300" s="9" t="n">
        <x:f>Sources!$B$6-K300</x:f>
        <x:v>-6834.000000007451</x:v>
      </x:c>
      <x:c r="O300" s="1" t="str">
        <x:v>horizontal_shift_right</x:v>
      </x:c>
      <x:c r="P300" s="12" t="n">
        <x:v>4</x:v>
      </x:c>
      <x:c r="Q300" s="12" t="n">
        <x:v>0</x:v>
      </x:c>
      <x:c r="R300" s="12" t="n">
        <x:v>7</x:v>
      </x:c>
      <x:c r="S300" s="12" t="n">
        <x:v>0</x:v>
      </x:c>
      <x:c r="T300" s="1" t="str">
        <x:v>No</x:v>
      </x:c>
      <x:c r="U300" s="1" t="n">
        <x:v>0</x:v>
      </x:c>
    </x:row>
    <x:row r="301" ht="23" customHeight="1">
      <x:c r="A301" s="9" t="n">
        <x:v>300</x:v>
      </x:c>
      <x:c r="B301" s="9" t="n">
        <x:v>393</x:v>
      </x:c>
      <x:c r="C301" s="9" t="n">
        <x:v>1032</x:v>
      </x:c>
      <x:c r="D301" s="9" t="n">
        <x:v>1</x:v>
      </x:c>
      <x:c r="E301" s="9" t="n">
        <x:v>142716.99999999255</x:v>
      </x:c>
      <x:c r="F301" s="9" t="n">
        <x:v>785</x:v>
      </x:c>
      <x:c r="G301" s="9" t="n">
        <x:v>94582</x:v>
      </x:c>
      <x:c r="H301" s="9" t="n">
        <x:v>46775</x:v>
      </x:c>
      <x:c r="I301" s="9" t="n">
        <x:v>469</x:v>
      </x:c>
      <x:c r="J301" s="9" t="n">
        <x:v>105.99999999254942</x:v>
      </x:c>
      <x:c r="K301" s="9" t="n">
        <x:f>F301+G301+I301+J301</x:f>
        <x:v>95941.99999999255</x:v>
      </x:c>
      <x:c r="L301" s="10" t="n">
        <x:f>K301/Sources!$B$4*1000</x:f>
        <x:v>26.802847847978597</x:v>
      </x:c>
      <x:c r="M301" s="10" t="n">
        <x:f>E301/Sources!$B$4*1000</x:f>
        <x:v>39.870151094620276</x:v>
      </x:c>
      <x:c r="N301" s="9" t="n">
        <x:f>Sources!$B$6-K301</x:f>
        <x:v>-36205.99999999255</x:v>
      </x:c>
      <x:c r="O301" s="1" t="str">
        <x:v>horizontal_shift_right</x:v>
      </x:c>
      <x:c r="P301" s="12" t="n">
        <x:v>2</x:v>
      </x:c>
      <x:c r="Q301" s="12" t="n">
        <x:v>0</x:v>
      </x:c>
      <x:c r="R301" s="12" t="n">
        <x:v>1</x:v>
      </x:c>
      <x:c r="S301" s="12" t="n">
        <x:v>0</x:v>
      </x:c>
      <x:c r="T301" s="1" t="str">
        <x:v>Yes</x:v>
      </x:c>
      <x:c r="U301" s="1" t="n">
        <x:v>1</x:v>
      </x:c>
    </x:row>
    <x:row r="302" ht="23" customHeight="1">
      <x:c r="A302" s="9" t="n">
        <x:v>301</x:v>
      </x:c>
      <x:c r="B302" s="9" t="n">
        <x:v>397</x:v>
      </x:c>
      <x:c r="C302" s="9" t="n">
        <x:v>1032</x:v>
      </x:c>
      <x:c r="D302" s="9" t="n">
        <x:v>2</x:v>
      </x:c>
      <x:c r="E302" s="9" t="n">
        <x:v>142739.00000000745</x:v>
      </x:c>
      <x:c r="F302" s="9" t="n">
        <x:v>785.0000000074506</x:v>
      </x:c>
      <x:c r="G302" s="9" t="n">
        <x:v>79031</x:v>
      </x:c>
      <x:c r="H302" s="9" t="n">
        <x:v>62340</x:v>
      </x:c>
      <x:c r="I302" s="9" t="n">
        <x:v>477</x:v>
      </x:c>
      <x:c r="J302" s="9" t="n">
        <x:v>106</x:v>
      </x:c>
      <x:c r="K302" s="9" t="n">
        <x:f>F302+G302+I302+J302</x:f>
        <x:v>80399.00000000745</x:v>
      </x:c>
      <x:c r="L302" s="10" t="n">
        <x:f>K302/Sources!$B$4*1000</x:f>
        <x:v>22.460675868024413</x:v>
      </x:c>
      <x:c r="M302" s="10" t="n">
        <x:f>E302/Sources!$B$4*1000</x:f>
        <x:v>39.87629712715092</x:v>
      </x:c>
      <x:c r="N302" s="9" t="n">
        <x:f>Sources!$B$6-K302</x:f>
        <x:v>-20663.00000000745</x:v>
      </x:c>
      <x:c r="O302" s="1" t="str">
        <x:v>horizontal_shift_right</x:v>
      </x:c>
      <x:c r="P302" s="12" t="n">
        <x:v>4</x:v>
      </x:c>
      <x:c r="Q302" s="12" t="n">
        <x:v>0</x:v>
      </x:c>
      <x:c r="R302" s="12" t="n">
        <x:v>5</x:v>
      </x:c>
      <x:c r="S302" s="12" t="n">
        <x:v>0</x:v>
      </x:c>
      <x:c r="T302" s="1" t="str">
        <x:v>No</x:v>
      </x:c>
      <x:c r="U302" s="1" t="n">
        <x:v>1</x:v>
      </x:c>
    </x:row>
    <x:row r="303" ht="23" customHeight="1">
      <x:c r="A303" s="9" t="n">
        <x:v>302</x:v>
      </x:c>
      <x:c r="B303" s="9" t="n">
        <x:v>401</x:v>
      </x:c>
      <x:c r="C303" s="9" t="n">
        <x:v>1032</x:v>
      </x:c>
      <x:c r="D303" s="9" t="n">
        <x:v>2</x:v>
      </x:c>
      <x:c r="E303" s="9" t="n">
        <x:v>71355</x:v>
      </x:c>
      <x:c r="F303" s="9" t="n">
        <x:v>785</x:v>
      </x:c>
      <x:c r="G303" s="9" t="n">
        <x:v>60850</x:v>
      </x:c>
      <x:c r="H303" s="9" t="n">
        <x:v>9145</x:v>
      </x:c>
      <x:c r="I303" s="9" t="n">
        <x:v>469</x:v>
      </x:c>
      <x:c r="J303" s="9" t="n">
        <x:v>106</x:v>
      </x:c>
      <x:c r="K303" s="9" t="n">
        <x:f>F303+G303+I303+J303</x:f>
        <x:v>62210</x:v>
      </x:c>
      <x:c r="L303" s="10" t="n">
        <x:f>K303/Sources!$B$4*1000</x:f>
        <x:v>17.37930379419731</x:v>
      </x:c>
      <x:c r="M303" s="10" t="n">
        <x:f>E303/Sources!$B$4*1000</x:f>
        <x:v>19.934097769409238</x:v>
      </x:c>
      <x:c r="N303" s="9" t="n">
        <x:f>Sources!$B$6-K303</x:f>
        <x:v>-2474</x:v>
      </x:c>
      <x:c r="O303" s="1" t="str">
        <x:v>horizontal_shift_right</x:v>
      </x:c>
      <x:c r="P303" s="12" t="n">
        <x:v>4</x:v>
      </x:c>
      <x:c r="Q303" s="12" t="n">
        <x:v>0</x:v>
      </x:c>
      <x:c r="R303" s="12" t="n">
        <x:v>1</x:v>
      </x:c>
      <x:c r="S303" s="12" t="n">
        <x:v>0</x:v>
      </x:c>
      <x:c r="T303" s="1" t="str">
        <x:v>Yes</x:v>
      </x:c>
      <x:c r="U303" s="1" t="n">
        <x:v>1</x:v>
      </x:c>
    </x:row>
    <x:row r="304" ht="23" customHeight="1">
      <x:c r="A304" s="9" t="n">
        <x:v>303</x:v>
      </x:c>
      <x:c r="B304" s="9" t="n">
        <x:v>403</x:v>
      </x:c>
      <x:c r="C304" s="9" t="n">
        <x:v>1032</x:v>
      </x:c>
      <x:c r="D304" s="9" t="n">
        <x:v>1</x:v>
      </x:c>
      <x:c r="E304" s="9" t="n">
        <x:v>142736</x:v>
      </x:c>
      <x:c r="F304" s="9" t="n">
        <x:v>785</x:v>
      </x:c>
      <x:c r="G304" s="9" t="n">
        <x:v>71222.99999999255</x:v>
      </x:c>
      <x:c r="H304" s="9" t="n">
        <x:v>70145</x:v>
      </x:c>
      <x:c r="I304" s="9" t="n">
        <x:v>477</x:v>
      </x:c>
      <x:c r="J304" s="9" t="n">
        <x:v>106.00000000745058</x:v>
      </x:c>
      <x:c r="K304" s="9" t="n">
        <x:f>F304+G304+I304+J304</x:f>
        <x:v>72591</x:v>
      </x:c>
      <x:c r="L304" s="10" t="n">
        <x:f>K304/Sources!$B$4*1000</x:f>
        <x:v>20.279393051351498</x:v>
      </x:c>
      <x:c r="M304" s="10" t="n">
        <x:f>E304/Sources!$B$4*1000</x:f>
        <x:v>39.87545903180432</x:v>
      </x:c>
      <x:c r="N304" s="9" t="n">
        <x:f>Sources!$B$6-K304</x:f>
        <x:v>-12855</x:v>
      </x:c>
      <x:c r="O304" s="1" t="str">
        <x:v>horizontal_shift_right</x:v>
      </x:c>
      <x:c r="P304" s="12" t="n">
        <x:v>2</x:v>
      </x:c>
      <x:c r="Q304" s="12" t="n">
        <x:v>0</x:v>
      </x:c>
      <x:c r="R304" s="12" t="n">
        <x:v>3</x:v>
      </x:c>
      <x:c r="S304" s="12" t="n">
        <x:v>0</x:v>
      </x:c>
      <x:c r="T304" s="1" t="str">
        <x:v>No</x:v>
      </x:c>
      <x:c r="U304" s="1" t="n">
        <x:v>1</x:v>
      </x:c>
    </x:row>
    <x:row r="305" ht="23" customHeight="1">
      <x:c r="A305" s="9" t="n">
        <x:v>304</x:v>
      </x:c>
      <x:c r="B305" s="9" t="n">
        <x:v>407</x:v>
      </x:c>
      <x:c r="C305" s="9" t="n">
        <x:v>1032</x:v>
      </x:c>
      <x:c r="D305" s="9" t="n">
        <x:v>2</x:v>
      </x:c>
      <x:c r="E305" s="9" t="n">
        <x:v>71356</x:v>
      </x:c>
      <x:c r="F305" s="9" t="n">
        <x:v>785</x:v>
      </x:c>
      <x:c r="G305" s="9" t="n">
        <x:v>65161</x:v>
      </x:c>
      <x:c r="H305" s="9" t="n">
        <x:v>4834.999999992549</x:v>
      </x:c>
      <x:c r="I305" s="9" t="n">
        <x:v>469.0000000074506</x:v>
      </x:c>
      <x:c r="J305" s="9" t="n">
        <x:v>106</x:v>
      </x:c>
      <x:c r="K305" s="9" t="n">
        <x:f>F305+G305+I305+J305</x:f>
        <x:v>66521.00000000745</x:v>
      </x:c>
      <x:c r="L305" s="10" t="n">
        <x:f>K305/Sources!$B$4*1000</x:f>
        <x:v>18.58364680427469</x:v>
      </x:c>
      <x:c r="M305" s="10" t="n">
        <x:f>E305/Sources!$B$4*1000</x:f>
        <x:v>19.93437713452408</x:v>
      </x:c>
      <x:c r="N305" s="9" t="n">
        <x:f>Sources!$B$6-K305</x:f>
        <x:v>-6785.000000007451</x:v>
      </x:c>
      <x:c r="O305" s="1" t="str">
        <x:v>horizontal_shift_right</x:v>
      </x:c>
      <x:c r="P305" s="12" t="n">
        <x:v>4</x:v>
      </x:c>
      <x:c r="Q305" s="12" t="n">
        <x:v>0</x:v>
      </x:c>
      <x:c r="R305" s="12" t="n">
        <x:v>7</x:v>
      </x:c>
      <x:c r="S305" s="12" t="n">
        <x:v>0</x:v>
      </x:c>
      <x:c r="T305" s="1" t="str">
        <x:v>No</x:v>
      </x:c>
      <x:c r="U305" s="1" t="n">
        <x:v>0</x:v>
      </x:c>
    </x:row>
    <x:row r="306" ht="23" customHeight="1">
      <x:c r="A306" s="9" t="n">
        <x:v>305</x:v>
      </x:c>
      <x:c r="B306" s="9" t="n">
        <x:v>409</x:v>
      </x:c>
      <x:c r="C306" s="9" t="n">
        <x:v>1032</x:v>
      </x:c>
      <x:c r="D306" s="9" t="n">
        <x:v>1</x:v>
      </x:c>
      <x:c r="E306" s="9" t="n">
        <x:v>142736</x:v>
      </x:c>
      <x:c r="F306" s="9" t="n">
        <x:v>784.9999999925494</x:v>
      </x:c>
      <x:c r="G306" s="9" t="n">
        <x:v>94783</x:v>
      </x:c>
      <x:c r="H306" s="9" t="n">
        <x:v>46585.00000000745</x:v>
      </x:c>
      <x:c r="I306" s="9" t="n">
        <x:v>476.9999999925494</x:v>
      </x:c>
      <x:c r="J306" s="9" t="n">
        <x:v>106.00000000745058</x:v>
      </x:c>
      <x:c r="K306" s="9" t="n">
        <x:f>F306+G306+I306+J306</x:f>
        <x:v>96150.99999999255</x:v>
      </x:c>
      <x:c r="L306" s="10" t="n">
        <x:f>K306/Sources!$B$4*1000</x:f>
        <x:v>26.86123515698016</x:v>
      </x:c>
      <x:c r="M306" s="10" t="n">
        <x:f>E306/Sources!$B$4*1000</x:f>
        <x:v>39.87545903180432</x:v>
      </x:c>
      <x:c r="N306" s="9" t="n">
        <x:f>Sources!$B$6-K306</x:f>
        <x:v>-36414.99999999255</x:v>
      </x:c>
      <x:c r="O306" s="1" t="str">
        <x:v>horizontal_shift_right</x:v>
      </x:c>
      <x:c r="P306" s="12" t="n">
        <x:v>2</x:v>
      </x:c>
      <x:c r="Q306" s="12" t="n">
        <x:v>0</x:v>
      </x:c>
      <x:c r="R306" s="12" t="n">
        <x:v>1</x:v>
      </x:c>
      <x:c r="S306" s="12" t="n">
        <x:v>0</x:v>
      </x:c>
      <x:c r="T306" s="1" t="str">
        <x:v>Yes</x:v>
      </x:c>
      <x:c r="U306" s="1" t="n">
        <x:v>1</x:v>
      </x:c>
    </x:row>
    <x:row r="307" ht="23" customHeight="1">
      <x:c r="A307" s="9" t="n">
        <x:v>306</x:v>
      </x:c>
      <x:c r="B307" s="9" t="n">
        <x:v>413</x:v>
      </x:c>
      <x:c r="C307" s="9" t="n">
        <x:v>1032</x:v>
      </x:c>
      <x:c r="D307" s="9" t="n">
        <x:v>2</x:v>
      </x:c>
      <x:c r="E307" s="9" t="n">
        <x:v>142719</x:v>
      </x:c>
      <x:c r="F307" s="9" t="n">
        <x:v>785</x:v>
      </x:c>
      <x:c r="G307" s="9" t="n">
        <x:v>78839</x:v>
      </x:c>
      <x:c r="H307" s="9" t="n">
        <x:v>62520</x:v>
      </x:c>
      <x:c r="I307" s="9" t="n">
        <x:v>469</x:v>
      </x:c>
      <x:c r="J307" s="9" t="n">
        <x:v>106</x:v>
      </x:c>
      <x:c r="K307" s="9" t="n">
        <x:f>F307+G307+I307+J307</x:f>
        <x:v>80199</x:v>
      </x:c>
      <x:c r="L307" s="10" t="n">
        <x:f>K307/Sources!$B$4*1000</x:f>
        <x:v>22.40480284505433</x:v>
      </x:c>
      <x:c r="M307" s="10" t="n">
        <x:f>E307/Sources!$B$4*1000</x:f>
        <x:v>39.870709824852035</x:v>
      </x:c>
      <x:c r="N307" s="9" t="n">
        <x:f>Sources!$B$6-K307</x:f>
        <x:v>-20463</x:v>
      </x:c>
      <x:c r="O307" s="1" t="str">
        <x:v>horizontal_shift_right</x:v>
      </x:c>
      <x:c r="P307" s="12" t="n">
        <x:v>4</x:v>
      </x:c>
      <x:c r="Q307" s="12" t="n">
        <x:v>0</x:v>
      </x:c>
      <x:c r="R307" s="12" t="n">
        <x:v>5</x:v>
      </x:c>
      <x:c r="S307" s="12" t="n">
        <x:v>0</x:v>
      </x:c>
      <x:c r="T307" s="1" t="str">
        <x:v>No</x:v>
      </x:c>
      <x:c r="U307" s="1" t="n">
        <x:v>1</x:v>
      </x:c>
    </x:row>
    <x:row r="308" ht="23" customHeight="1">
      <x:c r="A308" s="9" t="n">
        <x:v>307</x:v>
      </x:c>
      <x:c r="B308" s="9" t="n">
        <x:v>417</x:v>
      </x:c>
      <x:c r="C308" s="9" t="n">
        <x:v>1032</x:v>
      </x:c>
      <x:c r="D308" s="9" t="n">
        <x:v>2</x:v>
      </x:c>
      <x:c r="E308" s="9" t="n">
        <x:v>71372.99999999255</x:v>
      </x:c>
      <x:c r="F308" s="9" t="n">
        <x:v>785</x:v>
      </x:c>
      <x:c r="G308" s="9" t="n">
        <x:v>61050</x:v>
      </x:c>
      <x:c r="H308" s="9" t="n">
        <x:v>8955</x:v>
      </x:c>
      <x:c r="I308" s="9" t="n">
        <x:v>476.9999999925494</x:v>
      </x:c>
      <x:c r="J308" s="9" t="n">
        <x:v>106</x:v>
      </x:c>
      <x:c r="K308" s="9" t="n">
        <x:f>F308+G308+I308+J308</x:f>
        <x:v>62417.99999999255</x:v>
      </x:c>
      <x:c r="L308" s="10" t="n">
        <x:f>K308/Sources!$B$4*1000</x:f>
        <x:v>17.43741173808195</x:v>
      </x:c>
      <x:c r="M308" s="10" t="n">
        <x:f>E308/Sources!$B$4*1000</x:f>
        <x:v>19.93912634147428</x:v>
      </x:c>
      <x:c r="N308" s="9" t="n">
        <x:f>Sources!$B$6-K308</x:f>
        <x:v>-2681.9999999925494</x:v>
      </x:c>
      <x:c r="O308" s="1" t="str">
        <x:v>horizontal_shift_right</x:v>
      </x:c>
      <x:c r="P308" s="12" t="n">
        <x:v>4</x:v>
      </x:c>
      <x:c r="Q308" s="12" t="n">
        <x:v>0</x:v>
      </x:c>
      <x:c r="R308" s="12" t="n">
        <x:v>1</x:v>
      </x:c>
      <x:c r="S308" s="12" t="n">
        <x:v>0</x:v>
      </x:c>
      <x:c r="T308" s="1" t="str">
        <x:v>Yes</x:v>
      </x:c>
      <x:c r="U308" s="1" t="n">
        <x:v>1</x:v>
      </x:c>
    </x:row>
    <x:row r="309" ht="23" customHeight="1">
      <x:c r="A309" s="9" t="n">
        <x:v>308</x:v>
      </x:c>
      <x:c r="B309" s="9" t="n">
        <x:v>419</x:v>
      </x:c>
      <x:c r="C309" s="9" t="n">
        <x:v>1032</x:v>
      </x:c>
      <x:c r="D309" s="9" t="n">
        <x:v>1</x:v>
      </x:c>
      <x:c r="E309" s="9" t="n">
        <x:v>142721</x:v>
      </x:c>
      <x:c r="F309" s="9" t="n">
        <x:v>785.0000000074506</x:v>
      </x:c>
      <x:c r="G309" s="9" t="n">
        <x:v>71040.99999999255</x:v>
      </x:c>
      <x:c r="H309" s="9" t="n">
        <x:v>70320.00000000745</x:v>
      </x:c>
      <x:c r="I309" s="9" t="n">
        <x:v>469</x:v>
      </x:c>
      <x:c r="J309" s="9" t="n">
        <x:v>105.99999999254942</x:v>
      </x:c>
      <x:c r="K309" s="9" t="n">
        <x:f>F309+G309+I309+J309</x:f>
        <x:v>72400.99999999255</x:v>
      </x:c>
      <x:c r="L309" s="10" t="n">
        <x:f>K309/Sources!$B$4*1000</x:f>
        <x:v>20.226313679529813</x:v>
      </x:c>
      <x:c r="M309" s="10" t="n">
        <x:f>E309/Sources!$B$4*1000</x:f>
        <x:v>39.87126855508172</x:v>
      </x:c>
      <x:c r="N309" s="9" t="n">
        <x:f>Sources!$B$6-K309</x:f>
        <x:v>-12664.99999999255</x:v>
      </x:c>
      <x:c r="O309" s="1" t="str">
        <x:v>horizontal_shift_right</x:v>
      </x:c>
      <x:c r="P309" s="12" t="n">
        <x:v>2</x:v>
      </x:c>
      <x:c r="Q309" s="12" t="n">
        <x:v>0</x:v>
      </x:c>
      <x:c r="R309" s="12" t="n">
        <x:v>3</x:v>
      </x:c>
      <x:c r="S309" s="12" t="n">
        <x:v>0</x:v>
      </x:c>
      <x:c r="T309" s="1" t="str">
        <x:v>No</x:v>
      </x:c>
      <x:c r="U309" s="1" t="n">
        <x:v>1</x:v>
      </x:c>
    </x:row>
    <x:row r="310" ht="23" customHeight="1">
      <x:c r="A310" s="9" t="n">
        <x:v>309</x:v>
      </x:c>
      <x:c r="B310" s="9" t="n">
        <x:v>415</x:v>
      </x:c>
      <x:c r="C310" s="9" t="n">
        <x:v>1032</x:v>
      </x:c>
      <x:c r="D310" s="9" t="n">
        <x:v>2</x:v>
      </x:c>
      <x:c r="E310" s="9" t="n">
        <x:v>142736.00000000745</x:v>
      </x:c>
      <x:c r="F310" s="9" t="n">
        <x:v>818.0000000074506</x:v>
      </x:c>
      <x:c r="G310" s="9" t="n">
        <x:v>99665</x:v>
      </x:c>
      <x:c r="H310" s="9" t="n">
        <x:v>41669.99999999255</x:v>
      </x:c>
      <x:c r="I310" s="9" t="n">
        <x:v>477.0000000074506</x:v>
      </x:c>
      <x:c r="J310" s="9" t="n">
        <x:v>106</x:v>
      </x:c>
      <x:c r="K310" s="9" t="n">
        <x:f>F310+G310+I310+J310</x:f>
        <x:v>101066.0000000149</x:v>
      </x:c>
      <x:c r="L310" s="10" t="n">
        <x:f>K310/Sources!$B$4*1000</x:f>
        <x:v>28.234314696425077</x:v>
      </x:c>
      <x:c r="M310" s="10" t="n">
        <x:f>E310/Sources!$B$4*1000</x:f>
        <x:v>39.8754590318064</x:v>
      </x:c>
      <x:c r="N310" s="9" t="n">
        <x:f>Sources!$B$6-K310</x:f>
        <x:v>-41330.0000000149</x:v>
      </x:c>
      <x:c r="O310" s="1" t="str">
        <x:v>horizontal_shift_left</x:v>
      </x:c>
      <x:c r="P310" s="12" t="n">
        <x:v>-4</x:v>
      </x:c>
      <x:c r="Q310" s="12" t="n">
        <x:v>0</x:v>
      </x:c>
      <x:c r="R310" s="12" t="n">
        <x:v>7</x:v>
      </x:c>
      <x:c r="S310" s="12" t="n">
        <x:v>0</x:v>
      </x:c>
      <x:c r="T310" s="1" t="str">
        <x:v>Yes</x:v>
      </x:c>
      <x:c r="U310" s="1" t="n">
        <x:v>1</x:v>
      </x:c>
    </x:row>
    <x:row r="311" ht="23" customHeight="1">
      <x:c r="A311" s="9" t="n">
        <x:v>310</x:v>
      </x:c>
      <x:c r="B311" s="9" t="n">
        <x:v>411</x:v>
      </x:c>
      <x:c r="C311" s="9" t="n">
        <x:v>1032</x:v>
      </x:c>
      <x:c r="D311" s="9" t="n">
        <x:v>2</x:v>
      </x:c>
      <x:c r="E311" s="9" t="n">
        <x:v>71357</x:v>
      </x:c>
      <x:c r="F311" s="9" t="n">
        <x:v>817.9999999925494</x:v>
      </x:c>
      <x:c r="G311" s="9" t="n">
        <x:v>36534.00000000745</x:v>
      </x:c>
      <x:c r="H311" s="9" t="n">
        <x:v>33430</x:v>
      </x:c>
      <x:c r="I311" s="9" t="n">
        <x:v>468.9999999925494</x:v>
      </x:c>
      <x:c r="J311" s="9" t="n">
        <x:v>106.00000000745058</x:v>
      </x:c>
      <x:c r="K311" s="9" t="n">
        <x:f>F311+G311+I311+J311</x:f>
        <x:v>37927</x:v>
      </x:c>
      <x:c r="L311" s="10" t="n">
        <x:f>K311/Sources!$B$4*1000</x:f>
        <x:v>10.595480710537233</x:v>
      </x:c>
      <x:c r="M311" s="10" t="n">
        <x:f>E311/Sources!$B$4*1000</x:f>
        <x:v>19.93465649963892</x:v>
      </x:c>
      <x:c r="N311" s="9" t="n">
        <x:f>Sources!$B$6-K311</x:f>
        <x:v>21809</x:v>
      </x:c>
      <x:c r="O311" s="1" t="str">
        <x:v>horizontal_shift_left</x:v>
      </x:c>
      <x:c r="P311" s="12" t="n">
        <x:v>-4</x:v>
      </x:c>
      <x:c r="Q311" s="12" t="n">
        <x:v>0</x:v>
      </x:c>
      <x:c r="R311" s="12" t="n">
        <x:v>3</x:v>
      </x:c>
      <x:c r="S311" s="12" t="n">
        <x:v>0</x:v>
      </x:c>
      <x:c r="T311" s="1" t="str">
        <x:v>No</x:v>
      </x:c>
      <x:c r="U311" s="1" t="n">
        <x:v>1</x:v>
      </x:c>
    </x:row>
    <x:row r="312" ht="23" customHeight="1">
      <x:c r="A312" s="9" t="n">
        <x:v>311</x:v>
      </x:c>
      <x:c r="B312" s="9" t="n">
        <x:v>409</x:v>
      </x:c>
      <x:c r="C312" s="9" t="n">
        <x:v>1032</x:v>
      </x:c>
      <x:c r="D312" s="9" t="n">
        <x:v>1</x:v>
      </x:c>
      <x:c r="E312" s="9" t="n">
        <x:v>71371</x:v>
      </x:c>
      <x:c r="F312" s="9" t="n">
        <x:v>818</x:v>
      </x:c>
      <x:c r="G312" s="9" t="n">
        <x:v>67900</x:v>
      </x:c>
      <x:c r="H312" s="9" t="n">
        <x:v>2070</x:v>
      </x:c>
      <x:c r="I312" s="9" t="n">
        <x:v>476.9999999925494</x:v>
      </x:c>
      <x:c r="J312" s="9" t="n">
        <x:v>106.00000000745058</x:v>
      </x:c>
      <x:c r="K312" s="9" t="n">
        <x:f>F312+G312+I312+J312</x:f>
        <x:v>69301</x:v>
      </x:c>
      <x:c r="L312" s="10" t="n">
        <x:f>K312/Sources!$B$4*1000</x:f>
        <x:v>19.36028182352785</x:v>
      </x:c>
      <x:c r="M312" s="10" t="n">
        <x:f>E312/Sources!$B$4*1000</x:f>
        <x:v>19.93856761124668</x:v>
      </x:c>
      <x:c r="N312" s="9" t="n">
        <x:f>Sources!$B$6-K312</x:f>
        <x:v>-9565</x:v>
      </x:c>
      <x:c r="O312" s="1" t="str">
        <x:v>horizontal_shift_left</x:v>
      </x:c>
      <x:c r="P312" s="12" t="n">
        <x:v>-2</x:v>
      </x:c>
      <x:c r="Q312" s="12" t="n">
        <x:v>0</x:v>
      </x:c>
      <x:c r="R312" s="12" t="n">
        <x:v>1</x:v>
      </x:c>
      <x:c r="S312" s="12" t="n">
        <x:v>0</x:v>
      </x:c>
      <x:c r="T312" s="1" t="str">
        <x:v>No</x:v>
      </x:c>
      <x:c r="U312" s="1" t="n">
        <x:v>0</x:v>
      </x:c>
    </x:row>
    <x:row r="313" ht="23" customHeight="1">
      <x:c r="A313" s="9" t="n">
        <x:v>312</x:v>
      </x:c>
      <x:c r="B313" s="9" t="n">
        <x:v>407</x:v>
      </x:c>
      <x:c r="C313" s="9" t="n">
        <x:v>1032</x:v>
      </x:c>
      <x:c r="D313" s="9" t="n">
        <x:v>1</x:v>
      </x:c>
      <x:c r="E313" s="9" t="n">
        <x:v>142720</x:v>
      </x:c>
      <x:c r="F313" s="9" t="n">
        <x:v>818</x:v>
      </x:c>
      <x:c r="G313" s="9" t="n">
        <x:v>99287</x:v>
      </x:c>
      <x:c r="H313" s="9" t="n">
        <x:v>42040</x:v>
      </x:c>
      <x:c r="I313" s="9" t="n">
        <x:v>469</x:v>
      </x:c>
      <x:c r="J313" s="9" t="n">
        <x:v>106</x:v>
      </x:c>
      <x:c r="K313" s="9" t="n">
        <x:f>F313+G313+I313+J313</x:f>
        <x:v>100680</x:v>
      </x:c>
      <x:c r="L313" s="10" t="n">
        <x:f>K313/Sources!$B$4*1000</x:f>
        <x:v>28.126479762092668</x:v>
      </x:c>
      <x:c r="M313" s="10" t="n">
        <x:f>E313/Sources!$B$4*1000</x:f>
        <x:v>39.87098918996688</x:v>
      </x:c>
      <x:c r="N313" s="9" t="n">
        <x:f>Sources!$B$6-K313</x:f>
        <x:v>-40944</x:v>
      </x:c>
      <x:c r="O313" s="1" t="str">
        <x:v>horizontal_shift_left</x:v>
      </x:c>
      <x:c r="P313" s="12" t="n">
        <x:v>-2</x:v>
      </x:c>
      <x:c r="Q313" s="12" t="n">
        <x:v>0</x:v>
      </x:c>
      <x:c r="R313" s="12" t="n">
        <x:v>7</x:v>
      </x:c>
      <x:c r="S313" s="12" t="n">
        <x:v>0</x:v>
      </x:c>
      <x:c r="T313" s="1" t="str">
        <x:v>Yes</x:v>
      </x:c>
      <x:c r="U313" s="1" t="n">
        <x:v>1</x:v>
      </x:c>
    </x:row>
    <x:row r="314" ht="23" customHeight="1">
      <x:c r="A314" s="9" t="n">
        <x:v>313</x:v>
      </x:c>
      <x:c r="B314" s="9" t="n">
        <x:v>403</x:v>
      </x:c>
      <x:c r="C314" s="9" t="n">
        <x:v>1032</x:v>
      </x:c>
      <x:c r="D314" s="9" t="n">
        <x:v>2</x:v>
      </x:c>
      <x:c r="E314" s="9" t="n">
        <x:v>142734.99999999255</x:v>
      </x:c>
      <x:c r="F314" s="9" t="n">
        <x:v>817.9999999925494</x:v>
      </x:c>
      <x:c r="G314" s="9" t="n">
        <x:v>71504.00000000745</x:v>
      </x:c>
      <x:c r="H314" s="9" t="n">
        <x:v>69830</x:v>
      </x:c>
      <x:c r="I314" s="9" t="n">
        <x:v>477</x:v>
      </x:c>
      <x:c r="J314" s="9" t="n">
        <x:v>105.99999999254942</x:v>
      </x:c>
      <x:c r="K314" s="9" t="n">
        <x:f>F314+G314+I314+J314</x:f>
        <x:v>72904.99999999255</x:v>
      </x:c>
      <x:c r="L314" s="10" t="n">
        <x:f>K314/Sources!$B$4*1000</x:f>
        <x:v>20.36711369740918</x:v>
      </x:c>
      <x:c r="M314" s="10" t="n">
        <x:f>E314/Sources!$B$4*1000</x:f>
        <x:v>39.8751796666874</x:v>
      </x:c>
      <x:c r="N314" s="9" t="n">
        <x:f>Sources!$B$6-K314</x:f>
        <x:v>-13168.99999999255</x:v>
      </x:c>
      <x:c r="O314" s="1" t="str">
        <x:v>horizontal_shift_left</x:v>
      </x:c>
      <x:c r="P314" s="12" t="n">
        <x:v>-4</x:v>
      </x:c>
      <x:c r="Q314" s="12" t="n">
        <x:v>0</x:v>
      </x:c>
      <x:c r="R314" s="12" t="n">
        <x:v>3</x:v>
      </x:c>
      <x:c r="S314" s="12" t="n">
        <x:v>0</x:v>
      </x:c>
      <x:c r="T314" s="1" t="str">
        <x:v>No</x:v>
      </x:c>
      <x:c r="U314" s="1" t="n">
        <x:v>1</x:v>
      </x:c>
    </x:row>
    <x:row r="315" ht="23" customHeight="1">
      <x:c r="A315" s="9" t="n">
        <x:v>314</x:v>
      </x:c>
      <x:c r="B315" s="9" t="n">
        <x:v>399</x:v>
      </x:c>
      <x:c r="C315" s="9" t="n">
        <x:v>1032</x:v>
      </x:c>
      <x:c r="D315" s="9" t="n">
        <x:v>2</x:v>
      </x:c>
      <x:c r="E315" s="9" t="n">
        <x:v>71355.00000000745</x:v>
      </x:c>
      <x:c r="F315" s="9" t="n">
        <x:v>818.0000000074506</x:v>
      </x:c>
      <x:c r="G315" s="9" t="n">
        <x:v>60057</x:v>
      </x:c>
      <x:c r="H315" s="9" t="n">
        <x:v>9905</x:v>
      </x:c>
      <x:c r="I315" s="9" t="n">
        <x:v>469</x:v>
      </x:c>
      <x:c r="J315" s="9" t="n">
        <x:v>106</x:v>
      </x:c>
      <x:c r="K315" s="9" t="n">
        <x:f>F315+G315+I315+J315</x:f>
        <x:v>61450.00000000745</x:v>
      </x:c>
      <x:c r="L315" s="10" t="n">
        <x:f>K315/Sources!$B$4*1000</x:f>
        <x:v>17.166986306920975</x:v>
      </x:c>
      <x:c r="M315" s="10" t="n">
        <x:f>E315/Sources!$B$4*1000</x:f>
        <x:v>19.93409776941132</x:v>
      </x:c>
      <x:c r="N315" s="9" t="n">
        <x:f>Sources!$B$6-K315</x:f>
        <x:v>-1714.0000000074506</x:v>
      </x:c>
      <x:c r="O315" s="1" t="str">
        <x:v>horizontal_shift_left</x:v>
      </x:c>
      <x:c r="P315" s="12" t="n">
        <x:v>-4</x:v>
      </x:c>
      <x:c r="Q315" s="12" t="n">
        <x:v>0</x:v>
      </x:c>
      <x:c r="R315" s="12" t="n">
        <x:v>7</x:v>
      </x:c>
      <x:c r="S315" s="12" t="n">
        <x:v>0</x:v>
      </x:c>
      <x:c r="T315" s="1" t="str">
        <x:v>Yes</x:v>
      </x:c>
      <x:c r="U315" s="1" t="n">
        <x:v>1</x:v>
      </x:c>
    </x:row>
    <x:row r="316" ht="23" customHeight="1">
      <x:c r="A316" s="9" t="n">
        <x:v>315</x:v>
      </x:c>
      <x:c r="B316" s="9" t="n">
        <x:v>397</x:v>
      </x:c>
      <x:c r="C316" s="9" t="n">
        <x:v>1032</x:v>
      </x:c>
      <x:c r="D316" s="9" t="n">
        <x:v>1</x:v>
      </x:c>
      <x:c r="E316" s="9" t="n">
        <x:v>142739</x:v>
      </x:c>
      <x:c r="F316" s="9" t="n">
        <x:v>818</x:v>
      </x:c>
      <x:c r="G316" s="9" t="n">
        <x:v>70738.00000000745</x:v>
      </x:c>
      <x:c r="H316" s="9" t="n">
        <x:v>70599.99999999255</x:v>
      </x:c>
      <x:c r="I316" s="9" t="n">
        <x:v>477.0000000074506</x:v>
      </x:c>
      <x:c r="J316" s="9" t="n">
        <x:v>105.99999999254942</x:v>
      </x:c>
      <x:c r="K316" s="9" t="n">
        <x:f>F316+G316+I316+J316</x:f>
        <x:v>72139.00000000745</x:v>
      </x:c>
      <x:c r="L316" s="10" t="n">
        <x:f>K316/Sources!$B$4*1000</x:f>
        <x:v>20.153120019445893</x:v>
      </x:c>
      <x:c r="M316" s="10" t="n">
        <x:f>E316/Sources!$B$4*1000</x:f>
        <x:v>39.87629712714884</x:v>
      </x:c>
      <x:c r="N316" s="9" t="n">
        <x:f>Sources!$B$6-K316</x:f>
        <x:v>-12403.00000000745</x:v>
      </x:c>
      <x:c r="O316" s="1" t="str">
        <x:v>horizontal_shift_left</x:v>
      </x:c>
      <x:c r="P316" s="12" t="n">
        <x:v>-2</x:v>
      </x:c>
      <x:c r="Q316" s="12" t="n">
        <x:v>0</x:v>
      </x:c>
      <x:c r="R316" s="12" t="n">
        <x:v>5</x:v>
      </x:c>
      <x:c r="S316" s="12" t="n">
        <x:v>0</x:v>
      </x:c>
      <x:c r="T316" s="1" t="str">
        <x:v>No</x:v>
      </x:c>
      <x:c r="U316" s="1" t="n">
        <x:v>1</x:v>
      </x:c>
    </x:row>
    <x:row r="317" ht="23" customHeight="1">
      <x:c r="A317" s="9" t="n">
        <x:v>316</x:v>
      </x:c>
      <x:c r="B317" s="9" t="n">
        <x:v>393</x:v>
      </x:c>
      <x:c r="C317" s="9" t="n">
        <x:v>1032</x:v>
      </x:c>
      <x:c r="D317" s="9" t="n">
        <x:v>2</x:v>
      </x:c>
      <x:c r="E317" s="9" t="n">
        <x:v>71352</x:v>
      </x:c>
      <x:c r="F317" s="9" t="n">
        <x:v>817.9999999925494</x:v>
      </x:c>
      <x:c r="G317" s="9" t="n">
        <x:v>67859.00000000745</x:v>
      </x:c>
      <x:c r="H317" s="9" t="n">
        <x:v>2100</x:v>
      </x:c>
      <x:c r="I317" s="9" t="n">
        <x:v>469</x:v>
      </x:c>
      <x:c r="J317" s="9" t="n">
        <x:v>106</x:v>
      </x:c>
      <x:c r="K317" s="9" t="n">
        <x:f>F317+G317+I317+J317</x:f>
        <x:v>69252</x:v>
      </x:c>
      <x:c r="L317" s="10" t="n">
        <x:f>K317/Sources!$B$4*1000</x:f>
        <x:v>19.34659293290069</x:v>
      </x:c>
      <x:c r="M317" s="10" t="n">
        <x:f>E317/Sources!$B$4*1000</x:f>
        <x:v>19.93325967406472</x:v>
      </x:c>
      <x:c r="N317" s="9" t="n">
        <x:f>Sources!$B$6-K317</x:f>
        <x:v>-9516</x:v>
      </x:c>
      <x:c r="O317" s="1" t="str">
        <x:v>horizontal_shift_left</x:v>
      </x:c>
      <x:c r="P317" s="12" t="n">
        <x:v>-4</x:v>
      </x:c>
      <x:c r="Q317" s="12" t="n">
        <x:v>0</x:v>
      </x:c>
      <x:c r="R317" s="12" t="n">
        <x:v>1</x:v>
      </x:c>
      <x:c r="S317" s="12" t="n">
        <x:v>0</x:v>
      </x:c>
      <x:c r="T317" s="1" t="str">
        <x:v>No</x:v>
      </x:c>
      <x:c r="U317" s="1" t="n">
        <x:v>0</x:v>
      </x:c>
    </x:row>
    <x:row r="318" ht="23" customHeight="1">
      <x:c r="A318" s="9" t="n">
        <x:v>317</x:v>
      </x:c>
      <x:c r="B318" s="9" t="n">
        <x:v>391</x:v>
      </x:c>
      <x:c r="C318" s="9" t="n">
        <x:v>1032</x:v>
      </x:c>
      <x:c r="D318" s="9" t="n">
        <x:v>1</x:v>
      </x:c>
      <x:c r="E318" s="9" t="n">
        <x:v>142739</x:v>
      </x:c>
      <x:c r="F318" s="9" t="n">
        <x:v>818</x:v>
      </x:c>
      <x:c r="G318" s="9" t="n">
        <x:v>99488</x:v>
      </x:c>
      <x:c r="H318" s="9" t="n">
        <x:v>41850.00000000745</x:v>
      </x:c>
      <x:c r="I318" s="9" t="n">
        <x:v>476.9999999925494</x:v>
      </x:c>
      <x:c r="J318" s="9" t="n">
        <x:v>106</x:v>
      </x:c>
      <x:c r="K318" s="9" t="n">
        <x:f>F318+G318+I318+J318</x:f>
        <x:v>100888.99999999255</x:v>
      </x:c>
      <x:c r="L318" s="10" t="n">
        <x:f>K318/Sources!$B$4*1000</x:f>
        <x:v>28.18486707109215</x:v>
      </x:c>
      <x:c r="M318" s="10" t="n">
        <x:f>E318/Sources!$B$4*1000</x:f>
        <x:v>39.87629712714884</x:v>
      </x:c>
      <x:c r="N318" s="9" t="n">
        <x:f>Sources!$B$6-K318</x:f>
        <x:v>-41152.99999999255</x:v>
      </x:c>
      <x:c r="O318" s="1" t="str">
        <x:v>horizontal_shift_left</x:v>
      </x:c>
      <x:c r="P318" s="12" t="n">
        <x:v>-2</x:v>
      </x:c>
      <x:c r="Q318" s="12" t="n">
        <x:v>0</x:v>
      </x:c>
      <x:c r="R318" s="12" t="n">
        <x:v>7</x:v>
      </x:c>
      <x:c r="S318" s="12" t="n">
        <x:v>0</x:v>
      </x:c>
      <x:c r="T318" s="1" t="str">
        <x:v>Yes</x:v>
      </x:c>
      <x:c r="U318" s="1" t="n">
        <x:v>1</x:v>
      </x:c>
    </x:row>
    <x:row r="319" ht="23" customHeight="1">
      <x:c r="A319" s="9" t="n">
        <x:v>318</x:v>
      </x:c>
      <x:c r="B319" s="9" t="n">
        <x:v>387</x:v>
      </x:c>
      <x:c r="C319" s="9" t="n">
        <x:v>1032</x:v>
      </x:c>
      <x:c r="D319" s="9" t="n">
        <x:v>2</x:v>
      </x:c>
      <x:c r="E319" s="9" t="n">
        <x:v>142720.99999999255</x:v>
      </x:c>
      <x:c r="F319" s="9" t="n">
        <x:v>818.0000000074506</x:v>
      </x:c>
      <x:c r="G319" s="9" t="n">
        <x:v>71302.99999999255</x:v>
      </x:c>
      <x:c r="H319" s="9" t="n">
        <x:v>70025.00000000745</x:v>
      </x:c>
      <x:c r="I319" s="9" t="n">
        <x:v>469</x:v>
      </x:c>
      <x:c r="J319" s="9" t="n">
        <x:v>105.99999998509884</x:v>
      </x:c>
      <x:c r="K319" s="9" t="n">
        <x:f>F319+G319+I319+J319</x:f>
        <x:v>72695.9999999851</x:v>
      </x:c>
      <x:c r="L319" s="10" t="n">
        <x:f>K319/Sources!$B$4*1000</x:f>
        <x:v>20.308726388405535</x:v>
      </x:c>
      <x:c r="M319" s="10" t="n">
        <x:f>E319/Sources!$B$4*1000</x:f>
        <x:v>39.87126855507964</x:v>
      </x:c>
      <x:c r="N319" s="9" t="n">
        <x:f>Sources!$B$6-K319</x:f>
        <x:v>-12959.999999985099</x:v>
      </x:c>
      <x:c r="O319" s="1" t="str">
        <x:v>horizontal_shift_left</x:v>
      </x:c>
      <x:c r="P319" s="12" t="n">
        <x:v>-4</x:v>
      </x:c>
      <x:c r="Q319" s="12" t="n">
        <x:v>0</x:v>
      </x:c>
      <x:c r="R319" s="12" t="n">
        <x:v>3</x:v>
      </x:c>
      <x:c r="S319" s="12" t="n">
        <x:v>0</x:v>
      </x:c>
      <x:c r="T319" s="1" t="str">
        <x:v>No</x:v>
      </x:c>
      <x:c r="U319" s="1" t="n">
        <x:v>1</x:v>
      </x:c>
    </x:row>
    <x:row r="320" ht="23" customHeight="1">
      <x:c r="A320" s="9" t="n">
        <x:v>319</x:v>
      </x:c>
      <x:c r="B320" s="9" t="n">
        <x:v>383</x:v>
      </x:c>
      <x:c r="C320" s="9" t="n">
        <x:v>1032</x:v>
      </x:c>
      <x:c r="D320" s="9" t="n">
        <x:v>2</x:v>
      </x:c>
      <x:c r="E320" s="9" t="n">
        <x:v>71370.00000000745</x:v>
      </x:c>
      <x:c r="F320" s="9" t="n">
        <x:v>818.0000000074506</x:v>
      </x:c>
      <x:c r="G320" s="9" t="n">
        <x:v>60219</x:v>
      </x:c>
      <x:c r="H320" s="9" t="n">
        <x:v>9749.99999999255</x:v>
      </x:c>
      <x:c r="I320" s="9" t="n">
        <x:v>477.0000000074506</x:v>
      </x:c>
      <x:c r="J320" s="9" t="n">
        <x:v>106</x:v>
      </x:c>
      <x:c r="K320" s="9" t="n">
        <x:f>F320+G320+I320+J320</x:f>
        <x:v>61620.0000000149</x:v>
      </x:c>
      <x:c r="L320" s="10" t="n">
        <x:f>K320/Sources!$B$4*1000</x:f>
        <x:v>17.21447837644586</x:v>
      </x:c>
      <x:c r="M320" s="10" t="n">
        <x:f>E320/Sources!$B$4*1000</x:f>
        <x:v>19.938288246133922</x:v>
      </x:c>
      <x:c r="N320" s="9" t="n">
        <x:f>Sources!$B$6-K320</x:f>
        <x:v>-1884.0000000149012</x:v>
      </x:c>
      <x:c r="O320" s="1" t="str">
        <x:v>horizontal_shift_left</x:v>
      </x:c>
      <x:c r="P320" s="12" t="n">
        <x:v>-4</x:v>
      </x:c>
      <x:c r="Q320" s="12" t="n">
        <x:v>0</x:v>
      </x:c>
      <x:c r="R320" s="12" t="n">
        <x:v>7</x:v>
      </x:c>
      <x:c r="S320" s="12" t="n">
        <x:v>0</x:v>
      </x:c>
      <x:c r="T320" s="1" t="str">
        <x:v>Yes</x:v>
      </x:c>
      <x:c r="U320" s="1" t="n">
        <x:v>1</x:v>
      </x:c>
    </x:row>
    <x:row r="321" ht="23" customHeight="1">
      <x:c r="A321" s="9" t="n">
        <x:v>320</x:v>
      </x:c>
      <x:c r="B321" s="9" t="n">
        <x:v>381</x:v>
      </x:c>
      <x:c r="C321" s="9" t="n">
        <x:v>1032</x:v>
      </x:c>
      <x:c r="D321" s="9" t="n">
        <x:v>1</x:v>
      </x:c>
      <x:c r="E321" s="9" t="n">
        <x:v>142718</x:v>
      </x:c>
      <x:c r="F321" s="9" t="n">
        <x:v>817.9999999925494</x:v>
      </x:c>
      <x:c r="G321" s="9" t="n">
        <x:v>70660</x:v>
      </x:c>
      <x:c r="H321" s="9" t="n">
        <x:v>70665.00000000745</x:v>
      </x:c>
      <x:c r="I321" s="9" t="n">
        <x:v>469</x:v>
      </x:c>
      <x:c r="J321" s="9" t="n">
        <x:v>106</x:v>
      </x:c>
      <x:c r="K321" s="9" t="n">
        <x:f>F321+G321+I321+J321</x:f>
        <x:v>72052.99999999255</x:v>
      </x:c>
      <x:c r="L321" s="10" t="n">
        <x:f>K321/Sources!$B$4*1000</x:f>
        <x:v>20.12909461956549</x:v>
      </x:c>
      <x:c r="M321" s="10" t="n">
        <x:f>E321/Sources!$B$4*1000</x:f>
        <x:v>39.8704304597372</x:v>
      </x:c>
      <x:c r="N321" s="9" t="n">
        <x:f>Sources!$B$6-K321</x:f>
        <x:v>-12316.99999999255</x:v>
      </x:c>
      <x:c r="O321" s="1" t="str">
        <x:v>horizontal_shift_left</x:v>
      </x:c>
      <x:c r="P321" s="12" t="n">
        <x:v>-2</x:v>
      </x:c>
      <x:c r="Q321" s="12" t="n">
        <x:v>0</x:v>
      </x:c>
      <x:c r="R321" s="12" t="n">
        <x:v>5</x:v>
      </x:c>
      <x:c r="S321" s="12" t="n">
        <x:v>0</x:v>
      </x:c>
      <x:c r="T321" s="1" t="str">
        <x:v>No</x:v>
      </x:c>
      <x:c r="U321" s="1" t="n">
        <x:v>1</x:v>
      </x:c>
    </x:row>
    <x:row r="322" ht="23" customHeight="1">
      <x:c r="A322" s="9" t="n">
        <x:v>321</x:v>
      </x:c>
      <x:c r="B322" s="9" t="n">
        <x:v>377</x:v>
      </x:c>
      <x:c r="C322" s="9" t="n">
        <x:v>1032</x:v>
      </x:c>
      <x:c r="D322" s="9" t="n">
        <x:v>2</x:v>
      </x:c>
      <x:c r="E322" s="9" t="n">
        <x:v>71372</x:v>
      </x:c>
      <x:c r="F322" s="9" t="n">
        <x:v>818</x:v>
      </x:c>
      <x:c r="G322" s="9" t="n">
        <x:v>67880.99999999255</x:v>
      </x:c>
      <x:c r="H322" s="9" t="n">
        <x:v>2090.0000000074506</x:v>
      </x:c>
      <x:c r="I322" s="9" t="n">
        <x:v>477.0000000074506</x:v>
      </x:c>
      <x:c r="J322" s="9" t="n">
        <x:v>105.99999999254942</x:v>
      </x:c>
      <x:c r="K322" s="9" t="n">
        <x:f>F322+G322+I322+J322</x:f>
        <x:v>69281.99999999255</x:v>
      </x:c>
      <x:c r="L322" s="10" t="n">
        <x:f>K322/Sources!$B$4*1000</x:f>
        <x:v>19.35497388634381</x:v>
      </x:c>
      <x:c r="M322" s="10" t="n">
        <x:f>E322/Sources!$B$4*1000</x:f>
        <x:v>19.93884697636152</x:v>
      </x:c>
      <x:c r="N322" s="9" t="n">
        <x:f>Sources!$B$6-K322</x:f>
        <x:v>-9545.99999999255</x:v>
      </x:c>
      <x:c r="O322" s="1" t="str">
        <x:v>horizontal_shift_left</x:v>
      </x:c>
      <x:c r="P322" s="12" t="n">
        <x:v>-4</x:v>
      </x:c>
      <x:c r="Q322" s="12" t="n">
        <x:v>0</x:v>
      </x:c>
      <x:c r="R322" s="12" t="n">
        <x:v>1</x:v>
      </x:c>
      <x:c r="S322" s="12" t="n">
        <x:v>0</x:v>
      </x:c>
      <x:c r="T322" s="1" t="str">
        <x:v>No</x:v>
      </x:c>
      <x:c r="U322" s="1" t="n">
        <x:v>0</x:v>
      </x:c>
    </x:row>
    <x:row r="323" ht="23" customHeight="1">
      <x:c r="A323" s="9" t="n">
        <x:v>322</x:v>
      </x:c>
      <x:c r="B323" s="9" t="n">
        <x:v>375</x:v>
      </x:c>
      <x:c r="C323" s="9" t="n">
        <x:v>1032</x:v>
      </x:c>
      <x:c r="D323" s="9" t="n">
        <x:v>1</x:v>
      </x:c>
      <x:c r="E323" s="9" t="n">
        <x:v>142721</x:v>
      </x:c>
      <x:c r="F323" s="9" t="n">
        <x:v>817.9999999925494</x:v>
      </x:c>
      <x:c r="G323" s="9" t="n">
        <x:v>99268.00000000745</x:v>
      </x:c>
      <x:c r="H323" s="9" t="n">
        <x:v>42060</x:v>
      </x:c>
      <x:c r="I323" s="9" t="n">
        <x:v>469.0000000074506</x:v>
      </x:c>
      <x:c r="J323" s="9" t="n">
        <x:v>105.99999999254942</x:v>
      </x:c>
      <x:c r="K323" s="9" t="n">
        <x:f>F323+G323+I323+J323</x:f>
        <x:v>100661</x:v>
      </x:c>
      <x:c r="L323" s="10" t="n">
        <x:f>K323/Sources!$B$4*1000</x:f>
        <x:v>28.12117182491071</x:v>
      </x:c>
      <x:c r="M323" s="10" t="n">
        <x:f>E323/Sources!$B$4*1000</x:f>
        <x:v>39.87126855508172</x:v>
      </x:c>
      <x:c r="N323" s="9" t="n">
        <x:f>Sources!$B$6-K323</x:f>
        <x:v>-40925</x:v>
      </x:c>
      <x:c r="O323" s="1" t="str">
        <x:v>horizontal_shift_left</x:v>
      </x:c>
      <x:c r="P323" s="12" t="n">
        <x:v>-2</x:v>
      </x:c>
      <x:c r="Q323" s="12" t="n">
        <x:v>0</x:v>
      </x:c>
      <x:c r="R323" s="12" t="n">
        <x:v>7</x:v>
      </x:c>
      <x:c r="S323" s="12" t="n">
        <x:v>0</x:v>
      </x:c>
      <x:c r="T323" s="1" t="str">
        <x:v>Yes</x:v>
      </x:c>
      <x:c r="U323" s="1" t="n">
        <x:v>1</x:v>
      </x:c>
    </x:row>
    <x:row r="324" ht="23" customHeight="1">
      <x:c r="A324" s="9" t="n">
        <x:v>323</x:v>
      </x:c>
      <x:c r="B324" s="9" t="n">
        <x:v>371</x:v>
      </x:c>
      <x:c r="C324" s="9" t="n">
        <x:v>1032</x:v>
      </x:c>
      <x:c r="D324" s="9" t="n">
        <x:v>2</x:v>
      </x:c>
      <x:c r="E324" s="9" t="n">
        <x:v>142736</x:v>
      </x:c>
      <x:c r="F324" s="9" t="n">
        <x:v>817.9999999925494</x:v>
      </x:c>
      <x:c r="G324" s="9" t="n">
        <x:v>71484.99999999255</x:v>
      </x:c>
      <x:c r="H324" s="9" t="n">
        <x:v>69850.00000000745</x:v>
      </x:c>
      <x:c r="I324" s="9" t="n">
        <x:v>477</x:v>
      </x:c>
      <x:c r="J324" s="9" t="n">
        <x:v>106.00000000745058</x:v>
      </x:c>
      <x:c r="K324" s="9" t="n">
        <x:f>F324+G324+I324+J324</x:f>
        <x:v>72885.99999999255</x:v>
      </x:c>
      <x:c r="L324" s="10" t="n">
        <x:f>K324/Sources!$B$4*1000</x:f>
        <x:v>20.36180576022722</x:v>
      </x:c>
      <x:c r="M324" s="10" t="n">
        <x:f>E324/Sources!$B$4*1000</x:f>
        <x:v>39.87545903180432</x:v>
      </x:c>
      <x:c r="N324" s="9" t="n">
        <x:f>Sources!$B$6-K324</x:f>
        <x:v>-13149.99999999255</x:v>
      </x:c>
      <x:c r="O324" s="1" t="str">
        <x:v>horizontal_shift_left</x:v>
      </x:c>
      <x:c r="P324" s="12" t="n">
        <x:v>-4</x:v>
      </x:c>
      <x:c r="Q324" s="12" t="n">
        <x:v>0</x:v>
      </x:c>
      <x:c r="R324" s="12" t="n">
        <x:v>3</x:v>
      </x:c>
      <x:c r="S324" s="12" t="n">
        <x:v>0</x:v>
      </x:c>
      <x:c r="T324" s="1" t="str">
        <x:v>No</x:v>
      </x:c>
      <x:c r="U324" s="1" t="n">
        <x:v>1</x:v>
      </x:c>
    </x:row>
    <x:row r="325" ht="23" customHeight="1">
      <x:c r="A325" s="9" t="n">
        <x:v>324</x:v>
      </x:c>
      <x:c r="B325" s="9" t="n">
        <x:v>367</x:v>
      </x:c>
      <x:c r="C325" s="9" t="n">
        <x:v>1032</x:v>
      </x:c>
      <x:c r="D325" s="9" t="n">
        <x:v>2</x:v>
      </x:c>
      <x:c r="E325" s="9" t="n">
        <x:v>71356</x:v>
      </x:c>
      <x:c r="F325" s="9" t="n">
        <x:v>818</x:v>
      </x:c>
      <x:c r="G325" s="9" t="n">
        <x:v>60038</x:v>
      </x:c>
      <x:c r="H325" s="9" t="n">
        <x:v>9924.99999999255</x:v>
      </x:c>
      <x:c r="I325" s="9" t="n">
        <x:v>469.0000000074506</x:v>
      </x:c>
      <x:c r="J325" s="9" t="n">
        <x:v>106</x:v>
      </x:c>
      <x:c r="K325" s="9" t="n">
        <x:f>F325+G325+I325+J325</x:f>
        <x:v>61431.00000000745</x:v>
      </x:c>
      <x:c r="L325" s="10" t="n">
        <x:f>K325/Sources!$B$4*1000</x:f>
        <x:v>17.16167836973902</x:v>
      </x:c>
      <x:c r="M325" s="10" t="n">
        <x:f>E325/Sources!$B$4*1000</x:f>
        <x:v>19.93437713452408</x:v>
      </x:c>
      <x:c r="N325" s="9" t="n">
        <x:f>Sources!$B$6-K325</x:f>
        <x:v>-1695.0000000074506</x:v>
      </x:c>
      <x:c r="O325" s="1" t="str">
        <x:v>horizontal_shift_left</x:v>
      </x:c>
      <x:c r="P325" s="12" t="n">
        <x:v>-4</x:v>
      </x:c>
      <x:c r="Q325" s="12" t="n">
        <x:v>0</x:v>
      </x:c>
      <x:c r="R325" s="12" t="n">
        <x:v>7</x:v>
      </x:c>
      <x:c r="S325" s="12" t="n">
        <x:v>0</x:v>
      </x:c>
      <x:c r="T325" s="1" t="str">
        <x:v>Yes</x:v>
      </x:c>
      <x:c r="U325" s="1" t="n">
        <x:v>1</x:v>
      </x:c>
    </x:row>
    <x:row r="326" ht="23" customHeight="1">
      <x:c r="A326" s="9" t="n">
        <x:v>325</x:v>
      </x:c>
      <x:c r="B326" s="9" t="n">
        <x:v>365</x:v>
      </x:c>
      <x:c r="C326" s="9" t="n">
        <x:v>1032</x:v>
      </x:c>
      <x:c r="D326" s="9" t="n">
        <x:v>1</x:v>
      </x:c>
      <x:c r="E326" s="9" t="n">
        <x:v>142737</x:v>
      </x:c>
      <x:c r="F326" s="9" t="n">
        <x:v>818</x:v>
      </x:c>
      <x:c r="G326" s="9" t="n">
        <x:v>70861</x:v>
      </x:c>
      <x:c r="H326" s="9" t="n">
        <x:v>70474.99999999255</x:v>
      </x:c>
      <x:c r="I326" s="9" t="n">
        <x:v>477.0000000074506</x:v>
      </x:c>
      <x:c r="J326" s="9" t="n">
        <x:v>106</x:v>
      </x:c>
      <x:c r="K326" s="9" t="n">
        <x:f>F326+G326+I326+J326</x:f>
        <x:v>72262.00000000745</x:v>
      </x:c>
      <x:c r="L326" s="10" t="n">
        <x:f>K326/Sources!$B$4*1000</x:f>
        <x:v>20.187481928571216</x:v>
      </x:c>
      <x:c r="M326" s="10" t="n">
        <x:f>E326/Sources!$B$4*1000</x:f>
        <x:v>39.87573839691916</x:v>
      </x:c>
      <x:c r="N326" s="9" t="n">
        <x:f>Sources!$B$6-K326</x:f>
        <x:v>-12526.00000000745</x:v>
      </x:c>
      <x:c r="O326" s="1" t="str">
        <x:v>horizontal_shift_left</x:v>
      </x:c>
      <x:c r="P326" s="12" t="n">
        <x:v>-2</x:v>
      </x:c>
      <x:c r="Q326" s="12" t="n">
        <x:v>0</x:v>
      </x:c>
      <x:c r="R326" s="12" t="n">
        <x:v>5</x:v>
      </x:c>
      <x:c r="S326" s="12" t="n">
        <x:v>0</x:v>
      </x:c>
      <x:c r="T326" s="1" t="str">
        <x:v>No</x:v>
      </x:c>
      <x:c r="U326" s="1" t="n">
        <x:v>1</x:v>
      </x:c>
    </x:row>
    <x:row r="327" ht="23" customHeight="1">
      <x:c r="A327" s="9" t="n">
        <x:v>326</x:v>
      </x:c>
      <x:c r="B327" s="9" t="n">
        <x:v>361</x:v>
      </x:c>
      <x:c r="C327" s="9" t="n">
        <x:v>1032</x:v>
      </x:c>
      <x:c r="D327" s="9" t="n">
        <x:v>2</x:v>
      </x:c>
      <x:c r="E327" s="9" t="n">
        <x:v>71358</x:v>
      </x:c>
      <x:c r="F327" s="9" t="n">
        <x:v>818</x:v>
      </x:c>
      <x:c r="G327" s="9" t="n">
        <x:v>67840</x:v>
      </x:c>
      <x:c r="H327" s="9" t="n">
        <x:v>2124.9999999925494</x:v>
      </x:c>
      <x:c r="I327" s="9" t="n">
        <x:v>469.0000000074506</x:v>
      </x:c>
      <x:c r="J327" s="9" t="n">
        <x:v>106</x:v>
      </x:c>
      <x:c r="K327" s="9" t="n">
        <x:f>F327+G327+I327+J327</x:f>
        <x:v>69233.00000000745</x:v>
      </x:c>
      <x:c r="L327" s="10" t="n">
        <x:f>K327/Sources!$B$4*1000</x:f>
        <x:v>19.341284995720812</x:v>
      </x:c>
      <x:c r="M327" s="10" t="n">
        <x:f>E327/Sources!$B$4*1000</x:f>
        <x:v>19.934935864753758</x:v>
      </x:c>
      <x:c r="N327" s="9" t="n">
        <x:f>Sources!$B$6-K327</x:f>
        <x:v>-9497.00000000745</x:v>
      </x:c>
      <x:c r="O327" s="1" t="str">
        <x:v>horizontal_shift_left</x:v>
      </x:c>
      <x:c r="P327" s="12" t="n">
        <x:v>-4</x:v>
      </x:c>
      <x:c r="Q327" s="12" t="n">
        <x:v>0</x:v>
      </x:c>
      <x:c r="R327" s="12" t="n">
        <x:v>1</x:v>
      </x:c>
      <x:c r="S327" s="12" t="n">
        <x:v>0</x:v>
      </x:c>
      <x:c r="T327" s="1" t="str">
        <x:v>No</x:v>
      </x:c>
      <x:c r="U327" s="1" t="n">
        <x:v>0</x:v>
      </x:c>
    </x:row>
    <x:row r="328" ht="23" customHeight="1">
      <x:c r="A328" s="9" t="n">
        <x:v>327</x:v>
      </x:c>
      <x:c r="B328" s="9" t="n">
        <x:v>359</x:v>
      </x:c>
      <x:c r="C328" s="9" t="n">
        <x:v>1032</x:v>
      </x:c>
      <x:c r="D328" s="9" t="n">
        <x:v>1</x:v>
      </x:c>
      <x:c r="E328" s="9" t="n">
        <x:v>142735</x:v>
      </x:c>
      <x:c r="F328" s="9" t="n">
        <x:v>818</x:v>
      </x:c>
      <x:c r="G328" s="9" t="n">
        <x:v>99468.99999999255</x:v>
      </x:c>
      <x:c r="H328" s="9" t="n">
        <x:v>41865.00000000745</x:v>
      </x:c>
      <x:c r="I328" s="9" t="n">
        <x:v>477</x:v>
      </x:c>
      <x:c r="J328" s="9" t="n">
        <x:v>106</x:v>
      </x:c>
      <x:c r="K328" s="9" t="n">
        <x:f>F328+G328+I328+J328</x:f>
        <x:v>100869.99999999255</x:v>
      </x:c>
      <x:c r="L328" s="10" t="n">
        <x:f>K328/Sources!$B$4*1000</x:f>
        <x:v>28.17955913391019</x:v>
      </x:c>
      <x:c r="M328" s="10" t="n">
        <x:f>E328/Sources!$B$4*1000</x:f>
        <x:v>39.875179666689476</x:v>
      </x:c>
      <x:c r="N328" s="9" t="n">
        <x:f>Sources!$B$6-K328</x:f>
        <x:v>-41133.99999999255</x:v>
      </x:c>
      <x:c r="O328" s="1" t="str">
        <x:v>horizontal_shift_left</x:v>
      </x:c>
      <x:c r="P328" s="12" t="n">
        <x:v>-2</x:v>
      </x:c>
      <x:c r="Q328" s="12" t="n">
        <x:v>0</x:v>
      </x:c>
      <x:c r="R328" s="12" t="n">
        <x:v>7</x:v>
      </x:c>
      <x:c r="S328" s="12" t="n">
        <x:v>0</x:v>
      </x:c>
      <x:c r="T328" s="1" t="str">
        <x:v>Yes</x:v>
      </x:c>
      <x:c r="U328" s="1" t="n">
        <x:v>1</x:v>
      </x:c>
    </x:row>
    <x:row r="329" ht="23" customHeight="1">
      <x:c r="A329" s="9" t="n">
        <x:v>328</x:v>
      </x:c>
      <x:c r="B329" s="9" t="n">
        <x:v>355</x:v>
      </x:c>
      <x:c r="C329" s="9" t="n">
        <x:v>1032</x:v>
      </x:c>
      <x:c r="D329" s="9" t="n">
        <x:v>2</x:v>
      </x:c>
      <x:c r="E329" s="9" t="n">
        <x:v>142718</x:v>
      </x:c>
      <x:c r="F329" s="9" t="n">
        <x:v>817.9999999925494</x:v>
      </x:c>
      <x:c r="G329" s="9" t="n">
        <x:v>71265</x:v>
      </x:c>
      <x:c r="H329" s="9" t="n">
        <x:v>70060</x:v>
      </x:c>
      <x:c r="I329" s="9" t="n">
        <x:v>469.0000000074506</x:v>
      </x:c>
      <x:c r="J329" s="9" t="n">
        <x:v>106</x:v>
      </x:c>
      <x:c r="K329" s="9" t="n">
        <x:f>F329+G329+I329+J329</x:f>
        <x:v>72658</x:v>
      </x:c>
      <x:c r="L329" s="10" t="n">
        <x:f>K329/Sources!$B$4*1000</x:f>
        <x:v>20.298110514045778</x:v>
      </x:c>
      <x:c r="M329" s="10" t="n">
        <x:f>E329/Sources!$B$4*1000</x:f>
        <x:v>39.8704304597372</x:v>
      </x:c>
      <x:c r="N329" s="9" t="n">
        <x:f>Sources!$B$6-K329</x:f>
        <x:v>-12922</x:v>
      </x:c>
      <x:c r="O329" s="1" t="str">
        <x:v>horizontal_shift_left</x:v>
      </x:c>
      <x:c r="P329" s="12" t="n">
        <x:v>-4</x:v>
      </x:c>
      <x:c r="Q329" s="12" t="n">
        <x:v>0</x:v>
      </x:c>
      <x:c r="R329" s="12" t="n">
        <x:v>3</x:v>
      </x:c>
      <x:c r="S329" s="12" t="n">
        <x:v>0</x:v>
      </x:c>
      <x:c r="T329" s="1" t="str">
        <x:v>No</x:v>
      </x:c>
      <x:c r="U329" s="1" t="n">
        <x:v>1</x:v>
      </x:c>
    </x:row>
    <x:row r="330" ht="23" customHeight="1">
      <x:c r="A330" s="9" t="n">
        <x:v>329</x:v>
      </x:c>
      <x:c r="B330" s="9" t="n">
        <x:v>351</x:v>
      </x:c>
      <x:c r="C330" s="9" t="n">
        <x:v>1032</x:v>
      </x:c>
      <x:c r="D330" s="9" t="n">
        <x:v>2</x:v>
      </x:c>
      <x:c r="E330" s="9" t="n">
        <x:v>71371</x:v>
      </x:c>
      <x:c r="F330" s="9" t="n">
        <x:v>818</x:v>
      </x:c>
      <x:c r="G330" s="9" t="n">
        <x:v>60210</x:v>
      </x:c>
      <x:c r="H330" s="9" t="n">
        <x:v>9759.99999999255</x:v>
      </x:c>
      <x:c r="I330" s="9" t="n">
        <x:v>477.0000000074506</x:v>
      </x:c>
      <x:c r="J330" s="9" t="n">
        <x:v>106</x:v>
      </x:c>
      <x:c r="K330" s="9" t="n">
        <x:f>F330+G330+I330+J330</x:f>
        <x:v>61611.00000000745</x:v>
      </x:c>
      <x:c r="L330" s="10" t="n">
        <x:f>K330/Sources!$B$4*1000</x:f>
        <x:v>17.21196409041022</x:v>
      </x:c>
      <x:c r="M330" s="10" t="n">
        <x:f>E330/Sources!$B$4*1000</x:f>
        <x:v>19.93856761124668</x:v>
      </x:c>
      <x:c r="N330" s="9" t="n">
        <x:f>Sources!$B$6-K330</x:f>
        <x:v>-1875.0000000074506</x:v>
      </x:c>
      <x:c r="O330" s="1" t="str">
        <x:v>horizontal_shift_left</x:v>
      </x:c>
      <x:c r="P330" s="12" t="n">
        <x:v>-4</x:v>
      </x:c>
      <x:c r="Q330" s="12" t="n">
        <x:v>0</x:v>
      </x:c>
      <x:c r="R330" s="12" t="n">
        <x:v>7</x:v>
      </x:c>
      <x:c r="S330" s="12" t="n">
        <x:v>0</x:v>
      </x:c>
      <x:c r="T330" s="1" t="str">
        <x:v>Yes</x:v>
      </x:c>
      <x:c r="U330" s="1" t="n">
        <x:v>1</x:v>
      </x:c>
    </x:row>
    <x:row r="331" ht="23" customHeight="1">
      <x:c r="A331" s="9" t="n">
        <x:v>330</x:v>
      </x:c>
      <x:c r="B331" s="9" t="n">
        <x:v>349</x:v>
      </x:c>
      <x:c r="C331" s="9" t="n">
        <x:v>1032</x:v>
      </x:c>
      <x:c r="D331" s="9" t="n">
        <x:v>1</x:v>
      </x:c>
      <x:c r="E331" s="9" t="n">
        <x:v>142724</x:v>
      </x:c>
      <x:c r="F331" s="9" t="n">
        <x:v>818</x:v>
      </x:c>
      <x:c r="G331" s="9" t="n">
        <x:v>70641</x:v>
      </x:c>
      <x:c r="H331" s="9" t="n">
        <x:v>70689.99999999255</x:v>
      </x:c>
      <x:c r="I331" s="9" t="n">
        <x:v>469.0000000074506</x:v>
      </x:c>
      <x:c r="J331" s="9" t="n">
        <x:v>106</x:v>
      </x:c>
      <x:c r="K331" s="9" t="n">
        <x:f>F331+G331+I331+J331</x:f>
        <x:v>72034.00000000745</x:v>
      </x:c>
      <x:c r="L331" s="10" t="n">
        <x:f>K331/Sources!$B$4*1000</x:f>
        <x:v>20.123786682387692</x:v>
      </x:c>
      <x:c r="M331" s="10" t="n">
        <x:f>E331/Sources!$B$4*1000</x:f>
        <x:v>39.87210665042624</x:v>
      </x:c>
      <x:c r="N331" s="9" t="n">
        <x:f>Sources!$B$6-K331</x:f>
        <x:v>-12298.00000000745</x:v>
      </x:c>
      <x:c r="O331" s="1" t="str">
        <x:v>horizontal_shift_left</x:v>
      </x:c>
      <x:c r="P331" s="12" t="n">
        <x:v>-2</x:v>
      </x:c>
      <x:c r="Q331" s="12" t="n">
        <x:v>0</x:v>
      </x:c>
      <x:c r="R331" s="12" t="n">
        <x:v>5</x:v>
      </x:c>
      <x:c r="S331" s="12" t="n">
        <x:v>0</x:v>
      </x:c>
      <x:c r="T331" s="1" t="str">
        <x:v>No</x:v>
      </x:c>
      <x:c r="U331" s="1" t="n">
        <x:v>1</x:v>
      </x:c>
    </x:row>
    <x:row r="332" ht="23" customHeight="1">
      <x:c r="A332" s="9" t="n">
        <x:v>331</x:v>
      </x:c>
      <x:c r="B332" s="9" t="n">
        <x:v>345</x:v>
      </x:c>
      <x:c r="C332" s="9" t="n">
        <x:v>1032</x:v>
      </x:c>
      <x:c r="D332" s="9" t="n">
        <x:v>2</x:v>
      </x:c>
      <x:c r="E332" s="9" t="n">
        <x:v>71368</x:v>
      </x:c>
      <x:c r="F332" s="9" t="n">
        <x:v>818</x:v>
      </x:c>
      <x:c r="G332" s="9" t="n">
        <x:v>67862</x:v>
      </x:c>
      <x:c r="H332" s="9" t="n">
        <x:v>2105</x:v>
      </x:c>
      <x:c r="I332" s="9" t="n">
        <x:v>477</x:v>
      </x:c>
      <x:c r="J332" s="9" t="n">
        <x:v>106</x:v>
      </x:c>
      <x:c r="K332" s="9" t="n">
        <x:f>F332+G332+I332+J332</x:f>
        <x:v>69263</x:v>
      </x:c>
      <x:c r="L332" s="10" t="n">
        <x:f>K332/Sources!$B$4*1000</x:f>
        <x:v>19.34966594916393</x:v>
      </x:c>
      <x:c r="M332" s="10" t="n">
        <x:f>E332/Sources!$B$4*1000</x:f>
        <x:v>19.93772951590216</x:v>
      </x:c>
      <x:c r="N332" s="9" t="n">
        <x:f>Sources!$B$6-K332</x:f>
        <x:v>-9527</x:v>
      </x:c>
      <x:c r="O332" s="1" t="str">
        <x:v>horizontal_shift_left</x:v>
      </x:c>
      <x:c r="P332" s="12" t="n">
        <x:v>-4</x:v>
      </x:c>
      <x:c r="Q332" s="12" t="n">
        <x:v>0</x:v>
      </x:c>
      <x:c r="R332" s="12" t="n">
        <x:v>1</x:v>
      </x:c>
      <x:c r="S332" s="12" t="n">
        <x:v>0</x:v>
      </x:c>
      <x:c r="T332" s="1" t="str">
        <x:v>No</x:v>
      </x:c>
      <x:c r="U332" s="1" t="n">
        <x:v>0</x:v>
      </x:c>
    </x:row>
    <x:row r="333" ht="23" customHeight="1">
      <x:c r="A333" s="9" t="n">
        <x:v>332</x:v>
      </x:c>
      <x:c r="B333" s="9" t="n">
        <x:v>343</x:v>
      </x:c>
      <x:c r="C333" s="9" t="n">
        <x:v>1032</x:v>
      </x:c>
      <x:c r="D333" s="9" t="n">
        <x:v>1</x:v>
      </x:c>
      <x:c r="E333" s="9" t="n">
        <x:v>142722</x:v>
      </x:c>
      <x:c r="F333" s="9" t="n">
        <x:v>818</x:v>
      </x:c>
      <x:c r="G333" s="9" t="n">
        <x:v>99259</x:v>
      </x:c>
      <x:c r="H333" s="9" t="n">
        <x:v>42070</x:v>
      </x:c>
      <x:c r="I333" s="9" t="n">
        <x:v>469</x:v>
      </x:c>
      <x:c r="J333" s="9" t="n">
        <x:v>106</x:v>
      </x:c>
      <x:c r="K333" s="9" t="n">
        <x:f>F333+G333+I333+J333</x:f>
        <x:v>100652</x:v>
      </x:c>
      <x:c r="L333" s="10" t="n">
        <x:f>K333/Sources!$B$4*1000</x:f>
        <x:v>28.118657538877148</x:v>
      </x:c>
      <x:c r="M333" s="10" t="n">
        <x:f>E333/Sources!$B$4*1000</x:f>
        <x:v>39.871547920196555</x:v>
      </x:c>
      <x:c r="N333" s="9" t="n">
        <x:f>Sources!$B$6-K333</x:f>
        <x:v>-40916</x:v>
      </x:c>
      <x:c r="O333" s="1" t="str">
        <x:v>horizontal_shift_left</x:v>
      </x:c>
      <x:c r="P333" s="12" t="n">
        <x:v>-2</x:v>
      </x:c>
      <x:c r="Q333" s="12" t="n">
        <x:v>0</x:v>
      </x:c>
      <x:c r="R333" s="12" t="n">
        <x:v>7</x:v>
      </x:c>
      <x:c r="S333" s="12" t="n">
        <x:v>0</x:v>
      </x:c>
      <x:c r="T333" s="1" t="str">
        <x:v>Yes</x:v>
      </x:c>
      <x:c r="U333" s="1" t="n">
        <x:v>1</x:v>
      </x:c>
    </x:row>
    <x:row r="334" ht="23" customHeight="1">
      <x:c r="A334" s="9" t="n">
        <x:v>333</x:v>
      </x:c>
      <x:c r="B334" s="9" t="n">
        <x:v>339</x:v>
      </x:c>
      <x:c r="C334" s="9" t="n">
        <x:v>1032</x:v>
      </x:c>
      <x:c r="D334" s="9" t="n">
        <x:v>2</x:v>
      </x:c>
      <x:c r="E334" s="9" t="n">
        <x:v>142737</x:v>
      </x:c>
      <x:c r="F334" s="9" t="n">
        <x:v>817.9999999925494</x:v>
      </x:c>
      <x:c r="G334" s="9" t="n">
        <x:v>71466.00000000745</x:v>
      </x:c>
      <x:c r="H334" s="9" t="n">
        <x:v>69870</x:v>
      </x:c>
      <x:c r="I334" s="9" t="n">
        <x:v>477.0000000074506</x:v>
      </x:c>
      <x:c r="J334" s="9" t="n">
        <x:v>105.99999999254942</x:v>
      </x:c>
      <x:c r="K334" s="9" t="n">
        <x:f>F334+G334+I334+J334</x:f>
        <x:v>72867</x:v>
      </x:c>
      <x:c r="L334" s="10" t="n">
        <x:f>K334/Sources!$B$4*1000</x:f>
        <x:v>20.356497823047345</x:v>
      </x:c>
      <x:c r="M334" s="10" t="n">
        <x:f>E334/Sources!$B$4*1000</x:f>
        <x:v>39.87573839691916</x:v>
      </x:c>
      <x:c r="N334" s="9" t="n">
        <x:f>Sources!$B$6-K334</x:f>
        <x:v>-13131</x:v>
      </x:c>
      <x:c r="O334" s="1" t="str">
        <x:v>horizontal_shift_left</x:v>
      </x:c>
      <x:c r="P334" s="12" t="n">
        <x:v>-4</x:v>
      </x:c>
      <x:c r="Q334" s="12" t="n">
        <x:v>0</x:v>
      </x:c>
      <x:c r="R334" s="12" t="n">
        <x:v>3</x:v>
      </x:c>
      <x:c r="S334" s="12" t="n">
        <x:v>0</x:v>
      </x:c>
      <x:c r="T334" s="1" t="str">
        <x:v>No</x:v>
      </x:c>
      <x:c r="U334" s="1" t="n">
        <x:v>1</x:v>
      </x:c>
    </x:row>
    <x:row r="335" ht="23" customHeight="1">
      <x:c r="A335" s="9" t="n">
        <x:v>334</x:v>
      </x:c>
      <x:c r="B335" s="9" t="n">
        <x:v>335</x:v>
      </x:c>
      <x:c r="C335" s="9" t="n">
        <x:v>1032</x:v>
      </x:c>
      <x:c r="D335" s="9" t="n">
        <x:v>2</x:v>
      </x:c>
      <x:c r="E335" s="9" t="n">
        <x:v>71357</x:v>
      </x:c>
      <x:c r="F335" s="9" t="n">
        <x:v>817.9999999925494</x:v>
      </x:c>
      <x:c r="G335" s="9" t="n">
        <x:v>60029.00000000745</x:v>
      </x:c>
      <x:c r="H335" s="9" t="n">
        <x:v>9935</x:v>
      </x:c>
      <x:c r="I335" s="9" t="n">
        <x:v>469</x:v>
      </x:c>
      <x:c r="J335" s="9" t="n">
        <x:v>106</x:v>
      </x:c>
      <x:c r="K335" s="9" t="n">
        <x:f>F335+G335+I335+J335</x:f>
        <x:v>61422</x:v>
      </x:c>
      <x:c r="L335" s="10" t="n">
        <x:f>K335/Sources!$B$4*1000</x:f>
        <x:v>17.159164083703374</x:v>
      </x:c>
      <x:c r="M335" s="10" t="n">
        <x:f>E335/Sources!$B$4*1000</x:f>
        <x:v>19.93465649963892</x:v>
      </x:c>
      <x:c r="N335" s="9" t="n">
        <x:f>Sources!$B$6-K335</x:f>
        <x:v>-1686</x:v>
      </x:c>
      <x:c r="O335" s="1" t="str">
        <x:v>horizontal_shift_left</x:v>
      </x:c>
      <x:c r="P335" s="12" t="n">
        <x:v>-4</x:v>
      </x:c>
      <x:c r="Q335" s="12" t="n">
        <x:v>0</x:v>
      </x:c>
      <x:c r="R335" s="12" t="n">
        <x:v>7</x:v>
      </x:c>
      <x:c r="S335" s="12" t="n">
        <x:v>0</x:v>
      </x:c>
      <x:c r="T335" s="1" t="str">
        <x:v>Yes</x:v>
      </x:c>
      <x:c r="U335" s="1" t="n">
        <x:v>1</x:v>
      </x:c>
    </x:row>
    <x:row r="336" ht="23" customHeight="1">
      <x:c r="A336" s="9" t="n">
        <x:v>335</x:v>
      </x:c>
      <x:c r="B336" s="9" t="n">
        <x:v>333</x:v>
      </x:c>
      <x:c r="C336" s="9" t="n">
        <x:v>1032</x:v>
      </x:c>
      <x:c r="D336" s="9" t="n">
        <x:v>1</x:v>
      </x:c>
      <x:c r="E336" s="9" t="n">
        <x:v>142734</x:v>
      </x:c>
      <x:c r="F336" s="9" t="n">
        <x:v>818</x:v>
      </x:c>
      <x:c r="G336" s="9" t="n">
        <x:v>70823</x:v>
      </x:c>
      <x:c r="H336" s="9" t="n">
        <x:v>70510</x:v>
      </x:c>
      <x:c r="I336" s="9" t="n">
        <x:v>476.9999999925494</x:v>
      </x:c>
      <x:c r="J336" s="9" t="n">
        <x:v>106.00000000745058</x:v>
      </x:c>
      <x:c r="K336" s="9" t="n">
        <x:f>F336+G336+I336+J336</x:f>
        <x:v>72224</x:v>
      </x:c>
      <x:c r="L336" s="10" t="n">
        <x:f>K336/Sources!$B$4*1000</x:f>
        <x:v>20.176866054205213</x:v>
      </x:c>
      <x:c r="M336" s="10" t="n">
        <x:f>E336/Sources!$B$4*1000</x:f>
        <x:v>39.87490030157464</x:v>
      </x:c>
      <x:c r="N336" s="9" t="n">
        <x:f>Sources!$B$6-K336</x:f>
        <x:v>-12488</x:v>
      </x:c>
      <x:c r="O336" s="1" t="str">
        <x:v>horizontal_shift_left</x:v>
      </x:c>
      <x:c r="P336" s="12" t="n">
        <x:v>-2</x:v>
      </x:c>
      <x:c r="Q336" s="12" t="n">
        <x:v>0</x:v>
      </x:c>
      <x:c r="R336" s="12" t="n">
        <x:v>5</x:v>
      </x:c>
      <x:c r="S336" s="12" t="n">
        <x:v>0</x:v>
      </x:c>
      <x:c r="T336" s="1" t="str">
        <x:v>No</x:v>
      </x:c>
      <x:c r="U336" s="1" t="n">
        <x:v>1</x:v>
      </x:c>
    </x:row>
    <x:row r="337" ht="23" customHeight="1">
      <x:c r="A337" s="9" t="n">
        <x:v>336</x:v>
      </x:c>
      <x:c r="B337" s="9" t="n">
        <x:v>329</x:v>
      </x:c>
      <x:c r="C337" s="9" t="n">
        <x:v>1032</x:v>
      </x:c>
      <x:c r="D337" s="9" t="n">
        <x:v>2</x:v>
      </x:c>
      <x:c r="E337" s="9" t="n">
        <x:v>71354.99999999255</x:v>
      </x:c>
      <x:c r="F337" s="9" t="n">
        <x:v>818</x:v>
      </x:c>
      <x:c r="G337" s="9" t="n">
        <x:v>67802</x:v>
      </x:c>
      <x:c r="H337" s="9" t="n">
        <x:v>2160</x:v>
      </x:c>
      <x:c r="I337" s="9" t="n">
        <x:v>468.9999999925494</x:v>
      </x:c>
      <x:c r="J337" s="9" t="n">
        <x:v>106</x:v>
      </x:c>
      <x:c r="K337" s="9" t="n">
        <x:f>F337+G337+I337+J337</x:f>
        <x:v>69194.99999999255</x:v>
      </x:c>
      <x:c r="L337" s="10" t="n">
        <x:f>K337/Sources!$B$4*1000</x:f>
        <x:v>19.330669121352727</x:v>
      </x:c>
      <x:c r="M337" s="10" t="n">
        <x:f>E337/Sources!$B$4*1000</x:f>
        <x:v>19.93409776940716</x:v>
      </x:c>
      <x:c r="N337" s="9" t="n">
        <x:f>Sources!$B$6-K337</x:f>
        <x:v>-9458.99999999255</x:v>
      </x:c>
      <x:c r="O337" s="1" t="str">
        <x:v>horizontal_shift_left</x:v>
      </x:c>
      <x:c r="P337" s="12" t="n">
        <x:v>-4</x:v>
      </x:c>
      <x:c r="Q337" s="12" t="n">
        <x:v>0</x:v>
      </x:c>
      <x:c r="R337" s="12" t="n">
        <x:v>1</x:v>
      </x:c>
      <x:c r="S337" s="12" t="n">
        <x:v>0</x:v>
      </x:c>
      <x:c r="T337" s="1" t="str">
        <x:v>No</x:v>
      </x:c>
      <x:c r="U337" s="1" t="n">
        <x:v>0</x:v>
      </x:c>
    </x:row>
    <x:row r="338" ht="23" customHeight="1">
      <x:c r="A338" s="9" t="n">
        <x:v>337</x:v>
      </x:c>
      <x:c r="B338" s="9" t="n">
        <x:v>327</x:v>
      </x:c>
      <x:c r="C338" s="9" t="n">
        <x:v>1032</x:v>
      </x:c>
      <x:c r="D338" s="9" t="n">
        <x:v>1</x:v>
      </x:c>
      <x:c r="E338" s="9" t="n">
        <x:v>142739.00000000745</x:v>
      </x:c>
      <x:c r="F338" s="9" t="n">
        <x:v>818.0000000074506</x:v>
      </x:c>
      <x:c r="G338" s="9" t="n">
        <x:v>99583</x:v>
      </x:c>
      <x:c r="H338" s="9" t="n">
        <x:v>41755</x:v>
      </x:c>
      <x:c r="I338" s="9" t="n">
        <x:v>477</x:v>
      </x:c>
      <x:c r="J338" s="9" t="n">
        <x:v>106</x:v>
      </x:c>
      <x:c r="K338" s="9" t="n">
        <x:f>F338+G338+I338+J338</x:f>
        <x:v>100984.00000000745</x:v>
      </x:c>
      <x:c r="L338" s="10" t="n">
        <x:f>K338/Sources!$B$4*1000</x:f>
        <x:v>28.211406757006117</x:v>
      </x:c>
      <x:c r="M338" s="10" t="n">
        <x:f>E338/Sources!$B$4*1000</x:f>
        <x:v>39.87629712715092</x:v>
      </x:c>
      <x:c r="N338" s="9" t="n">
        <x:f>Sources!$B$6-K338</x:f>
        <x:v>-41248.00000000745</x:v>
      </x:c>
      <x:c r="O338" s="1" t="str">
        <x:v>horizontal_shift_left</x:v>
      </x:c>
      <x:c r="P338" s="12" t="n">
        <x:v>-2</x:v>
      </x:c>
      <x:c r="Q338" s="12" t="n">
        <x:v>0</x:v>
      </x:c>
      <x:c r="R338" s="12" t="n">
        <x:v>7</x:v>
      </x:c>
      <x:c r="S338" s="12" t="n">
        <x:v>0</x:v>
      </x:c>
      <x:c r="T338" s="1" t="str">
        <x:v>Yes</x:v>
      </x:c>
      <x:c r="U338" s="1" t="n">
        <x:v>1</x:v>
      </x:c>
    </x:row>
    <x:row r="339" ht="23" customHeight="1">
      <x:c r="A339" s="9" t="n">
        <x:v>338</x:v>
      </x:c>
      <x:c r="B339" s="9" t="n">
        <x:v>323</x:v>
      </x:c>
      <x:c r="C339" s="9" t="n">
        <x:v>1032</x:v>
      </x:c>
      <x:c r="D339" s="9" t="n">
        <x:v>2</x:v>
      </x:c>
      <x:c r="E339" s="9" t="n">
        <x:v>142718.99999999255</x:v>
      </x:c>
      <x:c r="F339" s="9" t="n">
        <x:v>818</x:v>
      </x:c>
      <x:c r="G339" s="9" t="n">
        <x:v>71246</x:v>
      </x:c>
      <x:c r="H339" s="9" t="n">
        <x:v>70080</x:v>
      </x:c>
      <x:c r="I339" s="9" t="n">
        <x:v>469</x:v>
      </x:c>
      <x:c r="J339" s="9" t="n">
        <x:v>105.99999999254942</x:v>
      </x:c>
      <x:c r="K339" s="9" t="n">
        <x:f>F339+G339+I339+J339</x:f>
        <x:v>72638.99999999255</x:v>
      </x:c>
      <x:c r="L339" s="10" t="n">
        <x:f>K339/Sources!$B$4*1000</x:f>
        <x:v>20.29280257686174</x:v>
      </x:c>
      <x:c r="M339" s="10" t="n">
        <x:f>E339/Sources!$B$4*1000</x:f>
        <x:v>39.87070982484995</x:v>
      </x:c>
      <x:c r="N339" s="9" t="n">
        <x:f>Sources!$B$6-K339</x:f>
        <x:v>-12902.99999999255</x:v>
      </x:c>
      <x:c r="O339" s="1" t="str">
        <x:v>horizontal_shift_left</x:v>
      </x:c>
      <x:c r="P339" s="12" t="n">
        <x:v>-4</x:v>
      </x:c>
      <x:c r="Q339" s="12" t="n">
        <x:v>0</x:v>
      </x:c>
      <x:c r="R339" s="12" t="n">
        <x:v>3</x:v>
      </x:c>
      <x:c r="S339" s="12" t="n">
        <x:v>0</x:v>
      </x:c>
      <x:c r="T339" s="1" t="str">
        <x:v>No</x:v>
      </x:c>
      <x:c r="U339" s="1" t="n">
        <x:v>1</x:v>
      </x:c>
    </x:row>
    <x:row r="340" ht="23" customHeight="1">
      <x:c r="A340" s="9" t="n">
        <x:v>339</x:v>
      </x:c>
      <x:c r="B340" s="9" t="n">
        <x:v>319</x:v>
      </x:c>
      <x:c r="C340" s="9" t="n">
        <x:v>1032</x:v>
      </x:c>
      <x:c r="D340" s="9" t="n">
        <x:v>2</x:v>
      </x:c>
      <x:c r="E340" s="9" t="n">
        <x:v>71370.00000000745</x:v>
      </x:c>
      <x:c r="F340" s="9" t="n">
        <x:v>818.0000000074506</x:v>
      </x:c>
      <x:c r="G340" s="9" t="n">
        <x:v>63354</x:v>
      </x:c>
      <x:c r="H340" s="9" t="n">
        <x:v>6614.999999992549</x:v>
      </x:c>
      <x:c r="I340" s="9" t="n">
        <x:v>477.0000000074506</x:v>
      </x:c>
      <x:c r="J340" s="9" t="n">
        <x:v>106</x:v>
      </x:c>
      <x:c r="K340" s="9" t="n">
        <x:f>F340+G340+I340+J340</x:f>
        <x:v>64755.0000000149</x:v>
      </x:c>
      <x:c r="L340" s="10" t="n">
        <x:f>K340/Sources!$B$4*1000</x:f>
        <x:v>18.09028801146931</x:v>
      </x:c>
      <x:c r="M340" s="10" t="n">
        <x:f>E340/Sources!$B$4*1000</x:f>
        <x:v>19.938288246133922</x:v>
      </x:c>
      <x:c r="N340" s="9" t="n">
        <x:f>Sources!$B$6-K340</x:f>
        <x:v>-5019.000000014901</x:v>
      </x:c>
      <x:c r="O340" s="1" t="str">
        <x:v>horizontal_shift_left</x:v>
      </x:c>
      <x:c r="P340" s="12" t="n">
        <x:v>-4</x:v>
      </x:c>
      <x:c r="Q340" s="12" t="n">
        <x:v>0</x:v>
      </x:c>
      <x:c r="R340" s="12" t="n">
        <x:v>7</x:v>
      </x:c>
      <x:c r="S340" s="12" t="n">
        <x:v>0</x:v>
      </x:c>
      <x:c r="T340" s="1" t="str">
        <x:v>Yes</x:v>
      </x:c>
      <x:c r="U340" s="1" t="n">
        <x:v>1</x:v>
      </x:c>
    </x:row>
    <x:row r="341" ht="23" customHeight="1">
      <x:c r="A341" s="9" t="n">
        <x:v>340</x:v>
      </x:c>
      <x:c r="B341" s="9" t="n">
        <x:v>317</x:v>
      </x:c>
      <x:c r="C341" s="9" t="n">
        <x:v>1032</x:v>
      </x:c>
      <x:c r="D341" s="9" t="n">
        <x:v>1</x:v>
      </x:c>
      <x:c r="E341" s="9" t="n">
        <x:v>142721</x:v>
      </x:c>
      <x:c r="F341" s="9" t="n">
        <x:v>817.9999999925494</x:v>
      </x:c>
      <x:c r="G341" s="9" t="n">
        <x:v>73643</x:v>
      </x:c>
      <x:c r="H341" s="9" t="n">
        <x:v>67684.99999999255</x:v>
      </x:c>
      <x:c r="I341" s="9" t="n">
        <x:v>469.0000000074506</x:v>
      </x:c>
      <x:c r="J341" s="9" t="n">
        <x:v>106.00000000745058</x:v>
      </x:c>
      <x:c r="K341" s="9" t="n">
        <x:f>F341+G341+I341+J341</x:f>
        <x:v>75036.00000000745</x:v>
      </x:c>
      <x:c r="L341" s="10" t="n">
        <x:f>K341/Sources!$B$4*1000</x:f>
        <x:v>20.962440757137415</x:v>
      </x:c>
      <x:c r="M341" s="10" t="n">
        <x:f>E341/Sources!$B$4*1000</x:f>
        <x:v>39.87126855508172</x:v>
      </x:c>
      <x:c r="N341" s="9" t="n">
        <x:f>Sources!$B$6-K341</x:f>
        <x:v>-15300.00000000745</x:v>
      </x:c>
      <x:c r="O341" s="1" t="str">
        <x:v>horizontal_shift_left</x:v>
      </x:c>
      <x:c r="P341" s="12" t="n">
        <x:v>-2</x:v>
      </x:c>
      <x:c r="Q341" s="12" t="n">
        <x:v>0</x:v>
      </x:c>
      <x:c r="R341" s="12" t="n">
        <x:v>5</x:v>
      </x:c>
      <x:c r="S341" s="12" t="n">
        <x:v>0</x:v>
      </x:c>
      <x:c r="T341" s="1" t="str">
        <x:v>No</x:v>
      </x:c>
      <x:c r="U341" s="1" t="n">
        <x:v>1</x:v>
      </x:c>
    </x:row>
    <x:row r="342" ht="23" customHeight="1">
      <x:c r="A342" s="9" t="n">
        <x:v>341</x:v>
      </x:c>
      <x:c r="B342" s="9" t="n">
        <x:v>313</x:v>
      </x:c>
      <x:c r="C342" s="9" t="n">
        <x:v>1032</x:v>
      </x:c>
      <x:c r="D342" s="9" t="n">
        <x:v>2</x:v>
      </x:c>
      <x:c r="E342" s="9" t="n">
        <x:v>142734</x:v>
      </x:c>
      <x:c r="F342" s="9" t="n">
        <x:v>818</x:v>
      </x:c>
      <x:c r="G342" s="9" t="n">
        <x:v>71032.99999999255</x:v>
      </x:c>
      <x:c r="H342" s="9" t="n">
        <x:v>70300.00000000745</x:v>
      </x:c>
      <x:c r="I342" s="9" t="n">
        <x:v>477</x:v>
      </x:c>
      <x:c r="J342" s="9" t="n">
        <x:v>106</x:v>
      </x:c>
      <x:c r="K342" s="9" t="n">
        <x:f>F342+G342+I342+J342</x:f>
        <x:v>72433.99999999255</x:v>
      </x:c>
      <x:c r="L342" s="10" t="n">
        <x:f>K342/Sources!$B$4*1000</x:f>
        <x:v>20.235532728319534</x:v>
      </x:c>
      <x:c r="M342" s="10" t="n">
        <x:f>E342/Sources!$B$4*1000</x:f>
        <x:v>39.87490030157464</x:v>
      </x:c>
      <x:c r="N342" s="9" t="n">
        <x:f>Sources!$B$6-K342</x:f>
        <x:v>-12697.99999999255</x:v>
      </x:c>
      <x:c r="O342" s="1" t="str">
        <x:v>horizontal_shift_left</x:v>
      </x:c>
      <x:c r="P342" s="12" t="n">
        <x:v>-4</x:v>
      </x:c>
      <x:c r="Q342" s="12" t="n">
        <x:v>0</x:v>
      </x:c>
      <x:c r="R342" s="12" t="n">
        <x:v>1</x:v>
      </x:c>
      <x:c r="S342" s="12" t="n">
        <x:v>0</x:v>
      </x:c>
      <x:c r="T342" s="1" t="str">
        <x:v>No</x:v>
      </x:c>
      <x:c r="U342" s="1" t="n">
        <x:v>0</x:v>
      </x:c>
    </x:row>
    <x:row r="343" ht="23" customHeight="1">
      <x:c r="A343" s="9" t="n">
        <x:v>342</x:v>
      </x:c>
      <x:c r="B343" s="9" t="n">
        <x:v>309</x:v>
      </x:c>
      <x:c r="C343" s="9" t="n">
        <x:v>1032</x:v>
      </x:c>
      <x:c r="D343" s="9" t="n">
        <x:v>2</x:v>
      </x:c>
      <x:c r="E343" s="9" t="n">
        <x:v>71358</x:v>
      </x:c>
      <x:c r="F343" s="9" t="n">
        <x:v>818</x:v>
      </x:c>
      <x:c r="G343" s="9" t="n">
        <x:v>63135</x:v>
      </x:c>
      <x:c r="H343" s="9" t="n">
        <x:v>6830</x:v>
      </x:c>
      <x:c r="I343" s="9" t="n">
        <x:v>469</x:v>
      </x:c>
      <x:c r="J343" s="9" t="n">
        <x:v>106</x:v>
      </x:c>
      <x:c r="K343" s="9" t="n">
        <x:f>F343+G343+I343+J343</x:f>
        <x:v>64528</x:v>
      </x:c>
      <x:c r="L343" s="10" t="n">
        <x:f>K343/Sources!$B$4*1000</x:f>
        <x:v>18.02687213039646</x:v>
      </x:c>
      <x:c r="M343" s="10" t="n">
        <x:f>E343/Sources!$B$4*1000</x:f>
        <x:v>19.934935864753758</x:v>
      </x:c>
      <x:c r="N343" s="9" t="n">
        <x:f>Sources!$B$6-K343</x:f>
        <x:v>-4792</x:v>
      </x:c>
      <x:c r="O343" s="1" t="str">
        <x:v>horizontal_shift_left</x:v>
      </x:c>
      <x:c r="P343" s="12" t="n">
        <x:v>-4</x:v>
      </x:c>
      <x:c r="Q343" s="12" t="n">
        <x:v>0</x:v>
      </x:c>
      <x:c r="R343" s="12" t="n">
        <x:v>5</x:v>
      </x:c>
      <x:c r="S343" s="12" t="n">
        <x:v>0</x:v>
      </x:c>
      <x:c r="T343" s="1" t="str">
        <x:v>Yes</x:v>
      </x:c>
      <x:c r="U343" s="1" t="n">
        <x:v>1</x:v>
      </x:c>
    </x:row>
    <x:row r="344" ht="23" customHeight="1">
      <x:c r="A344" s="9" t="n">
        <x:v>343</x:v>
      </x:c>
      <x:c r="B344" s="9" t="n">
        <x:v>307</x:v>
      </x:c>
      <x:c r="C344" s="9" t="n">
        <x:v>1032</x:v>
      </x:c>
      <x:c r="D344" s="9" t="n">
        <x:v>1</x:v>
      </x:c>
      <x:c r="E344" s="9" t="n">
        <x:v>142735</x:v>
      </x:c>
      <x:c r="F344" s="9" t="n">
        <x:v>818</x:v>
      </x:c>
      <x:c r="G344" s="9" t="n">
        <x:v>74448.99999999255</x:v>
      </x:c>
      <x:c r="H344" s="9" t="n">
        <x:v>66885</x:v>
      </x:c>
      <x:c r="I344" s="9" t="n">
        <x:v>477.0000000074506</x:v>
      </x:c>
      <x:c r="J344" s="9" t="n">
        <x:v>106</x:v>
      </x:c>
      <x:c r="K344" s="9" t="n">
        <x:f>F344+G344+I344+J344</x:f>
        <x:v>75850</x:v>
      </x:c>
      <x:c r="L344" s="10" t="n">
        <x:f>K344/Sources!$B$4*1000</x:f>
        <x:v>21.189843960615104</x:v>
      </x:c>
      <x:c r="M344" s="10" t="n">
        <x:f>E344/Sources!$B$4*1000</x:f>
        <x:v>39.875179666689476</x:v>
      </x:c>
      <x:c r="N344" s="9" t="n">
        <x:f>Sources!$B$6-K344</x:f>
        <x:v>-16114</x:v>
      </x:c>
      <x:c r="O344" s="1" t="str">
        <x:v>horizontal_shift_left</x:v>
      </x:c>
      <x:c r="P344" s="12" t="n">
        <x:v>-2</x:v>
      </x:c>
      <x:c r="Q344" s="12" t="n">
        <x:v>0</x:v>
      </x:c>
      <x:c r="R344" s="12" t="n">
        <x:v>3</x:v>
      </x:c>
      <x:c r="S344" s="12" t="n">
        <x:v>0</x:v>
      </x:c>
      <x:c r="T344" s="1" t="str">
        <x:v>No</x:v>
      </x:c>
      <x:c r="U344" s="1" t="n">
        <x:v>1</x:v>
      </x:c>
    </x:row>
    <x:row r="345" ht="23" customHeight="1">
      <x:c r="A345" s="9" t="n">
        <x:v>344</x:v>
      </x:c>
      <x:c r="B345" s="9" t="n">
        <x:v>303</x:v>
      </x:c>
      <x:c r="C345" s="9" t="n">
        <x:v>1032</x:v>
      </x:c>
      <x:c r="D345" s="9" t="n">
        <x:v>2</x:v>
      </x:c>
      <x:c r="E345" s="9" t="n">
        <x:v>142721.99999999255</x:v>
      </x:c>
      <x:c r="F345" s="9" t="n">
        <x:v>817.9999999925494</x:v>
      </x:c>
      <x:c r="G345" s="9" t="n">
        <x:v>102384.00000000745</x:v>
      </x:c>
      <x:c r="H345" s="9" t="n">
        <x:v>38945</x:v>
      </x:c>
      <x:c r="I345" s="9" t="n">
        <x:v>469</x:v>
      </x:c>
      <x:c r="J345" s="9" t="n">
        <x:v>105.99999999254942</x:v>
      </x:c>
      <x:c r="K345" s="9" t="n">
        <x:f>F345+G345+I345+J345</x:f>
        <x:v>103776.99999999255</x:v>
      </x:c>
      <x:c r="L345" s="10" t="n">
        <x:f>K345/Sources!$B$4*1000</x:f>
        <x:v>28.991673522750112</x:v>
      </x:c>
      <x:c r="M345" s="10" t="n">
        <x:f>E345/Sources!$B$4*1000</x:f>
        <x:v>39.87154792019447</x:v>
      </x:c>
      <x:c r="N345" s="9" t="n">
        <x:f>Sources!$B$6-K345</x:f>
        <x:v>-44040.99999999255</x:v>
      </x:c>
      <x:c r="O345" s="1" t="str">
        <x:v>horizontal_shift_left</x:v>
      </x:c>
      <x:c r="P345" s="12" t="n">
        <x:v>-4</x:v>
      </x:c>
      <x:c r="Q345" s="12" t="n">
        <x:v>0</x:v>
      </x:c>
      <x:c r="R345" s="12" t="n">
        <x:v>7</x:v>
      </x:c>
      <x:c r="S345" s="12" t="n">
        <x:v>0</x:v>
      </x:c>
      <x:c r="T345" s="1" t="str">
        <x:v>Yes</x:v>
      </x:c>
      <x:c r="U345" s="1" t="n">
        <x:v>1</x:v>
      </x:c>
    </x:row>
    <x:row r="346" ht="23" customHeight="1">
      <x:c r="A346" s="9" t="n">
        <x:v>345</x:v>
      </x:c>
      <x:c r="B346" s="9" t="n">
        <x:v>299</x:v>
      </x:c>
      <x:c r="C346" s="9" t="n">
        <x:v>1032</x:v>
      </x:c>
      <x:c r="D346" s="9" t="n">
        <x:v>2</x:v>
      </x:c>
      <x:c r="E346" s="9" t="n">
        <x:v>71372.00000000745</x:v>
      </x:c>
      <x:c r="F346" s="9" t="n">
        <x:v>818</x:v>
      </x:c>
      <x:c r="G346" s="9" t="n">
        <x:v>39641</x:v>
      </x:c>
      <x:c r="H346" s="9" t="n">
        <x:v>30330</x:v>
      </x:c>
      <x:c r="I346" s="9" t="n">
        <x:v>476.9999999925494</x:v>
      </x:c>
      <x:c r="J346" s="9" t="n">
        <x:v>106.00000001490116</x:v>
      </x:c>
      <x:c r="K346" s="9" t="n">
        <x:f>F346+G346+I346+J346</x:f>
        <x:v>41042.00000000745</x:v>
      </x:c>
      <x:c r="L346" s="10" t="n">
        <x:f>K346/Sources!$B$4*1000</x:f>
        <x:v>11.46570304326596</x:v>
      </x:c>
      <x:c r="M346" s="10" t="n">
        <x:f>E346/Sources!$B$4*1000</x:f>
        <x:v>19.9388469763636</x:v>
      </x:c>
      <x:c r="N346" s="9" t="n">
        <x:f>Sources!$B$6-K346</x:f>
        <x:v>18693.99999999255</x:v>
      </x:c>
      <x:c r="O346" s="1" t="str">
        <x:v>horizontal_shift_left</x:v>
      </x:c>
      <x:c r="P346" s="12" t="n">
        <x:v>-4</x:v>
      </x:c>
      <x:c r="Q346" s="12" t="n">
        <x:v>0</x:v>
      </x:c>
      <x:c r="R346" s="12" t="n">
        <x:v>3</x:v>
      </x:c>
      <x:c r="S346" s="12" t="n">
        <x:v>0</x:v>
      </x:c>
      <x:c r="T346" s="1" t="str">
        <x:v>No</x:v>
      </x:c>
      <x:c r="U346" s="1" t="n">
        <x:v>1</x:v>
      </x:c>
    </x:row>
    <x:row r="347" ht="23" customHeight="1">
      <x:c r="A347" s="9" t="n">
        <x:v>346</x:v>
      </x:c>
      <x:c r="B347" s="9" t="n">
        <x:v>297</x:v>
      </x:c>
      <x:c r="C347" s="9" t="n">
        <x:v>1032</x:v>
      </x:c>
      <x:c r="D347" s="9" t="n">
        <x:v>1</x:v>
      </x:c>
      <x:c r="E347" s="9" t="n">
        <x:v>142721</x:v>
      </x:c>
      <x:c r="F347" s="9" t="n">
        <x:v>818</x:v>
      </x:c>
      <x:c r="G347" s="9" t="n">
        <x:v>70983</x:v>
      </x:c>
      <x:c r="H347" s="9" t="n">
        <x:v>70345</x:v>
      </x:c>
      <x:c r="I347" s="9" t="n">
        <x:v>468.9999999925494</x:v>
      </x:c>
      <x:c r="J347" s="9" t="n">
        <x:v>106.00000000745058</x:v>
      </x:c>
      <x:c r="K347" s="9" t="n">
        <x:f>F347+G347+I347+J347</x:f>
        <x:v>72376</x:v>
      </x:c>
      <x:c r="L347" s="10" t="n">
        <x:f>K347/Sources!$B$4*1000</x:f>
        <x:v>20.219329551660895</x:v>
      </x:c>
      <x:c r="M347" s="10" t="n">
        <x:f>E347/Sources!$B$4*1000</x:f>
        <x:v>39.87126855508172</x:v>
      </x:c>
      <x:c r="N347" s="9" t="n">
        <x:f>Sources!$B$6-K347</x:f>
        <x:v>-12640</x:v>
      </x:c>
      <x:c r="O347" s="1" t="str">
        <x:v>horizontal_shift_left</x:v>
      </x:c>
      <x:c r="P347" s="12" t="n">
        <x:v>-2</x:v>
      </x:c>
      <x:c r="Q347" s="12" t="n">
        <x:v>0</x:v>
      </x:c>
      <x:c r="R347" s="12" t="n">
        <x:v>1</x:v>
      </x:c>
      <x:c r="S347" s="12" t="n">
        <x:v>0</x:v>
      </x:c>
      <x:c r="T347" s="1" t="str">
        <x:v>No</x:v>
      </x:c>
      <x:c r="U347" s="1" t="n">
        <x:v>0</x:v>
      </x:c>
    </x:row>
    <x:row r="348" ht="23" customHeight="1">
      <x:c r="A348" s="9" t="n">
        <x:v>347</x:v>
      </x:c>
      <x:c r="B348" s="9" t="n">
        <x:v>293</x:v>
      </x:c>
      <x:c r="C348" s="9" t="n">
        <x:v>1032</x:v>
      </x:c>
      <x:c r="D348" s="9" t="n">
        <x:v>2</x:v>
      </x:c>
      <x:c r="E348" s="9" t="n">
        <x:v>142733.99999999255</x:v>
      </x:c>
      <x:c r="F348" s="9" t="n">
        <x:v>818.0000000074506</x:v>
      </x:c>
      <x:c r="G348" s="9" t="n">
        <x:v>97442.99999999255</x:v>
      </x:c>
      <x:c r="H348" s="9" t="n">
        <x:v>43890.00000000745</x:v>
      </x:c>
      <x:c r="I348" s="9" t="n">
        <x:v>476.9999999925494</x:v>
      </x:c>
      <x:c r="J348" s="9" t="n">
        <x:v>105.99999999254942</x:v>
      </x:c>
      <x:c r="K348" s="9" t="n">
        <x:f>F348+G348+I348+J348</x:f>
        <x:v>98843.9999999851</x:v>
      </x:c>
      <x:c r="L348" s="10" t="n">
        <x:f>K348/Sources!$B$4*1000</x:f>
        <x:v>27.613565411242238</x:v>
      </x:c>
      <x:c r="M348" s="10" t="n">
        <x:f>E348/Sources!$B$4*1000</x:f>
        <x:v>39.874900301572566</x:v>
      </x:c>
      <x:c r="N348" s="9" t="n">
        <x:f>Sources!$B$6-K348</x:f>
        <x:v>-39107.9999999851</x:v>
      </x:c>
      <x:c r="O348" s="1" t="str">
        <x:v>horizontal_shift_left</x:v>
      </x:c>
      <x:c r="P348" s="12" t="n">
        <x:v>-4</x:v>
      </x:c>
      <x:c r="Q348" s="12" t="n">
        <x:v>0</x:v>
      </x:c>
      <x:c r="R348" s="12" t="n">
        <x:v>5</x:v>
      </x:c>
      <x:c r="S348" s="12" t="n">
        <x:v>0</x:v>
      </x:c>
      <x:c r="T348" s="1" t="str">
        <x:v>Yes</x:v>
      </x:c>
      <x:c r="U348" s="1" t="n">
        <x:v>1</x:v>
      </x:c>
    </x:row>
    <x:row r="349" ht="23" customHeight="1">
      <x:c r="A349" s="9" t="n">
        <x:v>348</x:v>
      </x:c>
      <x:c r="B349" s="9" t="n">
        <x:v>289</x:v>
      </x:c>
      <x:c r="C349" s="9" t="n">
        <x:v>1032</x:v>
      </x:c>
      <x:c r="D349" s="9" t="n">
        <x:v>2</x:v>
      </x:c>
      <x:c r="E349" s="9" t="n">
        <x:v>71355.00000000745</x:v>
      </x:c>
      <x:c r="F349" s="9" t="n">
        <x:v>818.0000000074506</x:v>
      </x:c>
      <x:c r="G349" s="9" t="n">
        <x:v>39432</x:v>
      </x:c>
      <x:c r="H349" s="9" t="n">
        <x:v>30530</x:v>
      </x:c>
      <x:c r="I349" s="9" t="n">
        <x:v>469</x:v>
      </x:c>
      <x:c r="J349" s="9" t="n">
        <x:v>106</x:v>
      </x:c>
      <x:c r="K349" s="9" t="n">
        <x:f>F349+G349+I349+J349</x:f>
        <x:v>40825.00000000745</x:v>
      </x:c>
      <x:c r="L349" s="10" t="n">
        <x:f>K349/Sources!$B$4*1000</x:f>
        <x:v>11.405080813345677</x:v>
      </x:c>
      <x:c r="M349" s="10" t="n">
        <x:f>E349/Sources!$B$4*1000</x:f>
        <x:v>19.93409776941132</x:v>
      </x:c>
      <x:c r="N349" s="9" t="n">
        <x:f>Sources!$B$6-K349</x:f>
        <x:v>18910.99999999255</x:v>
      </x:c>
      <x:c r="O349" s="1" t="str">
        <x:v>horizontal_shift_left</x:v>
      </x:c>
      <x:c r="P349" s="12" t="n">
        <x:v>-4</x:v>
      </x:c>
      <x:c r="Q349" s="12" t="n">
        <x:v>0</x:v>
      </x:c>
      <x:c r="R349" s="12" t="n">
        <x:v>1</x:v>
      </x:c>
      <x:c r="S349" s="12" t="n">
        <x:v>0</x:v>
      </x:c>
      <x:c r="T349" s="1" t="str">
        <x:v>No</x:v>
      </x:c>
      <x:c r="U349" s="1" t="n">
        <x:v>1</x:v>
      </x:c>
    </x:row>
    <x:row r="350" ht="23" customHeight="1">
      <x:c r="A350" s="9" t="n">
        <x:v>349</x:v>
      </x:c>
      <x:c r="B350" s="9" t="n">
        <x:v>287</x:v>
      </x:c>
      <x:c r="C350" s="9" t="n">
        <x:v>1032</x:v>
      </x:c>
      <x:c r="D350" s="9" t="n">
        <x:v>1</x:v>
      </x:c>
      <x:c r="E350" s="9" t="n">
        <x:v>142736</x:v>
      </x:c>
      <x:c r="F350" s="9" t="n">
        <x:v>818</x:v>
      </x:c>
      <x:c r="G350" s="9" t="n">
        <x:v>102585.00000000745</x:v>
      </x:c>
      <x:c r="H350" s="9" t="n">
        <x:v>38749.99999999255</x:v>
      </x:c>
      <x:c r="I350" s="9" t="n">
        <x:v>477.0000000074506</x:v>
      </x:c>
      <x:c r="J350" s="9" t="n">
        <x:v>105.99999999254942</x:v>
      </x:c>
      <x:c r="K350" s="9" t="n">
        <x:f>F350+G350+I350+J350</x:f>
        <x:v>103986.00000000745</x:v>
      </x:c>
      <x:c r="L350" s="10" t="n">
        <x:f>K350/Sources!$B$4*1000</x:f>
        <x:v>29.050060831755836</x:v>
      </x:c>
      <x:c r="M350" s="10" t="n">
        <x:f>E350/Sources!$B$4*1000</x:f>
        <x:v>39.87545903180432</x:v>
      </x:c>
      <x:c r="N350" s="9" t="n">
        <x:f>Sources!$B$6-K350</x:f>
        <x:v>-44250.00000000745</x:v>
      </x:c>
      <x:c r="O350" s="1" t="str">
        <x:v>horizontal_shift_left</x:v>
      </x:c>
      <x:c r="P350" s="12" t="n">
        <x:v>-2</x:v>
      </x:c>
      <x:c r="Q350" s="12" t="n">
        <x:v>0</x:v>
      </x:c>
      <x:c r="R350" s="12" t="n">
        <x:v>7</x:v>
      </x:c>
      <x:c r="S350" s="12" t="n">
        <x:v>0</x:v>
      </x:c>
      <x:c r="T350" s="1" t="str">
        <x:v>Yes</x:v>
      </x:c>
      <x:c r="U350" s="1" t="n">
        <x:v>1</x:v>
      </x:c>
    </x:row>
    <x:row r="351" ht="23" customHeight="1">
      <x:c r="A351" s="9" t="n">
        <x:v>350</x:v>
      </x:c>
      <x:c r="B351" s="9" t="n">
        <x:v>283</x:v>
      </x:c>
      <x:c r="C351" s="9" t="n">
        <x:v>1032</x:v>
      </x:c>
      <x:c r="D351" s="9" t="n">
        <x:v>2</x:v>
      </x:c>
      <x:c r="E351" s="9" t="n">
        <x:v>142721</x:v>
      </x:c>
      <x:c r="F351" s="9" t="n">
        <x:v>818</x:v>
      </x:c>
      <x:c r="G351" s="9" t="n">
        <x:v>74248</x:v>
      </x:c>
      <x:c r="H351" s="9" t="n">
        <x:v>67079.99999999255</x:v>
      </x:c>
      <x:c r="I351" s="9" t="n">
        <x:v>469.0000000074506</x:v>
      </x:c>
      <x:c r="J351" s="9" t="n">
        <x:v>106</x:v>
      </x:c>
      <x:c r="K351" s="9" t="n">
        <x:f>F351+G351+I351+J351</x:f>
        <x:v>75641.00000000745</x:v>
      </x:c>
      <x:c r="L351" s="10" t="n">
        <x:f>K351/Sources!$B$4*1000</x:f>
        <x:v>21.131456651615625</x:v>
      </x:c>
      <x:c r="M351" s="10" t="n">
        <x:f>E351/Sources!$B$4*1000</x:f>
        <x:v>39.87126855508172</x:v>
      </x:c>
      <x:c r="N351" s="9" t="n">
        <x:f>Sources!$B$6-K351</x:f>
        <x:v>-15905.00000000745</x:v>
      </x:c>
      <x:c r="O351" s="1" t="str">
        <x:v>horizontal_shift_left</x:v>
      </x:c>
      <x:c r="P351" s="12" t="n">
        <x:v>-4</x:v>
      </x:c>
      <x:c r="Q351" s="12" t="n">
        <x:v>0</x:v>
      </x:c>
      <x:c r="R351" s="12" t="n">
        <x:v>3</x:v>
      </x:c>
      <x:c r="S351" s="12" t="n">
        <x:v>0</x:v>
      </x:c>
      <x:c r="T351" s="1" t="str">
        <x:v>No</x:v>
      </x:c>
      <x:c r="U351" s="1" t="n">
        <x:v>1</x:v>
      </x:c>
    </x:row>
    <x:row r="352" ht="23" customHeight="1">
      <x:c r="A352" s="9" t="n">
        <x:v>351</x:v>
      </x:c>
      <x:c r="B352" s="9" t="n">
        <x:v>279</x:v>
      </x:c>
      <x:c r="C352" s="9" t="n">
        <x:v>1032</x:v>
      </x:c>
      <x:c r="D352" s="9" t="n">
        <x:v>2</x:v>
      </x:c>
      <x:c r="E352" s="9" t="n">
        <x:v>71372</x:v>
      </x:c>
      <x:c r="F352" s="9" t="n">
        <x:v>818</x:v>
      </x:c>
      <x:c r="G352" s="9" t="n">
        <x:v>63316</x:v>
      </x:c>
      <x:c r="H352" s="9" t="n">
        <x:v>6655</x:v>
      </x:c>
      <x:c r="I352" s="9" t="n">
        <x:v>477</x:v>
      </x:c>
      <x:c r="J352" s="9" t="n">
        <x:v>106</x:v>
      </x:c>
      <x:c r="K352" s="9" t="n">
        <x:f>F352+G352+I352+J352</x:f>
        <x:v>64717</x:v>
      </x:c>
      <x:c r="L352" s="10" t="n">
        <x:f>K352/Sources!$B$4*1000</x:f>
        <x:v>18.079672137101223</x:v>
      </x:c>
      <x:c r="M352" s="10" t="n">
        <x:f>E352/Sources!$B$4*1000</x:f>
        <x:v>19.93884697636152</x:v>
      </x:c>
      <x:c r="N352" s="9" t="n">
        <x:f>Sources!$B$6-K352</x:f>
        <x:v>-4981</x:v>
      </x:c>
      <x:c r="O352" s="1" t="str">
        <x:v>horizontal_shift_left</x:v>
      </x:c>
      <x:c r="P352" s="12" t="n">
        <x:v>-4</x:v>
      </x:c>
      <x:c r="Q352" s="12" t="n">
        <x:v>0</x:v>
      </x:c>
      <x:c r="R352" s="12" t="n">
        <x:v>7</x:v>
      </x:c>
      <x:c r="S352" s="12" t="n">
        <x:v>0</x:v>
      </x:c>
      <x:c r="T352" s="1" t="str">
        <x:v>Yes</x:v>
      </x:c>
      <x:c r="U352" s="1" t="n">
        <x:v>1</x:v>
      </x:c>
    </x:row>
    <x:row r="353" ht="23" customHeight="1">
      <x:c r="A353" s="9" t="n">
        <x:v>352</x:v>
      </x:c>
      <x:c r="B353" s="9" t="n">
        <x:v>277</x:v>
      </x:c>
      <x:c r="C353" s="9" t="n">
        <x:v>1032</x:v>
      </x:c>
      <x:c r="D353" s="9" t="n">
        <x:v>1</x:v>
      </x:c>
      <x:c r="E353" s="9" t="n">
        <x:v>142718</x:v>
      </x:c>
      <x:c r="F353" s="9" t="n">
        <x:v>817.9999999925494</x:v>
      </x:c>
      <x:c r="G353" s="9" t="n">
        <x:v>73605</x:v>
      </x:c>
      <x:c r="H353" s="9" t="n">
        <x:v>67720</x:v>
      </x:c>
      <x:c r="I353" s="9" t="n">
        <x:v>469.0000000074506</x:v>
      </x:c>
      <x:c r="J353" s="9" t="n">
        <x:v>106</x:v>
      </x:c>
      <x:c r="K353" s="9" t="n">
        <x:f>F353+G353+I353+J353</x:f>
        <x:v>74998</x:v>
      </x:c>
      <x:c r="L353" s="10" t="n">
        <x:f>K353/Sources!$B$4*1000</x:f>
        <x:v>20.95182488277141</x:v>
      </x:c>
      <x:c r="M353" s="10" t="n">
        <x:f>E353/Sources!$B$4*1000</x:f>
        <x:v>39.8704304597372</x:v>
      </x:c>
      <x:c r="N353" s="9" t="n">
        <x:f>Sources!$B$6-K353</x:f>
        <x:v>-15262</x:v>
      </x:c>
      <x:c r="O353" s="1" t="str">
        <x:v>horizontal_shift_left</x:v>
      </x:c>
      <x:c r="P353" s="12" t="n">
        <x:v>-2</x:v>
      </x:c>
      <x:c r="Q353" s="12" t="n">
        <x:v>0</x:v>
      </x:c>
      <x:c r="R353" s="12" t="n">
        <x:v>5</x:v>
      </x:c>
      <x:c r="S353" s="12" t="n">
        <x:v>0</x:v>
      </x:c>
      <x:c r="T353" s="1" t="str">
        <x:v>No</x:v>
      </x:c>
      <x:c r="U353" s="1" t="n">
        <x:v>1</x:v>
      </x:c>
    </x:row>
    <x:row r="354" ht="23" customHeight="1">
      <x:c r="A354" s="9" t="n">
        <x:v>353</x:v>
      </x:c>
      <x:c r="B354" s="9" t="n">
        <x:v>273</x:v>
      </x:c>
      <x:c r="C354" s="9" t="n">
        <x:v>1032</x:v>
      </x:c>
      <x:c r="D354" s="9" t="n">
        <x:v>2</x:v>
      </x:c>
      <x:c r="E354" s="9" t="n">
        <x:v>142737.99999999255</x:v>
      </x:c>
      <x:c r="F354" s="9" t="n">
        <x:v>818</x:v>
      </x:c>
      <x:c r="G354" s="9" t="n">
        <x:v>71147</x:v>
      </x:c>
      <x:c r="H354" s="9" t="n">
        <x:v>70190.00000000745</x:v>
      </x:c>
      <x:c r="I354" s="9" t="n">
        <x:v>477</x:v>
      </x:c>
      <x:c r="J354" s="9" t="n">
        <x:v>105.99999998509884</x:v>
      </x:c>
      <x:c r="K354" s="9" t="n">
        <x:f>F354+G354+I354+J354</x:f>
        <x:v>72547.9999999851</x:v>
      </x:c>
      <x:c r="L354" s="10" t="n">
        <x:f>K354/Sources!$B$4*1000</x:f>
        <x:v>20.267380351409216</x:v>
      </x:c>
      <x:c r="M354" s="10" t="n">
        <x:f>E354/Sources!$B$4*1000</x:f>
        <x:v>39.87601776203192</x:v>
      </x:c>
      <x:c r="N354" s="9" t="n">
        <x:f>Sources!$B$6-K354</x:f>
        <x:v>-12811.999999985099</x:v>
      </x:c>
      <x:c r="O354" s="1" t="str">
        <x:v>horizontal_shift_left</x:v>
      </x:c>
      <x:c r="P354" s="12" t="n">
        <x:v>-4</x:v>
      </x:c>
      <x:c r="Q354" s="12" t="n">
        <x:v>0</x:v>
      </x:c>
      <x:c r="R354" s="12" t="n">
        <x:v>1</x:v>
      </x:c>
      <x:c r="S354" s="12" t="n">
        <x:v>0</x:v>
      </x:c>
      <x:c r="T354" s="1" t="str">
        <x:v>No</x:v>
      </x:c>
      <x:c r="U354" s="1" t="n">
        <x:v>0</x:v>
      </x:c>
    </x:row>
    <x:row r="355" ht="23" customHeight="1">
      <x:c r="A355" s="9" t="n">
        <x:v>354</x:v>
      </x:c>
      <x:c r="B355" s="9" t="n">
        <x:v>269</x:v>
      </x:c>
      <x:c r="C355" s="9" t="n">
        <x:v>1032</x:v>
      </x:c>
      <x:c r="D355" s="9" t="n">
        <x:v>2</x:v>
      </x:c>
      <x:c r="E355" s="9" t="n">
        <x:v>71355.00000000745</x:v>
      </x:c>
      <x:c r="F355" s="9" t="n">
        <x:v>818.0000000074506</x:v>
      </x:c>
      <x:c r="G355" s="9" t="n">
        <x:v>63097</x:v>
      </x:c>
      <x:c r="H355" s="9" t="n">
        <x:v>6865</x:v>
      </x:c>
      <x:c r="I355" s="9" t="n">
        <x:v>469</x:v>
      </x:c>
      <x:c r="J355" s="9" t="n">
        <x:v>106</x:v>
      </x:c>
      <x:c r="K355" s="9" t="n">
        <x:f>F355+G355+I355+J355</x:f>
        <x:v>64490.00000000745</x:v>
      </x:c>
      <x:c r="L355" s="10" t="n">
        <x:f>K355/Sources!$B$4*1000</x:f>
        <x:v>18.016256256034623</x:v>
      </x:c>
      <x:c r="M355" s="10" t="n">
        <x:f>E355/Sources!$B$4*1000</x:f>
        <x:v>19.93409776941132</x:v>
      </x:c>
      <x:c r="N355" s="9" t="n">
        <x:f>Sources!$B$6-K355</x:f>
        <x:v>-4754.000000007451</x:v>
      </x:c>
      <x:c r="O355" s="1" t="str">
        <x:v>horizontal_shift_left</x:v>
      </x:c>
      <x:c r="P355" s="12" t="n">
        <x:v>-4</x:v>
      </x:c>
      <x:c r="Q355" s="12" t="n">
        <x:v>0</x:v>
      </x:c>
      <x:c r="R355" s="12" t="n">
        <x:v>5</x:v>
      </x:c>
      <x:c r="S355" s="12" t="n">
        <x:v>0</x:v>
      </x:c>
      <x:c r="T355" s="1" t="str">
        <x:v>Yes</x:v>
      </x:c>
      <x:c r="U355" s="1" t="n">
        <x:v>1</x:v>
      </x:c>
    </x:row>
    <x:row r="356" ht="23" customHeight="1">
      <x:c r="A356" s="9" t="n">
        <x:v>355</x:v>
      </x:c>
      <x:c r="B356" s="9" t="n">
        <x:v>267</x:v>
      </x:c>
      <x:c r="C356" s="9" t="n">
        <x:v>1032</x:v>
      </x:c>
      <x:c r="D356" s="9" t="n">
        <x:v>1</x:v>
      </x:c>
      <x:c r="E356" s="9" t="n">
        <x:v>142736</x:v>
      </x:c>
      <x:c r="F356" s="9" t="n">
        <x:v>817.9999999925494</x:v>
      </x:c>
      <x:c r="G356" s="9" t="n">
        <x:v>74430</x:v>
      </x:c>
      <x:c r="H356" s="9" t="n">
        <x:v>66905</x:v>
      </x:c>
      <x:c r="I356" s="9" t="n">
        <x:v>477</x:v>
      </x:c>
      <x:c r="J356" s="9" t="n">
        <x:v>106.00000000745058</x:v>
      </x:c>
      <x:c r="K356" s="9" t="n">
        <x:f>F356+G356+I356+J356</x:f>
        <x:v>75831</x:v>
      </x:c>
      <x:c r="L356" s="10" t="n">
        <x:f>K356/Sources!$B$4*1000</x:f>
        <x:v>21.184536023433143</x:v>
      </x:c>
      <x:c r="M356" s="10" t="n">
        <x:f>E356/Sources!$B$4*1000</x:f>
        <x:v>39.87545903180432</x:v>
      </x:c>
      <x:c r="N356" s="9" t="n">
        <x:f>Sources!$B$6-K356</x:f>
        <x:v>-16095</x:v>
      </x:c>
      <x:c r="O356" s="1" t="str">
        <x:v>horizontal_shift_left</x:v>
      </x:c>
      <x:c r="P356" s="12" t="n">
        <x:v>-2</x:v>
      </x:c>
      <x:c r="Q356" s="12" t="n">
        <x:v>0</x:v>
      </x:c>
      <x:c r="R356" s="12" t="n">
        <x:v>3</x:v>
      </x:c>
      <x:c r="S356" s="12" t="n">
        <x:v>0</x:v>
      </x:c>
      <x:c r="T356" s="1" t="str">
        <x:v>No</x:v>
      </x:c>
      <x:c r="U356" s="1" t="n">
        <x:v>1</x:v>
      </x:c>
    </x:row>
    <x:row r="357" ht="23" customHeight="1">
      <x:c r="A357" s="9" t="n">
        <x:v>356</x:v>
      </x:c>
      <x:c r="B357" s="9" t="n">
        <x:v>263</x:v>
      </x:c>
      <x:c r="C357" s="9" t="n">
        <x:v>1032</x:v>
      </x:c>
      <x:c r="D357" s="9" t="n">
        <x:v>2</x:v>
      </x:c>
      <x:c r="E357" s="9" t="n">
        <x:v>142719</x:v>
      </x:c>
      <x:c r="F357" s="9" t="n">
        <x:v>818</x:v>
      </x:c>
      <x:c r="G357" s="9" t="n">
        <x:v>99341</x:v>
      </x:c>
      <x:c r="H357" s="9" t="n">
        <x:v>41984.99999999255</x:v>
      </x:c>
      <x:c r="I357" s="9" t="n">
        <x:v>469.0000000074506</x:v>
      </x:c>
      <x:c r="J357" s="9" t="n">
        <x:v>106</x:v>
      </x:c>
      <x:c r="K357" s="9" t="n">
        <x:f>F357+G357+I357+J357</x:f>
        <x:v>100734.00000000745</x:v>
      </x:c>
      <x:c r="L357" s="10" t="n">
        <x:f>K357/Sources!$B$4*1000</x:f>
        <x:v>28.141565478296112</x:v>
      </x:c>
      <x:c r="M357" s="10" t="n">
        <x:f>E357/Sources!$B$4*1000</x:f>
        <x:v>39.870709824852035</x:v>
      </x:c>
      <x:c r="N357" s="9" t="n">
        <x:f>Sources!$B$6-K357</x:f>
        <x:v>-40998.00000000745</x:v>
      </x:c>
      <x:c r="O357" s="1" t="str">
        <x:v>horizontal_shift_left</x:v>
      </x:c>
      <x:c r="P357" s="12" t="n">
        <x:v>-4</x:v>
      </x:c>
      <x:c r="Q357" s="12" t="n">
        <x:v>0</x:v>
      </x:c>
      <x:c r="R357" s="12" t="n">
        <x:v>7</x:v>
      </x:c>
      <x:c r="S357" s="12" t="n">
        <x:v>0</x:v>
      </x:c>
      <x:c r="T357" s="1" t="str">
        <x:v>Yes</x:v>
      </x:c>
      <x:c r="U357" s="1" t="n">
        <x:v>1</x:v>
      </x:c>
    </x:row>
    <x:row r="358" ht="23" customHeight="1">
      <x:c r="A358" s="9" t="n">
        <x:v>357</x:v>
      </x:c>
      <x:c r="B358" s="9" t="n">
        <x:v>263</x:v>
      </x:c>
      <x:c r="C358" s="9" t="n">
        <x:v>1028</x:v>
      </x:c>
      <x:c r="D358" s="9" t="n">
        <x:v>2</x:v>
      </x:c>
      <x:c r="E358" s="9" t="n">
        <x:v>142737.99999999255</x:v>
      </x:c>
      <x:c r="F358" s="9" t="n">
        <x:v>818</x:v>
      </x:c>
      <x:c r="G358" s="9" t="n">
        <x:v>93347</x:v>
      </x:c>
      <x:c r="H358" s="9" t="n">
        <x:v>47990</x:v>
      </x:c>
      <x:c r="I358" s="9" t="n">
        <x:v>477</x:v>
      </x:c>
      <x:c r="J358" s="9" t="n">
        <x:v>105.99999999254942</x:v>
      </x:c>
      <x:c r="K358" s="9" t="n">
        <x:f>F358+G358+I358+J358</x:f>
        <x:v>94747.99999999255</x:v>
      </x:c>
      <x:c r="L358" s="10" t="n">
        <x:f>K358/Sources!$B$4*1000</x:f>
        <x:v>26.46928590085962</x:v>
      </x:c>
      <x:c r="M358" s="10" t="n">
        <x:f>E358/Sources!$B$4*1000</x:f>
        <x:v>39.87601776203192</x:v>
      </x:c>
      <x:c r="N358" s="9" t="n">
        <x:f>Sources!$B$6-K358</x:f>
        <x:v>-35011.99999999255</x:v>
      </x:c>
      <x:c r="O358" s="1" t="str">
        <x:v>vertical_shift_up</x:v>
      </x:c>
      <x:c r="P358" s="12" t="n">
        <x:v>0</x:v>
      </x:c>
      <x:c r="Q358" s="12" t="n">
        <x:v>-4</x:v>
      </x:c>
      <x:c r="R358" s="12" t="n">
        <x:v>7</x:v>
      </x:c>
      <x:c r="S358" s="12" t="n">
        <x:v>4</x:v>
      </x:c>
      <x:c r="T358" s="1" t="str">
        <x:v>Yes</x:v>
      </x:c>
      <x:c r="U358" s="1" t="n">
        <x:v>2</x:v>
      </x:c>
    </x:row>
    <x:row r="359" ht="23" customHeight="1">
      <x:c r="A359" s="9" t="n">
        <x:v>358</x:v>
      </x:c>
      <x:c r="B359" s="9" t="n">
        <x:v>263</x:v>
      </x:c>
      <x:c r="C359" s="9" t="n">
        <x:v>1024</x:v>
      </x:c>
      <x:c r="D359" s="9" t="n">
        <x:v>2</x:v>
      </x:c>
      <x:c r="E359" s="9" t="n">
        <x:v>71358</x:v>
      </x:c>
      <x:c r="F359" s="9" t="n">
        <x:v>818.0000000074506</x:v>
      </x:c>
      <x:c r="G359" s="9" t="n">
        <x:v>27305</x:v>
      </x:c>
      <x:c r="H359" s="9" t="n">
        <x:v>42660</x:v>
      </x:c>
      <x:c r="I359" s="9" t="n">
        <x:v>469</x:v>
      </x:c>
      <x:c r="J359" s="9" t="n">
        <x:v>105.99999999254942</x:v>
      </x:c>
      <x:c r="K359" s="9" t="n">
        <x:f>F359+G359+I359+J359</x:f>
        <x:v>28698</x:v>
      </x:c>
      <x:c r="L359" s="10" t="n">
        <x:f>K359/Sources!$B$4*1000</x:f>
        <x:v>8.017220065678739</x:v>
      </x:c>
      <x:c r="M359" s="10" t="n">
        <x:f>E359/Sources!$B$4*1000</x:f>
        <x:v>19.934935864753758</x:v>
      </x:c>
      <x:c r="N359" s="9" t="n">
        <x:f>Sources!$B$6-K359</x:f>
        <x:v>31038</x:v>
      </x:c>
      <x:c r="O359" s="1" t="str">
        <x:v>vertical_shift_up</x:v>
      </x:c>
      <x:c r="P359" s="12" t="n">
        <x:v>0</x:v>
      </x:c>
      <x:c r="Q359" s="12" t="n">
        <x:v>-4</x:v>
      </x:c>
      <x:c r="R359" s="12" t="n">
        <x:v>7</x:v>
      </x:c>
      <x:c r="S359" s="12" t="n">
        <x:v>0</x:v>
      </x:c>
      <x:c r="T359" s="1" t="str">
        <x:v>No</x:v>
      </x:c>
      <x:c r="U359" s="1" t="n">
        <x:v>1</x:v>
      </x:c>
    </x:row>
    <x:row r="360" ht="23" customHeight="1">
      <x:c r="A360" s="9" t="n">
        <x:v>359</x:v>
      </x:c>
      <x:c r="B360" s="9" t="n">
        <x:v>263</x:v>
      </x:c>
      <x:c r="C360" s="9" t="n">
        <x:v>1022</x:v>
      </x:c>
      <x:c r="D360" s="9" t="n">
        <x:v>1</x:v>
      </x:c>
      <x:c r="E360" s="9" t="n">
        <x:v>71369.00000000745</x:v>
      </x:c>
      <x:c r="F360" s="9" t="n">
        <x:v>818.0000000074506</x:v>
      </x:c>
      <x:c r="G360" s="9" t="n">
        <x:v>69478</x:v>
      </x:c>
      <x:c r="H360" s="9" t="n">
        <x:v>490</x:v>
      </x:c>
      <x:c r="I360" s="9" t="n">
        <x:v>476.9999999925494</x:v>
      </x:c>
      <x:c r="J360" s="9" t="n">
        <x:v>106.00000000745058</x:v>
      </x:c>
      <x:c r="K360" s="9" t="n">
        <x:f>F360+G360+I360+J360</x:f>
        <x:v>70879.00000000745</x:v>
      </x:c>
      <x:c r="L360" s="10" t="n">
        <x:f>K360/Sources!$B$4*1000</x:f>
        <x:v>19.801119974747476</x:v>
      </x:c>
      <x:c r="M360" s="10" t="n">
        <x:f>E360/Sources!$B$4*1000</x:f>
        <x:v>19.93800888101908</x:v>
      </x:c>
      <x:c r="N360" s="9" t="n">
        <x:f>Sources!$B$6-K360</x:f>
        <x:v>-11143.00000000745</x:v>
      </x:c>
      <x:c r="O360" s="1" t="str">
        <x:v>vertical_shift_up</x:v>
      </x:c>
      <x:c r="P360" s="12" t="n">
        <x:v>0</x:v>
      </x:c>
      <x:c r="Q360" s="12" t="n">
        <x:v>-2</x:v>
      </x:c>
      <x:c r="R360" s="12" t="n">
        <x:v>7</x:v>
      </x:c>
      <x:c r="S360" s="12" t="n">
        <x:v>6</x:v>
      </x:c>
      <x:c r="T360" s="1" t="str">
        <x:v>Yes</x:v>
      </x:c>
      <x:c r="U360" s="1" t="n">
        <x:v>1</x:v>
      </x:c>
    </x:row>
    <x:row r="361" ht="23" customHeight="1">
      <x:c r="A361" s="9" t="n">
        <x:v>360</x:v>
      </x:c>
      <x:c r="B361" s="9" t="n">
        <x:v>263</x:v>
      </x:c>
      <x:c r="C361" s="9" t="n">
        <x:v>1020</x:v>
      </x:c>
      <x:c r="D361" s="9" t="n">
        <x:v>1</x:v>
      </x:c>
      <x:c r="E361" s="9" t="n">
        <x:v>71358</x:v>
      </x:c>
      <x:c r="F361" s="9" t="n">
        <x:v>818</x:v>
      </x:c>
      <x:c r="G361" s="9" t="n">
        <x:v>48585</x:v>
      </x:c>
      <x:c r="H361" s="9" t="n">
        <x:v>21380</x:v>
      </x:c>
      <x:c r="I361" s="9" t="n">
        <x:v>468.9999999925494</x:v>
      </x:c>
      <x:c r="J361" s="9" t="n">
        <x:v>106.00000000745058</x:v>
      </x:c>
      <x:c r="K361" s="9" t="n">
        <x:f>F361+G361+I361+J361</x:f>
        <x:v>49978</x:v>
      </x:c>
      <x:c r="L361" s="10" t="n">
        <x:f>K361/Sources!$B$4*1000</x:f>
        <x:v>13.962109709474248</x:v>
      </x:c>
      <x:c r="M361" s="10" t="n">
        <x:f>E361/Sources!$B$4*1000</x:f>
        <x:v>19.934935864753758</x:v>
      </x:c>
      <x:c r="N361" s="9" t="n">
        <x:f>Sources!$B$6-K361</x:f>
        <x:v>9758</x:v>
      </x:c>
      <x:c r="O361" s="1" t="str">
        <x:v>vertical_shift_up</x:v>
      </x:c>
      <x:c r="P361" s="12" t="n">
        <x:v>0</x:v>
      </x:c>
      <x:c r="Q361" s="12" t="n">
        <x:v>-2</x:v>
      </x:c>
      <x:c r="R361" s="12" t="n">
        <x:v>7</x:v>
      </x:c>
      <x:c r="S361" s="12" t="n">
        <x:v>4</x:v>
      </x:c>
      <x:c r="T361" s="1" t="str">
        <x:v>No</x:v>
      </x:c>
      <x:c r="U361" s="1" t="n">
        <x:v>1</x:v>
      </x:c>
    </x:row>
    <x:row r="362" ht="23" customHeight="1">
      <x:c r="A362" s="9" t="n">
        <x:v>361</x:v>
      </x:c>
      <x:c r="B362" s="9" t="n">
        <x:v>263</x:v>
      </x:c>
      <x:c r="C362" s="9" t="n">
        <x:v>1018</x:v>
      </x:c>
      <x:c r="D362" s="9" t="n">
        <x:v>1</x:v>
      </x:c>
      <x:c r="E362" s="9" t="n">
        <x:v>71369</x:v>
      </x:c>
      <x:c r="F362" s="9" t="n">
        <x:v>818</x:v>
      </x:c>
      <x:c r="G362" s="9" t="n">
        <x:v>49813</x:v>
      </x:c>
      <x:c r="H362" s="9" t="n">
        <x:v>20155</x:v>
      </x:c>
      <x:c r="I362" s="9" t="n">
        <x:v>477</x:v>
      </x:c>
      <x:c r="J362" s="9" t="n">
        <x:v>106</x:v>
      </x:c>
      <x:c r="K362" s="9" t="n">
        <x:f>F362+G362+I362+J362</x:f>
        <x:v>51214</x:v>
      </x:c>
      <x:c r="L362" s="10" t="n">
        <x:f>K362/Sources!$B$4*1000</x:f>
        <x:v>14.307404991416508</x:v>
      </x:c>
      <x:c r="M362" s="10" t="n">
        <x:f>E362/Sources!$B$4*1000</x:f>
        <x:v>19.938008881016998</x:v>
      </x:c>
      <x:c r="N362" s="9" t="n">
        <x:f>Sources!$B$6-K362</x:f>
        <x:v>8522</x:v>
      </x:c>
      <x:c r="O362" s="1" t="str">
        <x:v>vertical_shift_up</x:v>
      </x:c>
      <x:c r="P362" s="12" t="n">
        <x:v>0</x:v>
      </x:c>
      <x:c r="Q362" s="12" t="n">
        <x:v>-2</x:v>
      </x:c>
      <x:c r="R362" s="12" t="n">
        <x:v>7</x:v>
      </x:c>
      <x:c r="S362" s="12" t="n">
        <x:v>2</x:v>
      </x:c>
      <x:c r="T362" s="1" t="str">
        <x:v>No</x:v>
      </x:c>
      <x:c r="U362" s="1" t="n">
        <x:v>0</x:v>
      </x:c>
    </x:row>
    <x:row r="363" ht="23" customHeight="1">
      <x:c r="A363" s="9" t="n">
        <x:v>362</x:v>
      </x:c>
      <x:c r="B363" s="9" t="n">
        <x:v>263</x:v>
      </x:c>
      <x:c r="C363" s="9" t="n">
        <x:v>1016</x:v>
      </x:c>
      <x:c r="D363" s="9" t="n">
        <x:v>1</x:v>
      </x:c>
      <x:c r="E363" s="9" t="n">
        <x:v>71359</x:v>
      </x:c>
      <x:c r="F363" s="9" t="n">
        <x:v>818</x:v>
      </x:c>
      <x:c r="G363" s="9" t="n">
        <x:v>47276</x:v>
      </x:c>
      <x:c r="H363" s="9" t="n">
        <x:v>22690</x:v>
      </x:c>
      <x:c r="I363" s="9" t="n">
        <x:v>469</x:v>
      </x:c>
      <x:c r="J363" s="9" t="n">
        <x:v>106</x:v>
      </x:c>
      <x:c r="K363" s="9" t="n">
        <x:f>F363+G363+I363+J363</x:f>
        <x:v>48669</x:v>
      </x:c>
      <x:c r="L363" s="10" t="n">
        <x:f>K363/Sources!$B$4*1000</x:f>
        <x:v>13.59642077414867</x:v>
      </x:c>
      <x:c r="M363" s="10" t="n">
        <x:f>E363/Sources!$B$4*1000</x:f>
        <x:v>19.9352152298686</x:v>
      </x:c>
      <x:c r="N363" s="9" t="n">
        <x:f>Sources!$B$6-K363</x:f>
        <x:v>11067</x:v>
      </x:c>
      <x:c r="O363" s="1" t="str">
        <x:v>vertical_shift_up</x:v>
      </x:c>
      <x:c r="P363" s="12" t="n">
        <x:v>0</x:v>
      </x:c>
      <x:c r="Q363" s="12" t="n">
        <x:v>-2</x:v>
      </x:c>
      <x:c r="R363" s="12" t="n">
        <x:v>7</x:v>
      </x:c>
      <x:c r="S363" s="12" t="n">
        <x:v>0</x:v>
      </x:c>
      <x:c r="T363" s="1" t="str">
        <x:v>No</x:v>
      </x:c>
      <x:c r="U363" s="1" t="n">
        <x:v>0</x:v>
      </x:c>
    </x:row>
    <x:row r="364" ht="23" customHeight="1">
      <x:c r="A364" s="9" t="n">
        <x:v>363</x:v>
      </x:c>
      <x:c r="B364" s="9" t="n">
        <x:v>263</x:v>
      </x:c>
      <x:c r="C364" s="9" t="n">
        <x:v>1014</x:v>
      </x:c>
      <x:c r="D364" s="9" t="n">
        <x:v>1</x:v>
      </x:c>
      <x:c r="E364" s="9" t="n">
        <x:v>71370</x:v>
      </x:c>
      <x:c r="F364" s="9" t="n">
        <x:v>817.9999999925494</x:v>
      </x:c>
      <x:c r="G364" s="9" t="n">
        <x:v>68994.00000000745</x:v>
      </x:c>
      <x:c r="H364" s="9" t="n">
        <x:v>975</x:v>
      </x:c>
      <x:c r="I364" s="9" t="n">
        <x:v>477</x:v>
      </x:c>
      <x:c r="J364" s="9" t="n">
        <x:v>106</x:v>
      </x:c>
      <x:c r="K364" s="9" t="n">
        <x:f>F364+G364+I364+J364</x:f>
        <x:v>70395</x:v>
      </x:c>
      <x:c r="L364" s="10" t="n">
        <x:f>K364/Sources!$B$4*1000</x:f>
        <x:v>19.665907259162825</x:v>
      </x:c>
      <x:c r="M364" s="10" t="n">
        <x:f>E364/Sources!$B$4*1000</x:f>
        <x:v>19.93828824613184</x:v>
      </x:c>
      <x:c r="N364" s="9" t="n">
        <x:f>Sources!$B$6-K364</x:f>
        <x:v>-10659</x:v>
      </x:c>
      <x:c r="O364" s="1" t="str">
        <x:v>vertical_shift_up</x:v>
      </x:c>
      <x:c r="P364" s="12" t="n">
        <x:v>0</x:v>
      </x:c>
      <x:c r="Q364" s="12" t="n">
        <x:v>-2</x:v>
      </x:c>
      <x:c r="R364" s="12" t="n">
        <x:v>7</x:v>
      </x:c>
      <x:c r="S364" s="12" t="n">
        <x:v>6</x:v>
      </x:c>
      <x:c r="T364" s="1" t="str">
        <x:v>Yes</x:v>
      </x:c>
      <x:c r="U364" s="1" t="n">
        <x:v>1</x:v>
      </x:c>
    </x:row>
    <x:row r="365" ht="23" customHeight="1">
      <x:c r="A365" s="9" t="n">
        <x:v>364</x:v>
      </x:c>
      <x:c r="B365" s="9" t="n">
        <x:v>263</x:v>
      </x:c>
      <x:c r="C365" s="9" t="n">
        <x:v>1012</x:v>
      </x:c>
      <x:c r="D365" s="9" t="n">
        <x:v>1</x:v>
      </x:c>
      <x:c r="E365" s="9" t="n">
        <x:v>71358</x:v>
      </x:c>
      <x:c r="F365" s="9" t="n">
        <x:v>818</x:v>
      </x:c>
      <x:c r="G365" s="9" t="n">
        <x:v>48585</x:v>
      </x:c>
      <x:c r="H365" s="9" t="n">
        <x:v>21380</x:v>
      </x:c>
      <x:c r="I365" s="9" t="n">
        <x:v>469</x:v>
      </x:c>
      <x:c r="J365" s="9" t="n">
        <x:v>106</x:v>
      </x:c>
      <x:c r="K365" s="9" t="n">
        <x:f>F365+G365+I365+J365</x:f>
        <x:v>49978</x:v>
      </x:c>
      <x:c r="L365" s="10" t="n">
        <x:f>K365/Sources!$B$4*1000</x:f>
        <x:v>13.962109709474248</x:v>
      </x:c>
      <x:c r="M365" s="10" t="n">
        <x:f>E365/Sources!$B$4*1000</x:f>
        <x:v>19.934935864753758</x:v>
      </x:c>
      <x:c r="N365" s="9" t="n">
        <x:f>Sources!$B$6-K365</x:f>
        <x:v>9758</x:v>
      </x:c>
      <x:c r="O365" s="1" t="str">
        <x:v>vertical_shift_up</x:v>
      </x:c>
      <x:c r="P365" s="12" t="n">
        <x:v>0</x:v>
      </x:c>
      <x:c r="Q365" s="12" t="n">
        <x:v>-2</x:v>
      </x:c>
      <x:c r="R365" s="12" t="n">
        <x:v>7</x:v>
      </x:c>
      <x:c r="S365" s="12" t="n">
        <x:v>4</x:v>
      </x:c>
      <x:c r="T365" s="1" t="str">
        <x:v>No</x:v>
      </x:c>
      <x:c r="U365" s="1" t="n">
        <x:v>1</x:v>
      </x:c>
    </x:row>
    <x:row r="366" ht="23" customHeight="1">
      <x:c r="A366" s="9" t="n">
        <x:v>365</x:v>
      </x:c>
      <x:c r="B366" s="9" t="n">
        <x:v>263</x:v>
      </x:c>
      <x:c r="C366" s="9" t="n">
        <x:v>1010</x:v>
      </x:c>
      <x:c r="D366" s="9" t="n">
        <x:v>1</x:v>
      </x:c>
      <x:c r="E366" s="9" t="n">
        <x:v>71369</x:v>
      </x:c>
      <x:c r="F366" s="9" t="n">
        <x:v>818</x:v>
      </x:c>
      <x:c r="G366" s="9" t="n">
        <x:v>49813</x:v>
      </x:c>
      <x:c r="H366" s="9" t="n">
        <x:v>20154.99999999255</x:v>
      </x:c>
      <x:c r="I366" s="9" t="n">
        <x:v>477.0000000074506</x:v>
      </x:c>
      <x:c r="J366" s="9" t="n">
        <x:v>106</x:v>
      </x:c>
      <x:c r="K366" s="9" t="n">
        <x:f>F366+G366+I366+J366</x:f>
        <x:v>51214.00000000745</x:v>
      </x:c>
      <x:c r="L366" s="10" t="n">
        <x:f>K366/Sources!$B$4*1000</x:f>
        <x:v>14.307404991418588</x:v>
      </x:c>
      <x:c r="M366" s="10" t="n">
        <x:f>E366/Sources!$B$4*1000</x:f>
        <x:v>19.938008881016998</x:v>
      </x:c>
      <x:c r="N366" s="9" t="n">
        <x:f>Sources!$B$6-K366</x:f>
        <x:v>8521.99999999255</x:v>
      </x:c>
      <x:c r="O366" s="1" t="str">
        <x:v>vertical_shift_up</x:v>
      </x:c>
      <x:c r="P366" s="12" t="n">
        <x:v>0</x:v>
      </x:c>
      <x:c r="Q366" s="12" t="n">
        <x:v>-2</x:v>
      </x:c>
      <x:c r="R366" s="12" t="n">
        <x:v>7</x:v>
      </x:c>
      <x:c r="S366" s="12" t="n">
        <x:v>2</x:v>
      </x:c>
      <x:c r="T366" s="1" t="str">
        <x:v>No</x:v>
      </x:c>
      <x:c r="U366" s="1" t="n">
        <x:v>0</x:v>
      </x:c>
    </x:row>
    <x:row r="367" ht="23" customHeight="1">
      <x:c r="A367" s="9" t="n">
        <x:v>366</x:v>
      </x:c>
      <x:c r="B367" s="9" t="n">
        <x:v>263</x:v>
      </x:c>
      <x:c r="C367" s="9" t="n">
        <x:v>1008</x:v>
      </x:c>
      <x:c r="D367" s="9" t="n">
        <x:v>1</x:v>
      </x:c>
      <x:c r="E367" s="9" t="n">
        <x:v>71358.99999999255</x:v>
      </x:c>
      <x:c r="F367" s="9" t="n">
        <x:v>817.9999999925494</x:v>
      </x:c>
      <x:c r="G367" s="9" t="n">
        <x:v>47276</x:v>
      </x:c>
      <x:c r="H367" s="9" t="n">
        <x:v>22690</x:v>
      </x:c>
      <x:c r="I367" s="9" t="n">
        <x:v>469</x:v>
      </x:c>
      <x:c r="J367" s="9" t="n">
        <x:v>106</x:v>
      </x:c>
      <x:c r="K367" s="9" t="n">
        <x:f>F367+G367+I367+J367</x:f>
        <x:v>48668.99999999255</x:v>
      </x:c>
      <x:c r="L367" s="10" t="n">
        <x:f>K367/Sources!$B$4*1000</x:f>
        <x:v>13.596420774146589</x:v>
      </x:c>
      <x:c r="M367" s="10" t="n">
        <x:f>E367/Sources!$B$4*1000</x:f>
        <x:v>19.93521522986652</x:v>
      </x:c>
      <x:c r="N367" s="9" t="n">
        <x:f>Sources!$B$6-K367</x:f>
        <x:v>11067.00000000745</x:v>
      </x:c>
      <x:c r="O367" s="1" t="str">
        <x:v>vertical_shift_up</x:v>
      </x:c>
      <x:c r="P367" s="12" t="n">
        <x:v>0</x:v>
      </x:c>
      <x:c r="Q367" s="12" t="n">
        <x:v>-2</x:v>
      </x:c>
      <x:c r="R367" s="12" t="n">
        <x:v>7</x:v>
      </x:c>
      <x:c r="S367" s="12" t="n">
        <x:v>0</x:v>
      </x:c>
      <x:c r="T367" s="1" t="str">
        <x:v>No</x:v>
      </x:c>
      <x:c r="U367" s="1" t="n">
        <x:v>0</x:v>
      </x:c>
    </x:row>
    <x:row r="368" ht="23" customHeight="1">
      <x:c r="A368" s="9" t="n">
        <x:v>367</x:v>
      </x:c>
      <x:c r="B368" s="9" t="n">
        <x:v>263</x:v>
      </x:c>
      <x:c r="C368" s="9" t="n">
        <x:v>1006</x:v>
      </x:c>
      <x:c r="D368" s="9" t="n">
        <x:v>1</x:v>
      </x:c>
      <x:c r="E368" s="9" t="n">
        <x:v>71370.00000000745</x:v>
      </x:c>
      <x:c r="F368" s="9" t="n">
        <x:v>818.0000000074506</x:v>
      </x:c>
      <x:c r="G368" s="9" t="n">
        <x:v>68993.99999999255</x:v>
      </x:c>
      <x:c r="H368" s="9" t="n">
        <x:v>975</x:v>
      </x:c>
      <x:c r="I368" s="9" t="n">
        <x:v>477.0000000074506</x:v>
      </x:c>
      <x:c r="J368" s="9" t="n">
        <x:v>106</x:v>
      </x:c>
      <x:c r="K368" s="9" t="n">
        <x:f>F368+G368+I368+J368</x:f>
        <x:v>70395.00000000745</x:v>
      </x:c>
      <x:c r="L368" s="10" t="n">
        <x:f>K368/Sources!$B$4*1000</x:f>
        <x:v>19.665907259164907</x:v>
      </x:c>
      <x:c r="M368" s="10" t="n">
        <x:f>E368/Sources!$B$4*1000</x:f>
        <x:v>19.938288246133922</x:v>
      </x:c>
      <x:c r="N368" s="9" t="n">
        <x:f>Sources!$B$6-K368</x:f>
        <x:v>-10659.00000000745</x:v>
      </x:c>
      <x:c r="O368" s="1" t="str">
        <x:v>vertical_shift_up</x:v>
      </x:c>
      <x:c r="P368" s="12" t="n">
        <x:v>0</x:v>
      </x:c>
      <x:c r="Q368" s="12" t="n">
        <x:v>-2</x:v>
      </x:c>
      <x:c r="R368" s="12" t="n">
        <x:v>7</x:v>
      </x:c>
      <x:c r="S368" s="12" t="n">
        <x:v>6</x:v>
      </x:c>
      <x:c r="T368" s="1" t="str">
        <x:v>Yes</x:v>
      </x:c>
      <x:c r="U368" s="1" t="n">
        <x:v>1</x:v>
      </x:c>
    </x:row>
    <x:row r="369" ht="23" customHeight="1">
      <x:c r="A369" s="9" t="n">
        <x:v>368</x:v>
      </x:c>
      <x:c r="B369" s="9" t="n">
        <x:v>263</x:v>
      </x:c>
      <x:c r="C369" s="9" t="n">
        <x:v>1004</x:v>
      </x:c>
      <x:c r="D369" s="9" t="n">
        <x:v>1</x:v>
      </x:c>
      <x:c r="E369" s="9" t="n">
        <x:v>71358</x:v>
      </x:c>
      <x:c r="F369" s="9" t="n">
        <x:v>818</x:v>
      </x:c>
      <x:c r="G369" s="9" t="n">
        <x:v>48584.99999999255</x:v>
      </x:c>
      <x:c r="H369" s="9" t="n">
        <x:v>21379.99999999255</x:v>
      </x:c>
      <x:c r="I369" s="9" t="n">
        <x:v>469.0000000074506</x:v>
      </x:c>
      <x:c r="J369" s="9" t="n">
        <x:v>106.00000000745058</x:v>
      </x:c>
      <x:c r="K369" s="9" t="n">
        <x:f>F369+G369+I369+J369</x:f>
        <x:v>49978.00000000745</x:v>
      </x:c>
      <x:c r="L369" s="10" t="n">
        <x:f>K369/Sources!$B$4*1000</x:f>
        <x:v>13.96210970947633</x:v>
      </x:c>
      <x:c r="M369" s="10" t="n">
        <x:f>E369/Sources!$B$4*1000</x:f>
        <x:v>19.934935864753758</x:v>
      </x:c>
      <x:c r="N369" s="9" t="n">
        <x:f>Sources!$B$6-K369</x:f>
        <x:v>9757.99999999255</x:v>
      </x:c>
      <x:c r="O369" s="1" t="str">
        <x:v>vertical_shift_up</x:v>
      </x:c>
      <x:c r="P369" s="12" t="n">
        <x:v>0</x:v>
      </x:c>
      <x:c r="Q369" s="12" t="n">
        <x:v>-2</x:v>
      </x:c>
      <x:c r="R369" s="12" t="n">
        <x:v>7</x:v>
      </x:c>
      <x:c r="S369" s="12" t="n">
        <x:v>4</x:v>
      </x:c>
      <x:c r="T369" s="1" t="str">
        <x:v>No</x:v>
      </x:c>
      <x:c r="U369" s="1" t="n">
        <x:v>1</x:v>
      </x:c>
    </x:row>
    <x:row r="370" ht="23" customHeight="1">
      <x:c r="A370" s="9" t="n">
        <x:v>369</x:v>
      </x:c>
      <x:c r="B370" s="9" t="n">
        <x:v>263</x:v>
      </x:c>
      <x:c r="C370" s="9" t="n">
        <x:v>1002</x:v>
      </x:c>
      <x:c r="D370" s="9" t="n">
        <x:v>1</x:v>
      </x:c>
      <x:c r="E370" s="9" t="n">
        <x:v>71369</x:v>
      </x:c>
      <x:c r="F370" s="9" t="n">
        <x:v>818</x:v>
      </x:c>
      <x:c r="G370" s="9" t="n">
        <x:v>49813</x:v>
      </x:c>
      <x:c r="H370" s="9" t="n">
        <x:v>20155</x:v>
      </x:c>
      <x:c r="I370" s="9" t="n">
        <x:v>477.0000000074506</x:v>
      </x:c>
      <x:c r="J370" s="9" t="n">
        <x:v>105.99999999254942</x:v>
      </x:c>
      <x:c r="K370" s="9" t="n">
        <x:f>F370+G370+I370+J370</x:f>
        <x:v>51214</x:v>
      </x:c>
      <x:c r="L370" s="10" t="n">
        <x:f>K370/Sources!$B$4*1000</x:f>
        <x:v>14.307404991416508</x:v>
      </x:c>
      <x:c r="M370" s="10" t="n">
        <x:f>E370/Sources!$B$4*1000</x:f>
        <x:v>19.938008881016998</x:v>
      </x:c>
      <x:c r="N370" s="9" t="n">
        <x:f>Sources!$B$6-K370</x:f>
        <x:v>8522</x:v>
      </x:c>
      <x:c r="O370" s="1" t="str">
        <x:v>vertical_shift_up</x:v>
      </x:c>
      <x:c r="P370" s="12" t="n">
        <x:v>0</x:v>
      </x:c>
      <x:c r="Q370" s="12" t="n">
        <x:v>-2</x:v>
      </x:c>
      <x:c r="R370" s="12" t="n">
        <x:v>7</x:v>
      </x:c>
      <x:c r="S370" s="12" t="n">
        <x:v>2</x:v>
      </x:c>
      <x:c r="T370" s="1" t="str">
        <x:v>No</x:v>
      </x:c>
      <x:c r="U370" s="1" t="n">
        <x:v>0</x:v>
      </x:c>
    </x:row>
    <x:row r="371" ht="23" customHeight="1">
      <x:c r="A371" s="9" t="n">
        <x:v>370</x:v>
      </x:c>
      <x:c r="B371" s="9" t="n">
        <x:v>263</x:v>
      </x:c>
      <x:c r="C371" s="9" t="n">
        <x:v>1000</x:v>
      </x:c>
      <x:c r="D371" s="9" t="n">
        <x:v>1</x:v>
      </x:c>
      <x:c r="E371" s="9" t="n">
        <x:v>71358.99999999255</x:v>
      </x:c>
      <x:c r="F371" s="9" t="n">
        <x:v>817.9999999925494</x:v>
      </x:c>
      <x:c r="G371" s="9" t="n">
        <x:v>47276.00000000745</x:v>
      </x:c>
      <x:c r="H371" s="9" t="n">
        <x:v>22690</x:v>
      </x:c>
      <x:c r="I371" s="9" t="n">
        <x:v>468.9999999925494</x:v>
      </x:c>
      <x:c r="J371" s="9" t="n">
        <x:v>106</x:v>
      </x:c>
      <x:c r="K371" s="9" t="n">
        <x:f>F371+G371+I371+J371</x:f>
        <x:v>48668.99999999255</x:v>
      </x:c>
      <x:c r="L371" s="10" t="n">
        <x:f>K371/Sources!$B$4*1000</x:f>
        <x:v>13.596420774146589</x:v>
      </x:c>
      <x:c r="M371" s="10" t="n">
        <x:f>E371/Sources!$B$4*1000</x:f>
        <x:v>19.93521522986652</x:v>
      </x:c>
      <x:c r="N371" s="9" t="n">
        <x:f>Sources!$B$6-K371</x:f>
        <x:v>11067.00000000745</x:v>
      </x:c>
      <x:c r="O371" s="1" t="str">
        <x:v>vertical_shift_up</x:v>
      </x:c>
      <x:c r="P371" s="12" t="n">
        <x:v>0</x:v>
      </x:c>
      <x:c r="Q371" s="12" t="n">
        <x:v>-2</x:v>
      </x:c>
      <x:c r="R371" s="12" t="n">
        <x:v>7</x:v>
      </x:c>
      <x:c r="S371" s="12" t="n">
        <x:v>0</x:v>
      </x:c>
      <x:c r="T371" s="1" t="str">
        <x:v>No</x:v>
      </x:c>
      <x:c r="U371" s="1" t="n">
        <x:v>0</x:v>
      </x:c>
    </x:row>
    <x:row r="372" ht="23" customHeight="1">
      <x:c r="A372" s="9" t="n">
        <x:v>371</x:v>
      </x:c>
      <x:c r="B372" s="9" t="n">
        <x:v>263</x:v>
      </x:c>
      <x:c r="C372" s="9" t="n">
        <x:v>998</x:v>
      </x:c>
      <x:c r="D372" s="9" t="n">
        <x:v>1</x:v>
      </x:c>
      <x:c r="E372" s="9" t="n">
        <x:v>71370.00000000745</x:v>
      </x:c>
      <x:c r="F372" s="9" t="n">
        <x:v>818.0000000074506</x:v>
      </x:c>
      <x:c r="G372" s="9" t="n">
        <x:v>68993.99999999255</x:v>
      </x:c>
      <x:c r="H372" s="9" t="n">
        <x:v>975</x:v>
      </x:c>
      <x:c r="I372" s="9" t="n">
        <x:v>477.0000000074506</x:v>
      </x:c>
      <x:c r="J372" s="9" t="n">
        <x:v>106</x:v>
      </x:c>
      <x:c r="K372" s="9" t="n">
        <x:f>F372+G372+I372+J372</x:f>
        <x:v>70395.00000000745</x:v>
      </x:c>
      <x:c r="L372" s="10" t="n">
        <x:f>K372/Sources!$B$4*1000</x:f>
        <x:v>19.665907259164907</x:v>
      </x:c>
      <x:c r="M372" s="10" t="n">
        <x:f>E372/Sources!$B$4*1000</x:f>
        <x:v>19.938288246133922</x:v>
      </x:c>
      <x:c r="N372" s="9" t="n">
        <x:f>Sources!$B$6-K372</x:f>
        <x:v>-10659.00000000745</x:v>
      </x:c>
      <x:c r="O372" s="1" t="str">
        <x:v>vertical_shift_up</x:v>
      </x:c>
      <x:c r="P372" s="12" t="n">
        <x:v>0</x:v>
      </x:c>
      <x:c r="Q372" s="12" t="n">
        <x:v>-2</x:v>
      </x:c>
      <x:c r="R372" s="12" t="n">
        <x:v>7</x:v>
      </x:c>
      <x:c r="S372" s="12" t="n">
        <x:v>6</x:v>
      </x:c>
      <x:c r="T372" s="1" t="str">
        <x:v>Yes</x:v>
      </x:c>
      <x:c r="U372" s="1" t="n">
        <x:v>1</x:v>
      </x:c>
    </x:row>
    <x:row r="373" ht="23" customHeight="1">
      <x:c r="A373" s="9" t="n">
        <x:v>372</x:v>
      </x:c>
      <x:c r="B373" s="9" t="n">
        <x:v>263</x:v>
      </x:c>
      <x:c r="C373" s="9" t="n">
        <x:v>996</x:v>
      </x:c>
      <x:c r="D373" s="9" t="n">
        <x:v>1</x:v>
      </x:c>
      <x:c r="E373" s="9" t="n">
        <x:v>71358</x:v>
      </x:c>
      <x:c r="F373" s="9" t="n">
        <x:v>817.9999999925494</x:v>
      </x:c>
      <x:c r="G373" s="9" t="n">
        <x:v>48585</x:v>
      </x:c>
      <x:c r="H373" s="9" t="n">
        <x:v>21380.00000000745</x:v>
      </x:c>
      <x:c r="I373" s="9" t="n">
        <x:v>469</x:v>
      </x:c>
      <x:c r="J373" s="9" t="n">
        <x:v>106</x:v>
      </x:c>
      <x:c r="K373" s="9" t="n">
        <x:f>F373+G373+I373+J373</x:f>
        <x:v>49977.99999999255</x:v>
      </x:c>
      <x:c r="L373" s="10" t="n">
        <x:f>K373/Sources!$B$4*1000</x:f>
        <x:v>13.962109709472166</x:v>
      </x:c>
      <x:c r="M373" s="10" t="n">
        <x:f>E373/Sources!$B$4*1000</x:f>
        <x:v>19.934935864753758</x:v>
      </x:c>
      <x:c r="N373" s="9" t="n">
        <x:f>Sources!$B$6-K373</x:f>
        <x:v>9758.00000000745</x:v>
      </x:c>
      <x:c r="O373" s="1" t="str">
        <x:v>vertical_shift_up</x:v>
      </x:c>
      <x:c r="P373" s="12" t="n">
        <x:v>0</x:v>
      </x:c>
      <x:c r="Q373" s="12" t="n">
        <x:v>-2</x:v>
      </x:c>
      <x:c r="R373" s="12" t="n">
        <x:v>7</x:v>
      </x:c>
      <x:c r="S373" s="12" t="n">
        <x:v>4</x:v>
      </x:c>
      <x:c r="T373" s="1" t="str">
        <x:v>No</x:v>
      </x:c>
      <x:c r="U373" s="1" t="n">
        <x:v>1</x:v>
      </x:c>
    </x:row>
    <x:row r="374" ht="23" customHeight="1">
      <x:c r="A374" s="9" t="n">
        <x:v>373</x:v>
      </x:c>
      <x:c r="B374" s="9" t="n">
        <x:v>263</x:v>
      </x:c>
      <x:c r="C374" s="9" t="n">
        <x:v>994</x:v>
      </x:c>
      <x:c r="D374" s="9" t="n">
        <x:v>1</x:v>
      </x:c>
      <x:c r="E374" s="9" t="n">
        <x:v>71368.99999999255</x:v>
      </x:c>
      <x:c r="F374" s="9" t="n">
        <x:v>817.9999999925494</x:v>
      </x:c>
      <x:c r="G374" s="9" t="n">
        <x:v>49813</x:v>
      </x:c>
      <x:c r="H374" s="9" t="n">
        <x:v>20155.00000000745</x:v>
      </x:c>
      <x:c r="I374" s="9" t="n">
        <x:v>477</x:v>
      </x:c>
      <x:c r="J374" s="9" t="n">
        <x:v>105.99999999254942</x:v>
      </x:c>
      <x:c r="K374" s="9" t="n">
        <x:f>F374+G374+I374+J374</x:f>
        <x:v>51213.9999999851</x:v>
      </x:c>
      <x:c r="L374" s="10" t="n">
        <x:f>K374/Sources!$B$4*1000</x:f>
        <x:v>14.307404991412344</x:v>
      </x:c>
      <x:c r="M374" s="10" t="n">
        <x:f>E374/Sources!$B$4*1000</x:f>
        <x:v>19.93800888101492</x:v>
      </x:c>
      <x:c r="N374" s="9" t="n">
        <x:f>Sources!$B$6-K374</x:f>
        <x:v>8522.000000014901</x:v>
      </x:c>
      <x:c r="O374" s="1" t="str">
        <x:v>vertical_shift_up</x:v>
      </x:c>
      <x:c r="P374" s="12" t="n">
        <x:v>0</x:v>
      </x:c>
      <x:c r="Q374" s="12" t="n">
        <x:v>-2</x:v>
      </x:c>
      <x:c r="R374" s="12" t="n">
        <x:v>7</x:v>
      </x:c>
      <x:c r="S374" s="12" t="n">
        <x:v>2</x:v>
      </x:c>
      <x:c r="T374" s="1" t="str">
        <x:v>No</x:v>
      </x:c>
      <x:c r="U374" s="1" t="n">
        <x:v>0</x:v>
      </x:c>
    </x:row>
    <x:row r="375" ht="23" customHeight="1">
      <x:c r="A375" s="9" t="n">
        <x:v>374</x:v>
      </x:c>
      <x:c r="B375" s="9" t="n">
        <x:v>263</x:v>
      </x:c>
      <x:c r="C375" s="9" t="n">
        <x:v>992</x:v>
      </x:c>
      <x:c r="D375" s="9" t="n">
        <x:v>1</x:v>
      </x:c>
      <x:c r="E375" s="9" t="n">
        <x:v>71359.00000000745</x:v>
      </x:c>
      <x:c r="F375" s="9" t="n">
        <x:v>818</x:v>
      </x:c>
      <x:c r="G375" s="9" t="n">
        <x:v>47275.99999999255</x:v>
      </x:c>
      <x:c r="H375" s="9" t="n">
        <x:v>22690.00000000745</x:v>
      </x:c>
      <x:c r="I375" s="9" t="n">
        <x:v>468.9999999925494</x:v>
      </x:c>
      <x:c r="J375" s="9" t="n">
        <x:v>106.00000001490116</x:v>
      </x:c>
      <x:c r="K375" s="9" t="n">
        <x:f>F375+G375+I375+J375</x:f>
        <x:v>48669</x:v>
      </x:c>
      <x:c r="L375" s="10" t="n">
        <x:f>K375/Sources!$B$4*1000</x:f>
        <x:v>13.59642077414867</x:v>
      </x:c>
      <x:c r="M375" s="10" t="n">
        <x:f>E375/Sources!$B$4*1000</x:f>
        <x:v>19.935215229870682</x:v>
      </x:c>
      <x:c r="N375" s="9" t="n">
        <x:f>Sources!$B$6-K375</x:f>
        <x:v>11067</x:v>
      </x:c>
      <x:c r="O375" s="1" t="str">
        <x:v>vertical_shift_up</x:v>
      </x:c>
      <x:c r="P375" s="12" t="n">
        <x:v>0</x:v>
      </x:c>
      <x:c r="Q375" s="12" t="n">
        <x:v>-2</x:v>
      </x:c>
      <x:c r="R375" s="12" t="n">
        <x:v>7</x:v>
      </x:c>
      <x:c r="S375" s="12" t="n">
        <x:v>0</x:v>
      </x:c>
      <x:c r="T375" s="1" t="str">
        <x:v>No</x:v>
      </x:c>
      <x:c r="U375" s="1" t="n">
        <x:v>0</x:v>
      </x:c>
    </x:row>
    <x:row r="376" ht="23" customHeight="1">
      <x:c r="A376" s="9" t="n">
        <x:v>375</x:v>
      </x:c>
      <x:c r="B376" s="9" t="n">
        <x:v>263</x:v>
      </x:c>
      <x:c r="C376" s="9" t="n">
        <x:v>990</x:v>
      </x:c>
      <x:c r="D376" s="9" t="n">
        <x:v>1</x:v>
      </x:c>
      <x:c r="E376" s="9" t="n">
        <x:v>71369.99999999255</x:v>
      </x:c>
      <x:c r="F376" s="9" t="n">
        <x:v>818</x:v>
      </x:c>
      <x:c r="G376" s="9" t="n">
        <x:v>68994</x:v>
      </x:c>
      <x:c r="H376" s="9" t="n">
        <x:v>975</x:v>
      </x:c>
      <x:c r="I376" s="9" t="n">
        <x:v>477</x:v>
      </x:c>
      <x:c r="J376" s="9" t="n">
        <x:v>105.99999999254942</x:v>
      </x:c>
      <x:c r="K376" s="9" t="n">
        <x:f>F376+G376+I376+J376</x:f>
        <x:v>70394.99999999255</x:v>
      </x:c>
      <x:c r="L376" s="10" t="n">
        <x:f>K376/Sources!$B$4*1000</x:f>
        <x:v>19.665907259160743</x:v>
      </x:c>
      <x:c r="M376" s="10" t="n">
        <x:f>E376/Sources!$B$4*1000</x:f>
        <x:v>19.938288246129762</x:v>
      </x:c>
      <x:c r="N376" s="9" t="n">
        <x:f>Sources!$B$6-K376</x:f>
        <x:v>-10658.99999999255</x:v>
      </x:c>
      <x:c r="O376" s="1" t="str">
        <x:v>vertical_shift_up</x:v>
      </x:c>
      <x:c r="P376" s="12" t="n">
        <x:v>0</x:v>
      </x:c>
      <x:c r="Q376" s="12" t="n">
        <x:v>-2</x:v>
      </x:c>
      <x:c r="R376" s="12" t="n">
        <x:v>7</x:v>
      </x:c>
      <x:c r="S376" s="12" t="n">
        <x:v>6</x:v>
      </x:c>
      <x:c r="T376" s="1" t="str">
        <x:v>Yes</x:v>
      </x:c>
      <x:c r="U376" s="1" t="n">
        <x:v>1</x:v>
      </x:c>
    </x:row>
    <x:row r="377" ht="23" customHeight="1">
      <x:c r="A377" s="9" t="n">
        <x:v>376</x:v>
      </x:c>
      <x:c r="B377" s="9" t="n">
        <x:v>263</x:v>
      </x:c>
      <x:c r="C377" s="9" t="n">
        <x:v>988</x:v>
      </x:c>
      <x:c r="D377" s="9" t="n">
        <x:v>1</x:v>
      </x:c>
      <x:c r="E377" s="9" t="n">
        <x:v>71358.00000000745</x:v>
      </x:c>
      <x:c r="F377" s="9" t="n">
        <x:v>818</x:v>
      </x:c>
      <x:c r="G377" s="9" t="n">
        <x:v>48585</x:v>
      </x:c>
      <x:c r="H377" s="9" t="n">
        <x:v>21380</x:v>
      </x:c>
      <x:c r="I377" s="9" t="n">
        <x:v>469</x:v>
      </x:c>
      <x:c r="J377" s="9" t="n">
        <x:v>106.00000000745058</x:v>
      </x:c>
      <x:c r="K377" s="9" t="n">
        <x:f>F377+G377+I377+J377</x:f>
        <x:v>49978.00000000745</x:v>
      </x:c>
      <x:c r="L377" s="10" t="n">
        <x:f>K377/Sources!$B$4*1000</x:f>
        <x:v>13.96210970947633</x:v>
      </x:c>
      <x:c r="M377" s="10" t="n">
        <x:f>E377/Sources!$B$4*1000</x:f>
        <x:v>19.93493586475584</x:v>
      </x:c>
      <x:c r="N377" s="9" t="n">
        <x:f>Sources!$B$6-K377</x:f>
        <x:v>9757.99999999255</x:v>
      </x:c>
      <x:c r="O377" s="1" t="str">
        <x:v>vertical_shift_up</x:v>
      </x:c>
      <x:c r="P377" s="12" t="n">
        <x:v>0</x:v>
      </x:c>
      <x:c r="Q377" s="12" t="n">
        <x:v>-2</x:v>
      </x:c>
      <x:c r="R377" s="12" t="n">
        <x:v>7</x:v>
      </x:c>
      <x:c r="S377" s="12" t="n">
        <x:v>4</x:v>
      </x:c>
      <x:c r="T377" s="1" t="str">
        <x:v>No</x:v>
      </x:c>
      <x:c r="U377" s="1" t="n">
        <x:v>1</x:v>
      </x:c>
    </x:row>
    <x:row r="378" ht="23" customHeight="1">
      <x:c r="A378" s="9" t="n">
        <x:v>377</x:v>
      </x:c>
      <x:c r="B378" s="9" t="n">
        <x:v>263</x:v>
      </x:c>
      <x:c r="C378" s="9" t="n">
        <x:v>986</x:v>
      </x:c>
      <x:c r="D378" s="9" t="n">
        <x:v>1</x:v>
      </x:c>
      <x:c r="E378" s="9" t="n">
        <x:v>71368.99999999255</x:v>
      </x:c>
      <x:c r="F378" s="9" t="n">
        <x:v>818</x:v>
      </x:c>
      <x:c r="G378" s="9" t="n">
        <x:v>49813</x:v>
      </x:c>
      <x:c r="H378" s="9" t="n">
        <x:v>20155.00000000745</x:v>
      </x:c>
      <x:c r="I378" s="9" t="n">
        <x:v>476.9999999925494</x:v>
      </x:c>
      <x:c r="J378" s="9" t="n">
        <x:v>105.99999999254942</x:v>
      </x:c>
      <x:c r="K378" s="9" t="n">
        <x:f>F378+G378+I378+J378</x:f>
        <x:v>51213.9999999851</x:v>
      </x:c>
      <x:c r="L378" s="10" t="n">
        <x:f>K378/Sources!$B$4*1000</x:f>
        <x:v>14.307404991412344</x:v>
      </x:c>
      <x:c r="M378" s="10" t="n">
        <x:f>E378/Sources!$B$4*1000</x:f>
        <x:v>19.93800888101492</x:v>
      </x:c>
      <x:c r="N378" s="9" t="n">
        <x:f>Sources!$B$6-K378</x:f>
        <x:v>8522.000000014901</x:v>
      </x:c>
      <x:c r="O378" s="1" t="str">
        <x:v>vertical_shift_up</x:v>
      </x:c>
      <x:c r="P378" s="12" t="n">
        <x:v>0</x:v>
      </x:c>
      <x:c r="Q378" s="12" t="n">
        <x:v>-2</x:v>
      </x:c>
      <x:c r="R378" s="12" t="n">
        <x:v>7</x:v>
      </x:c>
      <x:c r="S378" s="12" t="n">
        <x:v>2</x:v>
      </x:c>
      <x:c r="T378" s="1" t="str">
        <x:v>No</x:v>
      </x:c>
      <x:c r="U378" s="1" t="n">
        <x:v>0</x:v>
      </x:c>
    </x:row>
    <x:row r="379" ht="23" customHeight="1">
      <x:c r="A379" s="9" t="n">
        <x:v>378</x:v>
      </x:c>
      <x:c r="B379" s="9" t="n">
        <x:v>263</x:v>
      </x:c>
      <x:c r="C379" s="9" t="n">
        <x:v>984</x:v>
      </x:c>
      <x:c r="D379" s="9" t="n">
        <x:v>1</x:v>
      </x:c>
      <x:c r="E379" s="9" t="n">
        <x:v>71359.00000000745</x:v>
      </x:c>
      <x:c r="F379" s="9" t="n">
        <x:v>818.0000000074506</x:v>
      </x:c>
      <x:c r="G379" s="9" t="n">
        <x:v>47276</x:v>
      </x:c>
      <x:c r="H379" s="9" t="n">
        <x:v>22689.99999999255</x:v>
      </x:c>
      <x:c r="I379" s="9" t="n">
        <x:v>469.0000000074506</x:v>
      </x:c>
      <x:c r="J379" s="9" t="n">
        <x:v>106</x:v>
      </x:c>
      <x:c r="K379" s="9" t="n">
        <x:f>F379+G379+I379+J379</x:f>
        <x:v>48669.0000000149</x:v>
      </x:c>
      <x:c r="L379" s="10" t="n">
        <x:f>K379/Sources!$B$4*1000</x:f>
        <x:v>13.596420774152833</x:v>
      </x:c>
      <x:c r="M379" s="10" t="n">
        <x:f>E379/Sources!$B$4*1000</x:f>
        <x:v>19.935215229870682</x:v>
      </x:c>
      <x:c r="N379" s="9" t="n">
        <x:f>Sources!$B$6-K379</x:f>
        <x:v>11066.999999985099</x:v>
      </x:c>
      <x:c r="O379" s="1" t="str">
        <x:v>vertical_shift_up</x:v>
      </x:c>
      <x:c r="P379" s="12" t="n">
        <x:v>0</x:v>
      </x:c>
      <x:c r="Q379" s="12" t="n">
        <x:v>-2</x:v>
      </x:c>
      <x:c r="R379" s="12" t="n">
        <x:v>7</x:v>
      </x:c>
      <x:c r="S379" s="12" t="n">
        <x:v>0</x:v>
      </x:c>
      <x:c r="T379" s="1" t="str">
        <x:v>No</x:v>
      </x:c>
      <x:c r="U379" s="1" t="n">
        <x:v>0</x:v>
      </x:c>
    </x:row>
    <x:row r="380" ht="23" customHeight="1">
      <x:c r="A380" s="9" t="n">
        <x:v>379</x:v>
      </x:c>
      <x:c r="B380" s="9" t="n">
        <x:v>263</x:v>
      </x:c>
      <x:c r="C380" s="9" t="n">
        <x:v>982</x:v>
      </x:c>
      <x:c r="D380" s="9" t="n">
        <x:v>1</x:v>
      </x:c>
      <x:c r="E380" s="9" t="n">
        <x:v>71369.99999999255</x:v>
      </x:c>
      <x:c r="F380" s="9" t="n">
        <x:v>818</x:v>
      </x:c>
      <x:c r="G380" s="9" t="n">
        <x:v>68994</x:v>
      </x:c>
      <x:c r="H380" s="9" t="n">
        <x:v>975</x:v>
      </x:c>
      <x:c r="I380" s="9" t="n">
        <x:v>476.9999999925494</x:v>
      </x:c>
      <x:c r="J380" s="9" t="n">
        <x:v>106</x:v>
      </x:c>
      <x:c r="K380" s="9" t="n">
        <x:f>F380+G380+I380+J380</x:f>
        <x:v>70394.99999999255</x:v>
      </x:c>
      <x:c r="L380" s="10" t="n">
        <x:f>K380/Sources!$B$4*1000</x:f>
        <x:v>19.665907259160743</x:v>
      </x:c>
      <x:c r="M380" s="10" t="n">
        <x:f>E380/Sources!$B$4*1000</x:f>
        <x:v>19.938288246129762</x:v>
      </x:c>
      <x:c r="N380" s="9" t="n">
        <x:f>Sources!$B$6-K380</x:f>
        <x:v>-10658.99999999255</x:v>
      </x:c>
      <x:c r="O380" s="1" t="str">
        <x:v>vertical_shift_up</x:v>
      </x:c>
      <x:c r="P380" s="12" t="n">
        <x:v>0</x:v>
      </x:c>
      <x:c r="Q380" s="12" t="n">
        <x:v>-2</x:v>
      </x:c>
      <x:c r="R380" s="12" t="n">
        <x:v>7</x:v>
      </x:c>
      <x:c r="S380" s="12" t="n">
        <x:v>6</x:v>
      </x:c>
      <x:c r="T380" s="1" t="str">
        <x:v>Yes</x:v>
      </x:c>
      <x:c r="U380" s="1" t="n">
        <x:v>1</x:v>
      </x:c>
    </x:row>
    <x:row r="381" ht="23" customHeight="1">
      <x:c r="A381" s="9" t="n">
        <x:v>380</x:v>
      </x:c>
      <x:c r="B381" s="9" t="n">
        <x:v>263</x:v>
      </x:c>
      <x:c r="C381" s="9" t="n">
        <x:v>980</x:v>
      </x:c>
      <x:c r="D381" s="9" t="n">
        <x:v>1</x:v>
      </x:c>
      <x:c r="E381" s="9" t="n">
        <x:v>71358</x:v>
      </x:c>
      <x:c r="F381" s="9" t="n">
        <x:v>818.0000000074506</x:v>
      </x:c>
      <x:c r="G381" s="9" t="n">
        <x:v>48585</x:v>
      </x:c>
      <x:c r="H381" s="9" t="n">
        <x:v>21380</x:v>
      </x:c>
      <x:c r="I381" s="9" t="n">
        <x:v>469</x:v>
      </x:c>
      <x:c r="J381" s="9" t="n">
        <x:v>105.99999999254942</x:v>
      </x:c>
      <x:c r="K381" s="9" t="n">
        <x:f>F381+G381+I381+J381</x:f>
        <x:v>49978</x:v>
      </x:c>
      <x:c r="L381" s="10" t="n">
        <x:f>K381/Sources!$B$4*1000</x:f>
        <x:v>13.962109709474248</x:v>
      </x:c>
      <x:c r="M381" s="10" t="n">
        <x:f>E381/Sources!$B$4*1000</x:f>
        <x:v>19.934935864753758</x:v>
      </x:c>
      <x:c r="N381" s="9" t="n">
        <x:f>Sources!$B$6-K381</x:f>
        <x:v>9758</x:v>
      </x:c>
      <x:c r="O381" s="1" t="str">
        <x:v>vertical_shift_up</x:v>
      </x:c>
      <x:c r="P381" s="12" t="n">
        <x:v>0</x:v>
      </x:c>
      <x:c r="Q381" s="12" t="n">
        <x:v>-2</x:v>
      </x:c>
      <x:c r="R381" s="12" t="n">
        <x:v>7</x:v>
      </x:c>
      <x:c r="S381" s="12" t="n">
        <x:v>4</x:v>
      </x:c>
      <x:c r="T381" s="1" t="str">
        <x:v>No</x:v>
      </x:c>
      <x:c r="U381" s="1" t="n">
        <x:v>1</x:v>
      </x:c>
    </x:row>
    <x:row r="382" ht="23" customHeight="1">
      <x:c r="A382" s="9" t="n">
        <x:v>381</x:v>
      </x:c>
      <x:c r="B382" s="9" t="n">
        <x:v>263</x:v>
      </x:c>
      <x:c r="C382" s="9" t="n">
        <x:v>978</x:v>
      </x:c>
      <x:c r="D382" s="9" t="n">
        <x:v>1</x:v>
      </x:c>
      <x:c r="E382" s="9" t="n">
        <x:v>71369.00000000745</x:v>
      </x:c>
      <x:c r="F382" s="9" t="n">
        <x:v>818.0000000074506</x:v>
      </x:c>
      <x:c r="G382" s="9" t="n">
        <x:v>49813</x:v>
      </x:c>
      <x:c r="H382" s="9" t="n">
        <x:v>20155</x:v>
      </x:c>
      <x:c r="I382" s="9" t="n">
        <x:v>476.9999999925494</x:v>
      </x:c>
      <x:c r="J382" s="9" t="n">
        <x:v>106.00000000745058</x:v>
      </x:c>
      <x:c r="K382" s="9" t="n">
        <x:f>F382+G382+I382+J382</x:f>
        <x:v>51214.00000000745</x:v>
      </x:c>
      <x:c r="L382" s="10" t="n">
        <x:f>K382/Sources!$B$4*1000</x:f>
        <x:v>14.307404991418588</x:v>
      </x:c>
      <x:c r="M382" s="10" t="n">
        <x:f>E382/Sources!$B$4*1000</x:f>
        <x:v>19.93800888101908</x:v>
      </x:c>
      <x:c r="N382" s="9" t="n">
        <x:f>Sources!$B$6-K382</x:f>
        <x:v>8521.99999999255</x:v>
      </x:c>
      <x:c r="O382" s="1" t="str">
        <x:v>vertical_shift_up</x:v>
      </x:c>
      <x:c r="P382" s="12" t="n">
        <x:v>0</x:v>
      </x:c>
      <x:c r="Q382" s="12" t="n">
        <x:v>-2</x:v>
      </x:c>
      <x:c r="R382" s="12" t="n">
        <x:v>7</x:v>
      </x:c>
      <x:c r="S382" s="12" t="n">
        <x:v>2</x:v>
      </x:c>
      <x:c r="T382" s="1" t="str">
        <x:v>No</x:v>
      </x:c>
      <x:c r="U382" s="1" t="n">
        <x:v>0</x:v>
      </x:c>
    </x:row>
    <x:row r="383" ht="23" customHeight="1">
      <x:c r="A383" s="9" t="n">
        <x:v>382</x:v>
      </x:c>
      <x:c r="B383" s="9" t="n">
        <x:v>263</x:v>
      </x:c>
      <x:c r="C383" s="9" t="n">
        <x:v>976</x:v>
      </x:c>
      <x:c r="D383" s="9" t="n">
        <x:v>1</x:v>
      </x:c>
      <x:c r="E383" s="9" t="n">
        <x:v>71359</x:v>
      </x:c>
      <x:c r="F383" s="9" t="n">
        <x:v>818</x:v>
      </x:c>
      <x:c r="G383" s="9" t="n">
        <x:v>47276</x:v>
      </x:c>
      <x:c r="H383" s="9" t="n">
        <x:v>22689.99999999255</x:v>
      </x:c>
      <x:c r="I383" s="9" t="n">
        <x:v>469.0000000074506</x:v>
      </x:c>
      <x:c r="J383" s="9" t="n">
        <x:v>106</x:v>
      </x:c>
      <x:c r="K383" s="9" t="n">
        <x:f>F383+G383+I383+J383</x:f>
        <x:v>48669.00000000745</x:v>
      </x:c>
      <x:c r="L383" s="10" t="n">
        <x:f>K383/Sources!$B$4*1000</x:f>
        <x:v>13.596420774150753</x:v>
      </x:c>
      <x:c r="M383" s="10" t="n">
        <x:f>E383/Sources!$B$4*1000</x:f>
        <x:v>19.9352152298686</x:v>
      </x:c>
      <x:c r="N383" s="9" t="n">
        <x:f>Sources!$B$6-K383</x:f>
        <x:v>11066.99999999255</x:v>
      </x:c>
      <x:c r="O383" s="1" t="str">
        <x:v>vertical_shift_up</x:v>
      </x:c>
      <x:c r="P383" s="12" t="n">
        <x:v>0</x:v>
      </x:c>
      <x:c r="Q383" s="12" t="n">
        <x:v>-2</x:v>
      </x:c>
      <x:c r="R383" s="12" t="n">
        <x:v>7</x:v>
      </x:c>
      <x:c r="S383" s="12" t="n">
        <x:v>0</x:v>
      </x:c>
      <x:c r="T383" s="1" t="str">
        <x:v>No</x:v>
      </x:c>
      <x:c r="U383" s="1" t="n">
        <x:v>0</x:v>
      </x:c>
    </x:row>
    <x:row r="384" ht="23" customHeight="1">
      <x:c r="A384" s="9" t="n">
        <x:v>383</x:v>
      </x:c>
      <x:c r="B384" s="9" t="n">
        <x:v>263</x:v>
      </x:c>
      <x:c r="C384" s="9" t="n">
        <x:v>974</x:v>
      </x:c>
      <x:c r="D384" s="9" t="n">
        <x:v>1</x:v>
      </x:c>
      <x:c r="E384" s="9" t="n">
        <x:v>71370</x:v>
      </x:c>
      <x:c r="F384" s="9" t="n">
        <x:v>817.9999999925494</x:v>
      </x:c>
      <x:c r="G384" s="9" t="n">
        <x:v>68994</x:v>
      </x:c>
      <x:c r="H384" s="9" t="n">
        <x:v>975</x:v>
      </x:c>
      <x:c r="I384" s="9" t="n">
        <x:v>476.9999999925494</x:v>
      </x:c>
      <x:c r="J384" s="9" t="n">
        <x:v>106.00000001490116</x:v>
      </x:c>
      <x:c r="K384" s="9" t="n">
        <x:f>F384+G384+I384+J384</x:f>
        <x:v>70395</x:v>
      </x:c>
      <x:c r="L384" s="10" t="n">
        <x:f>K384/Sources!$B$4*1000</x:f>
        <x:v>19.665907259162825</x:v>
      </x:c>
      <x:c r="M384" s="10" t="n">
        <x:f>E384/Sources!$B$4*1000</x:f>
        <x:v>19.93828824613184</x:v>
      </x:c>
      <x:c r="N384" s="9" t="n">
        <x:f>Sources!$B$6-K384</x:f>
        <x:v>-10659</x:v>
      </x:c>
      <x:c r="O384" s="1" t="str">
        <x:v>vertical_shift_up</x:v>
      </x:c>
      <x:c r="P384" s="12" t="n">
        <x:v>0</x:v>
      </x:c>
      <x:c r="Q384" s="12" t="n">
        <x:v>-2</x:v>
      </x:c>
      <x:c r="R384" s="12" t="n">
        <x:v>7</x:v>
      </x:c>
      <x:c r="S384" s="12" t="n">
        <x:v>6</x:v>
      </x:c>
      <x:c r="T384" s="1" t="str">
        <x:v>Yes</x:v>
      </x:c>
      <x:c r="U384" s="1" t="n">
        <x:v>1</x:v>
      </x:c>
    </x:row>
    <x:row r="385" ht="23" customHeight="1">
      <x:c r="A385" s="9" t="n">
        <x:v>384</x:v>
      </x:c>
      <x:c r="B385" s="9" t="n">
        <x:v>263</x:v>
      </x:c>
      <x:c r="C385" s="9" t="n">
        <x:v>972</x:v>
      </x:c>
      <x:c r="D385" s="9" t="n">
        <x:v>1</x:v>
      </x:c>
      <x:c r="E385" s="9" t="n">
        <x:v>71358</x:v>
      </x:c>
      <x:c r="F385" s="9" t="n">
        <x:v>818</x:v>
      </x:c>
      <x:c r="G385" s="9" t="n">
        <x:v>48585</x:v>
      </x:c>
      <x:c r="H385" s="9" t="n">
        <x:v>21380</x:v>
      </x:c>
      <x:c r="I385" s="9" t="n">
        <x:v>468.9999999925494</x:v>
      </x:c>
      <x:c r="J385" s="9" t="n">
        <x:v>106.00000000745058</x:v>
      </x:c>
      <x:c r="K385" s="9" t="n">
        <x:f>F385+G385+I385+J385</x:f>
        <x:v>49978</x:v>
      </x:c>
      <x:c r="L385" s="10" t="n">
        <x:f>K385/Sources!$B$4*1000</x:f>
        <x:v>13.962109709474248</x:v>
      </x:c>
      <x:c r="M385" s="10" t="n">
        <x:f>E385/Sources!$B$4*1000</x:f>
        <x:v>19.934935864753758</x:v>
      </x:c>
      <x:c r="N385" s="9" t="n">
        <x:f>Sources!$B$6-K385</x:f>
        <x:v>9758</x:v>
      </x:c>
      <x:c r="O385" s="1" t="str">
        <x:v>vertical_shift_up</x:v>
      </x:c>
      <x:c r="P385" s="12" t="n">
        <x:v>0</x:v>
      </x:c>
      <x:c r="Q385" s="12" t="n">
        <x:v>-2</x:v>
      </x:c>
      <x:c r="R385" s="12" t="n">
        <x:v>7</x:v>
      </x:c>
      <x:c r="S385" s="12" t="n">
        <x:v>4</x:v>
      </x:c>
      <x:c r="T385" s="1" t="str">
        <x:v>No</x:v>
      </x:c>
      <x:c r="U385" s="1" t="n">
        <x:v>1</x:v>
      </x:c>
    </x:row>
    <x:row r="386" ht="23" customHeight="1">
      <x:c r="A386" s="9" t="n">
        <x:v>385</x:v>
      </x:c>
      <x:c r="B386" s="9" t="n">
        <x:v>263</x:v>
      </x:c>
      <x:c r="C386" s="9" t="n">
        <x:v>970</x:v>
      </x:c>
      <x:c r="D386" s="9" t="n">
        <x:v>1</x:v>
      </x:c>
      <x:c r="E386" s="9" t="n">
        <x:v>71369</x:v>
      </x:c>
      <x:c r="F386" s="9" t="n">
        <x:v>818</x:v>
      </x:c>
      <x:c r="G386" s="9" t="n">
        <x:v>49813</x:v>
      </x:c>
      <x:c r="H386" s="9" t="n">
        <x:v>20155</x:v>
      </x:c>
      <x:c r="I386" s="9" t="n">
        <x:v>477</x:v>
      </x:c>
      <x:c r="J386" s="9" t="n">
        <x:v>106</x:v>
      </x:c>
      <x:c r="K386" s="9" t="n">
        <x:f>F386+G386+I386+J386</x:f>
        <x:v>51214</x:v>
      </x:c>
      <x:c r="L386" s="10" t="n">
        <x:f>K386/Sources!$B$4*1000</x:f>
        <x:v>14.307404991416508</x:v>
      </x:c>
      <x:c r="M386" s="10" t="n">
        <x:f>E386/Sources!$B$4*1000</x:f>
        <x:v>19.938008881016998</x:v>
      </x:c>
      <x:c r="N386" s="9" t="n">
        <x:f>Sources!$B$6-K386</x:f>
        <x:v>8522</x:v>
      </x:c>
      <x:c r="O386" s="1" t="str">
        <x:v>vertical_shift_up</x:v>
      </x:c>
      <x:c r="P386" s="12" t="n">
        <x:v>0</x:v>
      </x:c>
      <x:c r="Q386" s="12" t="n">
        <x:v>-2</x:v>
      </x:c>
      <x:c r="R386" s="12" t="n">
        <x:v>7</x:v>
      </x:c>
      <x:c r="S386" s="12" t="n">
        <x:v>2</x:v>
      </x:c>
      <x:c r="T386" s="1" t="str">
        <x:v>No</x:v>
      </x:c>
      <x:c r="U386" s="1" t="n">
        <x:v>0</x:v>
      </x:c>
    </x:row>
    <x:row r="387" ht="23" customHeight="1">
      <x:c r="A387" s="9" t="n">
        <x:v>386</x:v>
      </x:c>
      <x:c r="B387" s="9" t="n">
        <x:v>263</x:v>
      </x:c>
      <x:c r="C387" s="9" t="n">
        <x:v>968</x:v>
      </x:c>
      <x:c r="D387" s="9" t="n">
        <x:v>1</x:v>
      </x:c>
      <x:c r="E387" s="9" t="n">
        <x:v>71359</x:v>
      </x:c>
      <x:c r="F387" s="9" t="n">
        <x:v>818</x:v>
      </x:c>
      <x:c r="G387" s="9" t="n">
        <x:v>47276</x:v>
      </x:c>
      <x:c r="H387" s="9" t="n">
        <x:v>22690</x:v>
      </x:c>
      <x:c r="I387" s="9" t="n">
        <x:v>469</x:v>
      </x:c>
      <x:c r="J387" s="9" t="n">
        <x:v>106</x:v>
      </x:c>
      <x:c r="K387" s="9" t="n">
        <x:f>F387+G387+I387+J387</x:f>
        <x:v>48669</x:v>
      </x:c>
      <x:c r="L387" s="10" t="n">
        <x:f>K387/Sources!$B$4*1000</x:f>
        <x:v>13.59642077414867</x:v>
      </x:c>
      <x:c r="M387" s="10" t="n">
        <x:f>E387/Sources!$B$4*1000</x:f>
        <x:v>19.9352152298686</x:v>
      </x:c>
      <x:c r="N387" s="9" t="n">
        <x:f>Sources!$B$6-K387</x:f>
        <x:v>11067</x:v>
      </x:c>
      <x:c r="O387" s="1" t="str">
        <x:v>vertical_shift_up</x:v>
      </x:c>
      <x:c r="P387" s="12" t="n">
        <x:v>0</x:v>
      </x:c>
      <x:c r="Q387" s="12" t="n">
        <x:v>-2</x:v>
      </x:c>
      <x:c r="R387" s="12" t="n">
        <x:v>7</x:v>
      </x:c>
      <x:c r="S387" s="12" t="n">
        <x:v>0</x:v>
      </x:c>
      <x:c r="T387" s="1" t="str">
        <x:v>No</x:v>
      </x:c>
      <x:c r="U387" s="1" t="n">
        <x:v>0</x:v>
      </x:c>
    </x:row>
    <x:row r="388" ht="23" customHeight="1">
      <x:c r="A388" s="9" t="n">
        <x:v>387</x:v>
      </x:c>
      <x:c r="B388" s="9" t="n">
        <x:v>263</x:v>
      </x:c>
      <x:c r="C388" s="9" t="n">
        <x:v>966</x:v>
      </x:c>
      <x:c r="D388" s="9" t="n">
        <x:v>1</x:v>
      </x:c>
      <x:c r="E388" s="9" t="n">
        <x:v>71370</x:v>
      </x:c>
      <x:c r="F388" s="9" t="n">
        <x:v>817.9999999925494</x:v>
      </x:c>
      <x:c r="G388" s="9" t="n">
        <x:v>68994.00000000745</x:v>
      </x:c>
      <x:c r="H388" s="9" t="n">
        <x:v>975</x:v>
      </x:c>
      <x:c r="I388" s="9" t="n">
        <x:v>477</x:v>
      </x:c>
      <x:c r="J388" s="9" t="n">
        <x:v>106</x:v>
      </x:c>
      <x:c r="K388" s="9" t="n">
        <x:f>F388+G388+I388+J388</x:f>
        <x:v>70395</x:v>
      </x:c>
      <x:c r="L388" s="10" t="n">
        <x:f>K388/Sources!$B$4*1000</x:f>
        <x:v>19.665907259162825</x:v>
      </x:c>
      <x:c r="M388" s="10" t="n">
        <x:f>E388/Sources!$B$4*1000</x:f>
        <x:v>19.93828824613184</x:v>
      </x:c>
      <x:c r="N388" s="9" t="n">
        <x:f>Sources!$B$6-K388</x:f>
        <x:v>-10659</x:v>
      </x:c>
      <x:c r="O388" s="1" t="str">
        <x:v>vertical_shift_up</x:v>
      </x:c>
      <x:c r="P388" s="12" t="n">
        <x:v>0</x:v>
      </x:c>
      <x:c r="Q388" s="12" t="n">
        <x:v>-2</x:v>
      </x:c>
      <x:c r="R388" s="12" t="n">
        <x:v>7</x:v>
      </x:c>
      <x:c r="S388" s="12" t="n">
        <x:v>6</x:v>
      </x:c>
      <x:c r="T388" s="1" t="str">
        <x:v>Yes</x:v>
      </x:c>
      <x:c r="U388" s="1" t="n">
        <x:v>1</x:v>
      </x:c>
    </x:row>
    <x:row r="389" ht="23" customHeight="1">
      <x:c r="A389" s="9" t="n">
        <x:v>388</x:v>
      </x:c>
      <x:c r="B389" s="9" t="n">
        <x:v>263</x:v>
      </x:c>
      <x:c r="C389" s="9" t="n">
        <x:v>964</x:v>
      </x:c>
      <x:c r="D389" s="9" t="n">
        <x:v>1</x:v>
      </x:c>
      <x:c r="E389" s="9" t="n">
        <x:v>71358</x:v>
      </x:c>
      <x:c r="F389" s="9" t="n">
        <x:v>818</x:v>
      </x:c>
      <x:c r="G389" s="9" t="n">
        <x:v>48585</x:v>
      </x:c>
      <x:c r="H389" s="9" t="n">
        <x:v>21380</x:v>
      </x:c>
      <x:c r="I389" s="9" t="n">
        <x:v>468.9999999925494</x:v>
      </x:c>
      <x:c r="J389" s="9" t="n">
        <x:v>106.00000000745058</x:v>
      </x:c>
      <x:c r="K389" s="9" t="n">
        <x:f>F389+G389+I389+J389</x:f>
        <x:v>49978</x:v>
      </x:c>
      <x:c r="L389" s="10" t="n">
        <x:f>K389/Sources!$B$4*1000</x:f>
        <x:v>13.962109709474248</x:v>
      </x:c>
      <x:c r="M389" s="10" t="n">
        <x:f>E389/Sources!$B$4*1000</x:f>
        <x:v>19.934935864753758</x:v>
      </x:c>
      <x:c r="N389" s="9" t="n">
        <x:f>Sources!$B$6-K389</x:f>
        <x:v>9758</x:v>
      </x:c>
      <x:c r="O389" s="1" t="str">
        <x:v>vertical_shift_up</x:v>
      </x:c>
      <x:c r="P389" s="12" t="n">
        <x:v>0</x:v>
      </x:c>
      <x:c r="Q389" s="12" t="n">
        <x:v>-2</x:v>
      </x:c>
      <x:c r="R389" s="12" t="n">
        <x:v>7</x:v>
      </x:c>
      <x:c r="S389" s="12" t="n">
        <x:v>4</x:v>
      </x:c>
      <x:c r="T389" s="1" t="str">
        <x:v>No</x:v>
      </x:c>
      <x:c r="U389" s="1" t="n">
        <x:v>1</x:v>
      </x:c>
    </x:row>
    <x:row r="390" ht="23" customHeight="1">
      <x:c r="A390" s="9" t="n">
        <x:v>389</x:v>
      </x:c>
      <x:c r="B390" s="9" t="n">
        <x:v>263</x:v>
      </x:c>
      <x:c r="C390" s="9" t="n">
        <x:v>962</x:v>
      </x:c>
      <x:c r="D390" s="9" t="n">
        <x:v>1</x:v>
      </x:c>
      <x:c r="E390" s="9" t="n">
        <x:v>71369</x:v>
      </x:c>
      <x:c r="F390" s="9" t="n">
        <x:v>818.0000000149012</x:v>
      </x:c>
      <x:c r="G390" s="9" t="n">
        <x:v>49813</x:v>
      </x:c>
      <x:c r="H390" s="9" t="n">
        <x:v>20155.00000000745</x:v>
      </x:c>
      <x:c r="I390" s="9" t="n">
        <x:v>477</x:v>
      </x:c>
      <x:c r="J390" s="9" t="n">
        <x:v>105.99999997764826</x:v>
      </x:c>
      <x:c r="K390" s="9" t="n">
        <x:f>F390+G390+I390+J390</x:f>
        <x:v>51213.99999999255</x:v>
      </x:c>
      <x:c r="L390" s="10" t="n">
        <x:f>K390/Sources!$B$4*1000</x:f>
        <x:v>14.307404991414426</x:v>
      </x:c>
      <x:c r="M390" s="10" t="n">
        <x:f>E390/Sources!$B$4*1000</x:f>
        <x:v>19.938008881016998</x:v>
      </x:c>
      <x:c r="N390" s="9" t="n">
        <x:f>Sources!$B$6-K390</x:f>
        <x:v>8522.00000000745</x:v>
      </x:c>
      <x:c r="O390" s="1" t="str">
        <x:v>vertical_shift_up</x:v>
      </x:c>
      <x:c r="P390" s="12" t="n">
        <x:v>0</x:v>
      </x:c>
      <x:c r="Q390" s="12" t="n">
        <x:v>-2</x:v>
      </x:c>
      <x:c r="R390" s="12" t="n">
        <x:v>7</x:v>
      </x:c>
      <x:c r="S390" s="12" t="n">
        <x:v>2</x:v>
      </x:c>
      <x:c r="T390" s="1" t="str">
        <x:v>No</x:v>
      </x:c>
      <x:c r="U390" s="1" t="n">
        <x:v>0</x:v>
      </x:c>
    </x:row>
    <x:row r="391" ht="23" customHeight="1">
      <x:c r="A391" s="9" t="n">
        <x:v>390</x:v>
      </x:c>
      <x:c r="B391" s="9" t="n">
        <x:v>263</x:v>
      </x:c>
      <x:c r="C391" s="9" t="n">
        <x:v>960</x:v>
      </x:c>
      <x:c r="D391" s="9" t="n">
        <x:v>1</x:v>
      </x:c>
      <x:c r="E391" s="9" t="n">
        <x:v>71358.99999999255</x:v>
      </x:c>
      <x:c r="F391" s="9" t="n">
        <x:v>818.0000000074506</x:v>
      </x:c>
      <x:c r="G391" s="9" t="n">
        <x:v>47276.00000000745</x:v>
      </x:c>
      <x:c r="H391" s="9" t="n">
        <x:v>22689.99999999255</x:v>
      </x:c>
      <x:c r="I391" s="9" t="n">
        <x:v>469</x:v>
      </x:c>
      <x:c r="J391" s="9" t="n">
        <x:v>105.99999998509884</x:v>
      </x:c>
      <x:c r="K391" s="9" t="n">
        <x:f>F391+G391+I391+J391</x:f>
        <x:v>48669</x:v>
      </x:c>
      <x:c r="L391" s="10" t="n">
        <x:f>K391/Sources!$B$4*1000</x:f>
        <x:v>13.59642077414867</x:v>
      </x:c>
      <x:c r="M391" s="10" t="n">
        <x:f>E391/Sources!$B$4*1000</x:f>
        <x:v>19.93521522986652</x:v>
      </x:c>
      <x:c r="N391" s="9" t="n">
        <x:f>Sources!$B$6-K391</x:f>
        <x:v>11067</x:v>
      </x:c>
      <x:c r="O391" s="1" t="str">
        <x:v>vertical_shift_up</x:v>
      </x:c>
      <x:c r="P391" s="12" t="n">
        <x:v>0</x:v>
      </x:c>
      <x:c r="Q391" s="12" t="n">
        <x:v>-2</x:v>
      </x:c>
      <x:c r="R391" s="12" t="n">
        <x:v>7</x:v>
      </x:c>
      <x:c r="S391" s="12" t="n">
        <x:v>0</x:v>
      </x:c>
      <x:c r="T391" s="1" t="str">
        <x:v>No</x:v>
      </x:c>
      <x:c r="U391" s="1" t="n">
        <x:v>0</x:v>
      </x:c>
    </x:row>
    <x:row r="392" ht="23" customHeight="1">
      <x:c r="A392" s="9" t="n">
        <x:v>391</x:v>
      </x:c>
      <x:c r="B392" s="9" t="n">
        <x:v>263</x:v>
      </x:c>
      <x:c r="C392" s="9" t="n">
        <x:v>958</x:v>
      </x:c>
      <x:c r="D392" s="9" t="n">
        <x:v>1</x:v>
      </x:c>
      <x:c r="E392" s="9" t="n">
        <x:v>71370</x:v>
      </x:c>
      <x:c r="F392" s="9" t="n">
        <x:v>818</x:v>
      </x:c>
      <x:c r="G392" s="9" t="n">
        <x:v>68994</x:v>
      </x:c>
      <x:c r="H392" s="9" t="n">
        <x:v>974.9999999925494</x:v>
      </x:c>
      <x:c r="I392" s="9" t="n">
        <x:v>477</x:v>
      </x:c>
      <x:c r="J392" s="9" t="n">
        <x:v>106.00000000745058</x:v>
      </x:c>
      <x:c r="K392" s="9" t="n">
        <x:f>F392+G392+I392+J392</x:f>
        <x:v>70395.00000000745</x:v>
      </x:c>
      <x:c r="L392" s="10" t="n">
        <x:f>K392/Sources!$B$4*1000</x:f>
        <x:v>19.665907259164907</x:v>
      </x:c>
      <x:c r="M392" s="10" t="n">
        <x:f>E392/Sources!$B$4*1000</x:f>
        <x:v>19.93828824613184</x:v>
      </x:c>
      <x:c r="N392" s="9" t="n">
        <x:f>Sources!$B$6-K392</x:f>
        <x:v>-10659.00000000745</x:v>
      </x:c>
      <x:c r="O392" s="1" t="str">
        <x:v>vertical_shift_up</x:v>
      </x:c>
      <x:c r="P392" s="12" t="n">
        <x:v>0</x:v>
      </x:c>
      <x:c r="Q392" s="12" t="n">
        <x:v>-2</x:v>
      </x:c>
      <x:c r="R392" s="12" t="n">
        <x:v>7</x:v>
      </x:c>
      <x:c r="S392" s="12" t="n">
        <x:v>6</x:v>
      </x:c>
      <x:c r="T392" s="1" t="str">
        <x:v>Yes</x:v>
      </x:c>
      <x:c r="U392" s="1" t="n">
        <x:v>1</x:v>
      </x:c>
    </x:row>
    <x:row r="393" ht="23" customHeight="1">
      <x:c r="A393" s="9" t="n">
        <x:v>392</x:v>
      </x:c>
      <x:c r="B393" s="9" t="n">
        <x:v>263</x:v>
      </x:c>
      <x:c r="C393" s="9" t="n">
        <x:v>956</x:v>
      </x:c>
      <x:c r="D393" s="9" t="n">
        <x:v>1</x:v>
      </x:c>
      <x:c r="E393" s="9" t="n">
        <x:v>71358</x:v>
      </x:c>
      <x:c r="F393" s="9" t="n">
        <x:v>818</x:v>
      </x:c>
      <x:c r="G393" s="9" t="n">
        <x:v>48584.99999999255</x:v>
      </x:c>
      <x:c r="H393" s="9" t="n">
        <x:v>21380</x:v>
      </x:c>
      <x:c r="I393" s="9" t="n">
        <x:v>469.0000000074506</x:v>
      </x:c>
      <x:c r="J393" s="9" t="n">
        <x:v>106</x:v>
      </x:c>
      <x:c r="K393" s="9" t="n">
        <x:f>F393+G393+I393+J393</x:f>
        <x:v>49978</x:v>
      </x:c>
      <x:c r="L393" s="10" t="n">
        <x:f>K393/Sources!$B$4*1000</x:f>
        <x:v>13.962109709474248</x:v>
      </x:c>
      <x:c r="M393" s="10" t="n">
        <x:f>E393/Sources!$B$4*1000</x:f>
        <x:v>19.934935864753758</x:v>
      </x:c>
      <x:c r="N393" s="9" t="n">
        <x:f>Sources!$B$6-K393</x:f>
        <x:v>9758</x:v>
      </x:c>
      <x:c r="O393" s="1" t="str">
        <x:v>vertical_shift_up</x:v>
      </x:c>
      <x:c r="P393" s="12" t="n">
        <x:v>0</x:v>
      </x:c>
      <x:c r="Q393" s="12" t="n">
        <x:v>-2</x:v>
      </x:c>
      <x:c r="R393" s="12" t="n">
        <x:v>7</x:v>
      </x:c>
      <x:c r="S393" s="12" t="n">
        <x:v>4</x:v>
      </x:c>
      <x:c r="T393" s="1" t="str">
        <x:v>No</x:v>
      </x:c>
      <x:c r="U393" s="1" t="n">
        <x:v>1</x:v>
      </x:c>
    </x:row>
    <x:row r="394" ht="23" customHeight="1">
      <x:c r="A394" s="9" t="n">
        <x:v>393</x:v>
      </x:c>
      <x:c r="B394" s="9" t="n">
        <x:v>263</x:v>
      </x:c>
      <x:c r="C394" s="9" t="n">
        <x:v>954</x:v>
      </x:c>
      <x:c r="D394" s="9" t="n">
        <x:v>1</x:v>
      </x:c>
      <x:c r="E394" s="9" t="n">
        <x:v>71369.00000000745</x:v>
      </x:c>
      <x:c r="F394" s="9" t="n">
        <x:v>818</x:v>
      </x:c>
      <x:c r="G394" s="9" t="n">
        <x:v>49813</x:v>
      </x:c>
      <x:c r="H394" s="9" t="n">
        <x:v>20154.99999999255</x:v>
      </x:c>
      <x:c r="I394" s="9" t="n">
        <x:v>477</x:v>
      </x:c>
      <x:c r="J394" s="9" t="n">
        <x:v>106.00000001490116</x:v>
      </x:c>
      <x:c r="K394" s="9" t="n">
        <x:f>F394+G394+I394+J394</x:f>
        <x:v>51214.0000000149</x:v>
      </x:c>
      <x:c r="L394" s="10" t="n">
        <x:f>K394/Sources!$B$4*1000</x:f>
        <x:v>14.30740499142067</x:v>
      </x:c>
      <x:c r="M394" s="10" t="n">
        <x:f>E394/Sources!$B$4*1000</x:f>
        <x:v>19.93800888101908</x:v>
      </x:c>
      <x:c r="N394" s="9" t="n">
        <x:f>Sources!$B$6-K394</x:f>
        <x:v>8521.999999985099</x:v>
      </x:c>
      <x:c r="O394" s="1" t="str">
        <x:v>vertical_shift_up</x:v>
      </x:c>
      <x:c r="P394" s="12" t="n">
        <x:v>0</x:v>
      </x:c>
      <x:c r="Q394" s="12" t="n">
        <x:v>-2</x:v>
      </x:c>
      <x:c r="R394" s="12" t="n">
        <x:v>7</x:v>
      </x:c>
      <x:c r="S394" s="12" t="n">
        <x:v>2</x:v>
      </x:c>
      <x:c r="T394" s="1" t="str">
        <x:v>No</x:v>
      </x:c>
      <x:c r="U394" s="1" t="n">
        <x:v>0</x:v>
      </x:c>
    </x:row>
    <x:row r="395" ht="23" customHeight="1">
      <x:c r="A395" s="9" t="n">
        <x:v>394</x:v>
      </x:c>
      <x:c r="B395" s="9" t="n">
        <x:v>263</x:v>
      </x:c>
      <x:c r="C395" s="9" t="n">
        <x:v>952</x:v>
      </x:c>
      <x:c r="D395" s="9" t="n">
        <x:v>1</x:v>
      </x:c>
      <x:c r="E395" s="9" t="n">
        <x:v>71359</x:v>
      </x:c>
      <x:c r="F395" s="9" t="n">
        <x:v>817.9999999925494</x:v>
      </x:c>
      <x:c r="G395" s="9" t="n">
        <x:v>47276</x:v>
      </x:c>
      <x:c r="H395" s="9" t="n">
        <x:v>22690</x:v>
      </x:c>
      <x:c r="I395" s="9" t="n">
        <x:v>469</x:v>
      </x:c>
      <x:c r="J395" s="9" t="n">
        <x:v>106.00000000745058</x:v>
      </x:c>
      <x:c r="K395" s="9" t="n">
        <x:f>F395+G395+I395+J395</x:f>
        <x:v>48669</x:v>
      </x:c>
      <x:c r="L395" s="10" t="n">
        <x:f>K395/Sources!$B$4*1000</x:f>
        <x:v>13.59642077414867</x:v>
      </x:c>
      <x:c r="M395" s="10" t="n">
        <x:f>E395/Sources!$B$4*1000</x:f>
        <x:v>19.9352152298686</x:v>
      </x:c>
      <x:c r="N395" s="9" t="n">
        <x:f>Sources!$B$6-K395</x:f>
        <x:v>11067</x:v>
      </x:c>
      <x:c r="O395" s="1" t="str">
        <x:v>vertical_shift_up</x:v>
      </x:c>
      <x:c r="P395" s="12" t="n">
        <x:v>0</x:v>
      </x:c>
      <x:c r="Q395" s="12" t="n">
        <x:v>-2</x:v>
      </x:c>
      <x:c r="R395" s="12" t="n">
        <x:v>7</x:v>
      </x:c>
      <x:c r="S395" s="12" t="n">
        <x:v>0</x:v>
      </x:c>
      <x:c r="T395" s="1" t="str">
        <x:v>No</x:v>
      </x:c>
      <x:c r="U395" s="1" t="n">
        <x:v>0</x:v>
      </x:c>
    </x:row>
    <x:row r="396" ht="23" customHeight="1">
      <x:c r="A396" s="9" t="n">
        <x:v>395</x:v>
      </x:c>
      <x:c r="B396" s="9" t="n">
        <x:v>263</x:v>
      </x:c>
      <x:c r="C396" s="9" t="n">
        <x:v>950</x:v>
      </x:c>
      <x:c r="D396" s="9" t="n">
        <x:v>1</x:v>
      </x:c>
      <x:c r="E396" s="9" t="n">
        <x:v>71370</x:v>
      </x:c>
      <x:c r="F396" s="9" t="n">
        <x:v>818</x:v>
      </x:c>
      <x:c r="G396" s="9" t="n">
        <x:v>68994</x:v>
      </x:c>
      <x:c r="H396" s="9" t="n">
        <x:v>975.0000000074506</x:v>
      </x:c>
      <x:c r="I396" s="9" t="n">
        <x:v>477</x:v>
      </x:c>
      <x:c r="J396" s="9" t="n">
        <x:v>105.99999999254942</x:v>
      </x:c>
      <x:c r="K396" s="9" t="n">
        <x:f>F396+G396+I396+J396</x:f>
        <x:v>70394.99999999255</x:v>
      </x:c>
      <x:c r="L396" s="10" t="n">
        <x:f>K396/Sources!$B$4*1000</x:f>
        <x:v>19.665907259160743</x:v>
      </x:c>
      <x:c r="M396" s="10" t="n">
        <x:f>E396/Sources!$B$4*1000</x:f>
        <x:v>19.93828824613184</x:v>
      </x:c>
      <x:c r="N396" s="9" t="n">
        <x:f>Sources!$B$6-K396</x:f>
        <x:v>-10658.99999999255</x:v>
      </x:c>
      <x:c r="O396" s="1" t="str">
        <x:v>vertical_shift_up</x:v>
      </x:c>
      <x:c r="P396" s="12" t="n">
        <x:v>0</x:v>
      </x:c>
      <x:c r="Q396" s="12" t="n">
        <x:v>-2</x:v>
      </x:c>
      <x:c r="R396" s="12" t="n">
        <x:v>7</x:v>
      </x:c>
      <x:c r="S396" s="12" t="n">
        <x:v>6</x:v>
      </x:c>
      <x:c r="T396" s="1" t="str">
        <x:v>Yes</x:v>
      </x:c>
      <x:c r="U396" s="1" t="n">
        <x:v>1</x:v>
      </x:c>
    </x:row>
    <x:row r="397" ht="23" customHeight="1">
      <x:c r="A397" s="9" t="n">
        <x:v>396</x:v>
      </x:c>
      <x:c r="B397" s="9" t="n">
        <x:v>263</x:v>
      </x:c>
      <x:c r="C397" s="9" t="n">
        <x:v>948</x:v>
      </x:c>
      <x:c r="D397" s="9" t="n">
        <x:v>1</x:v>
      </x:c>
      <x:c r="E397" s="9" t="n">
        <x:v>71358</x:v>
      </x:c>
      <x:c r="F397" s="9" t="n">
        <x:v>817.9999999925494</x:v>
      </x:c>
      <x:c r="G397" s="9" t="n">
        <x:v>48585.00000000745</x:v>
      </x:c>
      <x:c r="H397" s="9" t="n">
        <x:v>21380</x:v>
      </x:c>
      <x:c r="I397" s="9" t="n">
        <x:v>468.9999999925494</x:v>
      </x:c>
      <x:c r="J397" s="9" t="n">
        <x:v>106.00000000745058</x:v>
      </x:c>
      <x:c r="K397" s="9" t="n">
        <x:f>F397+G397+I397+J397</x:f>
        <x:v>49978</x:v>
      </x:c>
      <x:c r="L397" s="10" t="n">
        <x:f>K397/Sources!$B$4*1000</x:f>
        <x:v>13.962109709474248</x:v>
      </x:c>
      <x:c r="M397" s="10" t="n">
        <x:f>E397/Sources!$B$4*1000</x:f>
        <x:v>19.934935864753758</x:v>
      </x:c>
      <x:c r="N397" s="9" t="n">
        <x:f>Sources!$B$6-K397</x:f>
        <x:v>9758</x:v>
      </x:c>
      <x:c r="O397" s="1" t="str">
        <x:v>vertical_shift_up</x:v>
      </x:c>
      <x:c r="P397" s="12" t="n">
        <x:v>0</x:v>
      </x:c>
      <x:c r="Q397" s="12" t="n">
        <x:v>-2</x:v>
      </x:c>
      <x:c r="R397" s="12" t="n">
        <x:v>7</x:v>
      </x:c>
      <x:c r="S397" s="12" t="n">
        <x:v>4</x:v>
      </x:c>
      <x:c r="T397" s="1" t="str">
        <x:v>No</x:v>
      </x:c>
      <x:c r="U397" s="1" t="n">
        <x:v>1</x:v>
      </x:c>
    </x:row>
    <x:row r="398" ht="23" customHeight="1">
      <x:c r="A398" s="9" t="n">
        <x:v>397</x:v>
      </x:c>
      <x:c r="B398" s="9" t="n">
        <x:v>263</x:v>
      </x:c>
      <x:c r="C398" s="9" t="n">
        <x:v>946</x:v>
      </x:c>
      <x:c r="D398" s="9" t="n">
        <x:v>1</x:v>
      </x:c>
      <x:c r="E398" s="9" t="n">
        <x:v>71368.99999999255</x:v>
      </x:c>
      <x:c r="F398" s="9" t="n">
        <x:v>817.9999999925494</x:v>
      </x:c>
      <x:c r="G398" s="9" t="n">
        <x:v>49813</x:v>
      </x:c>
      <x:c r="H398" s="9" t="n">
        <x:v>20155</x:v>
      </x:c>
      <x:c r="I398" s="9" t="n">
        <x:v>477.0000000074506</x:v>
      </x:c>
      <x:c r="J398" s="9" t="n">
        <x:v>105.99999999254942</x:v>
      </x:c>
      <x:c r="K398" s="9" t="n">
        <x:f>F398+G398+I398+J398</x:f>
        <x:v>51213.99999999255</x:v>
      </x:c>
      <x:c r="L398" s="10" t="n">
        <x:f>K398/Sources!$B$4*1000</x:f>
        <x:v>14.307404991414426</x:v>
      </x:c>
      <x:c r="M398" s="10" t="n">
        <x:f>E398/Sources!$B$4*1000</x:f>
        <x:v>19.93800888101492</x:v>
      </x:c>
      <x:c r="N398" s="9" t="n">
        <x:f>Sources!$B$6-K398</x:f>
        <x:v>8522.00000000745</x:v>
      </x:c>
      <x:c r="O398" s="1" t="str">
        <x:v>vertical_shift_up</x:v>
      </x:c>
      <x:c r="P398" s="12" t="n">
        <x:v>0</x:v>
      </x:c>
      <x:c r="Q398" s="12" t="n">
        <x:v>-2</x:v>
      </x:c>
      <x:c r="R398" s="12" t="n">
        <x:v>7</x:v>
      </x:c>
      <x:c r="S398" s="12" t="n">
        <x:v>2</x:v>
      </x:c>
      <x:c r="T398" s="1" t="str">
        <x:v>No</x:v>
      </x:c>
      <x:c r="U398" s="1" t="n">
        <x:v>0</x:v>
      </x:c>
    </x:row>
    <x:row r="399" ht="23" customHeight="1">
      <x:c r="A399" s="9" t="n">
        <x:v>398</x:v>
      </x:c>
      <x:c r="B399" s="9" t="n">
        <x:v>263</x:v>
      </x:c>
      <x:c r="C399" s="9" t="n">
        <x:v>944</x:v>
      </x:c>
      <x:c r="D399" s="9" t="n">
        <x:v>1</x:v>
      </x:c>
      <x:c r="E399" s="9" t="n">
        <x:v>71359</x:v>
      </x:c>
      <x:c r="F399" s="9" t="n">
        <x:v>818</x:v>
      </x:c>
      <x:c r="G399" s="9" t="n">
        <x:v>47276.00000000745</x:v>
      </x:c>
      <x:c r="H399" s="9" t="n">
        <x:v>22690.00000000745</x:v>
      </x:c>
      <x:c r="I399" s="9" t="n">
        <x:v>469</x:v>
      </x:c>
      <x:c r="J399" s="9" t="n">
        <x:v>105.99999998509884</x:v>
      </x:c>
      <x:c r="K399" s="9" t="n">
        <x:f>F399+G399+I399+J399</x:f>
        <x:v>48668.99999999255</x:v>
      </x:c>
      <x:c r="L399" s="10" t="n">
        <x:f>K399/Sources!$B$4*1000</x:f>
        <x:v>13.596420774146589</x:v>
      </x:c>
      <x:c r="M399" s="10" t="n">
        <x:f>E399/Sources!$B$4*1000</x:f>
        <x:v>19.9352152298686</x:v>
      </x:c>
      <x:c r="N399" s="9" t="n">
        <x:f>Sources!$B$6-K399</x:f>
        <x:v>11067.00000000745</x:v>
      </x:c>
      <x:c r="O399" s="1" t="str">
        <x:v>vertical_shift_up</x:v>
      </x:c>
      <x:c r="P399" s="12" t="n">
        <x:v>0</x:v>
      </x:c>
      <x:c r="Q399" s="12" t="n">
        <x:v>-2</x:v>
      </x:c>
      <x:c r="R399" s="12" t="n">
        <x:v>7</x:v>
      </x:c>
      <x:c r="S399" s="12" t="n">
        <x:v>0</x:v>
      </x:c>
      <x:c r="T399" s="1" t="str">
        <x:v>No</x:v>
      </x:c>
      <x:c r="U399" s="1" t="n">
        <x:v>0</x:v>
      </x:c>
    </x:row>
    <x:row r="400" ht="23" customHeight="1">
      <x:c r="A400" s="9" t="n">
        <x:v>399</x:v>
      </x:c>
      <x:c r="B400" s="9" t="n">
        <x:v>263</x:v>
      </x:c>
      <x:c r="C400" s="9" t="n">
        <x:v>942</x:v>
      </x:c>
      <x:c r="D400" s="9" t="n">
        <x:v>1</x:v>
      </x:c>
      <x:c r="E400" s="9" t="n">
        <x:v>71370.00000000745</x:v>
      </x:c>
      <x:c r="F400" s="9" t="n">
        <x:v>818</x:v>
      </x:c>
      <x:c r="G400" s="9" t="n">
        <x:v>68994</x:v>
      </x:c>
      <x:c r="H400" s="9" t="n">
        <x:v>974.9999999925494</x:v>
      </x:c>
      <x:c r="I400" s="9" t="n">
        <x:v>477</x:v>
      </x:c>
      <x:c r="J400" s="9" t="n">
        <x:v>106.00000001490116</x:v>
      </x:c>
      <x:c r="K400" s="9" t="n">
        <x:f>F400+G400+I400+J400</x:f>
        <x:v>70395.0000000149</x:v>
      </x:c>
      <x:c r="L400" s="10" t="n">
        <x:f>K400/Sources!$B$4*1000</x:f>
        <x:v>19.66590725916699</x:v>
      </x:c>
      <x:c r="M400" s="10" t="n">
        <x:f>E400/Sources!$B$4*1000</x:f>
        <x:v>19.938288246133922</x:v>
      </x:c>
      <x:c r="N400" s="9" t="n">
        <x:f>Sources!$B$6-K400</x:f>
        <x:v>-10659.000000014901</x:v>
      </x:c>
      <x:c r="O400" s="1" t="str">
        <x:v>vertical_shift_up</x:v>
      </x:c>
      <x:c r="P400" s="12" t="n">
        <x:v>0</x:v>
      </x:c>
      <x:c r="Q400" s="12" t="n">
        <x:v>-2</x:v>
      </x:c>
      <x:c r="R400" s="12" t="n">
        <x:v>7</x:v>
      </x:c>
      <x:c r="S400" s="12" t="n">
        <x:v>6</x:v>
      </x:c>
      <x:c r="T400" s="1" t="str">
        <x:v>Yes</x:v>
      </x:c>
      <x:c r="U400" s="1" t="n">
        <x:v>1</x:v>
      </x:c>
    </x:row>
    <x:row r="401" ht="23" customHeight="1">
      <x:c r="A401" s="9" t="n">
        <x:v>400</x:v>
      </x:c>
      <x:c r="B401" s="9" t="n">
        <x:v>263</x:v>
      </x:c>
      <x:c r="C401" s="9" t="n">
        <x:v>940</x:v>
      </x:c>
      <x:c r="D401" s="9" t="n">
        <x:v>1</x:v>
      </x:c>
      <x:c r="E401" s="9" t="n">
        <x:v>71358</x:v>
      </x:c>
      <x:c r="F401" s="9" t="n">
        <x:v>817.9999999925494</x:v>
      </x:c>
      <x:c r="G401" s="9" t="n">
        <x:v>48584.99999999255</x:v>
      </x:c>
      <x:c r="H401" s="9" t="n">
        <x:v>21380</x:v>
      </x:c>
      <x:c r="I401" s="9" t="n">
        <x:v>469.0000000074506</x:v>
      </x:c>
      <x:c r="J401" s="9" t="n">
        <x:v>106.00000000745058</x:v>
      </x:c>
      <x:c r="K401" s="9" t="n">
        <x:f>F401+G401+I401+J401</x:f>
        <x:v>49978</x:v>
      </x:c>
      <x:c r="L401" s="10" t="n">
        <x:f>K401/Sources!$B$4*1000</x:f>
        <x:v>13.962109709474248</x:v>
      </x:c>
      <x:c r="M401" s="10" t="n">
        <x:f>E401/Sources!$B$4*1000</x:f>
        <x:v>19.934935864753758</x:v>
      </x:c>
      <x:c r="N401" s="9" t="n">
        <x:f>Sources!$B$6-K401</x:f>
        <x:v>9758</x:v>
      </x:c>
      <x:c r="O401" s="1" t="str">
        <x:v>vertical_shift_up</x:v>
      </x:c>
      <x:c r="P401" s="12" t="n">
        <x:v>0</x:v>
      </x:c>
      <x:c r="Q401" s="12" t="n">
        <x:v>-2</x:v>
      </x:c>
      <x:c r="R401" s="12" t="n">
        <x:v>7</x:v>
      </x:c>
      <x:c r="S401" s="12" t="n">
        <x:v>4</x:v>
      </x:c>
      <x:c r="T401" s="1" t="str">
        <x:v>No</x:v>
      </x:c>
      <x:c r="U401" s="1" t="n">
        <x:v>1</x:v>
      </x:c>
    </x:row>
    <x:row r="402" ht="23" customHeight="1">
      <x:c r="A402" s="9" t="n">
        <x:v>401</x:v>
      </x:c>
      <x:c r="B402" s="9" t="n">
        <x:v>263</x:v>
      </x:c>
      <x:c r="C402" s="9" t="n">
        <x:v>938</x:v>
      </x:c>
      <x:c r="D402" s="9" t="n">
        <x:v>1</x:v>
      </x:c>
      <x:c r="E402" s="9" t="n">
        <x:v>71369</x:v>
      </x:c>
      <x:c r="F402" s="9" t="n">
        <x:v>817.9999999925494</x:v>
      </x:c>
      <x:c r="G402" s="9" t="n">
        <x:v>49813</x:v>
      </x:c>
      <x:c r="H402" s="9" t="n">
        <x:v>20155</x:v>
      </x:c>
      <x:c r="I402" s="9" t="n">
        <x:v>476.9999999925494</x:v>
      </x:c>
      <x:c r="J402" s="9" t="n">
        <x:v>106.00000001490116</x:v>
      </x:c>
      <x:c r="K402" s="9" t="n">
        <x:f>F402+G402+I402+J402</x:f>
        <x:v>51214</x:v>
      </x:c>
      <x:c r="L402" s="10" t="n">
        <x:f>K402/Sources!$B$4*1000</x:f>
        <x:v>14.307404991416508</x:v>
      </x:c>
      <x:c r="M402" s="10" t="n">
        <x:f>E402/Sources!$B$4*1000</x:f>
        <x:v>19.938008881016998</x:v>
      </x:c>
      <x:c r="N402" s="9" t="n">
        <x:f>Sources!$B$6-K402</x:f>
        <x:v>8522</x:v>
      </x:c>
      <x:c r="O402" s="1" t="str">
        <x:v>vertical_shift_up</x:v>
      </x:c>
      <x:c r="P402" s="12" t="n">
        <x:v>0</x:v>
      </x:c>
      <x:c r="Q402" s="12" t="n">
        <x:v>-2</x:v>
      </x:c>
      <x:c r="R402" s="12" t="n">
        <x:v>7</x:v>
      </x:c>
      <x:c r="S402" s="12" t="n">
        <x:v>2</x:v>
      </x:c>
      <x:c r="T402" s="1" t="str">
        <x:v>No</x:v>
      </x:c>
      <x:c r="U402" s="1" t="n">
        <x:v>0</x:v>
      </x:c>
    </x:row>
    <x:row r="403" ht="23" customHeight="1">
      <x:c r="A403" s="9" t="n">
        <x:v>402</x:v>
      </x:c>
      <x:c r="B403" s="9" t="n">
        <x:v>263</x:v>
      </x:c>
      <x:c r="C403" s="9" t="n">
        <x:v>936</x:v>
      </x:c>
      <x:c r="D403" s="9" t="n">
        <x:v>1</x:v>
      </x:c>
      <x:c r="E403" s="9" t="n">
        <x:v>71359</x:v>
      </x:c>
      <x:c r="F403" s="9" t="n">
        <x:v>818</x:v>
      </x:c>
      <x:c r="G403" s="9" t="n">
        <x:v>47275.99999999255</x:v>
      </x:c>
      <x:c r="H403" s="9" t="n">
        <x:v>22689.99999999255</x:v>
      </x:c>
      <x:c r="I403" s="9" t="n">
        <x:v>468.9999999925494</x:v>
      </x:c>
      <x:c r="J403" s="9" t="n">
        <x:v>106.00000002235174</x:v>
      </x:c>
      <x:c r="K403" s="9" t="n">
        <x:f>F403+G403+I403+J403</x:f>
        <x:v>48669.00000000745</x:v>
      </x:c>
      <x:c r="L403" s="10" t="n">
        <x:f>K403/Sources!$B$4*1000</x:f>
        <x:v>13.596420774150753</x:v>
      </x:c>
      <x:c r="M403" s="10" t="n">
        <x:f>E403/Sources!$B$4*1000</x:f>
        <x:v>19.9352152298686</x:v>
      </x:c>
      <x:c r="N403" s="9" t="n">
        <x:f>Sources!$B$6-K403</x:f>
        <x:v>11066.99999999255</x:v>
      </x:c>
      <x:c r="O403" s="1" t="str">
        <x:v>vertical_shift_up</x:v>
      </x:c>
      <x:c r="P403" s="12" t="n">
        <x:v>0</x:v>
      </x:c>
      <x:c r="Q403" s="12" t="n">
        <x:v>-2</x:v>
      </x:c>
      <x:c r="R403" s="12" t="n">
        <x:v>7</x:v>
      </x:c>
      <x:c r="S403" s="12" t="n">
        <x:v>0</x:v>
      </x:c>
      <x:c r="T403" s="1" t="str">
        <x:v>No</x:v>
      </x:c>
      <x:c r="U403" s="1" t="n">
        <x:v>0</x:v>
      </x:c>
    </x:row>
    <x:row r="404" ht="23" customHeight="1">
      <x:c r="A404" s="9" t="n">
        <x:v>403</x:v>
      </x:c>
      <x:c r="B404" s="9" t="n">
        <x:v>263</x:v>
      </x:c>
      <x:c r="C404" s="9" t="n">
        <x:v>934</x:v>
      </x:c>
      <x:c r="D404" s="9" t="n">
        <x:v>1</x:v>
      </x:c>
      <x:c r="E404" s="9" t="n">
        <x:v>71369.99999999255</x:v>
      </x:c>
      <x:c r="F404" s="9" t="n">
        <x:v>818.0000000074506</x:v>
      </x:c>
      <x:c r="G404" s="9" t="n">
        <x:v>68994</x:v>
      </x:c>
      <x:c r="H404" s="9" t="n">
        <x:v>975.0000000074506</x:v>
      </x:c>
      <x:c r="I404" s="9" t="n">
        <x:v>477.0000000074506</x:v>
      </x:c>
      <x:c r="J404" s="9" t="n">
        <x:v>105.99999997019768</x:v>
      </x:c>
      <x:c r="K404" s="9" t="n">
        <x:f>F404+G404+I404+J404</x:f>
        <x:v>70394.9999999851</x:v>
      </x:c>
      <x:c r="L404" s="10" t="n">
        <x:f>K404/Sources!$B$4*1000</x:f>
        <x:v>19.66590725915866</x:v>
      </x:c>
      <x:c r="M404" s="10" t="n">
        <x:f>E404/Sources!$B$4*1000</x:f>
        <x:v>19.938288246129762</x:v>
      </x:c>
      <x:c r="N404" s="9" t="n">
        <x:f>Sources!$B$6-K404</x:f>
        <x:v>-10658.999999985099</x:v>
      </x:c>
      <x:c r="O404" s="1" t="str">
        <x:v>vertical_shift_up</x:v>
      </x:c>
      <x:c r="P404" s="12" t="n">
        <x:v>0</x:v>
      </x:c>
      <x:c r="Q404" s="12" t="n">
        <x:v>-2</x:v>
      </x:c>
      <x:c r="R404" s="12" t="n">
        <x:v>7</x:v>
      </x:c>
      <x:c r="S404" s="12" t="n">
        <x:v>6</x:v>
      </x:c>
      <x:c r="T404" s="1" t="str">
        <x:v>Yes</x:v>
      </x:c>
      <x:c r="U404" s="1" t="n">
        <x:v>1</x:v>
      </x:c>
    </x:row>
    <x:row r="405" ht="23" customHeight="1">
      <x:c r="A405" s="9" t="n">
        <x:v>404</x:v>
      </x:c>
      <x:c r="B405" s="9" t="n">
        <x:v>263</x:v>
      </x:c>
      <x:c r="C405" s="9" t="n">
        <x:v>932</x:v>
      </x:c>
      <x:c r="D405" s="9" t="n">
        <x:v>1</x:v>
      </x:c>
      <x:c r="E405" s="9" t="n">
        <x:v>71358</x:v>
      </x:c>
      <x:c r="F405" s="9" t="n">
        <x:v>818</x:v>
      </x:c>
      <x:c r="G405" s="9" t="n">
        <x:v>48585.00000000745</x:v>
      </x:c>
      <x:c r="H405" s="9" t="n">
        <x:v>21380</x:v>
      </x:c>
      <x:c r="I405" s="9" t="n">
        <x:v>469</x:v>
      </x:c>
      <x:c r="J405" s="9" t="n">
        <x:v>105.99999999254942</x:v>
      </x:c>
      <x:c r="K405" s="9" t="n">
        <x:f>F405+G405+I405+J405</x:f>
        <x:v>49978</x:v>
      </x:c>
      <x:c r="L405" s="10" t="n">
        <x:f>K405/Sources!$B$4*1000</x:f>
        <x:v>13.962109709474248</x:v>
      </x:c>
      <x:c r="M405" s="10" t="n">
        <x:f>E405/Sources!$B$4*1000</x:f>
        <x:v>19.934935864753758</x:v>
      </x:c>
      <x:c r="N405" s="9" t="n">
        <x:f>Sources!$B$6-K405</x:f>
        <x:v>9758</x:v>
      </x:c>
      <x:c r="O405" s="1" t="str">
        <x:v>vertical_shift_up</x:v>
      </x:c>
      <x:c r="P405" s="12" t="n">
        <x:v>0</x:v>
      </x:c>
      <x:c r="Q405" s="12" t="n">
        <x:v>-2</x:v>
      </x:c>
      <x:c r="R405" s="12" t="n">
        <x:v>7</x:v>
      </x:c>
      <x:c r="S405" s="12" t="n">
        <x:v>4</x:v>
      </x:c>
      <x:c r="T405" s="1" t="str">
        <x:v>No</x:v>
      </x:c>
      <x:c r="U405" s="1" t="n">
        <x:v>1</x:v>
      </x:c>
    </x:row>
    <x:row r="406" ht="23" customHeight="1">
      <x:c r="A406" s="9" t="n">
        <x:v>405</x:v>
      </x:c>
      <x:c r="B406" s="9" t="n">
        <x:v>263</x:v>
      </x:c>
      <x:c r="C406" s="9" t="n">
        <x:v>934</x:v>
      </x:c>
      <x:c r="D406" s="9" t="n">
        <x:v>1</x:v>
      </x:c>
      <x:c r="E406" s="9" t="n">
        <x:v>71370</x:v>
      </x:c>
      <x:c r="F406" s="9" t="n">
        <x:v>784.9999999925494</x:v>
      </x:c>
      <x:c r="G406" s="9" t="n">
        <x:v>26017</x:v>
      </x:c>
      <x:c r="H406" s="9" t="n">
        <x:v>43985</x:v>
      </x:c>
      <x:c r="I406" s="9" t="n">
        <x:v>477</x:v>
      </x:c>
      <x:c r="J406" s="9" t="n">
        <x:v>106.00000000745058</x:v>
      </x:c>
      <x:c r="K406" s="9" t="n">
        <x:f>F406+G406+I406+J406</x:f>
        <x:v>27385</x:v>
      </x:c>
      <x:c r="L406" s="10" t="n">
        <x:f>K406/Sources!$B$4*1000</x:f>
        <x:v>7.6504136698937995</x:v>
      </x:c>
      <x:c r="M406" s="10" t="n">
        <x:f>E406/Sources!$B$4*1000</x:f>
        <x:v>19.93828824613184</x:v>
      </x:c>
      <x:c r="N406" s="9" t="n">
        <x:f>Sources!$B$6-K406</x:f>
        <x:v>32351</x:v>
      </x:c>
      <x:c r="O406" s="1" t="str">
        <x:v>vertical_shift_down</x:v>
      </x:c>
      <x:c r="P406" s="12" t="n">
        <x:v>0</x:v>
      </x:c>
      <x:c r="Q406" s="12" t="n">
        <x:v>2</x:v>
      </x:c>
      <x:c r="R406" s="12" t="n">
        <x:v>7</x:v>
      </x:c>
      <x:c r="S406" s="12" t="n">
        <x:v>6</x:v>
      </x:c>
      <x:c r="T406" s="1" t="str">
        <x:v>No</x:v>
      </x:c>
      <x:c r="U406" s="1" t="n">
        <x:v>0</x:v>
      </x:c>
    </x:row>
    <x:row r="407" ht="23" customHeight="1">
      <x:c r="A407" s="9" t="n">
        <x:v>406</x:v>
      </x:c>
      <x:c r="B407" s="9" t="n">
        <x:v>263</x:v>
      </x:c>
      <x:c r="C407" s="9" t="n">
        <x:v>936</x:v>
      </x:c>
      <x:c r="D407" s="9" t="n">
        <x:v>1</x:v>
      </x:c>
      <x:c r="E407" s="9" t="n">
        <x:v>71357</x:v>
      </x:c>
      <x:c r="F407" s="9" t="n">
        <x:v>785</x:v>
      </x:c>
      <x:c r="G407" s="9" t="n">
        <x:v>64422.00000000745</x:v>
      </x:c>
      <x:c r="H407" s="9" t="n">
        <x:v>5575</x:v>
      </x:c>
      <x:c r="I407" s="9" t="n">
        <x:v>469</x:v>
      </x:c>
      <x:c r="J407" s="9" t="n">
        <x:v>105.99999999254942</x:v>
      </x:c>
      <x:c r="K407" s="9" t="n">
        <x:f>F407+G407+I407+J407</x:f>
        <x:v>65782</x:v>
      </x:c>
      <x:c r="L407" s="10" t="n">
        <x:f>K407/Sources!$B$4*1000</x:f>
        <x:v>18.37719598440584</x:v>
      </x:c>
      <x:c r="M407" s="10" t="n">
        <x:f>E407/Sources!$B$4*1000</x:f>
        <x:v>19.93465649963892</x:v>
      </x:c>
      <x:c r="N407" s="9" t="n">
        <x:f>Sources!$B$6-K407</x:f>
        <x:v>-6046</x:v>
      </x:c>
      <x:c r="O407" s="1" t="str">
        <x:v>vertical_shift_down</x:v>
      </x:c>
      <x:c r="P407" s="12" t="n">
        <x:v>0</x:v>
      </x:c>
      <x:c r="Q407" s="12" t="n">
        <x:v>2</x:v>
      </x:c>
      <x:c r="R407" s="12" t="n">
        <x:v>7</x:v>
      </x:c>
      <x:c r="S407" s="12" t="n">
        <x:v>0</x:v>
      </x:c>
      <x:c r="T407" s="1" t="str">
        <x:v>Yes</x:v>
      </x:c>
      <x:c r="U407" s="1" t="n">
        <x:v>1</x:v>
      </x:c>
    </x:row>
    <x:row r="408" ht="23" customHeight="1">
      <x:c r="A408" s="9" t="n">
        <x:v>407</x:v>
      </x:c>
      <x:c r="B408" s="9" t="n">
        <x:v>263</x:v>
      </x:c>
      <x:c r="C408" s="9" t="n">
        <x:v>938</x:v>
      </x:c>
      <x:c r="D408" s="9" t="n">
        <x:v>1</x:v>
      </x:c>
      <x:c r="E408" s="9" t="n">
        <x:v>71373</x:v>
      </x:c>
      <x:c r="F408" s="9" t="n">
        <x:v>785</x:v>
      </x:c>
      <x:c r="G408" s="9" t="n">
        <x:v>51130</x:v>
      </x:c>
      <x:c r="H408" s="9" t="n">
        <x:v>18875.00000000745</x:v>
      </x:c>
      <x:c r="I408" s="9" t="n">
        <x:v>477.0000000074506</x:v>
      </x:c>
      <x:c r="J408" s="9" t="n">
        <x:v>105.99999998509884</x:v>
      </x:c>
      <x:c r="K408" s="9" t="n">
        <x:f>F408+G408+I408+J408</x:f>
        <x:v>52497.99999999255</x:v>
      </x:c>
      <x:c r="L408" s="10" t="n">
        <x:f>K408/Sources!$B$4*1000</x:f>
        <x:v>14.666109798869003</x:v>
      </x:c>
      <x:c r="M408" s="10" t="n">
        <x:f>E408/Sources!$B$4*1000</x:f>
        <x:v>19.939126341476364</x:v>
      </x:c>
      <x:c r="N408" s="9" t="n">
        <x:f>Sources!$B$6-K408</x:f>
        <x:v>7238.000000007451</x:v>
      </x:c>
      <x:c r="O408" s="1" t="str">
        <x:v>vertical_shift_down</x:v>
      </x:c>
      <x:c r="P408" s="12" t="n">
        <x:v>0</x:v>
      </x:c>
      <x:c r="Q408" s="12" t="n">
        <x:v>2</x:v>
      </x:c>
      <x:c r="R408" s="12" t="n">
        <x:v>7</x:v>
      </x:c>
      <x:c r="S408" s="12" t="n">
        <x:v>2</x:v>
      </x:c>
      <x:c r="T408" s="1" t="str">
        <x:v>No</x:v>
      </x:c>
      <x:c r="U408" s="1" t="n">
        <x:v>1</x:v>
      </x:c>
    </x:row>
    <x:row r="409" ht="23" customHeight="1">
      <x:c r="A409" s="9" t="n">
        <x:v>408</x:v>
      </x:c>
      <x:c r="B409" s="9" t="n">
        <x:v>263</x:v>
      </x:c>
      <x:c r="C409" s="9" t="n">
        <x:v>940</x:v>
      </x:c>
      <x:c r="D409" s="9" t="n">
        <x:v>1</x:v>
      </x:c>
      <x:c r="E409" s="9" t="n">
        <x:v>71356.00000000745</x:v>
      </x:c>
      <x:c r="F409" s="9" t="n">
        <x:v>784.9999999925494</x:v>
      </x:c>
      <x:c r="G409" s="9" t="n">
        <x:v>47275.99999999255</x:v>
      </x:c>
      <x:c r="H409" s="9" t="n">
        <x:v>22720</x:v>
      </x:c>
      <x:c r="I409" s="9" t="n">
        <x:v>468.99999998509884</x:v>
      </x:c>
      <x:c r="J409" s="9" t="n">
        <x:v>106.0000000372529</x:v>
      </x:c>
      <x:c r="K409" s="9" t="n">
        <x:f>F409+G409+I409+J409</x:f>
        <x:v>48636.00000000745</x:v>
      </x:c>
      <x:c r="L409" s="10" t="n">
        <x:f>K409/Sources!$B$4*1000</x:f>
        <x:v>13.58720172536103</x:v>
      </x:c>
      <x:c r="M409" s="10" t="n">
        <x:f>E409/Sources!$B$4*1000</x:f>
        <x:v>19.934377134526162</x:v>
      </x:c>
      <x:c r="N409" s="9" t="n">
        <x:f>Sources!$B$6-K409</x:f>
        <x:v>11099.99999999255</x:v>
      </x:c>
      <x:c r="O409" s="1" t="str">
        <x:v>vertical_shift_down</x:v>
      </x:c>
      <x:c r="P409" s="12" t="n">
        <x:v>0</x:v>
      </x:c>
      <x:c r="Q409" s="12" t="n">
        <x:v>2</x:v>
      </x:c>
      <x:c r="R409" s="12" t="n">
        <x:v>7</x:v>
      </x:c>
      <x:c r="S409" s="12" t="n">
        <x:v>4</x:v>
      </x:c>
      <x:c r="T409" s="1" t="str">
        <x:v>No</x:v>
      </x:c>
      <x:c r="U409" s="1" t="n">
        <x:v>0</x:v>
      </x:c>
    </x:row>
    <x:row r="410" ht="23" customHeight="1">
      <x:c r="A410" s="9" t="n">
        <x:v>409</x:v>
      </x:c>
      <x:c r="B410" s="9" t="n">
        <x:v>263</x:v>
      </x:c>
      <x:c r="C410" s="9" t="n">
        <x:v>942</x:v>
      </x:c>
      <x:c r="D410" s="9" t="n">
        <x:v>1</x:v>
      </x:c>
      <x:c r="E410" s="9" t="n">
        <x:v>71371.99999999255</x:v>
      </x:c>
      <x:c r="F410" s="9" t="n">
        <x:v>785.0000000074506</x:v>
      </x:c>
      <x:c r="G410" s="9" t="n">
        <x:v>51848.9999999851</x:v>
      </x:c>
      <x:c r="H410" s="9" t="n">
        <x:v>18154.99999999255</x:v>
      </x:c>
      <x:c r="I410" s="9" t="n">
        <x:v>477</x:v>
      </x:c>
      <x:c r="J410" s="9" t="n">
        <x:v>106.00000000745058</x:v>
      </x:c>
      <x:c r="K410" s="9" t="n">
        <x:f>F410+G410+I410+J410</x:f>
        <x:v>53217</x:v>
      </x:c>
      <x:c r="L410" s="10" t="n">
        <x:f>K410/Sources!$B$4*1000</x:f>
        <x:v>14.866973316441056</x:v>
      </x:c>
      <x:c r="M410" s="10" t="n">
        <x:f>E410/Sources!$B$4*1000</x:f>
        <x:v>19.93884697635944</x:v>
      </x:c>
      <x:c r="N410" s="9" t="n">
        <x:f>Sources!$B$6-K410</x:f>
        <x:v>6519</x:v>
      </x:c>
      <x:c r="O410" s="1" t="str">
        <x:v>vertical_shift_down</x:v>
      </x:c>
      <x:c r="P410" s="12" t="n">
        <x:v>0</x:v>
      </x:c>
      <x:c r="Q410" s="12" t="n">
        <x:v>2</x:v>
      </x:c>
      <x:c r="R410" s="12" t="n">
        <x:v>7</x:v>
      </x:c>
      <x:c r="S410" s="12" t="n">
        <x:v>6</x:v>
      </x:c>
      <x:c r="T410" s="1" t="str">
        <x:v>No</x:v>
      </x:c>
      <x:c r="U410" s="1" t="n">
        <x:v>0</x:v>
      </x:c>
    </x:row>
    <x:row r="411" ht="23" customHeight="1">
      <x:c r="A411" s="9" t="n">
        <x:v>410</x:v>
      </x:c>
      <x:c r="B411" s="9" t="n">
        <x:v>263</x:v>
      </x:c>
      <x:c r="C411" s="9" t="n">
        <x:v>944</x:v>
      </x:c>
      <x:c r="D411" s="9" t="n">
        <x:v>1</x:v>
      </x:c>
      <x:c r="E411" s="9" t="n">
        <x:v>71357</x:v>
      </x:c>
      <x:c r="F411" s="9" t="n">
        <x:v>785</x:v>
      </x:c>
      <x:c r="G411" s="9" t="n">
        <x:v>64422.00000000745</x:v>
      </x:c>
      <x:c r="H411" s="9" t="n">
        <x:v>5575</x:v>
      </x:c>
      <x:c r="I411" s="9" t="n">
        <x:v>469</x:v>
      </x:c>
      <x:c r="J411" s="9" t="n">
        <x:v>105.99999999254942</x:v>
      </x:c>
      <x:c r="K411" s="9" t="n">
        <x:f>F411+G411+I411+J411</x:f>
        <x:v>65782</x:v>
      </x:c>
      <x:c r="L411" s="10" t="n">
        <x:f>K411/Sources!$B$4*1000</x:f>
        <x:v>18.37719598440584</x:v>
      </x:c>
      <x:c r="M411" s="10" t="n">
        <x:f>E411/Sources!$B$4*1000</x:f>
        <x:v>19.93465649963892</x:v>
      </x:c>
      <x:c r="N411" s="9" t="n">
        <x:f>Sources!$B$6-K411</x:f>
        <x:v>-6046</x:v>
      </x:c>
      <x:c r="O411" s="1" t="str">
        <x:v>vertical_shift_down</x:v>
      </x:c>
      <x:c r="P411" s="12" t="n">
        <x:v>0</x:v>
      </x:c>
      <x:c r="Q411" s="12" t="n">
        <x:v>2</x:v>
      </x:c>
      <x:c r="R411" s="12" t="n">
        <x:v>7</x:v>
      </x:c>
      <x:c r="S411" s="12" t="n">
        <x:v>0</x:v>
      </x:c>
      <x:c r="T411" s="1" t="str">
        <x:v>Yes</x:v>
      </x:c>
      <x:c r="U411" s="1" t="n">
        <x:v>1</x:v>
      </x:c>
    </x:row>
    <x:row r="412" ht="23" customHeight="1">
      <x:c r="A412" s="9" t="n">
        <x:v>411</x:v>
      </x:c>
      <x:c r="B412" s="9" t="n">
        <x:v>263</x:v>
      </x:c>
      <x:c r="C412" s="9" t="n">
        <x:v>946</x:v>
      </x:c>
      <x:c r="D412" s="9" t="n">
        <x:v>1</x:v>
      </x:c>
      <x:c r="E412" s="9" t="n">
        <x:v>71368</x:v>
      </x:c>
      <x:c r="F412" s="9" t="n">
        <x:v>785</x:v>
      </x:c>
      <x:c r="G412" s="9" t="n">
        <x:v>51130</x:v>
      </x:c>
      <x:c r="H412" s="9" t="n">
        <x:v>18870.00000000745</x:v>
      </x:c>
      <x:c r="I412" s="9" t="n">
        <x:v>477.0000000074506</x:v>
      </x:c>
      <x:c r="J412" s="9" t="n">
        <x:v>105.99999998509884</x:v>
      </x:c>
      <x:c r="K412" s="9" t="n">
        <x:f>F412+G412+I412+J412</x:f>
        <x:v>52497.99999999255</x:v>
      </x:c>
      <x:c r="L412" s="10" t="n">
        <x:f>K412/Sources!$B$4*1000</x:f>
        <x:v>14.666109798869003</x:v>
      </x:c>
      <x:c r="M412" s="10" t="n">
        <x:f>E412/Sources!$B$4*1000</x:f>
        <x:v>19.93772951590216</x:v>
      </x:c>
      <x:c r="N412" s="9" t="n">
        <x:f>Sources!$B$6-K412</x:f>
        <x:v>7238.000000007451</x:v>
      </x:c>
      <x:c r="O412" s="1" t="str">
        <x:v>vertical_shift_down</x:v>
      </x:c>
      <x:c r="P412" s="12" t="n">
        <x:v>0</x:v>
      </x:c>
      <x:c r="Q412" s="12" t="n">
        <x:v>2</x:v>
      </x:c>
      <x:c r="R412" s="12" t="n">
        <x:v>7</x:v>
      </x:c>
      <x:c r="S412" s="12" t="n">
        <x:v>2</x:v>
      </x:c>
      <x:c r="T412" s="1" t="str">
        <x:v>No</x:v>
      </x:c>
      <x:c r="U412" s="1" t="n">
        <x:v>1</x:v>
      </x:c>
    </x:row>
    <x:row r="413" ht="23" customHeight="1">
      <x:c r="A413" s="9" t="n">
        <x:v>412</x:v>
      </x:c>
      <x:c r="B413" s="9" t="n">
        <x:v>263</x:v>
      </x:c>
      <x:c r="C413" s="9" t="n">
        <x:v>948</x:v>
      </x:c>
      <x:c r="D413" s="9" t="n">
        <x:v>1</x:v>
      </x:c>
      <x:c r="E413" s="9" t="n">
        <x:v>71356.00000000745</x:v>
      </x:c>
      <x:c r="F413" s="9" t="n">
        <x:v>784.9999999925494</x:v>
      </x:c>
      <x:c r="G413" s="9" t="n">
        <x:v>47275.99999999255</x:v>
      </x:c>
      <x:c r="H413" s="9" t="n">
        <x:v>22720</x:v>
      </x:c>
      <x:c r="I413" s="9" t="n">
        <x:v>468.99999998509884</x:v>
      </x:c>
      <x:c r="J413" s="9" t="n">
        <x:v>106.0000000372529</x:v>
      </x:c>
      <x:c r="K413" s="9" t="n">
        <x:f>F413+G413+I413+J413</x:f>
        <x:v>48636.00000000745</x:v>
      </x:c>
      <x:c r="L413" s="10" t="n">
        <x:f>K413/Sources!$B$4*1000</x:f>
        <x:v>13.58720172536103</x:v>
      </x:c>
      <x:c r="M413" s="10" t="n">
        <x:f>E413/Sources!$B$4*1000</x:f>
        <x:v>19.934377134526162</x:v>
      </x:c>
      <x:c r="N413" s="9" t="n">
        <x:f>Sources!$B$6-K413</x:f>
        <x:v>11099.99999999255</x:v>
      </x:c>
      <x:c r="O413" s="1" t="str">
        <x:v>vertical_shift_down</x:v>
      </x:c>
      <x:c r="P413" s="12" t="n">
        <x:v>0</x:v>
      </x:c>
      <x:c r="Q413" s="12" t="n">
        <x:v>2</x:v>
      </x:c>
      <x:c r="R413" s="12" t="n">
        <x:v>7</x:v>
      </x:c>
      <x:c r="S413" s="12" t="n">
        <x:v>4</x:v>
      </x:c>
      <x:c r="T413" s="1" t="str">
        <x:v>No</x:v>
      </x:c>
      <x:c r="U413" s="1" t="n">
        <x:v>0</x:v>
      </x:c>
    </x:row>
    <x:row r="414" ht="23" customHeight="1">
      <x:c r="A414" s="9" t="n">
        <x:v>413</x:v>
      </x:c>
      <x:c r="B414" s="9" t="n">
        <x:v>263</x:v>
      </x:c>
      <x:c r="C414" s="9" t="n">
        <x:v>950</x:v>
      </x:c>
      <x:c r="D414" s="9" t="n">
        <x:v>1</x:v>
      </x:c>
      <x:c r="E414" s="9" t="n">
        <x:v>71371.99999999255</x:v>
      </x:c>
      <x:c r="F414" s="9" t="n">
        <x:v>785.0000000074506</x:v>
      </x:c>
      <x:c r="G414" s="9" t="n">
        <x:v>51848.99999999255</x:v>
      </x:c>
      <x:c r="H414" s="9" t="n">
        <x:v>18154.99999999255</x:v>
      </x:c>
      <x:c r="I414" s="9" t="n">
        <x:v>477</x:v>
      </x:c>
      <x:c r="J414" s="9" t="n">
        <x:v>106</x:v>
      </x:c>
      <x:c r="K414" s="9" t="n">
        <x:f>F414+G414+I414+J414</x:f>
        <x:v>53217</x:v>
      </x:c>
      <x:c r="L414" s="10" t="n">
        <x:f>K414/Sources!$B$4*1000</x:f>
        <x:v>14.866973316441056</x:v>
      </x:c>
      <x:c r="M414" s="10" t="n">
        <x:f>E414/Sources!$B$4*1000</x:f>
        <x:v>19.93884697635944</x:v>
      </x:c>
      <x:c r="N414" s="9" t="n">
        <x:f>Sources!$B$6-K414</x:f>
        <x:v>6519</x:v>
      </x:c>
      <x:c r="O414" s="1" t="str">
        <x:v>vertical_shift_down</x:v>
      </x:c>
      <x:c r="P414" s="12" t="n">
        <x:v>0</x:v>
      </x:c>
      <x:c r="Q414" s="12" t="n">
        <x:v>2</x:v>
      </x:c>
      <x:c r="R414" s="12" t="n">
        <x:v>7</x:v>
      </x:c>
      <x:c r="S414" s="12" t="n">
        <x:v>6</x:v>
      </x:c>
      <x:c r="T414" s="1" t="str">
        <x:v>No</x:v>
      </x:c>
      <x:c r="U414" s="1" t="n">
        <x:v>0</x:v>
      </x:c>
    </x:row>
    <x:row r="415" ht="23" customHeight="1">
      <x:c r="A415" s="9" t="n">
        <x:v>414</x:v>
      </x:c>
      <x:c r="B415" s="9" t="n">
        <x:v>263</x:v>
      </x:c>
      <x:c r="C415" s="9" t="n">
        <x:v>952</x:v>
      </x:c>
      <x:c r="D415" s="9" t="n">
        <x:v>1</x:v>
      </x:c>
      <x:c r="E415" s="9" t="n">
        <x:v>71357</x:v>
      </x:c>
      <x:c r="F415" s="9" t="n">
        <x:v>785</x:v>
      </x:c>
      <x:c r="G415" s="9" t="n">
        <x:v>64422.00000000745</x:v>
      </x:c>
      <x:c r="H415" s="9" t="n">
        <x:v>5575</x:v>
      </x:c>
      <x:c r="I415" s="9" t="n">
        <x:v>469</x:v>
      </x:c>
      <x:c r="J415" s="9" t="n">
        <x:v>105.99999999254942</x:v>
      </x:c>
      <x:c r="K415" s="9" t="n">
        <x:f>F415+G415+I415+J415</x:f>
        <x:v>65782</x:v>
      </x:c>
      <x:c r="L415" s="10" t="n">
        <x:f>K415/Sources!$B$4*1000</x:f>
        <x:v>18.37719598440584</x:v>
      </x:c>
      <x:c r="M415" s="10" t="n">
        <x:f>E415/Sources!$B$4*1000</x:f>
        <x:v>19.93465649963892</x:v>
      </x:c>
      <x:c r="N415" s="9" t="n">
        <x:f>Sources!$B$6-K415</x:f>
        <x:v>-6046</x:v>
      </x:c>
      <x:c r="O415" s="1" t="str">
        <x:v>vertical_shift_down</x:v>
      </x:c>
      <x:c r="P415" s="12" t="n">
        <x:v>0</x:v>
      </x:c>
      <x:c r="Q415" s="12" t="n">
        <x:v>2</x:v>
      </x:c>
      <x:c r="R415" s="12" t="n">
        <x:v>7</x:v>
      </x:c>
      <x:c r="S415" s="12" t="n">
        <x:v>0</x:v>
      </x:c>
      <x:c r="T415" s="1" t="str">
        <x:v>Yes</x:v>
      </x:c>
      <x:c r="U415" s="1" t="n">
        <x:v>1</x:v>
      </x:c>
    </x:row>
    <x:row r="416" ht="23" customHeight="1">
      <x:c r="A416" s="9" t="n">
        <x:v>415</x:v>
      </x:c>
      <x:c r="B416" s="9" t="n">
        <x:v>263</x:v>
      </x:c>
      <x:c r="C416" s="9" t="n">
        <x:v>954</x:v>
      </x:c>
      <x:c r="D416" s="9" t="n">
        <x:v>1</x:v>
      </x:c>
      <x:c r="E416" s="9" t="n">
        <x:v>71373</x:v>
      </x:c>
      <x:c r="F416" s="9" t="n">
        <x:v>785</x:v>
      </x:c>
      <x:c r="G416" s="9" t="n">
        <x:v>51130</x:v>
      </x:c>
      <x:c r="H416" s="9" t="n">
        <x:v>18875.00000000745</x:v>
      </x:c>
      <x:c r="I416" s="9" t="n">
        <x:v>477.0000000074506</x:v>
      </x:c>
      <x:c r="J416" s="9" t="n">
        <x:v>105.99999998509884</x:v>
      </x:c>
      <x:c r="K416" s="9" t="n">
        <x:f>F416+G416+I416+J416</x:f>
        <x:v>52497.99999999255</x:v>
      </x:c>
      <x:c r="L416" s="10" t="n">
        <x:f>K416/Sources!$B$4*1000</x:f>
        <x:v>14.666109798869003</x:v>
      </x:c>
      <x:c r="M416" s="10" t="n">
        <x:f>E416/Sources!$B$4*1000</x:f>
        <x:v>19.939126341476364</x:v>
      </x:c>
      <x:c r="N416" s="9" t="n">
        <x:f>Sources!$B$6-K416</x:f>
        <x:v>7238.000000007451</x:v>
      </x:c>
      <x:c r="O416" s="1" t="str">
        <x:v>vertical_shift_down</x:v>
      </x:c>
      <x:c r="P416" s="12" t="n">
        <x:v>0</x:v>
      </x:c>
      <x:c r="Q416" s="12" t="n">
        <x:v>2</x:v>
      </x:c>
      <x:c r="R416" s="12" t="n">
        <x:v>7</x:v>
      </x:c>
      <x:c r="S416" s="12" t="n">
        <x:v>2</x:v>
      </x:c>
      <x:c r="T416" s="1" t="str">
        <x:v>No</x:v>
      </x:c>
      <x:c r="U416" s="1" t="n">
        <x:v>1</x:v>
      </x:c>
    </x:row>
    <x:row r="417" ht="23" customHeight="1">
      <x:c r="A417" s="9" t="n">
        <x:v>416</x:v>
      </x:c>
      <x:c r="B417" s="9" t="n">
        <x:v>263</x:v>
      </x:c>
      <x:c r="C417" s="9" t="n">
        <x:v>956</x:v>
      </x:c>
      <x:c r="D417" s="9" t="n">
        <x:v>1</x:v>
      </x:c>
      <x:c r="E417" s="9" t="n">
        <x:v>71356.00000000745</x:v>
      </x:c>
      <x:c r="F417" s="9" t="n">
        <x:v>784.9999999925494</x:v>
      </x:c>
      <x:c r="G417" s="9" t="n">
        <x:v>47275.99999999255</x:v>
      </x:c>
      <x:c r="H417" s="9" t="n">
        <x:v>22720</x:v>
      </x:c>
      <x:c r="I417" s="9" t="n">
        <x:v>469</x:v>
      </x:c>
      <x:c r="J417" s="9" t="n">
        <x:v>106.00000002235174</x:v>
      </x:c>
      <x:c r="K417" s="9" t="n">
        <x:f>F417+G417+I417+J417</x:f>
        <x:v>48636.00000000745</x:v>
      </x:c>
      <x:c r="L417" s="10" t="n">
        <x:f>K417/Sources!$B$4*1000</x:f>
        <x:v>13.58720172536103</x:v>
      </x:c>
      <x:c r="M417" s="10" t="n">
        <x:f>E417/Sources!$B$4*1000</x:f>
        <x:v>19.934377134526162</x:v>
      </x:c>
      <x:c r="N417" s="9" t="n">
        <x:f>Sources!$B$6-K417</x:f>
        <x:v>11099.99999999255</x:v>
      </x:c>
      <x:c r="O417" s="1" t="str">
        <x:v>vertical_shift_down</x:v>
      </x:c>
      <x:c r="P417" s="12" t="n">
        <x:v>0</x:v>
      </x:c>
      <x:c r="Q417" s="12" t="n">
        <x:v>2</x:v>
      </x:c>
      <x:c r="R417" s="12" t="n">
        <x:v>7</x:v>
      </x:c>
      <x:c r="S417" s="12" t="n">
        <x:v>4</x:v>
      </x:c>
      <x:c r="T417" s="1" t="str">
        <x:v>No</x:v>
      </x:c>
      <x:c r="U417" s="1" t="n">
        <x:v>0</x:v>
      </x:c>
    </x:row>
    <x:row r="418" ht="23" customHeight="1">
      <x:c r="A418" s="9" t="n">
        <x:v>417</x:v>
      </x:c>
      <x:c r="B418" s="9" t="n">
        <x:v>263</x:v>
      </x:c>
      <x:c r="C418" s="9" t="n">
        <x:v>958</x:v>
      </x:c>
      <x:c r="D418" s="9" t="n">
        <x:v>1</x:v>
      </x:c>
      <x:c r="E418" s="9" t="n">
        <x:v>71371.99999999255</x:v>
      </x:c>
      <x:c r="F418" s="9" t="n">
        <x:v>785.0000000074506</x:v>
      </x:c>
      <x:c r="G418" s="9" t="n">
        <x:v>51849</x:v>
      </x:c>
      <x:c r="H418" s="9" t="n">
        <x:v>18154.99999999255</x:v>
      </x:c>
      <x:c r="I418" s="9" t="n">
        <x:v>477</x:v>
      </x:c>
      <x:c r="J418" s="9" t="n">
        <x:v>105.99999999254942</x:v>
      </x:c>
      <x:c r="K418" s="9" t="n">
        <x:f>F418+G418+I418+J418</x:f>
        <x:v>53217</x:v>
      </x:c>
      <x:c r="L418" s="10" t="n">
        <x:f>K418/Sources!$B$4*1000</x:f>
        <x:v>14.866973316441056</x:v>
      </x:c>
      <x:c r="M418" s="10" t="n">
        <x:f>E418/Sources!$B$4*1000</x:f>
        <x:v>19.93884697635944</x:v>
      </x:c>
      <x:c r="N418" s="9" t="n">
        <x:f>Sources!$B$6-K418</x:f>
        <x:v>6519</x:v>
      </x:c>
      <x:c r="O418" s="1" t="str">
        <x:v>vertical_shift_down</x:v>
      </x:c>
      <x:c r="P418" s="12" t="n">
        <x:v>0</x:v>
      </x:c>
      <x:c r="Q418" s="12" t="n">
        <x:v>2</x:v>
      </x:c>
      <x:c r="R418" s="12" t="n">
        <x:v>7</x:v>
      </x:c>
      <x:c r="S418" s="12" t="n">
        <x:v>6</x:v>
      </x:c>
      <x:c r="T418" s="1" t="str">
        <x:v>No</x:v>
      </x:c>
      <x:c r="U418" s="1" t="n">
        <x:v>0</x:v>
      </x:c>
    </x:row>
    <x:row r="419" ht="23" customHeight="1">
      <x:c r="A419" s="9" t="n">
        <x:v>418</x:v>
      </x:c>
      <x:c r="B419" s="9" t="n">
        <x:v>263</x:v>
      </x:c>
      <x:c r="C419" s="9" t="n">
        <x:v>960</x:v>
      </x:c>
      <x:c r="D419" s="9" t="n">
        <x:v>1</x:v>
      </x:c>
      <x:c r="E419" s="9" t="n">
        <x:v>71357</x:v>
      </x:c>
      <x:c r="F419" s="9" t="n">
        <x:v>785</x:v>
      </x:c>
      <x:c r="G419" s="9" t="n">
        <x:v>64422.00000000745</x:v>
      </x:c>
      <x:c r="H419" s="9" t="n">
        <x:v>5575</x:v>
      </x:c>
      <x:c r="I419" s="9" t="n">
        <x:v>469</x:v>
      </x:c>
      <x:c r="J419" s="9" t="n">
        <x:v>105.99999999254942</x:v>
      </x:c>
      <x:c r="K419" s="9" t="n">
        <x:f>F419+G419+I419+J419</x:f>
        <x:v>65782</x:v>
      </x:c>
      <x:c r="L419" s="10" t="n">
        <x:f>K419/Sources!$B$4*1000</x:f>
        <x:v>18.37719598440584</x:v>
      </x:c>
      <x:c r="M419" s="10" t="n">
        <x:f>E419/Sources!$B$4*1000</x:f>
        <x:v>19.93465649963892</x:v>
      </x:c>
      <x:c r="N419" s="9" t="n">
        <x:f>Sources!$B$6-K419</x:f>
        <x:v>-6046</x:v>
      </x:c>
      <x:c r="O419" s="1" t="str">
        <x:v>vertical_shift_down</x:v>
      </x:c>
      <x:c r="P419" s="12" t="n">
        <x:v>0</x:v>
      </x:c>
      <x:c r="Q419" s="12" t="n">
        <x:v>2</x:v>
      </x:c>
      <x:c r="R419" s="12" t="n">
        <x:v>7</x:v>
      </x:c>
      <x:c r="S419" s="12" t="n">
        <x:v>0</x:v>
      </x:c>
      <x:c r="T419" s="1" t="str">
        <x:v>Yes</x:v>
      </x:c>
      <x:c r="U419" s="1" t="n">
        <x:v>1</x:v>
      </x:c>
    </x:row>
    <x:row r="420" ht="23" customHeight="1">
      <x:c r="A420" s="9" t="n">
        <x:v>419</x:v>
      </x:c>
      <x:c r="B420" s="9" t="n">
        <x:v>263</x:v>
      </x:c>
      <x:c r="C420" s="9" t="n">
        <x:v>962</x:v>
      </x:c>
      <x:c r="D420" s="9" t="n">
        <x:v>1</x:v>
      </x:c>
      <x:c r="E420" s="9" t="n">
        <x:v>71373</x:v>
      </x:c>
      <x:c r="F420" s="9" t="n">
        <x:v>784.9999999925494</x:v>
      </x:c>
      <x:c r="G420" s="9" t="n">
        <x:v>51130</x:v>
      </x:c>
      <x:c r="H420" s="9" t="n">
        <x:v>18875</x:v>
      </x:c>
      <x:c r="I420" s="9" t="n">
        <x:v>477.0000000074506</x:v>
      </x:c>
      <x:c r="J420" s="9" t="n">
        <x:v>106</x:v>
      </x:c>
      <x:c r="K420" s="9" t="n">
        <x:f>F420+G420+I420+J420</x:f>
        <x:v>52498</x:v>
      </x:c>
      <x:c r="L420" s="10" t="n">
        <x:f>K420/Sources!$B$4*1000</x:f>
        <x:v>14.666109798871085</x:v>
      </x:c>
      <x:c r="M420" s="10" t="n">
        <x:f>E420/Sources!$B$4*1000</x:f>
        <x:v>19.939126341476364</x:v>
      </x:c>
      <x:c r="N420" s="9" t="n">
        <x:f>Sources!$B$6-K420</x:f>
        <x:v>7238</x:v>
      </x:c>
      <x:c r="O420" s="1" t="str">
        <x:v>vertical_shift_down</x:v>
      </x:c>
      <x:c r="P420" s="12" t="n">
        <x:v>0</x:v>
      </x:c>
      <x:c r="Q420" s="12" t="n">
        <x:v>2</x:v>
      </x:c>
      <x:c r="R420" s="12" t="n">
        <x:v>7</x:v>
      </x:c>
      <x:c r="S420" s="12" t="n">
        <x:v>2</x:v>
      </x:c>
      <x:c r="T420" s="1" t="str">
        <x:v>No</x:v>
      </x:c>
      <x:c r="U420" s="1" t="n">
        <x:v>1</x:v>
      </x:c>
    </x:row>
    <x:row r="421" ht="23" customHeight="1">
      <x:c r="A421" s="9" t="n">
        <x:v>420</x:v>
      </x:c>
      <x:c r="B421" s="9" t="n">
        <x:v>263</x:v>
      </x:c>
      <x:c r="C421" s="9" t="n">
        <x:v>964</x:v>
      </x:c>
      <x:c r="D421" s="9" t="n">
        <x:v>1</x:v>
      </x:c>
      <x:c r="E421" s="9" t="n">
        <x:v>71356.00000000745</x:v>
      </x:c>
      <x:c r="F421" s="9" t="n">
        <x:v>784.9999999925494</x:v>
      </x:c>
      <x:c r="G421" s="9" t="n">
        <x:v>47275.99999999255</x:v>
      </x:c>
      <x:c r="H421" s="9" t="n">
        <x:v>22720</x:v>
      </x:c>
      <x:c r="I421" s="9" t="n">
        <x:v>469</x:v>
      </x:c>
      <x:c r="J421" s="9" t="n">
        <x:v>106.00000002235174</x:v>
      </x:c>
      <x:c r="K421" s="9" t="n">
        <x:f>F421+G421+I421+J421</x:f>
        <x:v>48636.00000000745</x:v>
      </x:c>
      <x:c r="L421" s="10" t="n">
        <x:f>K421/Sources!$B$4*1000</x:f>
        <x:v>13.58720172536103</x:v>
      </x:c>
      <x:c r="M421" s="10" t="n">
        <x:f>E421/Sources!$B$4*1000</x:f>
        <x:v>19.934377134526162</x:v>
      </x:c>
      <x:c r="N421" s="9" t="n">
        <x:f>Sources!$B$6-K421</x:f>
        <x:v>11099.99999999255</x:v>
      </x:c>
      <x:c r="O421" s="1" t="str">
        <x:v>vertical_shift_down</x:v>
      </x:c>
      <x:c r="P421" s="12" t="n">
        <x:v>0</x:v>
      </x:c>
      <x:c r="Q421" s="12" t="n">
        <x:v>2</x:v>
      </x:c>
      <x:c r="R421" s="12" t="n">
        <x:v>7</x:v>
      </x:c>
      <x:c r="S421" s="12" t="n">
        <x:v>4</x:v>
      </x:c>
      <x:c r="T421" s="1" t="str">
        <x:v>No</x:v>
      </x:c>
      <x:c r="U421" s="1" t="n">
        <x:v>0</x:v>
      </x:c>
    </x:row>
    <x:row r="422" ht="23" customHeight="1">
      <x:c r="A422" s="9" t="n">
        <x:v>421</x:v>
      </x:c>
      <x:c r="B422" s="9" t="n">
        <x:v>263</x:v>
      </x:c>
      <x:c r="C422" s="9" t="n">
        <x:v>966</x:v>
      </x:c>
      <x:c r="D422" s="9" t="n">
        <x:v>1</x:v>
      </x:c>
      <x:c r="E422" s="9" t="n">
        <x:v>71371.99999999255</x:v>
      </x:c>
      <x:c r="F422" s="9" t="n">
        <x:v>785.0000000074506</x:v>
      </x:c>
      <x:c r="G422" s="9" t="n">
        <x:v>51849</x:v>
      </x:c>
      <x:c r="H422" s="9" t="n">
        <x:v>18154.99999999255</x:v>
      </x:c>
      <x:c r="I422" s="9" t="n">
        <x:v>477</x:v>
      </x:c>
      <x:c r="J422" s="9" t="n">
        <x:v>105.99999999254942</x:v>
      </x:c>
      <x:c r="K422" s="9" t="n">
        <x:f>F422+G422+I422+J422</x:f>
        <x:v>53217</x:v>
      </x:c>
      <x:c r="L422" s="10" t="n">
        <x:f>K422/Sources!$B$4*1000</x:f>
        <x:v>14.866973316441056</x:v>
      </x:c>
      <x:c r="M422" s="10" t="n">
        <x:f>E422/Sources!$B$4*1000</x:f>
        <x:v>19.93884697635944</x:v>
      </x:c>
      <x:c r="N422" s="9" t="n">
        <x:f>Sources!$B$6-K422</x:f>
        <x:v>6519</x:v>
      </x:c>
      <x:c r="O422" s="1" t="str">
        <x:v>vertical_shift_down</x:v>
      </x:c>
      <x:c r="P422" s="12" t="n">
        <x:v>0</x:v>
      </x:c>
      <x:c r="Q422" s="12" t="n">
        <x:v>2</x:v>
      </x:c>
      <x:c r="R422" s="12" t="n">
        <x:v>7</x:v>
      </x:c>
      <x:c r="S422" s="12" t="n">
        <x:v>6</x:v>
      </x:c>
      <x:c r="T422" s="1" t="str">
        <x:v>No</x:v>
      </x:c>
      <x:c r="U422" s="1" t="n">
        <x:v>0</x:v>
      </x:c>
    </x:row>
    <x:row r="423" ht="23" customHeight="1">
      <x:c r="A423" s="9" t="n">
        <x:v>422</x:v>
      </x:c>
      <x:c r="B423" s="9" t="n">
        <x:v>263</x:v>
      </x:c>
      <x:c r="C423" s="9" t="n">
        <x:v>968</x:v>
      </x:c>
      <x:c r="D423" s="9" t="n">
        <x:v>1</x:v>
      </x:c>
      <x:c r="E423" s="9" t="n">
        <x:v>71352</x:v>
      </x:c>
      <x:c r="F423" s="9" t="n">
        <x:v>785</x:v>
      </x:c>
      <x:c r="G423" s="9" t="n">
        <x:v>64422.00000000745</x:v>
      </x:c>
      <x:c r="H423" s="9" t="n">
        <x:v>5570</x:v>
      </x:c>
      <x:c r="I423" s="9" t="n">
        <x:v>469</x:v>
      </x:c>
      <x:c r="J423" s="9" t="n">
        <x:v>105.99999999254942</x:v>
      </x:c>
      <x:c r="K423" s="9" t="n">
        <x:f>F423+G423+I423+J423</x:f>
        <x:v>65782</x:v>
      </x:c>
      <x:c r="L423" s="10" t="n">
        <x:f>K423/Sources!$B$4*1000</x:f>
        <x:v>18.37719598440584</x:v>
      </x:c>
      <x:c r="M423" s="10" t="n">
        <x:f>E423/Sources!$B$4*1000</x:f>
        <x:v>19.93325967406472</x:v>
      </x:c>
      <x:c r="N423" s="9" t="n">
        <x:f>Sources!$B$6-K423</x:f>
        <x:v>-6046</x:v>
      </x:c>
      <x:c r="O423" s="1" t="str">
        <x:v>vertical_shift_down</x:v>
      </x:c>
      <x:c r="P423" s="12" t="n">
        <x:v>0</x:v>
      </x:c>
      <x:c r="Q423" s="12" t="n">
        <x:v>2</x:v>
      </x:c>
      <x:c r="R423" s="12" t="n">
        <x:v>7</x:v>
      </x:c>
      <x:c r="S423" s="12" t="n">
        <x:v>0</x:v>
      </x:c>
      <x:c r="T423" s="1" t="str">
        <x:v>Yes</x:v>
      </x:c>
      <x:c r="U423" s="1" t="n">
        <x:v>1</x:v>
      </x:c>
    </x:row>
    <x:row r="424" ht="23" customHeight="1">
      <x:c r="A424" s="9" t="n">
        <x:v>423</x:v>
      </x:c>
      <x:c r="B424" s="9" t="n">
        <x:v>263</x:v>
      </x:c>
      <x:c r="C424" s="9" t="n">
        <x:v>970</x:v>
      </x:c>
      <x:c r="D424" s="9" t="n">
        <x:v>1</x:v>
      </x:c>
      <x:c r="E424" s="9" t="n">
        <x:v>71373</x:v>
      </x:c>
      <x:c r="F424" s="9" t="n">
        <x:v>784.9999999925494</x:v>
      </x:c>
      <x:c r="G424" s="9" t="n">
        <x:v>51130</x:v>
      </x:c>
      <x:c r="H424" s="9" t="n">
        <x:v>18875</x:v>
      </x:c>
      <x:c r="I424" s="9" t="n">
        <x:v>477.0000000074506</x:v>
      </x:c>
      <x:c r="J424" s="9" t="n">
        <x:v>106</x:v>
      </x:c>
      <x:c r="K424" s="9" t="n">
        <x:f>F424+G424+I424+J424</x:f>
        <x:v>52498</x:v>
      </x:c>
      <x:c r="L424" s="10" t="n">
        <x:f>K424/Sources!$B$4*1000</x:f>
        <x:v>14.666109798871085</x:v>
      </x:c>
      <x:c r="M424" s="10" t="n">
        <x:f>E424/Sources!$B$4*1000</x:f>
        <x:v>19.939126341476364</x:v>
      </x:c>
      <x:c r="N424" s="9" t="n">
        <x:f>Sources!$B$6-K424</x:f>
        <x:v>7238</x:v>
      </x:c>
      <x:c r="O424" s="1" t="str">
        <x:v>vertical_shift_down</x:v>
      </x:c>
      <x:c r="P424" s="12" t="n">
        <x:v>0</x:v>
      </x:c>
      <x:c r="Q424" s="12" t="n">
        <x:v>2</x:v>
      </x:c>
      <x:c r="R424" s="12" t="n">
        <x:v>7</x:v>
      </x:c>
      <x:c r="S424" s="12" t="n">
        <x:v>2</x:v>
      </x:c>
      <x:c r="T424" s="1" t="str">
        <x:v>No</x:v>
      </x:c>
      <x:c r="U424" s="1" t="n">
        <x:v>1</x:v>
      </x:c>
    </x:row>
    <x:row r="425" ht="23" customHeight="1">
      <x:c r="A425" s="9" t="n">
        <x:v>424</x:v>
      </x:c>
      <x:c r="B425" s="9" t="n">
        <x:v>263</x:v>
      </x:c>
      <x:c r="C425" s="9" t="n">
        <x:v>972</x:v>
      </x:c>
      <x:c r="D425" s="9" t="n">
        <x:v>1</x:v>
      </x:c>
      <x:c r="E425" s="9" t="n">
        <x:v>71356.00000000745</x:v>
      </x:c>
      <x:c r="F425" s="9" t="n">
        <x:v>784.9999999925494</x:v>
      </x:c>
      <x:c r="G425" s="9" t="n">
        <x:v>47275.99999999255</x:v>
      </x:c>
      <x:c r="H425" s="9" t="n">
        <x:v>22720</x:v>
      </x:c>
      <x:c r="I425" s="9" t="n">
        <x:v>469</x:v>
      </x:c>
      <x:c r="J425" s="9" t="n">
        <x:v>106.00000002235174</x:v>
      </x:c>
      <x:c r="K425" s="9" t="n">
        <x:f>F425+G425+I425+J425</x:f>
        <x:v>48636.00000000745</x:v>
      </x:c>
      <x:c r="L425" s="10" t="n">
        <x:f>K425/Sources!$B$4*1000</x:f>
        <x:v>13.58720172536103</x:v>
      </x:c>
      <x:c r="M425" s="10" t="n">
        <x:f>E425/Sources!$B$4*1000</x:f>
        <x:v>19.934377134526162</x:v>
      </x:c>
      <x:c r="N425" s="9" t="n">
        <x:f>Sources!$B$6-K425</x:f>
        <x:v>11099.99999999255</x:v>
      </x:c>
      <x:c r="O425" s="1" t="str">
        <x:v>vertical_shift_down</x:v>
      </x:c>
      <x:c r="P425" s="12" t="n">
        <x:v>0</x:v>
      </x:c>
      <x:c r="Q425" s="12" t="n">
        <x:v>2</x:v>
      </x:c>
      <x:c r="R425" s="12" t="n">
        <x:v>7</x:v>
      </x:c>
      <x:c r="S425" s="12" t="n">
        <x:v>4</x:v>
      </x:c>
      <x:c r="T425" s="1" t="str">
        <x:v>No</x:v>
      </x:c>
      <x:c r="U425" s="1" t="n">
        <x:v>0</x:v>
      </x:c>
    </x:row>
    <x:row r="426" ht="23" customHeight="1">
      <x:c r="A426" s="9" t="n">
        <x:v>425</x:v>
      </x:c>
      <x:c r="B426" s="9" t="n">
        <x:v>263</x:v>
      </x:c>
      <x:c r="C426" s="9" t="n">
        <x:v>974</x:v>
      </x:c>
      <x:c r="D426" s="9" t="n">
        <x:v>1</x:v>
      </x:c>
      <x:c r="E426" s="9" t="n">
        <x:v>71371.99999999255</x:v>
      </x:c>
      <x:c r="F426" s="9" t="n">
        <x:v>785.0000000074506</x:v>
      </x:c>
      <x:c r="G426" s="9" t="n">
        <x:v>51849</x:v>
      </x:c>
      <x:c r="H426" s="9" t="n">
        <x:v>18154.99999999255</x:v>
      </x:c>
      <x:c r="I426" s="9" t="n">
        <x:v>477</x:v>
      </x:c>
      <x:c r="J426" s="9" t="n">
        <x:v>105.99999999254942</x:v>
      </x:c>
      <x:c r="K426" s="9" t="n">
        <x:f>F426+G426+I426+J426</x:f>
        <x:v>53217</x:v>
      </x:c>
      <x:c r="L426" s="10" t="n">
        <x:f>K426/Sources!$B$4*1000</x:f>
        <x:v>14.866973316441056</x:v>
      </x:c>
      <x:c r="M426" s="10" t="n">
        <x:f>E426/Sources!$B$4*1000</x:f>
        <x:v>19.93884697635944</x:v>
      </x:c>
      <x:c r="N426" s="9" t="n">
        <x:f>Sources!$B$6-K426</x:f>
        <x:v>6519</x:v>
      </x:c>
      <x:c r="O426" s="1" t="str">
        <x:v>vertical_shift_down</x:v>
      </x:c>
      <x:c r="P426" s="12" t="n">
        <x:v>0</x:v>
      </x:c>
      <x:c r="Q426" s="12" t="n">
        <x:v>2</x:v>
      </x:c>
      <x:c r="R426" s="12" t="n">
        <x:v>7</x:v>
      </x:c>
      <x:c r="S426" s="12" t="n">
        <x:v>6</x:v>
      </x:c>
      <x:c r="T426" s="1" t="str">
        <x:v>No</x:v>
      </x:c>
      <x:c r="U426" s="1" t="n">
        <x:v>0</x:v>
      </x:c>
    </x:row>
    <x:row r="427" ht="23" customHeight="1">
      <x:c r="A427" s="9" t="n">
        <x:v>426</x:v>
      </x:c>
      <x:c r="B427" s="9" t="n">
        <x:v>263</x:v>
      </x:c>
      <x:c r="C427" s="9" t="n">
        <x:v>976</x:v>
      </x:c>
      <x:c r="D427" s="9" t="n">
        <x:v>1</x:v>
      </x:c>
      <x:c r="E427" s="9" t="n">
        <x:v>71357</x:v>
      </x:c>
      <x:c r="F427" s="9" t="n">
        <x:v>785</x:v>
      </x:c>
      <x:c r="G427" s="9" t="n">
        <x:v>64422.00000000745</x:v>
      </x:c>
      <x:c r="H427" s="9" t="n">
        <x:v>5575</x:v>
      </x:c>
      <x:c r="I427" s="9" t="n">
        <x:v>469</x:v>
      </x:c>
      <x:c r="J427" s="9" t="n">
        <x:v>105.99999999254942</x:v>
      </x:c>
      <x:c r="K427" s="9" t="n">
        <x:f>F427+G427+I427+J427</x:f>
        <x:v>65782</x:v>
      </x:c>
      <x:c r="L427" s="10" t="n">
        <x:f>K427/Sources!$B$4*1000</x:f>
        <x:v>18.37719598440584</x:v>
      </x:c>
      <x:c r="M427" s="10" t="n">
        <x:f>E427/Sources!$B$4*1000</x:f>
        <x:v>19.93465649963892</x:v>
      </x:c>
      <x:c r="N427" s="9" t="n">
        <x:f>Sources!$B$6-K427</x:f>
        <x:v>-6046</x:v>
      </x:c>
      <x:c r="O427" s="1" t="str">
        <x:v>vertical_shift_down</x:v>
      </x:c>
      <x:c r="P427" s="12" t="n">
        <x:v>0</x:v>
      </x:c>
      <x:c r="Q427" s="12" t="n">
        <x:v>2</x:v>
      </x:c>
      <x:c r="R427" s="12" t="n">
        <x:v>7</x:v>
      </x:c>
      <x:c r="S427" s="12" t="n">
        <x:v>0</x:v>
      </x:c>
      <x:c r="T427" s="1" t="str">
        <x:v>Yes</x:v>
      </x:c>
      <x:c r="U427" s="1" t="n">
        <x:v>1</x:v>
      </x:c>
    </x:row>
    <x:row r="428" ht="23" customHeight="1">
      <x:c r="A428" s="9" t="n">
        <x:v>427</x:v>
      </x:c>
      <x:c r="B428" s="9" t="n">
        <x:v>263</x:v>
      </x:c>
      <x:c r="C428" s="9" t="n">
        <x:v>978</x:v>
      </x:c>
      <x:c r="D428" s="9" t="n">
        <x:v>1</x:v>
      </x:c>
      <x:c r="E428" s="9" t="n">
        <x:v>71373.00000000745</x:v>
      </x:c>
      <x:c r="F428" s="9" t="n">
        <x:v>784.9999999925494</x:v>
      </x:c>
      <x:c r="G428" s="9" t="n">
        <x:v>51130</x:v>
      </x:c>
      <x:c r="H428" s="9" t="n">
        <x:v>18875</x:v>
      </x:c>
      <x:c r="I428" s="9" t="n">
        <x:v>477.00000001490116</x:v>
      </x:c>
      <x:c r="J428" s="9" t="n">
        <x:v>106</x:v>
      </x:c>
      <x:c r="K428" s="9" t="n">
        <x:f>F428+G428+I428+J428</x:f>
        <x:v>52498.00000000745</x:v>
      </x:c>
      <x:c r="L428" s="10" t="n">
        <x:f>K428/Sources!$B$4*1000</x:f>
        <x:v>14.666109798873167</x:v>
      </x:c>
      <x:c r="M428" s="10" t="n">
        <x:f>E428/Sources!$B$4*1000</x:f>
        <x:v>19.939126341478442</x:v>
      </x:c>
      <x:c r="N428" s="9" t="n">
        <x:f>Sources!$B$6-K428</x:f>
        <x:v>7237.999999992549</x:v>
      </x:c>
      <x:c r="O428" s="1" t="str">
        <x:v>vertical_shift_down</x:v>
      </x:c>
      <x:c r="P428" s="12" t="n">
        <x:v>0</x:v>
      </x:c>
      <x:c r="Q428" s="12" t="n">
        <x:v>2</x:v>
      </x:c>
      <x:c r="R428" s="12" t="n">
        <x:v>7</x:v>
      </x:c>
      <x:c r="S428" s="12" t="n">
        <x:v>2</x:v>
      </x:c>
      <x:c r="T428" s="1" t="str">
        <x:v>No</x:v>
      </x:c>
      <x:c r="U428" s="1" t="n">
        <x:v>1</x:v>
      </x:c>
    </x:row>
    <x:row r="429" ht="23" customHeight="1">
      <x:c r="A429" s="9" t="n">
        <x:v>428</x:v>
      </x:c>
      <x:c r="B429" s="9" t="n">
        <x:v>263</x:v>
      </x:c>
      <x:c r="C429" s="9" t="n">
        <x:v>980</x:v>
      </x:c>
      <x:c r="D429" s="9" t="n">
        <x:v>1</x:v>
      </x:c>
      <x:c r="E429" s="9" t="n">
        <x:v>71356</x:v>
      </x:c>
      <x:c r="F429" s="9" t="n">
        <x:v>784.9999999925494</x:v>
      </x:c>
      <x:c r="G429" s="9" t="n">
        <x:v>47275.99999999255</x:v>
      </x:c>
      <x:c r="H429" s="9" t="n">
        <x:v>22720</x:v>
      </x:c>
      <x:c r="I429" s="9" t="n">
        <x:v>469</x:v>
      </x:c>
      <x:c r="J429" s="9" t="n">
        <x:v>106.00000001490116</x:v>
      </x:c>
      <x:c r="K429" s="9" t="n">
        <x:f>F429+G429+I429+J429</x:f>
        <x:v>48636</x:v>
      </x:c>
      <x:c r="L429" s="10" t="n">
        <x:f>K429/Sources!$B$4*1000</x:f>
        <x:v>13.587201725358948</x:v>
      </x:c>
      <x:c r="M429" s="10" t="n">
        <x:f>E429/Sources!$B$4*1000</x:f>
        <x:v>19.93437713452408</x:v>
      </x:c>
      <x:c r="N429" s="9" t="n">
        <x:f>Sources!$B$6-K429</x:f>
        <x:v>11100</x:v>
      </x:c>
      <x:c r="O429" s="1" t="str">
        <x:v>vertical_shift_down</x:v>
      </x:c>
      <x:c r="P429" s="12" t="n">
        <x:v>0</x:v>
      </x:c>
      <x:c r="Q429" s="12" t="n">
        <x:v>2</x:v>
      </x:c>
      <x:c r="R429" s="12" t="n">
        <x:v>7</x:v>
      </x:c>
      <x:c r="S429" s="12" t="n">
        <x:v>4</x:v>
      </x:c>
      <x:c r="T429" s="1" t="str">
        <x:v>No</x:v>
      </x:c>
      <x:c r="U429" s="1" t="n">
        <x:v>0</x:v>
      </x:c>
    </x:row>
    <x:row r="430" ht="23" customHeight="1">
      <x:c r="A430" s="9" t="n">
        <x:v>429</x:v>
      </x:c>
      <x:c r="B430" s="9" t="n">
        <x:v>263</x:v>
      </x:c>
      <x:c r="C430" s="9" t="n">
        <x:v>982</x:v>
      </x:c>
      <x:c r="D430" s="9" t="n">
        <x:v>1</x:v>
      </x:c>
      <x:c r="E430" s="9" t="n">
        <x:v>71371.99999999255</x:v>
      </x:c>
      <x:c r="F430" s="9" t="n">
        <x:v>785.0000000074506</x:v>
      </x:c>
      <x:c r="G430" s="9" t="n">
        <x:v>51849</x:v>
      </x:c>
      <x:c r="H430" s="9" t="n">
        <x:v>18155</x:v>
      </x:c>
      <x:c r="I430" s="9" t="n">
        <x:v>477</x:v>
      </x:c>
      <x:c r="J430" s="9" t="n">
        <x:v>105.99999998509884</x:v>
      </x:c>
      <x:c r="K430" s="9" t="n">
        <x:f>F430+G430+I430+J430</x:f>
        <x:v>53216.99999999255</x:v>
      </x:c>
      <x:c r="L430" s="10" t="n">
        <x:f>K430/Sources!$B$4*1000</x:f>
        <x:v>14.866973316438974</x:v>
      </x:c>
      <x:c r="M430" s="10" t="n">
        <x:f>E430/Sources!$B$4*1000</x:f>
        <x:v>19.93884697635944</x:v>
      </x:c>
      <x:c r="N430" s="9" t="n">
        <x:f>Sources!$B$6-K430</x:f>
        <x:v>6519.000000007451</x:v>
      </x:c>
      <x:c r="O430" s="1" t="str">
        <x:v>vertical_shift_down</x:v>
      </x:c>
      <x:c r="P430" s="12" t="n">
        <x:v>0</x:v>
      </x:c>
      <x:c r="Q430" s="12" t="n">
        <x:v>2</x:v>
      </x:c>
      <x:c r="R430" s="12" t="n">
        <x:v>7</x:v>
      </x:c>
      <x:c r="S430" s="12" t="n">
        <x:v>6</x:v>
      </x:c>
      <x:c r="T430" s="1" t="str">
        <x:v>No</x:v>
      </x:c>
      <x:c r="U430" s="1" t="n">
        <x:v>0</x:v>
      </x:c>
    </x:row>
    <x:row r="431" ht="23" customHeight="1">
      <x:c r="A431" s="9" t="n">
        <x:v>430</x:v>
      </x:c>
      <x:c r="B431" s="9" t="n">
        <x:v>263</x:v>
      </x:c>
      <x:c r="C431" s="9" t="n">
        <x:v>984</x:v>
      </x:c>
      <x:c r="D431" s="9" t="n">
        <x:v>1</x:v>
      </x:c>
      <x:c r="E431" s="9" t="n">
        <x:v>71357</x:v>
      </x:c>
      <x:c r="F431" s="9" t="n">
        <x:v>785</x:v>
      </x:c>
      <x:c r="G431" s="9" t="n">
        <x:v>64422.00000000745</x:v>
      </x:c>
      <x:c r="H431" s="9" t="n">
        <x:v>5575</x:v>
      </x:c>
      <x:c r="I431" s="9" t="n">
        <x:v>469</x:v>
      </x:c>
      <x:c r="J431" s="9" t="n">
        <x:v>105.99999999254942</x:v>
      </x:c>
      <x:c r="K431" s="9" t="n">
        <x:f>F431+G431+I431+J431</x:f>
        <x:v>65782</x:v>
      </x:c>
      <x:c r="L431" s="10" t="n">
        <x:f>K431/Sources!$B$4*1000</x:f>
        <x:v>18.37719598440584</x:v>
      </x:c>
      <x:c r="M431" s="10" t="n">
        <x:f>E431/Sources!$B$4*1000</x:f>
        <x:v>19.93465649963892</x:v>
      </x:c>
      <x:c r="N431" s="9" t="n">
        <x:f>Sources!$B$6-K431</x:f>
        <x:v>-6046</x:v>
      </x:c>
      <x:c r="O431" s="1" t="str">
        <x:v>vertical_shift_down</x:v>
      </x:c>
      <x:c r="P431" s="12" t="n">
        <x:v>0</x:v>
      </x:c>
      <x:c r="Q431" s="12" t="n">
        <x:v>2</x:v>
      </x:c>
      <x:c r="R431" s="12" t="n">
        <x:v>7</x:v>
      </x:c>
      <x:c r="S431" s="12" t="n">
        <x:v>0</x:v>
      </x:c>
      <x:c r="T431" s="1" t="str">
        <x:v>Yes</x:v>
      </x:c>
      <x:c r="U431" s="1" t="n">
        <x:v>1</x:v>
      </x:c>
    </x:row>
    <x:row r="432" ht="23" customHeight="1">
      <x:c r="A432" s="9" t="n">
        <x:v>431</x:v>
      </x:c>
      <x:c r="B432" s="9" t="n">
        <x:v>263</x:v>
      </x:c>
      <x:c r="C432" s="9" t="n">
        <x:v>986</x:v>
      </x:c>
      <x:c r="D432" s="9" t="n">
        <x:v>1</x:v>
      </x:c>
      <x:c r="E432" s="9" t="n">
        <x:v>71368.00000000745</x:v>
      </x:c>
      <x:c r="F432" s="9" t="n">
        <x:v>784.9999999925494</x:v>
      </x:c>
      <x:c r="G432" s="9" t="n">
        <x:v>51130</x:v>
      </x:c>
      <x:c r="H432" s="9" t="n">
        <x:v>18870</x:v>
      </x:c>
      <x:c r="I432" s="9" t="n">
        <x:v>477.00000001490116</x:v>
      </x:c>
      <x:c r="J432" s="9" t="n">
        <x:v>106</x:v>
      </x:c>
      <x:c r="K432" s="9" t="n">
        <x:f>F432+G432+I432+J432</x:f>
        <x:v>52498.00000000745</x:v>
      </x:c>
      <x:c r="L432" s="10" t="n">
        <x:f>K432/Sources!$B$4*1000</x:f>
        <x:v>14.666109798873167</x:v>
      </x:c>
      <x:c r="M432" s="10" t="n">
        <x:f>E432/Sources!$B$4*1000</x:f>
        <x:v>19.93772951590424</x:v>
      </x:c>
      <x:c r="N432" s="9" t="n">
        <x:f>Sources!$B$6-K432</x:f>
        <x:v>7237.999999992549</x:v>
      </x:c>
      <x:c r="O432" s="1" t="str">
        <x:v>vertical_shift_down</x:v>
      </x:c>
      <x:c r="P432" s="12" t="n">
        <x:v>0</x:v>
      </x:c>
      <x:c r="Q432" s="12" t="n">
        <x:v>2</x:v>
      </x:c>
      <x:c r="R432" s="12" t="n">
        <x:v>7</x:v>
      </x:c>
      <x:c r="S432" s="12" t="n">
        <x:v>2</x:v>
      </x:c>
      <x:c r="T432" s="1" t="str">
        <x:v>No</x:v>
      </x:c>
      <x:c r="U432" s="1" t="n">
        <x:v>1</x:v>
      </x:c>
    </x:row>
    <x:row r="433" ht="23" customHeight="1">
      <x:c r="A433" s="9" t="n">
        <x:v>432</x:v>
      </x:c>
      <x:c r="B433" s="9" t="n">
        <x:v>263</x:v>
      </x:c>
      <x:c r="C433" s="9" t="n">
        <x:v>988</x:v>
      </x:c>
      <x:c r="D433" s="9" t="n">
        <x:v>1</x:v>
      </x:c>
      <x:c r="E433" s="9" t="n">
        <x:v>71356</x:v>
      </x:c>
      <x:c r="F433" s="9" t="n">
        <x:v>784.9999999925494</x:v>
      </x:c>
      <x:c r="G433" s="9" t="n">
        <x:v>47275.99999999255</x:v>
      </x:c>
      <x:c r="H433" s="9" t="n">
        <x:v>22720</x:v>
      </x:c>
      <x:c r="I433" s="9" t="n">
        <x:v>469</x:v>
      </x:c>
      <x:c r="J433" s="9" t="n">
        <x:v>106.00000001490116</x:v>
      </x:c>
      <x:c r="K433" s="9" t="n">
        <x:f>F433+G433+I433+J433</x:f>
        <x:v>48636</x:v>
      </x:c>
      <x:c r="L433" s="10" t="n">
        <x:f>K433/Sources!$B$4*1000</x:f>
        <x:v>13.587201725358948</x:v>
      </x:c>
      <x:c r="M433" s="10" t="n">
        <x:f>E433/Sources!$B$4*1000</x:f>
        <x:v>19.93437713452408</x:v>
      </x:c>
      <x:c r="N433" s="9" t="n">
        <x:f>Sources!$B$6-K433</x:f>
        <x:v>11100</x:v>
      </x:c>
      <x:c r="O433" s="1" t="str">
        <x:v>vertical_shift_down</x:v>
      </x:c>
      <x:c r="P433" s="12" t="n">
        <x:v>0</x:v>
      </x:c>
      <x:c r="Q433" s="12" t="n">
        <x:v>2</x:v>
      </x:c>
      <x:c r="R433" s="12" t="n">
        <x:v>7</x:v>
      </x:c>
      <x:c r="S433" s="12" t="n">
        <x:v>4</x:v>
      </x:c>
      <x:c r="T433" s="1" t="str">
        <x:v>No</x:v>
      </x:c>
      <x:c r="U433" s="1" t="n">
        <x:v>0</x:v>
      </x:c>
    </x:row>
    <x:row r="434" ht="23" customHeight="1">
      <x:c r="A434" s="9" t="n">
        <x:v>433</x:v>
      </x:c>
      <x:c r="B434" s="9" t="n">
        <x:v>263</x:v>
      </x:c>
      <x:c r="C434" s="9" t="n">
        <x:v>990</x:v>
      </x:c>
      <x:c r="D434" s="9" t="n">
        <x:v>1</x:v>
      </x:c>
      <x:c r="E434" s="9" t="n">
        <x:v>71371.99999999255</x:v>
      </x:c>
      <x:c r="F434" s="9" t="n">
        <x:v>785.0000000074506</x:v>
      </x:c>
      <x:c r="G434" s="9" t="n">
        <x:v>51849</x:v>
      </x:c>
      <x:c r="H434" s="9" t="n">
        <x:v>18155</x:v>
      </x:c>
      <x:c r="I434" s="9" t="n">
        <x:v>477</x:v>
      </x:c>
      <x:c r="J434" s="9" t="n">
        <x:v>105.99999998509884</x:v>
      </x:c>
      <x:c r="K434" s="9" t="n">
        <x:f>F434+G434+I434+J434</x:f>
        <x:v>53216.99999999255</x:v>
      </x:c>
      <x:c r="L434" s="10" t="n">
        <x:f>K434/Sources!$B$4*1000</x:f>
        <x:v>14.866973316438974</x:v>
      </x:c>
      <x:c r="M434" s="10" t="n">
        <x:f>E434/Sources!$B$4*1000</x:f>
        <x:v>19.93884697635944</x:v>
      </x:c>
      <x:c r="N434" s="9" t="n">
        <x:f>Sources!$B$6-K434</x:f>
        <x:v>6519.000000007451</x:v>
      </x:c>
      <x:c r="O434" s="1" t="str">
        <x:v>vertical_shift_down</x:v>
      </x:c>
      <x:c r="P434" s="12" t="n">
        <x:v>0</x:v>
      </x:c>
      <x:c r="Q434" s="12" t="n">
        <x:v>2</x:v>
      </x:c>
      <x:c r="R434" s="12" t="n">
        <x:v>7</x:v>
      </x:c>
      <x:c r="S434" s="12" t="n">
        <x:v>6</x:v>
      </x:c>
      <x:c r="T434" s="1" t="str">
        <x:v>No</x:v>
      </x:c>
      <x:c r="U434" s="1" t="n">
        <x:v>0</x:v>
      </x:c>
    </x:row>
    <x:row r="435" ht="23" customHeight="1">
      <x:c r="A435" s="9" t="n">
        <x:v>434</x:v>
      </x:c>
      <x:c r="B435" s="9" t="n">
        <x:v>263</x:v>
      </x:c>
      <x:c r="C435" s="9" t="n">
        <x:v>992</x:v>
      </x:c>
      <x:c r="D435" s="9" t="n">
        <x:v>1</x:v>
      </x:c>
      <x:c r="E435" s="9" t="n">
        <x:v>71357</x:v>
      </x:c>
      <x:c r="F435" s="9" t="n">
        <x:v>785</x:v>
      </x:c>
      <x:c r="G435" s="9" t="n">
        <x:v>64422.00000000745</x:v>
      </x:c>
      <x:c r="H435" s="9" t="n">
        <x:v>5575</x:v>
      </x:c>
      <x:c r="I435" s="9" t="n">
        <x:v>469</x:v>
      </x:c>
      <x:c r="J435" s="9" t="n">
        <x:v>105.99999999254942</x:v>
      </x:c>
      <x:c r="K435" s="9" t="n">
        <x:f>F435+G435+I435+J435</x:f>
        <x:v>65782</x:v>
      </x:c>
      <x:c r="L435" s="10" t="n">
        <x:f>K435/Sources!$B$4*1000</x:f>
        <x:v>18.37719598440584</x:v>
      </x:c>
      <x:c r="M435" s="10" t="n">
        <x:f>E435/Sources!$B$4*1000</x:f>
        <x:v>19.93465649963892</x:v>
      </x:c>
      <x:c r="N435" s="9" t="n">
        <x:f>Sources!$B$6-K435</x:f>
        <x:v>-6046</x:v>
      </x:c>
      <x:c r="O435" s="1" t="str">
        <x:v>vertical_shift_down</x:v>
      </x:c>
      <x:c r="P435" s="12" t="n">
        <x:v>0</x:v>
      </x:c>
      <x:c r="Q435" s="12" t="n">
        <x:v>2</x:v>
      </x:c>
      <x:c r="R435" s="12" t="n">
        <x:v>7</x:v>
      </x:c>
      <x:c r="S435" s="12" t="n">
        <x:v>0</x:v>
      </x:c>
      <x:c r="T435" s="1" t="str">
        <x:v>Yes</x:v>
      </x:c>
      <x:c r="U435" s="1" t="n">
        <x:v>1</x:v>
      </x:c>
    </x:row>
    <x:row r="436" ht="23" customHeight="1">
      <x:c r="A436" s="9" t="n">
        <x:v>435</x:v>
      </x:c>
      <x:c r="B436" s="9" t="n">
        <x:v>263</x:v>
      </x:c>
      <x:c r="C436" s="9" t="n">
        <x:v>994</x:v>
      </x:c>
      <x:c r="D436" s="9" t="n">
        <x:v>1</x:v>
      </x:c>
      <x:c r="E436" s="9" t="n">
        <x:v>71373.00000000745</x:v>
      </x:c>
      <x:c r="F436" s="9" t="n">
        <x:v>784.9999999925494</x:v>
      </x:c>
      <x:c r="G436" s="9" t="n">
        <x:v>51130</x:v>
      </x:c>
      <x:c r="H436" s="9" t="n">
        <x:v>18875</x:v>
      </x:c>
      <x:c r="I436" s="9" t="n">
        <x:v>477</x:v>
      </x:c>
      <x:c r="J436" s="9" t="n">
        <x:v>106.00000001490116</x:v>
      </x:c>
      <x:c r="K436" s="9" t="n">
        <x:f>F436+G436+I436+J436</x:f>
        <x:v>52498.00000000745</x:v>
      </x:c>
      <x:c r="L436" s="10" t="n">
        <x:f>K436/Sources!$B$4*1000</x:f>
        <x:v>14.666109798873167</x:v>
      </x:c>
      <x:c r="M436" s="10" t="n">
        <x:f>E436/Sources!$B$4*1000</x:f>
        <x:v>19.939126341478442</x:v>
      </x:c>
      <x:c r="N436" s="9" t="n">
        <x:f>Sources!$B$6-K436</x:f>
        <x:v>7237.999999992549</x:v>
      </x:c>
      <x:c r="O436" s="1" t="str">
        <x:v>vertical_shift_down</x:v>
      </x:c>
      <x:c r="P436" s="12" t="n">
        <x:v>0</x:v>
      </x:c>
      <x:c r="Q436" s="12" t="n">
        <x:v>2</x:v>
      </x:c>
      <x:c r="R436" s="12" t="n">
        <x:v>7</x:v>
      </x:c>
      <x:c r="S436" s="12" t="n">
        <x:v>2</x:v>
      </x:c>
      <x:c r="T436" s="1" t="str">
        <x:v>No</x:v>
      </x:c>
      <x:c r="U436" s="1" t="n">
        <x:v>1</x:v>
      </x:c>
    </x:row>
    <x:row r="437" ht="23" customHeight="1">
      <x:c r="A437" s="9" t="n">
        <x:v>436</x:v>
      </x:c>
      <x:c r="B437" s="9" t="n">
        <x:v>263</x:v>
      </x:c>
      <x:c r="C437" s="9" t="n">
        <x:v>996</x:v>
      </x:c>
      <x:c r="D437" s="9" t="n">
        <x:v>1</x:v>
      </x:c>
      <x:c r="E437" s="9" t="n">
        <x:v>71356</x:v>
      </x:c>
      <x:c r="F437" s="9" t="n">
        <x:v>784.9999999925494</x:v>
      </x:c>
      <x:c r="G437" s="9" t="n">
        <x:v>47275.99999999255</x:v>
      </x:c>
      <x:c r="H437" s="9" t="n">
        <x:v>22720</x:v>
      </x:c>
      <x:c r="I437" s="9" t="n">
        <x:v>469.0000000074506</x:v>
      </x:c>
      <x:c r="J437" s="9" t="n">
        <x:v>106.00000000745058</x:v>
      </x:c>
      <x:c r="K437" s="9" t="n">
        <x:f>F437+G437+I437+J437</x:f>
        <x:v>48636</x:v>
      </x:c>
      <x:c r="L437" s="10" t="n">
        <x:f>K437/Sources!$B$4*1000</x:f>
        <x:v>13.587201725358948</x:v>
      </x:c>
      <x:c r="M437" s="10" t="n">
        <x:f>E437/Sources!$B$4*1000</x:f>
        <x:v>19.93437713452408</x:v>
      </x:c>
      <x:c r="N437" s="9" t="n">
        <x:f>Sources!$B$6-K437</x:f>
        <x:v>11100</x:v>
      </x:c>
      <x:c r="O437" s="1" t="str">
        <x:v>vertical_shift_down</x:v>
      </x:c>
      <x:c r="P437" s="12" t="n">
        <x:v>0</x:v>
      </x:c>
      <x:c r="Q437" s="12" t="n">
        <x:v>2</x:v>
      </x:c>
      <x:c r="R437" s="12" t="n">
        <x:v>7</x:v>
      </x:c>
      <x:c r="S437" s="12" t="n">
        <x:v>4</x:v>
      </x:c>
      <x:c r="T437" s="1" t="str">
        <x:v>No</x:v>
      </x:c>
      <x:c r="U437" s="1" t="n">
        <x:v>0</x:v>
      </x:c>
    </x:row>
    <x:row r="438" ht="23" customHeight="1">
      <x:c r="A438" s="9" t="n">
        <x:v>437</x:v>
      </x:c>
      <x:c r="B438" s="9" t="n">
        <x:v>263</x:v>
      </x:c>
      <x:c r="C438" s="9" t="n">
        <x:v>998</x:v>
      </x:c>
      <x:c r="D438" s="9" t="n">
        <x:v>1</x:v>
      </x:c>
      <x:c r="E438" s="9" t="n">
        <x:v>71371.99999999255</x:v>
      </x:c>
      <x:c r="F438" s="9" t="n">
        <x:v>785.0000000074506</x:v>
      </x:c>
      <x:c r="G438" s="9" t="n">
        <x:v>51849.00000000745</x:v>
      </x:c>
      <x:c r="H438" s="9" t="n">
        <x:v>18155</x:v>
      </x:c>
      <x:c r="I438" s="9" t="n">
        <x:v>477</x:v>
      </x:c>
      <x:c r="J438" s="9" t="n">
        <x:v>105.99999997764826</x:v>
      </x:c>
      <x:c r="K438" s="9" t="n">
        <x:f>F438+G438+I438+J438</x:f>
        <x:v>53216.99999999255</x:v>
      </x:c>
      <x:c r="L438" s="10" t="n">
        <x:f>K438/Sources!$B$4*1000</x:f>
        <x:v>14.866973316438974</x:v>
      </x:c>
      <x:c r="M438" s="10" t="n">
        <x:f>E438/Sources!$B$4*1000</x:f>
        <x:v>19.93884697635944</x:v>
      </x:c>
      <x:c r="N438" s="9" t="n">
        <x:f>Sources!$B$6-K438</x:f>
        <x:v>6519.000000007451</x:v>
      </x:c>
      <x:c r="O438" s="1" t="str">
        <x:v>vertical_shift_down</x:v>
      </x:c>
      <x:c r="P438" s="12" t="n">
        <x:v>0</x:v>
      </x:c>
      <x:c r="Q438" s="12" t="n">
        <x:v>2</x:v>
      </x:c>
      <x:c r="R438" s="12" t="n">
        <x:v>7</x:v>
      </x:c>
      <x:c r="S438" s="12" t="n">
        <x:v>6</x:v>
      </x:c>
      <x:c r="T438" s="1" t="str">
        <x:v>No</x:v>
      </x:c>
      <x:c r="U438" s="1" t="n">
        <x:v>0</x:v>
      </x:c>
    </x:row>
    <x:row r="439" ht="23" customHeight="1">
      <x:c r="A439" s="9" t="n">
        <x:v>438</x:v>
      </x:c>
      <x:c r="B439" s="9" t="n">
        <x:v>263</x:v>
      </x:c>
      <x:c r="C439" s="9" t="n">
        <x:v>1000</x:v>
      </x:c>
      <x:c r="D439" s="9" t="n">
        <x:v>1</x:v>
      </x:c>
      <x:c r="E439" s="9" t="n">
        <x:v>71357</x:v>
      </x:c>
      <x:c r="F439" s="9" t="n">
        <x:v>785</x:v>
      </x:c>
      <x:c r="G439" s="9" t="n">
        <x:v>64422</x:v>
      </x:c>
      <x:c r="H439" s="9" t="n">
        <x:v>5575</x:v>
      </x:c>
      <x:c r="I439" s="9" t="n">
        <x:v>469</x:v>
      </x:c>
      <x:c r="J439" s="9" t="n">
        <x:v>106</x:v>
      </x:c>
      <x:c r="K439" s="9" t="n">
        <x:f>F439+G439+I439+J439</x:f>
        <x:v>65782</x:v>
      </x:c>
      <x:c r="L439" s="10" t="n">
        <x:f>K439/Sources!$B$4*1000</x:f>
        <x:v>18.37719598440584</x:v>
      </x:c>
      <x:c r="M439" s="10" t="n">
        <x:f>E439/Sources!$B$4*1000</x:f>
        <x:v>19.93465649963892</x:v>
      </x:c>
      <x:c r="N439" s="9" t="n">
        <x:f>Sources!$B$6-K439</x:f>
        <x:v>-6046</x:v>
      </x:c>
      <x:c r="O439" s="1" t="str">
        <x:v>vertical_shift_down</x:v>
      </x:c>
      <x:c r="P439" s="12" t="n">
        <x:v>0</x:v>
      </x:c>
      <x:c r="Q439" s="12" t="n">
        <x:v>2</x:v>
      </x:c>
      <x:c r="R439" s="12" t="n">
        <x:v>7</x:v>
      </x:c>
      <x:c r="S439" s="12" t="n">
        <x:v>0</x:v>
      </x:c>
      <x:c r="T439" s="1" t="str">
        <x:v>Yes</x:v>
      </x:c>
      <x:c r="U439" s="1" t="n">
        <x:v>1</x:v>
      </x:c>
    </x:row>
    <x:row r="440" ht="23" customHeight="1">
      <x:c r="A440" s="9" t="n">
        <x:v>439</x:v>
      </x:c>
      <x:c r="B440" s="9" t="n">
        <x:v>263</x:v>
      </x:c>
      <x:c r="C440" s="9" t="n">
        <x:v>1002</x:v>
      </x:c>
      <x:c r="D440" s="9" t="n">
        <x:v>1</x:v>
      </x:c>
      <x:c r="E440" s="9" t="n">
        <x:v>71373.00000000745</x:v>
      </x:c>
      <x:c r="F440" s="9" t="n">
        <x:v>784.9999999925494</x:v>
      </x:c>
      <x:c r="G440" s="9" t="n">
        <x:v>51130</x:v>
      </x:c>
      <x:c r="H440" s="9" t="n">
        <x:v>18875</x:v>
      </x:c>
      <x:c r="I440" s="9" t="n">
        <x:v>477</x:v>
      </x:c>
      <x:c r="J440" s="9" t="n">
        <x:v>106.00000001490116</x:v>
      </x:c>
      <x:c r="K440" s="9" t="n">
        <x:f>F440+G440+I440+J440</x:f>
        <x:v>52498.00000000745</x:v>
      </x:c>
      <x:c r="L440" s="10" t="n">
        <x:f>K440/Sources!$B$4*1000</x:f>
        <x:v>14.666109798873167</x:v>
      </x:c>
      <x:c r="M440" s="10" t="n">
        <x:f>E440/Sources!$B$4*1000</x:f>
        <x:v>19.939126341478442</x:v>
      </x:c>
      <x:c r="N440" s="9" t="n">
        <x:f>Sources!$B$6-K440</x:f>
        <x:v>7237.999999992549</x:v>
      </x:c>
      <x:c r="O440" s="1" t="str">
        <x:v>vertical_shift_down</x:v>
      </x:c>
      <x:c r="P440" s="12" t="n">
        <x:v>0</x:v>
      </x:c>
      <x:c r="Q440" s="12" t="n">
        <x:v>2</x:v>
      </x:c>
      <x:c r="R440" s="12" t="n">
        <x:v>7</x:v>
      </x:c>
      <x:c r="S440" s="12" t="n">
        <x:v>2</x:v>
      </x:c>
      <x:c r="T440" s="1" t="str">
        <x:v>No</x:v>
      </x:c>
      <x:c r="U440" s="1" t="n">
        <x:v>1</x:v>
      </x:c>
    </x:row>
    <x:row r="441" ht="23" customHeight="1">
      <x:c r="A441" s="9" t="n">
        <x:v>440</x:v>
      </x:c>
      <x:c r="B441" s="9" t="n">
        <x:v>263</x:v>
      </x:c>
      <x:c r="C441" s="9" t="n">
        <x:v>1004</x:v>
      </x:c>
      <x:c r="D441" s="9" t="n">
        <x:v>1</x:v>
      </x:c>
      <x:c r="E441" s="9" t="n">
        <x:v>71356</x:v>
      </x:c>
      <x:c r="F441" s="9" t="n">
        <x:v>784.9999999850988</x:v>
      </x:c>
      <x:c r="G441" s="9" t="n">
        <x:v>47275.99999999255</x:v>
      </x:c>
      <x:c r="H441" s="9" t="n">
        <x:v>22720</x:v>
      </x:c>
      <x:c r="I441" s="9" t="n">
        <x:v>469.0000000074506</x:v>
      </x:c>
      <x:c r="J441" s="9" t="n">
        <x:v>106.00000001490116</x:v>
      </x:c>
      <x:c r="K441" s="9" t="n">
        <x:f>F441+G441+I441+J441</x:f>
        <x:v>48636</x:v>
      </x:c>
      <x:c r="L441" s="10" t="n">
        <x:f>K441/Sources!$B$4*1000</x:f>
        <x:v>13.587201725358948</x:v>
      </x:c>
      <x:c r="M441" s="10" t="n">
        <x:f>E441/Sources!$B$4*1000</x:f>
        <x:v>19.93437713452408</x:v>
      </x:c>
      <x:c r="N441" s="9" t="n">
        <x:f>Sources!$B$6-K441</x:f>
        <x:v>11100</x:v>
      </x:c>
      <x:c r="O441" s="1" t="str">
        <x:v>vertical_shift_down</x:v>
      </x:c>
      <x:c r="P441" s="12" t="n">
        <x:v>0</x:v>
      </x:c>
      <x:c r="Q441" s="12" t="n">
        <x:v>2</x:v>
      </x:c>
      <x:c r="R441" s="12" t="n">
        <x:v>7</x:v>
      </x:c>
      <x:c r="S441" s="12" t="n">
        <x:v>4</x:v>
      </x:c>
      <x:c r="T441" s="1" t="str">
        <x:v>No</x:v>
      </x:c>
      <x:c r="U441" s="1" t="n">
        <x:v>0</x:v>
      </x:c>
    </x:row>
    <x:row r="442" ht="23" customHeight="1">
      <x:c r="A442" s="9" t="n">
        <x:v>441</x:v>
      </x:c>
      <x:c r="B442" s="9" t="n">
        <x:v>263</x:v>
      </x:c>
      <x:c r="C442" s="9" t="n">
        <x:v>1006</x:v>
      </x:c>
      <x:c r="D442" s="9" t="n">
        <x:v>1</x:v>
      </x:c>
      <x:c r="E442" s="9" t="n">
        <x:v>71371.99999999255</x:v>
      </x:c>
      <x:c r="F442" s="9" t="n">
        <x:v>785.0000000074506</x:v>
      </x:c>
      <x:c r="G442" s="9" t="n">
        <x:v>51849.00000000745</x:v>
      </x:c>
      <x:c r="H442" s="9" t="n">
        <x:v>18155</x:v>
      </x:c>
      <x:c r="I442" s="9" t="n">
        <x:v>476.9999999925494</x:v>
      </x:c>
      <x:c r="J442" s="9" t="n">
        <x:v>105.99999998509884</x:v>
      </x:c>
      <x:c r="K442" s="9" t="n">
        <x:f>F442+G442+I442+J442</x:f>
        <x:v>53216.99999999255</x:v>
      </x:c>
      <x:c r="L442" s="10" t="n">
        <x:f>K442/Sources!$B$4*1000</x:f>
        <x:v>14.866973316438974</x:v>
      </x:c>
      <x:c r="M442" s="10" t="n">
        <x:f>E442/Sources!$B$4*1000</x:f>
        <x:v>19.93884697635944</x:v>
      </x:c>
      <x:c r="N442" s="9" t="n">
        <x:f>Sources!$B$6-K442</x:f>
        <x:v>6519.000000007451</x:v>
      </x:c>
      <x:c r="O442" s="1" t="str">
        <x:v>vertical_shift_down</x:v>
      </x:c>
      <x:c r="P442" s="12" t="n">
        <x:v>0</x:v>
      </x:c>
      <x:c r="Q442" s="12" t="n">
        <x:v>2</x:v>
      </x:c>
      <x:c r="R442" s="12" t="n">
        <x:v>7</x:v>
      </x:c>
      <x:c r="S442" s="12" t="n">
        <x:v>6</x:v>
      </x:c>
      <x:c r="T442" s="1" t="str">
        <x:v>No</x:v>
      </x:c>
      <x:c r="U442" s="1" t="n">
        <x:v>0</x:v>
      </x:c>
    </x:row>
    <x:row r="443" ht="23" customHeight="1">
      <x:c r="A443" s="9" t="n">
        <x:v>442</x:v>
      </x:c>
      <x:c r="B443" s="9" t="n">
        <x:v>263</x:v>
      </x:c>
      <x:c r="C443" s="9" t="n">
        <x:v>1008</x:v>
      </x:c>
      <x:c r="D443" s="9" t="n">
        <x:v>1</x:v>
      </x:c>
      <x:c r="E443" s="9" t="n">
        <x:v>71352</x:v>
      </x:c>
      <x:c r="F443" s="9" t="n">
        <x:v>785</x:v>
      </x:c>
      <x:c r="G443" s="9" t="n">
        <x:v>64422</x:v>
      </x:c>
      <x:c r="H443" s="9" t="n">
        <x:v>5570</x:v>
      </x:c>
      <x:c r="I443" s="9" t="n">
        <x:v>469</x:v>
      </x:c>
      <x:c r="J443" s="9" t="n">
        <x:v>106</x:v>
      </x:c>
      <x:c r="K443" s="9" t="n">
        <x:f>F443+G443+I443+J443</x:f>
        <x:v>65782</x:v>
      </x:c>
      <x:c r="L443" s="10" t="n">
        <x:f>K443/Sources!$B$4*1000</x:f>
        <x:v>18.37719598440584</x:v>
      </x:c>
      <x:c r="M443" s="10" t="n">
        <x:f>E443/Sources!$B$4*1000</x:f>
        <x:v>19.93325967406472</x:v>
      </x:c>
      <x:c r="N443" s="9" t="n">
        <x:f>Sources!$B$6-K443</x:f>
        <x:v>-6046</x:v>
      </x:c>
      <x:c r="O443" s="1" t="str">
        <x:v>vertical_shift_down</x:v>
      </x:c>
      <x:c r="P443" s="12" t="n">
        <x:v>0</x:v>
      </x:c>
      <x:c r="Q443" s="12" t="n">
        <x:v>2</x:v>
      </x:c>
      <x:c r="R443" s="12" t="n">
        <x:v>7</x:v>
      </x:c>
      <x:c r="S443" s="12" t="n">
        <x:v>0</x:v>
      </x:c>
      <x:c r="T443" s="1" t="str">
        <x:v>Yes</x:v>
      </x:c>
      <x:c r="U443" s="1" t="n">
        <x:v>1</x:v>
      </x:c>
    </x:row>
    <x:row r="444" ht="23" customHeight="1">
      <x:c r="A444" s="9" t="n">
        <x:v>443</x:v>
      </x:c>
      <x:c r="B444" s="9" t="n">
        <x:v>263</x:v>
      </x:c>
      <x:c r="C444" s="9" t="n">
        <x:v>1010</x:v>
      </x:c>
      <x:c r="D444" s="9" t="n">
        <x:v>1</x:v>
      </x:c>
      <x:c r="E444" s="9" t="n">
        <x:v>71373.00000000745</x:v>
      </x:c>
      <x:c r="F444" s="9" t="n">
        <x:v>784.9999999925494</x:v>
      </x:c>
      <x:c r="G444" s="9" t="n">
        <x:v>51130</x:v>
      </x:c>
      <x:c r="H444" s="9" t="n">
        <x:v>18875</x:v>
      </x:c>
      <x:c r="I444" s="9" t="n">
        <x:v>477</x:v>
      </x:c>
      <x:c r="J444" s="9" t="n">
        <x:v>106.00000001490116</x:v>
      </x:c>
      <x:c r="K444" s="9" t="n">
        <x:f>F444+G444+I444+J444</x:f>
        <x:v>52498.00000000745</x:v>
      </x:c>
      <x:c r="L444" s="10" t="n">
        <x:f>K444/Sources!$B$4*1000</x:f>
        <x:v>14.666109798873167</x:v>
      </x:c>
      <x:c r="M444" s="10" t="n">
        <x:f>E444/Sources!$B$4*1000</x:f>
        <x:v>19.939126341478442</x:v>
      </x:c>
      <x:c r="N444" s="9" t="n">
        <x:f>Sources!$B$6-K444</x:f>
        <x:v>7237.999999992549</x:v>
      </x:c>
      <x:c r="O444" s="1" t="str">
        <x:v>vertical_shift_down</x:v>
      </x:c>
      <x:c r="P444" s="12" t="n">
        <x:v>0</x:v>
      </x:c>
      <x:c r="Q444" s="12" t="n">
        <x:v>2</x:v>
      </x:c>
      <x:c r="R444" s="12" t="n">
        <x:v>7</x:v>
      </x:c>
      <x:c r="S444" s="12" t="n">
        <x:v>2</x:v>
      </x:c>
      <x:c r="T444" s="1" t="str">
        <x:v>No</x:v>
      </x:c>
      <x:c r="U444" s="1" t="n">
        <x:v>1</x:v>
      </x:c>
    </x:row>
    <x:row r="445" ht="23" customHeight="1">
      <x:c r="A445" s="9" t="n">
        <x:v>444</x:v>
      </x:c>
      <x:c r="B445" s="9" t="n">
        <x:v>263</x:v>
      </x:c>
      <x:c r="C445" s="9" t="n">
        <x:v>1012</x:v>
      </x:c>
      <x:c r="D445" s="9" t="n">
        <x:v>1</x:v>
      </x:c>
      <x:c r="E445" s="9" t="n">
        <x:v>71356</x:v>
      </x:c>
      <x:c r="F445" s="9" t="n">
        <x:v>784.9999999850988</x:v>
      </x:c>
      <x:c r="G445" s="9" t="n">
        <x:v>47275.99999999255</x:v>
      </x:c>
      <x:c r="H445" s="9" t="n">
        <x:v>22720</x:v>
      </x:c>
      <x:c r="I445" s="9" t="n">
        <x:v>469.0000000074506</x:v>
      </x:c>
      <x:c r="J445" s="9" t="n">
        <x:v>106.00000001490116</x:v>
      </x:c>
      <x:c r="K445" s="9" t="n">
        <x:f>F445+G445+I445+J445</x:f>
        <x:v>48636</x:v>
      </x:c>
      <x:c r="L445" s="10" t="n">
        <x:f>K445/Sources!$B$4*1000</x:f>
        <x:v>13.587201725358948</x:v>
      </x:c>
      <x:c r="M445" s="10" t="n">
        <x:f>E445/Sources!$B$4*1000</x:f>
        <x:v>19.93437713452408</x:v>
      </x:c>
      <x:c r="N445" s="9" t="n">
        <x:f>Sources!$B$6-K445</x:f>
        <x:v>11100</x:v>
      </x:c>
      <x:c r="O445" s="1" t="str">
        <x:v>vertical_shift_down</x:v>
      </x:c>
      <x:c r="P445" s="12" t="n">
        <x:v>0</x:v>
      </x:c>
      <x:c r="Q445" s="12" t="n">
        <x:v>2</x:v>
      </x:c>
      <x:c r="R445" s="12" t="n">
        <x:v>7</x:v>
      </x:c>
      <x:c r="S445" s="12" t="n">
        <x:v>4</x:v>
      </x:c>
      <x:c r="T445" s="1" t="str">
        <x:v>No</x:v>
      </x:c>
      <x:c r="U445" s="1" t="n">
        <x:v>0</x:v>
      </x:c>
    </x:row>
    <x:row r="446" ht="23" customHeight="1">
      <x:c r="A446" s="9" t="n">
        <x:v>445</x:v>
      </x:c>
      <x:c r="B446" s="9" t="n">
        <x:v>263</x:v>
      </x:c>
      <x:c r="C446" s="9" t="n">
        <x:v>1014</x:v>
      </x:c>
      <x:c r="D446" s="9" t="n">
        <x:v>1</x:v>
      </x:c>
      <x:c r="E446" s="9" t="n">
        <x:v>71371.99999999255</x:v>
      </x:c>
      <x:c r="F446" s="9" t="n">
        <x:v>785.0000000074506</x:v>
      </x:c>
      <x:c r="G446" s="9" t="n">
        <x:v>51849.00000000745</x:v>
      </x:c>
      <x:c r="H446" s="9" t="n">
        <x:v>18155</x:v>
      </x:c>
      <x:c r="I446" s="9" t="n">
        <x:v>476.9999999925494</x:v>
      </x:c>
      <x:c r="J446" s="9" t="n">
        <x:v>105.99999998509884</x:v>
      </x:c>
      <x:c r="K446" s="9" t="n">
        <x:f>F446+G446+I446+J446</x:f>
        <x:v>53216.99999999255</x:v>
      </x:c>
      <x:c r="L446" s="10" t="n">
        <x:f>K446/Sources!$B$4*1000</x:f>
        <x:v>14.866973316438974</x:v>
      </x:c>
      <x:c r="M446" s="10" t="n">
        <x:f>E446/Sources!$B$4*1000</x:f>
        <x:v>19.93884697635944</x:v>
      </x:c>
      <x:c r="N446" s="9" t="n">
        <x:f>Sources!$B$6-K446</x:f>
        <x:v>6519.000000007451</x:v>
      </x:c>
      <x:c r="O446" s="1" t="str">
        <x:v>vertical_shift_down</x:v>
      </x:c>
      <x:c r="P446" s="12" t="n">
        <x:v>0</x:v>
      </x:c>
      <x:c r="Q446" s="12" t="n">
        <x:v>2</x:v>
      </x:c>
      <x:c r="R446" s="12" t="n">
        <x:v>7</x:v>
      </x:c>
      <x:c r="S446" s="12" t="n">
        <x:v>6</x:v>
      </x:c>
      <x:c r="T446" s="1" t="str">
        <x:v>No</x:v>
      </x:c>
      <x:c r="U446" s="1" t="n">
        <x:v>0</x:v>
      </x:c>
    </x:row>
    <x:row r="447" ht="23" customHeight="1">
      <x:c r="A447" s="9" t="n">
        <x:v>446</x:v>
      </x:c>
      <x:c r="B447" s="9" t="n">
        <x:v>263</x:v>
      </x:c>
      <x:c r="C447" s="9" t="n">
        <x:v>1016</x:v>
      </x:c>
      <x:c r="D447" s="9" t="n">
        <x:v>1</x:v>
      </x:c>
      <x:c r="E447" s="9" t="n">
        <x:v>71357</x:v>
      </x:c>
      <x:c r="F447" s="9" t="n">
        <x:v>785</x:v>
      </x:c>
      <x:c r="G447" s="9" t="n">
        <x:v>64422</x:v>
      </x:c>
      <x:c r="H447" s="9" t="n">
        <x:v>5575</x:v>
      </x:c>
      <x:c r="I447" s="9" t="n">
        <x:v>469</x:v>
      </x:c>
      <x:c r="J447" s="9" t="n">
        <x:v>106</x:v>
      </x:c>
      <x:c r="K447" s="9" t="n">
        <x:f>F447+G447+I447+J447</x:f>
        <x:v>65782</x:v>
      </x:c>
      <x:c r="L447" s="10" t="n">
        <x:f>K447/Sources!$B$4*1000</x:f>
        <x:v>18.37719598440584</x:v>
      </x:c>
      <x:c r="M447" s="10" t="n">
        <x:f>E447/Sources!$B$4*1000</x:f>
        <x:v>19.93465649963892</x:v>
      </x:c>
      <x:c r="N447" s="9" t="n">
        <x:f>Sources!$B$6-K447</x:f>
        <x:v>-6046</x:v>
      </x:c>
      <x:c r="O447" s="1" t="str">
        <x:v>vertical_shift_down</x:v>
      </x:c>
      <x:c r="P447" s="12" t="n">
        <x:v>0</x:v>
      </x:c>
      <x:c r="Q447" s="12" t="n">
        <x:v>2</x:v>
      </x:c>
      <x:c r="R447" s="12" t="n">
        <x:v>7</x:v>
      </x:c>
      <x:c r="S447" s="12" t="n">
        <x:v>0</x:v>
      </x:c>
      <x:c r="T447" s="1" t="str">
        <x:v>Yes</x:v>
      </x:c>
      <x:c r="U447" s="1" t="n">
        <x:v>1</x:v>
      </x:c>
    </x:row>
    <x:row r="448" ht="23" customHeight="1">
      <x:c r="A448" s="9" t="n">
        <x:v>447</x:v>
      </x:c>
      <x:c r="B448" s="9" t="n">
        <x:v>263</x:v>
      </x:c>
      <x:c r="C448" s="9" t="n">
        <x:v>1018</x:v>
      </x:c>
      <x:c r="D448" s="9" t="n">
        <x:v>1</x:v>
      </x:c>
      <x:c r="E448" s="9" t="n">
        <x:v>71373.00000000745</x:v>
      </x:c>
      <x:c r="F448" s="9" t="n">
        <x:v>784.9999999925494</x:v>
      </x:c>
      <x:c r="G448" s="9" t="n">
        <x:v>51130.00000000745</x:v>
      </x:c>
      <x:c r="H448" s="9" t="n">
        <x:v>18875</x:v>
      </x:c>
      <x:c r="I448" s="9" t="n">
        <x:v>477</x:v>
      </x:c>
      <x:c r="J448" s="9" t="n">
        <x:v>106.00000000745058</x:v>
      </x:c>
      <x:c r="K448" s="9" t="n">
        <x:f>F448+G448+I448+J448</x:f>
        <x:v>52498.00000000745</x:v>
      </x:c>
      <x:c r="L448" s="10" t="n">
        <x:f>K448/Sources!$B$4*1000</x:f>
        <x:v>14.666109798873167</x:v>
      </x:c>
      <x:c r="M448" s="10" t="n">
        <x:f>E448/Sources!$B$4*1000</x:f>
        <x:v>19.939126341478442</x:v>
      </x:c>
      <x:c r="N448" s="9" t="n">
        <x:f>Sources!$B$6-K448</x:f>
        <x:v>7237.999999992549</x:v>
      </x:c>
      <x:c r="O448" s="1" t="str">
        <x:v>vertical_shift_down</x:v>
      </x:c>
      <x:c r="P448" s="12" t="n">
        <x:v>0</x:v>
      </x:c>
      <x:c r="Q448" s="12" t="n">
        <x:v>2</x:v>
      </x:c>
      <x:c r="R448" s="12" t="n">
        <x:v>7</x:v>
      </x:c>
      <x:c r="S448" s="12" t="n">
        <x:v>2</x:v>
      </x:c>
      <x:c r="T448" s="1" t="str">
        <x:v>No</x:v>
      </x:c>
      <x:c r="U448" s="1" t="n">
        <x:v>1</x:v>
      </x:c>
    </x:row>
    <x:row r="449" ht="23" customHeight="1">
      <x:c r="A449" s="9" t="n">
        <x:v>448</x:v>
      </x:c>
      <x:c r="B449" s="9" t="n">
        <x:v>263</x:v>
      </x:c>
      <x:c r="C449" s="9" t="n">
        <x:v>1020</x:v>
      </x:c>
      <x:c r="D449" s="9" t="n">
        <x:v>1</x:v>
      </x:c>
      <x:c r="E449" s="9" t="n">
        <x:v>71356</x:v>
      </x:c>
      <x:c r="F449" s="9" t="n">
        <x:v>785</x:v>
      </x:c>
      <x:c r="G449" s="9" t="n">
        <x:v>47275.99999999255</x:v>
      </x:c>
      <x:c r="H449" s="9" t="n">
        <x:v>22720</x:v>
      </x:c>
      <x:c r="I449" s="9" t="n">
        <x:v>469.0000000074506</x:v>
      </x:c>
      <x:c r="J449" s="9" t="n">
        <x:v>106</x:v>
      </x:c>
      <x:c r="K449" s="9" t="n">
        <x:f>F449+G449+I449+J449</x:f>
        <x:v>48636</x:v>
      </x:c>
      <x:c r="L449" s="10" t="n">
        <x:f>K449/Sources!$B$4*1000</x:f>
        <x:v>13.587201725358948</x:v>
      </x:c>
      <x:c r="M449" s="10" t="n">
        <x:f>E449/Sources!$B$4*1000</x:f>
        <x:v>19.93437713452408</x:v>
      </x:c>
      <x:c r="N449" s="9" t="n">
        <x:f>Sources!$B$6-K449</x:f>
        <x:v>11100</x:v>
      </x:c>
      <x:c r="O449" s="1" t="str">
        <x:v>vertical_shift_down</x:v>
      </x:c>
      <x:c r="P449" s="12" t="n">
        <x:v>0</x:v>
      </x:c>
      <x:c r="Q449" s="12" t="n">
        <x:v>2</x:v>
      </x:c>
      <x:c r="R449" s="12" t="n">
        <x:v>7</x:v>
      </x:c>
      <x:c r="S449" s="12" t="n">
        <x:v>4</x:v>
      </x:c>
      <x:c r="T449" s="1" t="str">
        <x:v>No</x:v>
      </x:c>
      <x:c r="U449" s="1" t="n">
        <x:v>0</x:v>
      </x:c>
    </x:row>
    <x:row r="450" ht="23" customHeight="1">
      <x:c r="A450" s="9" t="n">
        <x:v>449</x:v>
      </x:c>
      <x:c r="B450" s="9" t="n">
        <x:v>263</x:v>
      </x:c>
      <x:c r="C450" s="9" t="n">
        <x:v>1022</x:v>
      </x:c>
      <x:c r="D450" s="9" t="n">
        <x:v>1</x:v>
      </x:c>
      <x:c r="E450" s="9" t="n">
        <x:v>71371.99999999255</x:v>
      </x:c>
      <x:c r="F450" s="9" t="n">
        <x:v>785</x:v>
      </x:c>
      <x:c r="G450" s="9" t="n">
        <x:v>51849.00000000745</x:v>
      </x:c>
      <x:c r="H450" s="9" t="n">
        <x:v>18154.99999999255</x:v>
      </x:c>
      <x:c r="I450" s="9" t="n">
        <x:v>477.0000000074506</x:v>
      </x:c>
      <x:c r="J450" s="9" t="n">
        <x:v>105.99999998509884</x:v>
      </x:c>
      <x:c r="K450" s="9" t="n">
        <x:f>F450+G450+I450+J450</x:f>
        <x:v>53217</x:v>
      </x:c>
      <x:c r="L450" s="10" t="n">
        <x:f>K450/Sources!$B$4*1000</x:f>
        <x:v>14.866973316441056</x:v>
      </x:c>
      <x:c r="M450" s="10" t="n">
        <x:f>E450/Sources!$B$4*1000</x:f>
        <x:v>19.93884697635944</x:v>
      </x:c>
      <x:c r="N450" s="9" t="n">
        <x:f>Sources!$B$6-K450</x:f>
        <x:v>6519</x:v>
      </x:c>
      <x:c r="O450" s="1" t="str">
        <x:v>vertical_shift_down</x:v>
      </x:c>
      <x:c r="P450" s="12" t="n">
        <x:v>0</x:v>
      </x:c>
      <x:c r="Q450" s="12" t="n">
        <x:v>2</x:v>
      </x:c>
      <x:c r="R450" s="12" t="n">
        <x:v>7</x:v>
      </x:c>
      <x:c r="S450" s="12" t="n">
        <x:v>6</x:v>
      </x:c>
      <x:c r="T450" s="1" t="str">
        <x:v>No</x:v>
      </x:c>
      <x:c r="U450" s="1" t="n">
        <x:v>0</x:v>
      </x:c>
    </x:row>
    <x:row r="451" ht="23" customHeight="1">
      <x:c r="A451" s="9" t="n">
        <x:v>450</x:v>
      </x:c>
      <x:c r="B451" s="9" t="n">
        <x:v>263</x:v>
      </x:c>
      <x:c r="C451" s="9" t="n">
        <x:v>1024</x:v>
      </x:c>
      <x:c r="D451" s="9" t="n">
        <x:v>1</x:v>
      </x:c>
      <x:c r="E451" s="9" t="n">
        <x:v>71357.00000000745</x:v>
      </x:c>
      <x:c r="F451" s="9" t="n">
        <x:v>785</x:v>
      </x:c>
      <x:c r="G451" s="9" t="n">
        <x:v>64422</x:v>
      </x:c>
      <x:c r="H451" s="9" t="n">
        <x:v>5575</x:v>
      </x:c>
      <x:c r="I451" s="9" t="n">
        <x:v>469.0000000074506</x:v>
      </x:c>
      <x:c r="J451" s="9" t="n">
        <x:v>106</x:v>
      </x:c>
      <x:c r="K451" s="9" t="n">
        <x:f>F451+G451+I451+J451</x:f>
        <x:v>65782.00000000745</x:v>
      </x:c>
      <x:c r="L451" s="10" t="n">
        <x:f>K451/Sources!$B$4*1000</x:f>
        <x:v>18.377195984407923</x:v>
      </x:c>
      <x:c r="M451" s="10" t="n">
        <x:f>E451/Sources!$B$4*1000</x:f>
        <x:v>19.934656499641</x:v>
      </x:c>
      <x:c r="N451" s="9" t="n">
        <x:f>Sources!$B$6-K451</x:f>
        <x:v>-6046.000000007451</x:v>
      </x:c>
      <x:c r="O451" s="1" t="str">
        <x:v>vertical_shift_down</x:v>
      </x:c>
      <x:c r="P451" s="12" t="n">
        <x:v>0</x:v>
      </x:c>
      <x:c r="Q451" s="12" t="n">
        <x:v>2</x:v>
      </x:c>
      <x:c r="R451" s="12" t="n">
        <x:v>7</x:v>
      </x:c>
      <x:c r="S451" s="12" t="n">
        <x:v>0</x:v>
      </x:c>
      <x:c r="T451" s="1" t="str">
        <x:v>Yes</x:v>
      </x:c>
      <x:c r="U451" s="1" t="n">
        <x:v>1</x:v>
      </x:c>
    </x:row>
    <x:row r="452" ht="23" customHeight="1">
      <x:c r="A452" s="9" t="n">
        <x:v>451</x:v>
      </x:c>
      <x:c r="B452" s="9" t="n">
        <x:v>263</x:v>
      </x:c>
      <x:c r="C452" s="9" t="n">
        <x:v>1026</x:v>
      </x:c>
      <x:c r="D452" s="9" t="n">
        <x:v>1</x:v>
      </x:c>
      <x:c r="E452" s="9" t="n">
        <x:v>71368</x:v>
      </x:c>
      <x:c r="F452" s="9" t="n">
        <x:v>784.9999999925494</x:v>
      </x:c>
      <x:c r="G452" s="9" t="n">
        <x:v>51129.99999999255</x:v>
      </x:c>
      <x:c r="H452" s="9" t="n">
        <x:v>18870</x:v>
      </x:c>
      <x:c r="I452" s="9" t="n">
        <x:v>477</x:v>
      </x:c>
      <x:c r="J452" s="9" t="n">
        <x:v>106.00000001490116</x:v>
      </x:c>
      <x:c r="K452" s="9" t="n">
        <x:f>F452+G452+I452+J452</x:f>
        <x:v>52498</x:v>
      </x:c>
      <x:c r="L452" s="10" t="n">
        <x:f>K452/Sources!$B$4*1000</x:f>
        <x:v>14.666109798871085</x:v>
      </x:c>
      <x:c r="M452" s="10" t="n">
        <x:f>E452/Sources!$B$4*1000</x:f>
        <x:v>19.93772951590216</x:v>
      </x:c>
      <x:c r="N452" s="9" t="n">
        <x:f>Sources!$B$6-K452</x:f>
        <x:v>7238</x:v>
      </x:c>
      <x:c r="O452" s="1" t="str">
        <x:v>vertical_shift_down</x:v>
      </x:c>
      <x:c r="P452" s="12" t="n">
        <x:v>0</x:v>
      </x:c>
      <x:c r="Q452" s="12" t="n">
        <x:v>2</x:v>
      </x:c>
      <x:c r="R452" s="12" t="n">
        <x:v>7</x:v>
      </x:c>
      <x:c r="S452" s="12" t="n">
        <x:v>2</x:v>
      </x:c>
      <x:c r="T452" s="1" t="str">
        <x:v>No</x:v>
      </x:c>
      <x:c r="U452" s="1" t="n">
        <x:v>1</x:v>
      </x:c>
    </x:row>
    <x:row r="453" ht="23" customHeight="1">
      <x:c r="A453" s="9" t="n">
        <x:v>452</x:v>
      </x:c>
      <x:c r="B453" s="9" t="n">
        <x:v>263</x:v>
      </x:c>
      <x:c r="C453" s="9" t="n">
        <x:v>1028</x:v>
      </x:c>
      <x:c r="D453" s="9" t="n">
        <x:v>1</x:v>
      </x:c>
      <x:c r="E453" s="9" t="n">
        <x:v>71356</x:v>
      </x:c>
      <x:c r="F453" s="9" t="n">
        <x:v>785</x:v>
      </x:c>
      <x:c r="G453" s="9" t="n">
        <x:v>47275.99999999255</x:v>
      </x:c>
      <x:c r="H453" s="9" t="n">
        <x:v>22720</x:v>
      </x:c>
      <x:c r="I453" s="9" t="n">
        <x:v>469.0000000074506</x:v>
      </x:c>
      <x:c r="J453" s="9" t="n">
        <x:v>106</x:v>
      </x:c>
      <x:c r="K453" s="9" t="n">
        <x:f>F453+G453+I453+J453</x:f>
        <x:v>48636</x:v>
      </x:c>
      <x:c r="L453" s="10" t="n">
        <x:f>K453/Sources!$B$4*1000</x:f>
        <x:v>13.587201725358948</x:v>
      </x:c>
      <x:c r="M453" s="10" t="n">
        <x:f>E453/Sources!$B$4*1000</x:f>
        <x:v>19.93437713452408</x:v>
      </x:c>
      <x:c r="N453" s="9" t="n">
        <x:f>Sources!$B$6-K453</x:f>
        <x:v>11100</x:v>
      </x:c>
      <x:c r="O453" s="1" t="str">
        <x:v>vertical_shift_down</x:v>
      </x:c>
      <x:c r="P453" s="12" t="n">
        <x:v>0</x:v>
      </x:c>
      <x:c r="Q453" s="12" t="n">
        <x:v>2</x:v>
      </x:c>
      <x:c r="R453" s="12" t="n">
        <x:v>7</x:v>
      </x:c>
      <x:c r="S453" s="12" t="n">
        <x:v>4</x:v>
      </x:c>
      <x:c r="T453" s="1" t="str">
        <x:v>No</x:v>
      </x:c>
      <x:c r="U453" s="1" t="n">
        <x:v>0</x:v>
      </x:c>
    </x:row>
    <x:row r="454" ht="23" customHeight="1">
      <x:c r="A454" s="9" t="n">
        <x:v>453</x:v>
      </x:c>
      <x:c r="B454" s="9" t="n">
        <x:v>263</x:v>
      </x:c>
      <x:c r="C454" s="9" t="n">
        <x:v>1028</x:v>
      </x:c>
      <x:c r="D454" s="9" t="n">
        <x:v>1</x:v>
      </x:c>
      <x:c r="E454" s="9" t="n">
        <x:v>71376</x:v>
      </x:c>
      <x:c r="F454" s="9" t="n">
        <x:v>778</x:v>
      </x:c>
      <x:c r="G454" s="9" t="n">
        <x:v>46995</x:v>
      </x:c>
      <x:c r="H454" s="9" t="n">
        <x:v>23020</x:v>
      </x:c>
      <x:c r="I454" s="9" t="n">
        <x:v>477</x:v>
      </x:c>
      <x:c r="J454" s="9" t="n">
        <x:v>106</x:v>
      </x:c>
      <x:c r="K454" s="9" t="n">
        <x:f>F454+G454+I454+J454</x:f>
        <x:v>48356</x:v>
      </x:c>
      <x:c r="L454" s="10" t="n">
        <x:f>K454/Sources!$B$4*1000</x:f>
        <x:v>13.508979493203746</x:v>
      </x:c>
      <x:c r="M454" s="10" t="n">
        <x:f>E454/Sources!$B$4*1000</x:f>
        <x:v>19.939964436820883</x:v>
      </x:c>
      <x:c r="N454" s="9" t="n">
        <x:f>Sources!$B$6-K454</x:f>
        <x:v>11380</x:v>
      </x:c>
      <x:c r="O454" s="1" t="str">
        <x:v>idle</x:v>
      </x:c>
      <x:c r="P454" s="12" t="n">
        <x:v>0</x:v>
      </x:c>
      <x:c r="Q454" s="12" t="n">
        <x:v>0</x:v>
      </x:c>
      <x:c r="R454" s="12" t="n">
        <x:v>7</x:v>
      </x:c>
      <x:c r="S454" s="12" t="n">
        <x:v>4</x:v>
      </x:c>
      <x:c r="T454" s="1" t="str">
        <x:v>No</x:v>
      </x:c>
      <x:c r="U454" s="1" t="n">
        <x:v>0</x:v>
      </x:c>
    </x:row>
    <x:row r="455" ht="23" customHeight="1">
      <x:c r="A455" s="9" t="n">
        <x:v>454</x:v>
      </x:c>
      <x:c r="B455" s="9" t="n">
        <x:v>263</x:v>
      </x:c>
      <x:c r="C455" s="9" t="n">
        <x:v>1028</x:v>
      </x:c>
      <x:c r="D455" s="9" t="n">
        <x:v>1</x:v>
      </x:c>
      <x:c r="E455" s="9" t="n">
        <x:v>71353.99999999255</x:v>
      </x:c>
      <x:c r="F455" s="9" t="n">
        <x:v>778</x:v>
      </x:c>
      <x:c r="G455" s="9" t="n">
        <x:v>25996</x:v>
      </x:c>
      <x:c r="H455" s="9" t="n">
        <x:v>44005</x:v>
      </x:c>
      <x:c r="I455" s="9" t="n">
        <x:v>469</x:v>
      </x:c>
      <x:c r="J455" s="9" t="n">
        <x:v>105.99999999254942</x:v>
      </x:c>
      <x:c r="K455" s="9" t="n">
        <x:f>F455+G455+I455+J455</x:f>
        <x:v>27348.99999999255</x:v>
      </x:c>
      <x:c r="L455" s="10" t="n">
        <x:f>K455/Sources!$B$4*1000</x:f>
        <x:v>7.640356525757477</x:v>
      </x:c>
      <x:c r="M455" s="10" t="n">
        <x:f>E455/Sources!$B$4*1000</x:f>
        <x:v>19.93381840429232</x:v>
      </x:c>
      <x:c r="N455" s="9" t="n">
        <x:f>Sources!$B$6-K455</x:f>
        <x:v>32387.00000000745</x:v>
      </x:c>
      <x:c r="O455" s="1" t="str">
        <x:v>idle</x:v>
      </x:c>
      <x:c r="P455" s="12" t="n">
        <x:v>0</x:v>
      </x:c>
      <x:c r="Q455" s="12" t="n">
        <x:v>0</x:v>
      </x:c>
      <x:c r="R455" s="12" t="n">
        <x:v>7</x:v>
      </x:c>
      <x:c r="S455" s="12" t="n">
        <x:v>4</x:v>
      </x:c>
      <x:c r="T455" s="1" t="str">
        <x:v>No</x:v>
      </x:c>
      <x:c r="U455" s="1" t="n">
        <x:v>0</x:v>
      </x:c>
    </x:row>
    <x:row r="456" ht="23" customHeight="1">
      <x:c r="A456" s="9" t="n">
        <x:v>455</x:v>
      </x:c>
      <x:c r="B456" s="9" t="n">
        <x:v>263</x:v>
      </x:c>
      <x:c r="C456" s="9" t="n">
        <x:v>1028</x:v>
      </x:c>
      <x:c r="D456" s="9" t="n">
        <x:v>1</x:v>
      </x:c>
      <x:c r="E456" s="9" t="n">
        <x:v>71373</x:v>
      </x:c>
      <x:c r="F456" s="9" t="n">
        <x:v>777.9999999925494</x:v>
      </x:c>
      <x:c r="G456" s="9" t="n">
        <x:v>26016.99999999255</x:v>
      </x:c>
      <x:c r="H456" s="9" t="n">
        <x:v>43995</x:v>
      </x:c>
      <x:c r="I456" s="9" t="n">
        <x:v>477.0000000074506</x:v>
      </x:c>
      <x:c r="J456" s="9" t="n">
        <x:v>106.00000000745058</x:v>
      </x:c>
      <x:c r="K456" s="9" t="n">
        <x:f>F456+G456+I456+J456</x:f>
        <x:v>27378</x:v>
      </x:c>
      <x:c r="L456" s="10" t="n">
        <x:f>K456/Sources!$B$4*1000</x:f>
        <x:v>7.6484581140899195</x:v>
      </x:c>
      <x:c r="M456" s="10" t="n">
        <x:f>E456/Sources!$B$4*1000</x:f>
        <x:v>19.939126341476364</x:v>
      </x:c>
      <x:c r="N456" s="9" t="n">
        <x:f>Sources!$B$6-K456</x:f>
        <x:v>32358</x:v>
      </x:c>
      <x:c r="O456" s="1" t="str">
        <x:v>idle</x:v>
      </x:c>
      <x:c r="P456" s="12" t="n">
        <x:v>0</x:v>
      </x:c>
      <x:c r="Q456" s="12" t="n">
        <x:v>0</x:v>
      </x:c>
      <x:c r="R456" s="12" t="n">
        <x:v>7</x:v>
      </x:c>
      <x:c r="S456" s="12" t="n">
        <x:v>4</x:v>
      </x:c>
      <x:c r="T456" s="1" t="str">
        <x:v>No</x:v>
      </x:c>
      <x:c r="U456" s="1" t="n">
        <x:v>0</x:v>
      </x:c>
    </x:row>
    <x:row r="457" ht="23" customHeight="1">
      <x:c r="A457" s="9" t="n">
        <x:v>456</x:v>
      </x:c>
      <x:c r="B457" s="9" t="n">
        <x:v>263</x:v>
      </x:c>
      <x:c r="C457" s="9" t="n">
        <x:v>1028</x:v>
      </x:c>
      <x:c r="D457" s="9" t="n">
        <x:v>1</x:v>
      </x:c>
      <x:c r="E457" s="9" t="n">
        <x:v>71354</x:v>
      </x:c>
      <x:c r="F457" s="9" t="n">
        <x:v>778</x:v>
      </x:c>
      <x:c r="G457" s="9" t="n">
        <x:v>25995.99999999255</x:v>
      </x:c>
      <x:c r="H457" s="9" t="n">
        <x:v>44005</x:v>
      </x:c>
      <x:c r="I457" s="9" t="n">
        <x:v>469.0000000074506</x:v>
      </x:c>
      <x:c r="J457" s="9" t="n">
        <x:v>106</x:v>
      </x:c>
      <x:c r="K457" s="9" t="n">
        <x:f>F457+G457+I457+J457</x:f>
        <x:v>27349</x:v>
      </x:c>
      <x:c r="L457" s="10" t="n">
        <x:f>K457/Sources!$B$4*1000</x:f>
        <x:v>7.640356525759559</x:v>
      </x:c>
      <x:c r="M457" s="10" t="n">
        <x:f>E457/Sources!$B$4*1000</x:f>
        <x:v>19.9338184042944</x:v>
      </x:c>
      <x:c r="N457" s="9" t="n">
        <x:f>Sources!$B$6-K457</x:f>
        <x:v>32387</x:v>
      </x:c>
      <x:c r="O457" s="1" t="str">
        <x:v>idle</x:v>
      </x:c>
      <x:c r="P457" s="12" t="n">
        <x:v>0</x:v>
      </x:c>
      <x:c r="Q457" s="12" t="n">
        <x:v>0</x:v>
      </x:c>
      <x:c r="R457" s="12" t="n">
        <x:v>7</x:v>
      </x:c>
      <x:c r="S457" s="12" t="n">
        <x:v>4</x:v>
      </x:c>
      <x:c r="T457" s="1" t="str">
        <x:v>No</x:v>
      </x:c>
      <x:c r="U457" s="1" t="n">
        <x:v>0</x:v>
      </x:c>
    </x:row>
    <x:row r="458" ht="23" customHeight="1">
      <x:c r="A458" s="9" t="n">
        <x:v>457</x:v>
      </x:c>
      <x:c r="B458" s="9" t="n">
        <x:v>263</x:v>
      </x:c>
      <x:c r="C458" s="9" t="n">
        <x:v>1028</x:v>
      </x:c>
      <x:c r="D458" s="9" t="n">
        <x:v>1</x:v>
      </x:c>
      <x:c r="E458" s="9" t="n">
        <x:v>71373</x:v>
      </x:c>
      <x:c r="F458" s="9" t="n">
        <x:v>777.9999999925494</x:v>
      </x:c>
      <x:c r="G458" s="9" t="n">
        <x:v>26016.99999999255</x:v>
      </x:c>
      <x:c r="H458" s="9" t="n">
        <x:v>43995</x:v>
      </x:c>
      <x:c r="I458" s="9" t="n">
        <x:v>477.0000000074506</x:v>
      </x:c>
      <x:c r="J458" s="9" t="n">
        <x:v>106.00000000745058</x:v>
      </x:c>
      <x:c r="K458" s="9" t="n">
        <x:f>F458+G458+I458+J458</x:f>
        <x:v>27378</x:v>
      </x:c>
      <x:c r="L458" s="10" t="n">
        <x:f>K458/Sources!$B$4*1000</x:f>
        <x:v>7.6484581140899195</x:v>
      </x:c>
      <x:c r="M458" s="10" t="n">
        <x:f>E458/Sources!$B$4*1000</x:f>
        <x:v>19.939126341476364</x:v>
      </x:c>
      <x:c r="N458" s="9" t="n">
        <x:f>Sources!$B$6-K458</x:f>
        <x:v>32358</x:v>
      </x:c>
      <x:c r="O458" s="1" t="str">
        <x:v>idle</x:v>
      </x:c>
      <x:c r="P458" s="12" t="n">
        <x:v>0</x:v>
      </x:c>
      <x:c r="Q458" s="12" t="n">
        <x:v>0</x:v>
      </x:c>
      <x:c r="R458" s="12" t="n">
        <x:v>7</x:v>
      </x:c>
      <x:c r="S458" s="12" t="n">
        <x:v>4</x:v>
      </x:c>
      <x:c r="T458" s="1" t="str">
        <x:v>No</x:v>
      </x:c>
      <x:c r="U458" s="1" t="n">
        <x:v>0</x:v>
      </x:c>
    </x:row>
    <x:row r="459" ht="23" customHeight="1">
      <x:c r="A459" s="9" t="n">
        <x:v>458</x:v>
      </x:c>
      <x:c r="B459" s="9" t="n">
        <x:v>263</x:v>
      </x:c>
      <x:c r="C459" s="9" t="n">
        <x:v>1028</x:v>
      </x:c>
      <x:c r="D459" s="9" t="n">
        <x:v>1</x:v>
      </x:c>
      <x:c r="E459" s="9" t="n">
        <x:v>71354</x:v>
      </x:c>
      <x:c r="F459" s="9" t="n">
        <x:v>777.9999999925494</x:v>
      </x:c>
      <x:c r="G459" s="9" t="n">
        <x:v>25995.99999999255</x:v>
      </x:c>
      <x:c r="H459" s="9" t="n">
        <x:v>44005</x:v>
      </x:c>
      <x:c r="I459" s="9" t="n">
        <x:v>469.0000000074506</x:v>
      </x:c>
      <x:c r="J459" s="9" t="n">
        <x:v>106.00000000745058</x:v>
      </x:c>
      <x:c r="K459" s="9" t="n">
        <x:f>F459+G459+I459+J459</x:f>
        <x:v>27349</x:v>
      </x:c>
      <x:c r="L459" s="10" t="n">
        <x:f>K459/Sources!$B$4*1000</x:f>
        <x:v>7.640356525759559</x:v>
      </x:c>
      <x:c r="M459" s="10" t="n">
        <x:f>E459/Sources!$B$4*1000</x:f>
        <x:v>19.9338184042944</x:v>
      </x:c>
      <x:c r="N459" s="9" t="n">
        <x:f>Sources!$B$6-K459</x:f>
        <x:v>32387</x:v>
      </x:c>
      <x:c r="O459" s="1" t="str">
        <x:v>idle</x:v>
      </x:c>
      <x:c r="P459" s="12" t="n">
        <x:v>0</x:v>
      </x:c>
      <x:c r="Q459" s="12" t="n">
        <x:v>0</x:v>
      </x:c>
      <x:c r="R459" s="12" t="n">
        <x:v>7</x:v>
      </x:c>
      <x:c r="S459" s="12" t="n">
        <x:v>4</x:v>
      </x:c>
      <x:c r="T459" s="1" t="str">
        <x:v>No</x:v>
      </x:c>
      <x:c r="U459" s="1" t="n">
        <x:v>0</x:v>
      </x:c>
    </x:row>
    <x:row r="460" ht="23" customHeight="1">
      <x:c r="A460" s="9" t="n">
        <x:v>459</x:v>
      </x:c>
      <x:c r="B460" s="9" t="n">
        <x:v>263</x:v>
      </x:c>
      <x:c r="C460" s="9" t="n">
        <x:v>1028</x:v>
      </x:c>
      <x:c r="D460" s="9" t="n">
        <x:v>1</x:v>
      </x:c>
      <x:c r="E460" s="9" t="n">
        <x:v>71373</x:v>
      </x:c>
      <x:c r="F460" s="9" t="n">
        <x:v>777.9999999925494</x:v>
      </x:c>
      <x:c r="G460" s="9" t="n">
        <x:v>26017</x:v>
      </x:c>
      <x:c r="H460" s="9" t="n">
        <x:v>43995</x:v>
      </x:c>
      <x:c r="I460" s="9" t="n">
        <x:v>477</x:v>
      </x:c>
      <x:c r="J460" s="9" t="n">
        <x:v>106.00000000745058</x:v>
      </x:c>
      <x:c r="K460" s="9" t="n">
        <x:f>F460+G460+I460+J460</x:f>
        <x:v>27378</x:v>
      </x:c>
      <x:c r="L460" s="10" t="n">
        <x:f>K460/Sources!$B$4*1000</x:f>
        <x:v>7.6484581140899195</x:v>
      </x:c>
      <x:c r="M460" s="10" t="n">
        <x:f>E460/Sources!$B$4*1000</x:f>
        <x:v>19.939126341476364</x:v>
      </x:c>
      <x:c r="N460" s="9" t="n">
        <x:f>Sources!$B$6-K460</x:f>
        <x:v>32358</x:v>
      </x:c>
      <x:c r="O460" s="1" t="str">
        <x:v>idle</x:v>
      </x:c>
      <x:c r="P460" s="12" t="n">
        <x:v>0</x:v>
      </x:c>
      <x:c r="Q460" s="12" t="n">
        <x:v>0</x:v>
      </x:c>
      <x:c r="R460" s="12" t="n">
        <x:v>7</x:v>
      </x:c>
      <x:c r="S460" s="12" t="n">
        <x:v>4</x:v>
      </x:c>
      <x:c r="T460" s="1" t="str">
        <x:v>No</x:v>
      </x:c>
      <x:c r="U460" s="1" t="n">
        <x:v>0</x:v>
      </x:c>
    </x:row>
    <x:row r="461" ht="23" customHeight="1">
      <x:c r="A461" s="9" t="n">
        <x:v>460</x:v>
      </x:c>
      <x:c r="B461" s="9" t="n">
        <x:v>263</x:v>
      </x:c>
      <x:c r="C461" s="9" t="n">
        <x:v>1028</x:v>
      </x:c>
      <x:c r="D461" s="9" t="n">
        <x:v>1</x:v>
      </x:c>
      <x:c r="E461" s="9" t="n">
        <x:v>71359.00000000745</x:v>
      </x:c>
      <x:c r="F461" s="9" t="n">
        <x:v>777.9999999925494</x:v>
      </x:c>
      <x:c r="G461" s="9" t="n">
        <x:v>25995.99999999255</x:v>
      </x:c>
      <x:c r="H461" s="9" t="n">
        <x:v>44010</x:v>
      </x:c>
      <x:c r="I461" s="9" t="n">
        <x:v>469.0000000074506</x:v>
      </x:c>
      <x:c r="J461" s="9" t="n">
        <x:v>106.00000001490116</x:v>
      </x:c>
      <x:c r="K461" s="9" t="n">
        <x:f>F461+G461+I461+J461</x:f>
        <x:v>27349.00000000745</x:v>
      </x:c>
      <x:c r="L461" s="10" t="n">
        <x:f>K461/Sources!$B$4*1000</x:f>
        <x:v>7.64035652576164</x:v>
      </x:c>
      <x:c r="M461" s="10" t="n">
        <x:f>E461/Sources!$B$4*1000</x:f>
        <x:v>19.935215229870682</x:v>
      </x:c>
      <x:c r="N461" s="9" t="n">
        <x:f>Sources!$B$6-K461</x:f>
        <x:v>32386.99999999255</x:v>
      </x:c>
      <x:c r="O461" s="1" t="str">
        <x:v>idle</x:v>
      </x:c>
      <x:c r="P461" s="12" t="n">
        <x:v>0</x:v>
      </x:c>
      <x:c r="Q461" s="12" t="n">
        <x:v>0</x:v>
      </x:c>
      <x:c r="R461" s="12" t="n">
        <x:v>7</x:v>
      </x:c>
      <x:c r="S461" s="12" t="n">
        <x:v>4</x:v>
      </x:c>
      <x:c r="T461" s="1" t="str">
        <x:v>No</x:v>
      </x:c>
      <x:c r="U461" s="1" t="n">
        <x:v>0</x:v>
      </x:c>
    </x:row>
    <x:row r="462" ht="23" customHeight="1">
      <x:c r="A462" s="9" t="n">
        <x:v>461</x:v>
      </x:c>
      <x:c r="B462" s="9" t="n">
        <x:v>263</x:v>
      </x:c>
      <x:c r="C462" s="9" t="n">
        <x:v>1028</x:v>
      </x:c>
      <x:c r="D462" s="9" t="n">
        <x:v>1</x:v>
      </x:c>
      <x:c r="E462" s="9" t="n">
        <x:v>71367.99999999255</x:v>
      </x:c>
      <x:c r="F462" s="9" t="n">
        <x:v>777.9999999925494</x:v>
      </x:c>
      <x:c r="G462" s="9" t="n">
        <x:v>26017</x:v>
      </x:c>
      <x:c r="H462" s="9" t="n">
        <x:v>43990</x:v>
      </x:c>
      <x:c r="I462" s="9" t="n">
        <x:v>477</x:v>
      </x:c>
      <x:c r="J462" s="9" t="n">
        <x:v>106</x:v>
      </x:c>
      <x:c r="K462" s="9" t="n">
        <x:f>F462+G462+I462+J462</x:f>
        <x:v>27377.99999999255</x:v>
      </x:c>
      <x:c r="L462" s="10" t="n">
        <x:f>K462/Sources!$B$4*1000</x:f>
        <x:v>7.648458114087838</x:v>
      </x:c>
      <x:c r="M462" s="10" t="n">
        <x:f>E462/Sources!$B$4*1000</x:f>
        <x:v>19.93772951590008</x:v>
      </x:c>
      <x:c r="N462" s="9" t="n">
        <x:f>Sources!$B$6-K462</x:f>
        <x:v>32358.00000000745</x:v>
      </x:c>
      <x:c r="O462" s="1" t="str">
        <x:v>idle</x:v>
      </x:c>
      <x:c r="P462" s="12" t="n">
        <x:v>0</x:v>
      </x:c>
      <x:c r="Q462" s="12" t="n">
        <x:v>0</x:v>
      </x:c>
      <x:c r="R462" s="12" t="n">
        <x:v>7</x:v>
      </x:c>
      <x:c r="S462" s="12" t="n">
        <x:v>4</x:v>
      </x:c>
      <x:c r="T462" s="1" t="str">
        <x:v>No</x:v>
      </x:c>
      <x:c r="U462" s="1" t="n">
        <x:v>0</x:v>
      </x:c>
    </x:row>
    <x:row r="463" ht="23" customHeight="1">
      <x:c r="A463" s="9" t="n">
        <x:v>462</x:v>
      </x:c>
      <x:c r="B463" s="9" t="n">
        <x:v>263</x:v>
      </x:c>
      <x:c r="C463" s="9" t="n">
        <x:v>1028</x:v>
      </x:c>
      <x:c r="D463" s="9" t="n">
        <x:v>1</x:v>
      </x:c>
      <x:c r="E463" s="9" t="n">
        <x:v>71359.00000000745</x:v>
      </x:c>
      <x:c r="F463" s="9" t="n">
        <x:v>777.9999999925494</x:v>
      </x:c>
      <x:c r="G463" s="9" t="n">
        <x:v>25996</x:v>
      </x:c>
      <x:c r="H463" s="9" t="n">
        <x:v>44010</x:v>
      </x:c>
      <x:c r="I463" s="9" t="n">
        <x:v>469.0000000074506</x:v>
      </x:c>
      <x:c r="J463" s="9" t="n">
        <x:v>106.00000000745058</x:v>
      </x:c>
      <x:c r="K463" s="9" t="n">
        <x:f>F463+G463+I463+J463</x:f>
        <x:v>27349.00000000745</x:v>
      </x:c>
      <x:c r="L463" s="10" t="n">
        <x:f>K463/Sources!$B$4*1000</x:f>
        <x:v>7.64035652576164</x:v>
      </x:c>
      <x:c r="M463" s="10" t="n">
        <x:f>E463/Sources!$B$4*1000</x:f>
        <x:v>19.935215229870682</x:v>
      </x:c>
      <x:c r="N463" s="9" t="n">
        <x:f>Sources!$B$6-K463</x:f>
        <x:v>32386.99999999255</x:v>
      </x:c>
      <x:c r="O463" s="1" t="str">
        <x:v>idle</x:v>
      </x:c>
      <x:c r="P463" s="12" t="n">
        <x:v>0</x:v>
      </x:c>
      <x:c r="Q463" s="12" t="n">
        <x:v>0</x:v>
      </x:c>
      <x:c r="R463" s="12" t="n">
        <x:v>7</x:v>
      </x:c>
      <x:c r="S463" s="12" t="n">
        <x:v>4</x:v>
      </x:c>
      <x:c r="T463" s="1" t="str">
        <x:v>No</x:v>
      </x:c>
      <x:c r="U463" s="1" t="n">
        <x:v>0</x:v>
      </x:c>
    </x:row>
    <x:row r="464" ht="23" customHeight="1">
      <x:c r="A464" s="9" t="n">
        <x:v>463</x:v>
      </x:c>
      <x:c r="B464" s="9" t="n">
        <x:v>263</x:v>
      </x:c>
      <x:c r="C464" s="9" t="n">
        <x:v>1028</x:v>
      </x:c>
      <x:c r="D464" s="9" t="n">
        <x:v>1</x:v>
      </x:c>
      <x:c r="E464" s="9" t="n">
        <x:v>71373</x:v>
      </x:c>
      <x:c r="F464" s="9" t="n">
        <x:v>778.0000000074506</x:v>
      </x:c>
      <x:c r="G464" s="9" t="n">
        <x:v>26017</x:v>
      </x:c>
      <x:c r="H464" s="9" t="n">
        <x:v>43995</x:v>
      </x:c>
      <x:c r="I464" s="9" t="n">
        <x:v>477</x:v>
      </x:c>
      <x:c r="J464" s="9" t="n">
        <x:v>105.99999999254942</x:v>
      </x:c>
      <x:c r="K464" s="9" t="n">
        <x:f>F464+G464+I464+J464</x:f>
        <x:v>27378</x:v>
      </x:c>
      <x:c r="L464" s="10" t="n">
        <x:f>K464/Sources!$B$4*1000</x:f>
        <x:v>7.6484581140899195</x:v>
      </x:c>
      <x:c r="M464" s="10" t="n">
        <x:f>E464/Sources!$B$4*1000</x:f>
        <x:v>19.939126341476364</x:v>
      </x:c>
      <x:c r="N464" s="9" t="n">
        <x:f>Sources!$B$6-K464</x:f>
        <x:v>32358</x:v>
      </x:c>
      <x:c r="O464" s="1" t="str">
        <x:v>idle</x:v>
      </x:c>
      <x:c r="P464" s="12" t="n">
        <x:v>0</x:v>
      </x:c>
      <x:c r="Q464" s="12" t="n">
        <x:v>0</x:v>
      </x:c>
      <x:c r="R464" s="12" t="n">
        <x:v>7</x:v>
      </x:c>
      <x:c r="S464" s="12" t="n">
        <x:v>4</x:v>
      </x:c>
      <x:c r="T464" s="1" t="str">
        <x:v>No</x:v>
      </x:c>
      <x:c r="U464" s="1" t="n">
        <x:v>0</x:v>
      </x:c>
    </x:row>
    <x:row r="465" ht="23" customHeight="1">
      <x:c r="A465" s="9" t="n">
        <x:v>464</x:v>
      </x:c>
      <x:c r="B465" s="9" t="n">
        <x:v>263</x:v>
      </x:c>
      <x:c r="C465" s="9" t="n">
        <x:v>1028</x:v>
      </x:c>
      <x:c r="D465" s="9" t="n">
        <x:v>1</x:v>
      </x:c>
      <x:c r="E465" s="9" t="n">
        <x:v>71354</x:v>
      </x:c>
      <x:c r="F465" s="9" t="n">
        <x:v>777.9999999925494</x:v>
      </x:c>
      <x:c r="G465" s="9" t="n">
        <x:v>25996</x:v>
      </x:c>
      <x:c r="H465" s="9" t="n">
        <x:v>44005</x:v>
      </x:c>
      <x:c r="I465" s="9" t="n">
        <x:v>469</x:v>
      </x:c>
      <x:c r="J465" s="9" t="n">
        <x:v>106.00000000745058</x:v>
      </x:c>
      <x:c r="K465" s="9" t="n">
        <x:f>F465+G465+I465+J465</x:f>
        <x:v>27349</x:v>
      </x:c>
      <x:c r="L465" s="10" t="n">
        <x:f>K465/Sources!$B$4*1000</x:f>
        <x:v>7.640356525759559</x:v>
      </x:c>
      <x:c r="M465" s="10" t="n">
        <x:f>E465/Sources!$B$4*1000</x:f>
        <x:v>19.9338184042944</x:v>
      </x:c>
      <x:c r="N465" s="9" t="n">
        <x:f>Sources!$B$6-K465</x:f>
        <x:v>32387</x:v>
      </x:c>
      <x:c r="O465" s="1" t="str">
        <x:v>idle</x:v>
      </x:c>
      <x:c r="P465" s="12" t="n">
        <x:v>0</x:v>
      </x:c>
      <x:c r="Q465" s="12" t="n">
        <x:v>0</x:v>
      </x:c>
      <x:c r="R465" s="12" t="n">
        <x:v>7</x:v>
      </x:c>
      <x:c r="S465" s="12" t="n">
        <x:v>4</x:v>
      </x:c>
      <x:c r="T465" s="1" t="str">
        <x:v>No</x:v>
      </x:c>
      <x:c r="U465" s="1" t="n">
        <x:v>0</x:v>
      </x:c>
    </x:row>
    <x:row r="466" ht="23" customHeight="1">
      <x:c r="A466" s="9" t="n">
        <x:v>465</x:v>
      </x:c>
      <x:c r="B466" s="9" t="n">
        <x:v>263</x:v>
      </x:c>
      <x:c r="C466" s="9" t="n">
        <x:v>1028</x:v>
      </x:c>
      <x:c r="D466" s="9" t="n">
        <x:v>1</x:v>
      </x:c>
      <x:c r="E466" s="9" t="n">
        <x:v>71373</x:v>
      </x:c>
      <x:c r="F466" s="9" t="n">
        <x:v>778.0000000074506</x:v>
      </x:c>
      <x:c r="G466" s="9" t="n">
        <x:v>26017.00000000745</x:v>
      </x:c>
      <x:c r="H466" s="9" t="n">
        <x:v>43995</x:v>
      </x:c>
      <x:c r="I466" s="9" t="n">
        <x:v>477</x:v>
      </x:c>
      <x:c r="J466" s="9" t="n">
        <x:v>105.99999998509884</x:v>
      </x:c>
      <x:c r="K466" s="9" t="n">
        <x:f>F466+G466+I466+J466</x:f>
        <x:v>27378</x:v>
      </x:c>
      <x:c r="L466" s="10" t="n">
        <x:f>K466/Sources!$B$4*1000</x:f>
        <x:v>7.6484581140899195</x:v>
      </x:c>
      <x:c r="M466" s="10" t="n">
        <x:f>E466/Sources!$B$4*1000</x:f>
        <x:v>19.939126341476364</x:v>
      </x:c>
      <x:c r="N466" s="9" t="n">
        <x:f>Sources!$B$6-K466</x:f>
        <x:v>32358</x:v>
      </x:c>
      <x:c r="O466" s="1" t="str">
        <x:v>idle</x:v>
      </x:c>
      <x:c r="P466" s="12" t="n">
        <x:v>0</x:v>
      </x:c>
      <x:c r="Q466" s="12" t="n">
        <x:v>0</x:v>
      </x:c>
      <x:c r="R466" s="12" t="n">
        <x:v>7</x:v>
      </x:c>
      <x:c r="S466" s="12" t="n">
        <x:v>4</x:v>
      </x:c>
      <x:c r="T466" s="1" t="str">
        <x:v>No</x:v>
      </x:c>
      <x:c r="U466" s="1" t="n">
        <x:v>0</x:v>
      </x:c>
    </x:row>
    <x:row r="467" ht="23" customHeight="1">
      <x:c r="A467" s="9" t="n">
        <x:v>466</x:v>
      </x:c>
      <x:c r="B467" s="9" t="n">
        <x:v>263</x:v>
      </x:c>
      <x:c r="C467" s="9" t="n">
        <x:v>1028</x:v>
      </x:c>
      <x:c r="D467" s="9" t="n">
        <x:v>1</x:v>
      </x:c>
      <x:c r="E467" s="9" t="n">
        <x:v>71354</x:v>
      </x:c>
      <x:c r="F467" s="9" t="n">
        <x:v>778.0000000074506</x:v>
      </x:c>
      <x:c r="G467" s="9" t="n">
        <x:v>25996</x:v>
      </x:c>
      <x:c r="H467" s="9" t="n">
        <x:v>44005.00000000745</x:v>
      </x:c>
      <x:c r="I467" s="9" t="n">
        <x:v>468.9999999925494</x:v>
      </x:c>
      <x:c r="J467" s="9" t="n">
        <x:v>105.99999999254942</x:v>
      </x:c>
      <x:c r="K467" s="9" t="n">
        <x:f>F467+G467+I467+J467</x:f>
        <x:v>27348.99999999255</x:v>
      </x:c>
      <x:c r="L467" s="10" t="n">
        <x:f>K467/Sources!$B$4*1000</x:f>
        <x:v>7.640356525757477</x:v>
      </x:c>
      <x:c r="M467" s="10" t="n">
        <x:f>E467/Sources!$B$4*1000</x:f>
        <x:v>19.9338184042944</x:v>
      </x:c>
      <x:c r="N467" s="9" t="n">
        <x:f>Sources!$B$6-K467</x:f>
        <x:v>32387.00000000745</x:v>
      </x:c>
      <x:c r="O467" s="1" t="str">
        <x:v>idle</x:v>
      </x:c>
      <x:c r="P467" s="12" t="n">
        <x:v>0</x:v>
      </x:c>
      <x:c r="Q467" s="12" t="n">
        <x:v>0</x:v>
      </x:c>
      <x:c r="R467" s="12" t="n">
        <x:v>7</x:v>
      </x:c>
      <x:c r="S467" s="12" t="n">
        <x:v>4</x:v>
      </x:c>
      <x:c r="T467" s="1" t="str">
        <x:v>No</x:v>
      </x:c>
      <x:c r="U467" s="1" t="n">
        <x:v>0</x:v>
      </x:c>
    </x:row>
    <x:row r="468" ht="23" customHeight="1">
      <x:c r="A468" s="9" t="n">
        <x:v>467</x:v>
      </x:c>
      <x:c r="B468" s="9" t="n">
        <x:v>263</x:v>
      </x:c>
      <x:c r="C468" s="9" t="n">
        <x:v>1028</x:v>
      </x:c>
      <x:c r="D468" s="9" t="n">
        <x:v>1</x:v>
      </x:c>
      <x:c r="E468" s="9" t="n">
        <x:v>71373</x:v>
      </x:c>
      <x:c r="F468" s="9" t="n">
        <x:v>778.0000000074506</x:v>
      </x:c>
      <x:c r="G468" s="9" t="n">
        <x:v>26017.00000000745</x:v>
      </x:c>
      <x:c r="H468" s="9" t="n">
        <x:v>43995</x:v>
      </x:c>
      <x:c r="I468" s="9" t="n">
        <x:v>476.9999999925494</x:v>
      </x:c>
      <x:c r="J468" s="9" t="n">
        <x:v>105.99999999254942</x:v>
      </x:c>
      <x:c r="K468" s="9" t="n">
        <x:f>F468+G468+I468+J468</x:f>
        <x:v>27378</x:v>
      </x:c>
      <x:c r="L468" s="10" t="n">
        <x:f>K468/Sources!$B$4*1000</x:f>
        <x:v>7.6484581140899195</x:v>
      </x:c>
      <x:c r="M468" s="10" t="n">
        <x:f>E468/Sources!$B$4*1000</x:f>
        <x:v>19.939126341476364</x:v>
      </x:c>
      <x:c r="N468" s="9" t="n">
        <x:f>Sources!$B$6-K468</x:f>
        <x:v>32358</x:v>
      </x:c>
      <x:c r="O468" s="1" t="str">
        <x:v>idle</x:v>
      </x:c>
      <x:c r="P468" s="12" t="n">
        <x:v>0</x:v>
      </x:c>
      <x:c r="Q468" s="12" t="n">
        <x:v>0</x:v>
      </x:c>
      <x:c r="R468" s="12" t="n">
        <x:v>7</x:v>
      </x:c>
      <x:c r="S468" s="12" t="n">
        <x:v>4</x:v>
      </x:c>
      <x:c r="T468" s="1" t="str">
        <x:v>No</x:v>
      </x:c>
      <x:c r="U468" s="1" t="n">
        <x:v>0</x:v>
      </x:c>
    </x:row>
    <x:row r="469" ht="23" customHeight="1">
      <x:c r="A469" s="9" t="n">
        <x:v>468</x:v>
      </x:c>
      <x:c r="B469" s="9" t="n">
        <x:v>263</x:v>
      </x:c>
      <x:c r="C469" s="9" t="n">
        <x:v>1028</x:v>
      </x:c>
      <x:c r="D469" s="9" t="n">
        <x:v>1</x:v>
      </x:c>
      <x:c r="E469" s="9" t="n">
        <x:v>71354</x:v>
      </x:c>
      <x:c r="F469" s="9" t="n">
        <x:v>778.0000000074506</x:v>
      </x:c>
      <x:c r="G469" s="9" t="n">
        <x:v>25996.00000000745</x:v>
      </x:c>
      <x:c r="H469" s="9" t="n">
        <x:v>44005</x:v>
      </x:c>
      <x:c r="I469" s="9" t="n">
        <x:v>468.9999999925494</x:v>
      </x:c>
      <x:c r="J469" s="9" t="n">
        <x:v>105.99999999254942</x:v>
      </x:c>
      <x:c r="K469" s="9" t="n">
        <x:f>F469+G469+I469+J469</x:f>
        <x:v>27349</x:v>
      </x:c>
      <x:c r="L469" s="10" t="n">
        <x:f>K469/Sources!$B$4*1000</x:f>
        <x:v>7.640356525759559</x:v>
      </x:c>
      <x:c r="M469" s="10" t="n">
        <x:f>E469/Sources!$B$4*1000</x:f>
        <x:v>19.9338184042944</x:v>
      </x:c>
      <x:c r="N469" s="9" t="n">
        <x:f>Sources!$B$6-K469</x:f>
        <x:v>32387</x:v>
      </x:c>
      <x:c r="O469" s="1" t="str">
        <x:v>idle</x:v>
      </x:c>
      <x:c r="P469" s="12" t="n">
        <x:v>0</x:v>
      </x:c>
      <x:c r="Q469" s="12" t="n">
        <x:v>0</x:v>
      </x:c>
      <x:c r="R469" s="12" t="n">
        <x:v>7</x:v>
      </x:c>
      <x:c r="S469" s="12" t="n">
        <x:v>4</x:v>
      </x:c>
      <x:c r="T469" s="1" t="str">
        <x:v>No</x:v>
      </x:c>
      <x:c r="U469" s="1" t="n">
        <x:v>0</x:v>
      </x:c>
    </x:row>
    <x:row r="470" ht="23" customHeight="1">
      <x:c r="A470" s="9" t="n">
        <x:v>469</x:v>
      </x:c>
      <x:c r="B470" s="9" t="n">
        <x:v>263</x:v>
      </x:c>
      <x:c r="C470" s="9" t="n">
        <x:v>1028</x:v>
      </x:c>
      <x:c r="D470" s="9" t="n">
        <x:v>1</x:v>
      </x:c>
      <x:c r="E470" s="9" t="n">
        <x:v>71373</x:v>
      </x:c>
      <x:c r="F470" s="9" t="n">
        <x:v>778.0000000074506</x:v>
      </x:c>
      <x:c r="G470" s="9" t="n">
        <x:v>26017.00000000745</x:v>
      </x:c>
      <x:c r="H470" s="9" t="n">
        <x:v>43995</x:v>
      </x:c>
      <x:c r="I470" s="9" t="n">
        <x:v>476.9999999925494</x:v>
      </x:c>
      <x:c r="J470" s="9" t="n">
        <x:v>105.99999999254942</x:v>
      </x:c>
      <x:c r="K470" s="9" t="n">
        <x:f>F470+G470+I470+J470</x:f>
        <x:v>27378</x:v>
      </x:c>
      <x:c r="L470" s="10" t="n">
        <x:f>K470/Sources!$B$4*1000</x:f>
        <x:v>7.6484581140899195</x:v>
      </x:c>
      <x:c r="M470" s="10" t="n">
        <x:f>E470/Sources!$B$4*1000</x:f>
        <x:v>19.939126341476364</x:v>
      </x:c>
      <x:c r="N470" s="9" t="n">
        <x:f>Sources!$B$6-K470</x:f>
        <x:v>32358</x:v>
      </x:c>
      <x:c r="O470" s="1" t="str">
        <x:v>idle</x:v>
      </x:c>
      <x:c r="P470" s="12" t="n">
        <x:v>0</x:v>
      </x:c>
      <x:c r="Q470" s="12" t="n">
        <x:v>0</x:v>
      </x:c>
      <x:c r="R470" s="12" t="n">
        <x:v>7</x:v>
      </x:c>
      <x:c r="S470" s="12" t="n">
        <x:v>4</x:v>
      </x:c>
      <x:c r="T470" s="1" t="str">
        <x:v>No</x:v>
      </x:c>
      <x:c r="U470" s="1" t="n">
        <x:v>0</x:v>
      </x:c>
    </x:row>
    <x:row r="471" ht="23" customHeight="1">
      <x:c r="A471" s="9" t="n">
        <x:v>470</x:v>
      </x:c>
      <x:c r="B471" s="9" t="n">
        <x:v>263</x:v>
      </x:c>
      <x:c r="C471" s="9" t="n">
        <x:v>1028</x:v>
      </x:c>
      <x:c r="D471" s="9" t="n">
        <x:v>1</x:v>
      </x:c>
      <x:c r="E471" s="9" t="n">
        <x:v>71359</x:v>
      </x:c>
      <x:c r="F471" s="9" t="n">
        <x:v>778.0000000074506</x:v>
      </x:c>
      <x:c r="G471" s="9" t="n">
        <x:v>25996.00000000745</x:v>
      </x:c>
      <x:c r="H471" s="9" t="n">
        <x:v>44010</x:v>
      </x:c>
      <x:c r="I471" s="9" t="n">
        <x:v>468.9999999925494</x:v>
      </x:c>
      <x:c r="J471" s="9" t="n">
        <x:v>105.99999999254942</x:v>
      </x:c>
      <x:c r="K471" s="9" t="n">
        <x:f>F471+G471+I471+J471</x:f>
        <x:v>27349</x:v>
      </x:c>
      <x:c r="L471" s="10" t="n">
        <x:f>K471/Sources!$B$4*1000</x:f>
        <x:v>7.640356525759559</x:v>
      </x:c>
      <x:c r="M471" s="10" t="n">
        <x:f>E471/Sources!$B$4*1000</x:f>
        <x:v>19.9352152298686</x:v>
      </x:c>
      <x:c r="N471" s="9" t="n">
        <x:f>Sources!$B$6-K471</x:f>
        <x:v>32387</x:v>
      </x:c>
      <x:c r="O471" s="1" t="str">
        <x:v>idle</x:v>
      </x:c>
      <x:c r="P471" s="12" t="n">
        <x:v>0</x:v>
      </x:c>
      <x:c r="Q471" s="12" t="n">
        <x:v>0</x:v>
      </x:c>
      <x:c r="R471" s="12" t="n">
        <x:v>7</x:v>
      </x:c>
      <x:c r="S471" s="12" t="n">
        <x:v>4</x:v>
      </x:c>
      <x:c r="T471" s="1" t="str">
        <x:v>No</x:v>
      </x:c>
      <x:c r="U471" s="1" t="n">
        <x:v>0</x:v>
      </x:c>
    </x:row>
    <x:row r="472" ht="23" customHeight="1">
      <x:c r="A472" s="9" t="n">
        <x:v>471</x:v>
      </x:c>
      <x:c r="B472" s="9" t="n">
        <x:v>263</x:v>
      </x:c>
      <x:c r="C472" s="9" t="n">
        <x:v>1028</x:v>
      </x:c>
      <x:c r="D472" s="9" t="n">
        <x:v>1</x:v>
      </x:c>
      <x:c r="E472" s="9" t="n">
        <x:v>71368</x:v>
      </x:c>
      <x:c r="F472" s="9" t="n">
        <x:v>778.0000000074506</x:v>
      </x:c>
      <x:c r="G472" s="9" t="n">
        <x:v>26017</x:v>
      </x:c>
      <x:c r="H472" s="9" t="n">
        <x:v>43990</x:v>
      </x:c>
      <x:c r="I472" s="9" t="n">
        <x:v>477</x:v>
      </x:c>
      <x:c r="J472" s="9" t="n">
        <x:v>105.99999999254942</x:v>
      </x:c>
      <x:c r="K472" s="9" t="n">
        <x:f>F472+G472+I472+J472</x:f>
        <x:v>27378</x:v>
      </x:c>
      <x:c r="L472" s="10" t="n">
        <x:f>K472/Sources!$B$4*1000</x:f>
        <x:v>7.6484581140899195</x:v>
      </x:c>
      <x:c r="M472" s="10" t="n">
        <x:f>E472/Sources!$B$4*1000</x:f>
        <x:v>19.93772951590216</x:v>
      </x:c>
      <x:c r="N472" s="9" t="n">
        <x:f>Sources!$B$6-K472</x:f>
        <x:v>32358</x:v>
      </x:c>
      <x:c r="O472" s="1" t="str">
        <x:v>idle</x:v>
      </x:c>
      <x:c r="P472" s="12" t="n">
        <x:v>0</x:v>
      </x:c>
      <x:c r="Q472" s="12" t="n">
        <x:v>0</x:v>
      </x:c>
      <x:c r="R472" s="12" t="n">
        <x:v>7</x:v>
      </x:c>
      <x:c r="S472" s="12" t="n">
        <x:v>4</x:v>
      </x:c>
      <x:c r="T472" s="1" t="str">
        <x:v>No</x:v>
      </x:c>
      <x:c r="U472" s="1" t="n">
        <x:v>0</x:v>
      </x:c>
    </x:row>
    <x:row r="473" ht="23" customHeight="1">
      <x:c r="A473" s="9" t="n">
        <x:v>472</x:v>
      </x:c>
      <x:c r="B473" s="9" t="n">
        <x:v>263</x:v>
      </x:c>
      <x:c r="C473" s="9" t="n">
        <x:v>1028</x:v>
      </x:c>
      <x:c r="D473" s="9" t="n">
        <x:v>1</x:v>
      </x:c>
      <x:c r="E473" s="9" t="n">
        <x:v>71358.99999999255</x:v>
      </x:c>
      <x:c r="F473" s="9" t="n">
        <x:v>778.0000000074506</x:v>
      </x:c>
      <x:c r="G473" s="9" t="n">
        <x:v>25996.00000000745</x:v>
      </x:c>
      <x:c r="H473" s="9" t="n">
        <x:v>44010</x:v>
      </x:c>
      <x:c r="I473" s="9" t="n">
        <x:v>469</x:v>
      </x:c>
      <x:c r="J473" s="9" t="n">
        <x:v>105.99999997764826</x:v>
      </x:c>
      <x:c r="K473" s="9" t="n">
        <x:f>F473+G473+I473+J473</x:f>
        <x:v>27348.99999999255</x:v>
      </x:c>
      <x:c r="L473" s="10" t="n">
        <x:f>K473/Sources!$B$4*1000</x:f>
        <x:v>7.640356525757477</x:v>
      </x:c>
      <x:c r="M473" s="10" t="n">
        <x:f>E473/Sources!$B$4*1000</x:f>
        <x:v>19.93521522986652</x:v>
      </x:c>
      <x:c r="N473" s="9" t="n">
        <x:f>Sources!$B$6-K473</x:f>
        <x:v>32387.00000000745</x:v>
      </x:c>
      <x:c r="O473" s="1" t="str">
        <x:v>idle</x:v>
      </x:c>
      <x:c r="P473" s="12" t="n">
        <x:v>0</x:v>
      </x:c>
      <x:c r="Q473" s="12" t="n">
        <x:v>0</x:v>
      </x:c>
      <x:c r="R473" s="12" t="n">
        <x:v>7</x:v>
      </x:c>
      <x:c r="S473" s="12" t="n">
        <x:v>4</x:v>
      </x:c>
      <x:c r="T473" s="1" t="str">
        <x:v>No</x:v>
      </x:c>
      <x:c r="U473" s="1" t="n">
        <x:v>0</x:v>
      </x:c>
    </x:row>
    <x:row r="474" ht="23" customHeight="1">
      <x:c r="A474" s="9" t="n">
        <x:v>473</x:v>
      </x:c>
      <x:c r="B474" s="9" t="n">
        <x:v>263</x:v>
      </x:c>
      <x:c r="C474" s="9" t="n">
        <x:v>1028</x:v>
      </x:c>
      <x:c r="D474" s="9" t="n">
        <x:v>1</x:v>
      </x:c>
      <x:c r="E474" s="9" t="n">
        <x:v>71373.00000000745</x:v>
      </x:c>
      <x:c r="F474" s="9" t="n">
        <x:v>778</x:v>
      </x:c>
      <x:c r="G474" s="9" t="n">
        <x:v>26017</x:v>
      </x:c>
      <x:c r="H474" s="9" t="n">
        <x:v>43995</x:v>
      </x:c>
      <x:c r="I474" s="9" t="n">
        <x:v>477</x:v>
      </x:c>
      <x:c r="J474" s="9" t="n">
        <x:v>106.00000000745058</x:v>
      </x:c>
      <x:c r="K474" s="9" t="n">
        <x:f>F474+G474+I474+J474</x:f>
        <x:v>27378.00000000745</x:v>
      </x:c>
      <x:c r="L474" s="10" t="n">
        <x:f>K474/Sources!$B$4*1000</x:f>
        <x:v>7.648458114092001</x:v>
      </x:c>
      <x:c r="M474" s="10" t="n">
        <x:f>E474/Sources!$B$4*1000</x:f>
        <x:v>19.939126341478442</x:v>
      </x:c>
      <x:c r="N474" s="9" t="n">
        <x:f>Sources!$B$6-K474</x:f>
        <x:v>32357.99999999255</x:v>
      </x:c>
      <x:c r="O474" s="1" t="str">
        <x:v>idle</x:v>
      </x:c>
      <x:c r="P474" s="12" t="n">
        <x:v>0</x:v>
      </x:c>
      <x:c r="Q474" s="12" t="n">
        <x:v>0</x:v>
      </x:c>
      <x:c r="R474" s="12" t="n">
        <x:v>7</x:v>
      </x:c>
      <x:c r="S474" s="12" t="n">
        <x:v>4</x:v>
      </x:c>
      <x:c r="T474" s="1" t="str">
        <x:v>No</x:v>
      </x:c>
      <x:c r="U474" s="1" t="n">
        <x:v>0</x:v>
      </x:c>
    </x:row>
    <x:row r="475" ht="23" customHeight="1">
      <x:c r="A475" s="9" t="n">
        <x:v>474</x:v>
      </x:c>
      <x:c r="B475" s="9" t="n">
        <x:v>263</x:v>
      </x:c>
      <x:c r="C475" s="9" t="n">
        <x:v>1028</x:v>
      </x:c>
      <x:c r="D475" s="9" t="n">
        <x:v>1</x:v>
      </x:c>
      <x:c r="E475" s="9" t="n">
        <x:v>71353.99999999255</x:v>
      </x:c>
      <x:c r="F475" s="9" t="n">
        <x:v>778.0000000074506</x:v>
      </x:c>
      <x:c r="G475" s="9" t="n">
        <x:v>25996.00000000745</x:v>
      </x:c>
      <x:c r="H475" s="9" t="n">
        <x:v>44004.99999999255</x:v>
      </x:c>
      <x:c r="I475" s="9" t="n">
        <x:v>469</x:v>
      </x:c>
      <x:c r="J475" s="9" t="n">
        <x:v>105.99999998509884</x:v>
      </x:c>
      <x:c r="K475" s="9" t="n">
        <x:f>F475+G475+I475+J475</x:f>
        <x:v>27349</x:v>
      </x:c>
      <x:c r="L475" s="10" t="n">
        <x:f>K475/Sources!$B$4*1000</x:f>
        <x:v>7.640356525759559</x:v>
      </x:c>
      <x:c r="M475" s="10" t="n">
        <x:f>E475/Sources!$B$4*1000</x:f>
        <x:v>19.93381840429232</x:v>
      </x:c>
      <x:c r="N475" s="9" t="n">
        <x:f>Sources!$B$6-K475</x:f>
        <x:v>32387</x:v>
      </x:c>
      <x:c r="O475" s="1" t="str">
        <x:v>idle</x:v>
      </x:c>
      <x:c r="P475" s="12" t="n">
        <x:v>0</x:v>
      </x:c>
      <x:c r="Q475" s="12" t="n">
        <x:v>0</x:v>
      </x:c>
      <x:c r="R475" s="12" t="n">
        <x:v>7</x:v>
      </x:c>
      <x:c r="S475" s="12" t="n">
        <x:v>4</x:v>
      </x:c>
      <x:c r="T475" s="1" t="str">
        <x:v>No</x:v>
      </x:c>
      <x:c r="U475" s="1" t="n">
        <x:v>0</x:v>
      </x:c>
    </x:row>
    <x:row r="476" ht="23" customHeight="1">
      <x:c r="A476" s="9" t="n">
        <x:v>475</x:v>
      </x:c>
      <x:c r="B476" s="9" t="n">
        <x:v>263</x:v>
      </x:c>
      <x:c r="C476" s="9" t="n">
        <x:v>1028</x:v>
      </x:c>
      <x:c r="D476" s="9" t="n">
        <x:v>1</x:v>
      </x:c>
      <x:c r="E476" s="9" t="n">
        <x:v>71373.00000000745</x:v>
      </x:c>
      <x:c r="F476" s="9" t="n">
        <x:v>777.9999999925494</x:v>
      </x:c>
      <x:c r="G476" s="9" t="n">
        <x:v>26016.99999999255</x:v>
      </x:c>
      <x:c r="H476" s="9" t="n">
        <x:v>43995</x:v>
      </x:c>
      <x:c r="I476" s="9" t="n">
        <x:v>477.00000001490116</x:v>
      </x:c>
      <x:c r="J476" s="9" t="n">
        <x:v>106.00000000745058</x:v>
      </x:c>
      <x:c r="K476" s="9" t="n">
        <x:f>F476+G476+I476+J476</x:f>
        <x:v>27378.00000000745</x:v>
      </x:c>
      <x:c r="L476" s="10" t="n">
        <x:f>K476/Sources!$B$4*1000</x:f>
        <x:v>7.648458114092001</x:v>
      </x:c>
      <x:c r="M476" s="10" t="n">
        <x:f>E476/Sources!$B$4*1000</x:f>
        <x:v>19.939126341478442</x:v>
      </x:c>
      <x:c r="N476" s="9" t="n">
        <x:f>Sources!$B$6-K476</x:f>
        <x:v>32357.99999999255</x:v>
      </x:c>
      <x:c r="O476" s="1" t="str">
        <x:v>idle</x:v>
      </x:c>
      <x:c r="P476" s="12" t="n">
        <x:v>0</x:v>
      </x:c>
      <x:c r="Q476" s="12" t="n">
        <x:v>0</x:v>
      </x:c>
      <x:c r="R476" s="12" t="n">
        <x:v>7</x:v>
      </x:c>
      <x:c r="S476" s="12" t="n">
        <x:v>4</x:v>
      </x:c>
      <x:c r="T476" s="1" t="str">
        <x:v>No</x:v>
      </x:c>
      <x:c r="U476" s="1" t="n">
        <x:v>0</x:v>
      </x:c>
    </x:row>
    <x:row r="477" ht="23" customHeight="1">
      <x:c r="A477" s="9" t="n">
        <x:v>476</x:v>
      </x:c>
      <x:c r="B477" s="9" t="n">
        <x:v>263</x:v>
      </x:c>
      <x:c r="C477" s="9" t="n">
        <x:v>1028</x:v>
      </x:c>
      <x:c r="D477" s="9" t="n">
        <x:v>1</x:v>
      </x:c>
      <x:c r="E477" s="9" t="n">
        <x:v>71353.99999999255</x:v>
      </x:c>
      <x:c r="F477" s="9" t="n">
        <x:v>778</x:v>
      </x:c>
      <x:c r="G477" s="9" t="n">
        <x:v>25996</x:v>
      </x:c>
      <x:c r="H477" s="9" t="n">
        <x:v>44005</x:v>
      </x:c>
      <x:c r="I477" s="9" t="n">
        <x:v>469</x:v>
      </x:c>
      <x:c r="J477" s="9" t="n">
        <x:v>105.99999999254942</x:v>
      </x:c>
      <x:c r="K477" s="9" t="n">
        <x:f>F477+G477+I477+J477</x:f>
        <x:v>27348.99999999255</x:v>
      </x:c>
      <x:c r="L477" s="10" t="n">
        <x:f>K477/Sources!$B$4*1000</x:f>
        <x:v>7.640356525757477</x:v>
      </x:c>
      <x:c r="M477" s="10" t="n">
        <x:f>E477/Sources!$B$4*1000</x:f>
        <x:v>19.93381840429232</x:v>
      </x:c>
      <x:c r="N477" s="9" t="n">
        <x:f>Sources!$B$6-K477</x:f>
        <x:v>32387.00000000745</x:v>
      </x:c>
      <x:c r="O477" s="1" t="str">
        <x:v>idle</x:v>
      </x:c>
      <x:c r="P477" s="12" t="n">
        <x:v>0</x:v>
      </x:c>
      <x:c r="Q477" s="12" t="n">
        <x:v>0</x:v>
      </x:c>
      <x:c r="R477" s="12" t="n">
        <x:v>7</x:v>
      </x:c>
      <x:c r="S477" s="12" t="n">
        <x:v>4</x:v>
      </x:c>
      <x:c r="T477" s="1" t="str">
        <x:v>No</x:v>
      </x:c>
      <x:c r="U477" s="1" t="n">
        <x:v>0</x:v>
      </x:c>
    </x:row>
    <x:row r="478" ht="23" customHeight="1">
      <x:c r="A478" s="9" t="n">
        <x:v>477</x:v>
      </x:c>
      <x:c r="B478" s="9" t="n">
        <x:v>263</x:v>
      </x:c>
      <x:c r="C478" s="9" t="n">
        <x:v>1028</x:v>
      </x:c>
      <x:c r="D478" s="9" t="n">
        <x:v>1</x:v>
      </x:c>
      <x:c r="E478" s="9" t="n">
        <x:v>71373</x:v>
      </x:c>
      <x:c r="F478" s="9" t="n">
        <x:v>777.9999999925494</x:v>
      </x:c>
      <x:c r="G478" s="9" t="n">
        <x:v>26016.99999999255</x:v>
      </x:c>
      <x:c r="H478" s="9" t="n">
        <x:v>43995</x:v>
      </x:c>
      <x:c r="I478" s="9" t="n">
        <x:v>477.0000000074506</x:v>
      </x:c>
      <x:c r="J478" s="9" t="n">
        <x:v>106.00000000745058</x:v>
      </x:c>
      <x:c r="K478" s="9" t="n">
        <x:f>F478+G478+I478+J478</x:f>
        <x:v>27378</x:v>
      </x:c>
      <x:c r="L478" s="10" t="n">
        <x:f>K478/Sources!$B$4*1000</x:f>
        <x:v>7.6484581140899195</x:v>
      </x:c>
      <x:c r="M478" s="10" t="n">
        <x:f>E478/Sources!$B$4*1000</x:f>
        <x:v>19.939126341476364</x:v>
      </x:c>
      <x:c r="N478" s="9" t="n">
        <x:f>Sources!$B$6-K478</x:f>
        <x:v>32358</x:v>
      </x:c>
      <x:c r="O478" s="1" t="str">
        <x:v>idle</x:v>
      </x:c>
      <x:c r="P478" s="12" t="n">
        <x:v>0</x:v>
      </x:c>
      <x:c r="Q478" s="12" t="n">
        <x:v>0</x:v>
      </x:c>
      <x:c r="R478" s="12" t="n">
        <x:v>7</x:v>
      </x:c>
      <x:c r="S478" s="12" t="n">
        <x:v>4</x:v>
      </x:c>
      <x:c r="T478" s="1" t="str">
        <x:v>No</x:v>
      </x:c>
      <x:c r="U478" s="1" t="n">
        <x:v>0</x:v>
      </x:c>
    </x:row>
    <x:row r="479" ht="23" customHeight="1">
      <x:c r="A479" s="9" t="n">
        <x:v>478</x:v>
      </x:c>
      <x:c r="B479" s="9" t="n">
        <x:v>263</x:v>
      </x:c>
      <x:c r="C479" s="9" t="n">
        <x:v>1028</x:v>
      </x:c>
      <x:c r="D479" s="9" t="n">
        <x:v>1</x:v>
      </x:c>
      <x:c r="E479" s="9" t="n">
        <x:v>71354</x:v>
      </x:c>
      <x:c r="F479" s="9" t="n">
        <x:v>777.9999999925494</x:v>
      </x:c>
      <x:c r="G479" s="9" t="n">
        <x:v>25995.99999999255</x:v>
      </x:c>
      <x:c r="H479" s="9" t="n">
        <x:v>44005</x:v>
      </x:c>
      <x:c r="I479" s="9" t="n">
        <x:v>469.0000000074506</x:v>
      </x:c>
      <x:c r="J479" s="9" t="n">
        <x:v>106.00000000745058</x:v>
      </x:c>
      <x:c r="K479" s="9" t="n">
        <x:f>F479+G479+I479+J479</x:f>
        <x:v>27349</x:v>
      </x:c>
      <x:c r="L479" s="10" t="n">
        <x:f>K479/Sources!$B$4*1000</x:f>
        <x:v>7.640356525759559</x:v>
      </x:c>
      <x:c r="M479" s="10" t="n">
        <x:f>E479/Sources!$B$4*1000</x:f>
        <x:v>19.9338184042944</x:v>
      </x:c>
      <x:c r="N479" s="9" t="n">
        <x:f>Sources!$B$6-K479</x:f>
        <x:v>32387</x:v>
      </x:c>
      <x:c r="O479" s="1" t="str">
        <x:v>idle</x:v>
      </x:c>
      <x:c r="P479" s="12" t="n">
        <x:v>0</x:v>
      </x:c>
      <x:c r="Q479" s="12" t="n">
        <x:v>0</x:v>
      </x:c>
      <x:c r="R479" s="12" t="n">
        <x:v>7</x:v>
      </x:c>
      <x:c r="S479" s="12" t="n">
        <x:v>4</x:v>
      </x:c>
      <x:c r="T479" s="1" t="str">
        <x:v>No</x:v>
      </x:c>
      <x:c r="U479" s="1" t="n">
        <x:v>0</x:v>
      </x:c>
    </x:row>
    <x:row r="480" ht="23" customHeight="1">
      <x:c r="A480" s="9" t="n">
        <x:v>479</x:v>
      </x:c>
      <x:c r="B480" s="9" t="n">
        <x:v>263</x:v>
      </x:c>
      <x:c r="C480" s="9" t="n">
        <x:v>1028</x:v>
      </x:c>
      <x:c r="D480" s="9" t="n">
        <x:v>1</x:v>
      </x:c>
      <x:c r="E480" s="9" t="n">
        <x:v>71373</x:v>
      </x:c>
      <x:c r="F480" s="9" t="n">
        <x:v>777.9999999925494</x:v>
      </x:c>
      <x:c r="G480" s="9" t="n">
        <x:v>26017</x:v>
      </x:c>
      <x:c r="H480" s="9" t="n">
        <x:v>43995</x:v>
      </x:c>
      <x:c r="I480" s="9" t="n">
        <x:v>477.0000000074506</x:v>
      </x:c>
      <x:c r="J480" s="9" t="n">
        <x:v>106</x:v>
      </x:c>
      <x:c r="K480" s="9" t="n">
        <x:f>F480+G480+I480+J480</x:f>
        <x:v>27378</x:v>
      </x:c>
      <x:c r="L480" s="10" t="n">
        <x:f>K480/Sources!$B$4*1000</x:f>
        <x:v>7.6484581140899195</x:v>
      </x:c>
      <x:c r="M480" s="10" t="n">
        <x:f>E480/Sources!$B$4*1000</x:f>
        <x:v>19.939126341476364</x:v>
      </x:c>
      <x:c r="N480" s="9" t="n">
        <x:f>Sources!$B$6-K480</x:f>
        <x:v>32358</x:v>
      </x:c>
      <x:c r="O480" s="1" t="str">
        <x:v>idle</x:v>
      </x:c>
      <x:c r="P480" s="12" t="n">
        <x:v>0</x:v>
      </x:c>
      <x:c r="Q480" s="12" t="n">
        <x:v>0</x:v>
      </x:c>
      <x:c r="R480" s="12" t="n">
        <x:v>7</x:v>
      </x:c>
      <x:c r="S480" s="12" t="n">
        <x:v>4</x:v>
      </x:c>
      <x:c r="T480" s="1" t="str">
        <x:v>No</x:v>
      </x:c>
      <x:c r="U480" s="1" t="n">
        <x:v>0</x:v>
      </x:c>
    </x:row>
    <x:row r="481" ht="23" customHeight="1">
      <x:c r="A481" s="9" t="n">
        <x:v>480</x:v>
      </x:c>
      <x:c r="B481" s="9" t="n">
        <x:v>263</x:v>
      </x:c>
      <x:c r="C481" s="9" t="n">
        <x:v>1028</x:v>
      </x:c>
      <x:c r="D481" s="9" t="n">
        <x:v>1</x:v>
      </x:c>
      <x:c r="E481" s="9" t="n">
        <x:v>71359</x:v>
      </x:c>
      <x:c r="F481" s="9" t="n">
        <x:v>777.9999999925494</x:v>
      </x:c>
      <x:c r="G481" s="9" t="n">
        <x:v>25995.99999999255</x:v>
      </x:c>
      <x:c r="H481" s="9" t="n">
        <x:v>44010</x:v>
      </x:c>
      <x:c r="I481" s="9" t="n">
        <x:v>469.0000000074506</x:v>
      </x:c>
      <x:c r="J481" s="9" t="n">
        <x:v>106.00000000745058</x:v>
      </x:c>
      <x:c r="K481" s="9" t="n">
        <x:f>F481+G481+I481+J481</x:f>
        <x:v>27349</x:v>
      </x:c>
      <x:c r="L481" s="10" t="n">
        <x:f>K481/Sources!$B$4*1000</x:f>
        <x:v>7.640356525759559</x:v>
      </x:c>
      <x:c r="M481" s="10" t="n">
        <x:f>E481/Sources!$B$4*1000</x:f>
        <x:v>19.9352152298686</x:v>
      </x:c>
      <x:c r="N481" s="9" t="n">
        <x:f>Sources!$B$6-K481</x:f>
        <x:v>32387</x:v>
      </x:c>
      <x:c r="O481" s="1" t="str">
        <x:v>idle</x:v>
      </x:c>
      <x:c r="P481" s="12" t="n">
        <x:v>0</x:v>
      </x:c>
      <x:c r="Q481" s="12" t="n">
        <x:v>0</x:v>
      </x:c>
      <x:c r="R481" s="12" t="n">
        <x:v>7</x:v>
      </x:c>
      <x:c r="S481" s="12" t="n">
        <x:v>4</x:v>
      </x:c>
      <x:c r="T481" s="1" t="str">
        <x:v>No</x:v>
      </x:c>
      <x:c r="U481" s="1" t="n">
        <x:v>0</x:v>
      </x:c>
    </x:row>
    <x:row r="482" ht="23" customHeight="1">
      <x:c r="A482" s="9" t="n">
        <x:v>481</x:v>
      </x:c>
      <x:c r="B482" s="9" t="n">
        <x:v>263</x:v>
      </x:c>
      <x:c r="C482" s="9" t="n">
        <x:v>1028</x:v>
      </x:c>
      <x:c r="D482" s="9" t="n">
        <x:v>1</x:v>
      </x:c>
      <x:c r="E482" s="9" t="n">
        <x:v>71368</x:v>
      </x:c>
      <x:c r="F482" s="9" t="n">
        <x:v>777.9999999925494</x:v>
      </x:c>
      <x:c r="G482" s="9" t="n">
        <x:v>26017</x:v>
      </x:c>
      <x:c r="H482" s="9" t="n">
        <x:v>43990</x:v>
      </x:c>
      <x:c r="I482" s="9" t="n">
        <x:v>477</x:v>
      </x:c>
      <x:c r="J482" s="9" t="n">
        <x:v>106.00000000745058</x:v>
      </x:c>
      <x:c r="K482" s="9" t="n">
        <x:f>F482+G482+I482+J482</x:f>
        <x:v>27378</x:v>
      </x:c>
      <x:c r="L482" s="10" t="n">
        <x:f>K482/Sources!$B$4*1000</x:f>
        <x:v>7.6484581140899195</x:v>
      </x:c>
      <x:c r="M482" s="10" t="n">
        <x:f>E482/Sources!$B$4*1000</x:f>
        <x:v>19.93772951590216</x:v>
      </x:c>
      <x:c r="N482" s="9" t="n">
        <x:f>Sources!$B$6-K482</x:f>
        <x:v>32358</x:v>
      </x:c>
      <x:c r="O482" s="1" t="str">
        <x:v>idle</x:v>
      </x:c>
      <x:c r="P482" s="12" t="n">
        <x:v>0</x:v>
      </x:c>
      <x:c r="Q482" s="12" t="n">
        <x:v>0</x:v>
      </x:c>
      <x:c r="R482" s="12" t="n">
        <x:v>7</x:v>
      </x:c>
      <x:c r="S482" s="12" t="n">
        <x:v>4</x:v>
      </x:c>
      <x:c r="T482" s="1" t="str">
        <x:v>No</x:v>
      </x:c>
      <x:c r="U482" s="1" t="n">
        <x:v>0</x:v>
      </x:c>
    </x:row>
    <x:row r="483" ht="23" customHeight="1">
      <x:c r="A483" s="9" t="n">
        <x:v>482</x:v>
      </x:c>
      <x:c r="B483" s="9" t="n">
        <x:v>263</x:v>
      </x:c>
      <x:c r="C483" s="9" t="n">
        <x:v>1028</x:v>
      </x:c>
      <x:c r="D483" s="9" t="n">
        <x:v>1</x:v>
      </x:c>
      <x:c r="E483" s="9" t="n">
        <x:v>71359.00000000745</x:v>
      </x:c>
      <x:c r="F483" s="9" t="n">
        <x:v>777.9999999925494</x:v>
      </x:c>
      <x:c r="G483" s="9" t="n">
        <x:v>25995.99999999255</x:v>
      </x:c>
      <x:c r="H483" s="9" t="n">
        <x:v>44010</x:v>
      </x:c>
      <x:c r="I483" s="9" t="n">
        <x:v>469.0000000074506</x:v>
      </x:c>
      <x:c r="J483" s="9" t="n">
        <x:v>106.00000001490116</x:v>
      </x:c>
      <x:c r="K483" s="9" t="n">
        <x:f>F483+G483+I483+J483</x:f>
        <x:v>27349.00000000745</x:v>
      </x:c>
      <x:c r="L483" s="10" t="n">
        <x:f>K483/Sources!$B$4*1000</x:f>
        <x:v>7.64035652576164</x:v>
      </x:c>
      <x:c r="M483" s="10" t="n">
        <x:f>E483/Sources!$B$4*1000</x:f>
        <x:v>19.935215229870682</x:v>
      </x:c>
      <x:c r="N483" s="9" t="n">
        <x:f>Sources!$B$6-K483</x:f>
        <x:v>32386.99999999255</x:v>
      </x:c>
      <x:c r="O483" s="1" t="str">
        <x:v>idle</x:v>
      </x:c>
      <x:c r="P483" s="12" t="n">
        <x:v>0</x:v>
      </x:c>
      <x:c r="Q483" s="12" t="n">
        <x:v>0</x:v>
      </x:c>
      <x:c r="R483" s="12" t="n">
        <x:v>7</x:v>
      </x:c>
      <x:c r="S483" s="12" t="n">
        <x:v>4</x:v>
      </x:c>
      <x:c r="T483" s="1" t="str">
        <x:v>No</x:v>
      </x:c>
      <x:c r="U483" s="1" t="n">
        <x:v>0</x:v>
      </x:c>
    </x:row>
    <x:row r="484" ht="23" customHeight="1">
      <x:c r="A484" s="9" t="n">
        <x:v>483</x:v>
      </x:c>
      <x:c r="B484" s="9" t="n">
        <x:v>263</x:v>
      </x:c>
      <x:c r="C484" s="9" t="n">
        <x:v>1028</x:v>
      </x:c>
      <x:c r="D484" s="9" t="n">
        <x:v>1</x:v>
      </x:c>
      <x:c r="E484" s="9" t="n">
        <x:v>71372.99999999255</x:v>
      </x:c>
      <x:c r="F484" s="9" t="n">
        <x:v>777.9999999925494</x:v>
      </x:c>
      <x:c r="G484" s="9" t="n">
        <x:v>26017</x:v>
      </x:c>
      <x:c r="H484" s="9" t="n">
        <x:v>43995</x:v>
      </x:c>
      <x:c r="I484" s="9" t="n">
        <x:v>477</x:v>
      </x:c>
      <x:c r="J484" s="9" t="n">
        <x:v>106</x:v>
      </x:c>
      <x:c r="K484" s="9" t="n">
        <x:f>F484+G484+I484+J484</x:f>
        <x:v>27377.99999999255</x:v>
      </x:c>
      <x:c r="L484" s="10" t="n">
        <x:f>K484/Sources!$B$4*1000</x:f>
        <x:v>7.648458114087838</x:v>
      </x:c>
      <x:c r="M484" s="10" t="n">
        <x:f>E484/Sources!$B$4*1000</x:f>
        <x:v>19.93912634147428</x:v>
      </x:c>
      <x:c r="N484" s="9" t="n">
        <x:f>Sources!$B$6-K484</x:f>
        <x:v>32358.00000000745</x:v>
      </x:c>
      <x:c r="O484" s="1" t="str">
        <x:v>idle</x:v>
      </x:c>
      <x:c r="P484" s="12" t="n">
        <x:v>0</x:v>
      </x:c>
      <x:c r="Q484" s="12" t="n">
        <x:v>0</x:v>
      </x:c>
      <x:c r="R484" s="12" t="n">
        <x:v>7</x:v>
      </x:c>
      <x:c r="S484" s="12" t="n">
        <x:v>4</x:v>
      </x:c>
      <x:c r="T484" s="1" t="str">
        <x:v>No</x:v>
      </x:c>
      <x:c r="U484" s="1" t="n">
        <x:v>0</x:v>
      </x:c>
    </x:row>
    <x:row r="485" ht="23" customHeight="1">
      <x:c r="A485" s="9" t="n">
        <x:v>484</x:v>
      </x:c>
      <x:c r="B485" s="9" t="n">
        <x:v>263</x:v>
      </x:c>
      <x:c r="C485" s="9" t="n">
        <x:v>1028</x:v>
      </x:c>
      <x:c r="D485" s="9" t="n">
        <x:v>1</x:v>
      </x:c>
      <x:c r="E485" s="9" t="n">
        <x:v>71354.00000000745</x:v>
      </x:c>
      <x:c r="F485" s="9" t="n">
        <x:v>777.9999999925494</x:v>
      </x:c>
      <x:c r="G485" s="9" t="n">
        <x:v>25995.99999999255</x:v>
      </x:c>
      <x:c r="H485" s="9" t="n">
        <x:v>44005</x:v>
      </x:c>
      <x:c r="I485" s="9" t="n">
        <x:v>469.0000000074506</x:v>
      </x:c>
      <x:c r="J485" s="9" t="n">
        <x:v>106.00000001490116</x:v>
      </x:c>
      <x:c r="K485" s="9" t="n">
        <x:f>F485+G485+I485+J485</x:f>
        <x:v>27349.00000000745</x:v>
      </x:c>
      <x:c r="L485" s="10" t="n">
        <x:f>K485/Sources!$B$4*1000</x:f>
        <x:v>7.64035652576164</x:v>
      </x:c>
      <x:c r="M485" s="10" t="n">
        <x:f>E485/Sources!$B$4*1000</x:f>
        <x:v>19.93381840429648</x:v>
      </x:c>
      <x:c r="N485" s="9" t="n">
        <x:f>Sources!$B$6-K485</x:f>
        <x:v>32386.99999999255</x:v>
      </x:c>
      <x:c r="O485" s="1" t="str">
        <x:v>idle</x:v>
      </x:c>
      <x:c r="P485" s="12" t="n">
        <x:v>0</x:v>
      </x:c>
      <x:c r="Q485" s="12" t="n">
        <x:v>0</x:v>
      </x:c>
      <x:c r="R485" s="12" t="n">
        <x:v>7</x:v>
      </x:c>
      <x:c r="S485" s="12" t="n">
        <x:v>4</x:v>
      </x:c>
      <x:c r="T485" s="1" t="str">
        <x:v>No</x:v>
      </x:c>
      <x:c r="U485" s="1" t="n">
        <x:v>0</x:v>
      </x:c>
    </x:row>
  </x:sheetData>
  <x:conditionalFormatting sqref="N6:N485">
    <x:cfRule type="cellIs" dxfId="1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b6b97dad7dc479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24" hidden="0" customWidth="1"/>
    <x:col min="3" max="3" width="3" hidden="0" customWidth="1"/>
    <x:col min="4" max="4" width="117" hidden="0" customWidth="1"/>
  </x:cols>
  <x:sheetData>
    <x:row r="1" ht="23" customHeight="1">
      <x:c r="A1" s="1"/>
      <x:c r="B1" s="1"/>
      <x:c r="C1" s="1"/>
      <x:c r="D1" s="1"/>
    </x:row>
    <x:row r="2" ht="23" customHeight="1">
      <x:c r="A2" s="2" t="str">
        <x:v>Inputs, provenance and acceptance</x:v>
      </x:c>
      <x:c r="B2" s="1"/>
      <x:c r="C2" s="1"/>
      <x:c r="D2" s="1"/>
    </x:row>
    <x:row r="3" ht="36" customHeight="1">
      <x:c r="A3" s="7" t="str">
        <x:v>Input</x:v>
      </x:c>
      <x:c r="B3" s="7" t="str">
        <x:v>Value</x:v>
      </x:c>
      <x:c r="C3" s="1"/>
      <x:c r="D3" s="1"/>
    </x:row>
    <x:row r="4" ht="23" customHeight="1">
      <x:c r="A4" s="1" t="str">
        <x:v>CPU clock (Hz)</x:v>
      </x:c>
      <x:c r="B4" s="14" t="n">
        <x:v>3579545</x:v>
      </x:c>
      <x:c r="C4" s="1"/>
      <x:c r="D4" s="16" t="str">
        <x:v>Clock and scanline model: scripts/msx/inputs.py; ROM selects R9=$82 (50 Hz).</x:v>
      </x:c>
    </x:row>
    <x:row r="5" ht="23" customHeight="1">
      <x:c r="A5" s="1" t="str">
        <x:v>Current refresh (cycles)</x:v>
      </x:c>
      <x:c r="B5" s="14" t="n">
        <x:v>71364</x:v>
      </x:c>
      <x:c r="C5" s="1"/>
      <x:c r="D5" s="16"/>
    </x:row>
    <x:row r="6" ht="23" customHeight="1">
      <x:c r="A6" s="1" t="str">
        <x:v>60 Hz draw interval (cycles)</x:v>
      </x:c>
      <x:c r="B6" s="14" t="n">
        <x:v>59736</x:v>
      </x:c>
      <x:c r="C6" s="1"/>
      <x:c r="D6" s="16" t="str">
        <x:v>262 × 228 cycles is the proposed 60 Hz comparison; no 60 Hz gameplay validation yet.</x:v>
      </x:c>
    </x:row>
    <x:row r="7" ht="23" customHeight="1">
      <x:c r="A7" s="1" t="str">
        <x:v>VBlank reserve (cycles)</x:v>
      </x:c>
      <x:c r="B7" s="15" t="n">
        <x:v>5000</x:v>
      </x:c>
      <x:c r="C7" s="1"/>
      <x:c r="D7" s="16" t="str">
        <x:v>Interpretation of the user budget: 5,000 cycles; actual usable VBlank deadline remains to be measured.</x:v>
      </x:c>
    </x:row>
    <x:row r="8" ht="23" customHeight="1">
      <x:c r="A8" s="1" t="str">
        <x:v>Target gameplay FPS</x:v>
      </x:c>
      <x:c r="B8" s="14" t="n">
        <x:v>30</x:v>
      </x:c>
      <x:c r="C8" s="1"/>
      <x:c r="D8" s="16"/>
    </x:row>
    <x:row r="9" ht="23" customHeight="1">
      <x:c r="A9" s="1" t="str">
        <x:v>Current nominal video Hz</x:v>
      </x:c>
      <x:c r="B9" s="14" t="n">
        <x:v>50</x:v>
      </x:c>
      <x:c r="C9" s="1"/>
      <x:c r="D9" s="16"/>
    </x:row>
    <x:row r="10" ht="23" customHeight="1">
      <x:c r="A10" s="1" t="str">
        <x:v>Current lines / refresh</x:v>
      </x:c>
      <x:c r="B10" s="14" t="n">
        <x:v>313</x:v>
      </x:c>
      <x:c r="C10" s="1"/>
      <x:c r="D10" s="16"/>
    </x:row>
    <x:row r="11" ht="23" customHeight="1">
      <x:c r="A11" s="1" t="str">
        <x:v>CPU clocks / scanline</x:v>
      </x:c>
      <x:c r="B11" s="14" t="n">
        <x:v>228</x:v>
      </x:c>
      <x:c r="C11" s="1"/>
      <x:c r="D11" s="16"/>
    </x:row>
    <x:row r="12" ht="23" customHeight="1">
      <x:c r="A12" s="1" t="str">
        <x:v>Target lines / refresh</x:v>
      </x:c>
      <x:c r="B12" s="14" t="n">
        <x:v>262</x:v>
      </x:c>
      <x:c r="C12" s="1"/>
      <x:c r="D12" s="16"/>
    </x:row>
    <x:row r="13" ht="23" customHeight="1">
      <x:c r="A13" s="1"/>
      <x:c r="B13" s="1"/>
      <x:c r="C13" s="1"/>
      <x:c r="D13" s="16"/>
    </x:row>
    <x:row r="14" ht="23" customHeight="1">
      <x:c r="A14" s="1"/>
      <x:c r="B14" s="1"/>
      <x:c r="C14" s="1"/>
      <x:c r="D14" s="16"/>
    </x:row>
    <x:row r="15" ht="36" customHeight="1">
      <x:c r="A15" s="7" t="str">
        <x:v>Measurement</x:v>
      </x:c>
      <x:c r="B15" s="7" t="str">
        <x:v>Source / value</x:v>
      </x:c>
      <x:c r="C15" s="1"/>
      <x:c r="D15" s="16"/>
    </x:row>
    <x:row r="16" ht="23" customHeight="1">
      <x:c r="A16" s="1" t="str">
        <x:v>Measured presentations</x:v>
      </x:c>
      <x:c r="B16" s="1" t="n">
        <x:v>480</x:v>
      </x:c>
      <x:c r="C16" s="1"/>
      <x:c r="D16" s="16" t="str">
        <x:v>isolated horizontal/vertical routes, both directions, normal/Shift and idle</x:v>
      </x:c>
    </x:row>
    <x:row r="17" ht="23" customHeight="1">
      <x:c r="A17" s="1" t="str">
        <x:v>Machine</x:v>
      </x:c>
      <x:c r="B17" s="1" t="str">
        <x:v>Panasonic_FS-A1WSX_NR128</x:v>
      </x:c>
      <x:c r="C17" s="1"/>
      <x:c r="D17" s="16" t="str">
        <x:v>Contributor ROM; no graphics or original ROM bytes are embedded in this workbook.</x:v>
      </x:c>
    </x:row>
    <x:row r="18" ht="23" customHeight="1">
      <x:c r="A18" s="1" t="str">
        <x:v>Emulator</x:v>
      </x:c>
      <x:c r="B18" s="1" t="str">
        <x:v>openMSX 21.0</x:v>
      </x:c>
      <x:c r="C18" s="1"/>
      <x:c r="D18" s="16" t="str">
        <x:v>Measured using emulated time × clock, not host wall time or opcode-table estimates.</x:v>
      </x:c>
    </x:row>
    <x:row r="19" ht="23" customHeight="1">
      <x:c r="A19" s="1" t="str">
        <x:v>ROM SHA-256</x:v>
      </x:c>
      <x:c r="B19" s="1" t="str">
        <x:v>See row 30</x:v>
      </x:c>
      <x:c r="C19" s="1"/>
      <x:c r="D19" s="16" t="str">
        <x:v>clock_irq measures ISR body through RETI; hardware entry and vector jump are excluded from its row.</x:v>
      </x:c>
    </x:row>
    <x:row r="20" ht="23" customHeight="1">
      <x:c r="A20" s="1" t="str">
        <x:v>Raw run directory</x:v>
      </x:c>
      <x:c r="B20" s="1" t="str">
        <x:v>See row 31</x:v>
      </x:c>
      <x:c r="C20" s="1"/>
      <x:c r="D20" s="16" t="str">
        <x:v>calls.tsv records every call; frames.tsv and control-frames.tsv retain independent frame observations.</x:v>
      </x:c>
    </x:row>
    <x:row r="21" ht="23" customHeight="1">
      <x:c r="A21" s="1" t="str">
        <x:v>Summary JSON</x:v>
      </x:c>
      <x:c r="B21" s="1" t="str">
        <x:v>See row 32</x:v>
      </x:c>
      <x:c r="C21" s="1"/>
      <x:c r="D21" s="16" t="str">
        <x:v>profile.py asserts nested-cost reconciliation, complete routine coverage and control-run agreement.</x:v>
      </x:c>
    </x:row>
    <x:row r="22" ht="23" customHeight="1">
      <x:c r="A22" s="1"/>
      <x:c r="B22" s="1"/>
      <x:c r="C22" s="1"/>
      <x:c r="D22" s="16"/>
    </x:row>
    <x:row r="23" ht="23" customHeight="1">
      <x:c r="A23" s="1"/>
      <x:c r="B23" s="1"/>
      <x:c r="C23" s="1"/>
      <x:c r="D23" s="16"/>
    </x:row>
    <x:row r="24" ht="23" customHeight="1">
      <x:c r="A24" s="1" t="str">
        <x:v>Acceptance rules</x:v>
      </x:c>
      <x:c r="B24" s="1"/>
      <x:c r="C24" s="1"/>
      <x:c r="D24" s="16" t="str">
        <x:v>Performance priority: approach 30 FPS with measured worst-case margins.</x:v>
      </x:c>
    </x:row>
    <x:row r="25" ht="23" customHeight="1">
      <x:c r="A25" s="1"/>
      <x:c r="B25" s="1"/>
      <x:c r="C25" s="1"/>
      <x:c r="D25" s="16" t="str">
        <x:v>User has final acceptance of every graphical or perceptual concession.</x:v>
      </x:c>
    </x:row>
    <x:row r="26" ht="23" customHeight="1">
      <x:c r="A26" s="1"/>
      <x:c r="B26" s="1"/>
      <x:c r="C26" s="1"/>
      <x:c r="D26" s="16" t="str">
        <x:v>SCREEN 4, right-edge simplification and fixed 8-pixel left mask are approved only for this laboratory.</x:v>
      </x:c>
    </x:row>
    <x:row r="27" ht="23" customHeight="1">
      <x:c r="A27" s="1"/>
      <x:c r="B27" s="1"/>
      <x:c r="C27" s="1"/>
      <x:c r="D27" s="16" t="str">
        <x:v>Flag pauses are scheduling candidates; define event duration, bounded work and resume behavior.</x:v>
      </x:c>
    </x:row>
    <x:row r="28" ht="23" customHeight="1">
      <x:c r="A28" s="1"/>
      <x:c r="B28" s="1"/>
      <x:c r="C28" s="1"/>
      <x:c r="D28" s="16" t="str">
        <x:v>No physical hardware test; production AI, sound and flag capture are outside this workload.</x:v>
      </x:c>
    </x:row>
    <x:row r="29" ht="23" customHeight="1">
      <x:c r="A29" s="1"/>
      <x:c r="B29" s="1"/>
      <x:c r="C29" s="1"/>
      <x:c r="D29" s="16" t="str">
        <x:v>Footer: RND &lt;=99, scores &lt;=999999, up to four complete native cars. Laboratory build inputs only.</x:v>
      </x:c>
    </x:row>
    <x:row r="30" ht="23" customHeight="1">
      <x:c r="A30" s="17" t="str">
        <x:v>e1d5a44c743b62241351c44959fd047a65f0fbe230f1b49a4f1006c6c40c64cc</x:v>
      </x:c>
      <x:c r="B30" s="1"/>
      <x:c r="C30" s="1"/>
      <x:c r="D30" s="1"/>
    </x:row>
    <x:row r="31" ht="23" customHeight="1">
      <x:c r="A31" s="17" t="str">
        <x:v>/Users/sandersouza/.codex/worktrees/fixed-hud-lab/newrallyx/references/experiments/fixed-hud/profile-315k3ujz</x:v>
      </x:c>
      <x:c r="B31" s="1"/>
      <x:c r="C31" s="1"/>
      <x:c r="D31" s="1"/>
    </x:row>
    <x:row r="32">
      <x:c r="A32" s="17" t="str">
        <x:v>/Users/sandersouza/.codex/worktrees/fixed-hud-lab/newrallyx/references/experiments/fixed-hud/profile-315k3ujz/summary.json</x:v>
      </x:c>
    </x:row>
  </x:sheetData>
  <x:pageMargins left="0.7" right="0.7" top="0.75" bottom="0.75" header="0.3" footer="0.3"/>
</x:worksheet>
</file>