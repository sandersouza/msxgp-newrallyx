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bdc111f62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163e4f75374d8f"/>
    <x:sheet xmlns:r="http://schemas.openxmlformats.org/officeDocument/2006/relationships" name="Routines" sheetId="2" r:id="R87de89c9e8354221"/>
    <x:sheet xmlns:r="http://schemas.openxmlformats.org/officeDocument/2006/relationships" name="Raster" sheetId="3" r:id="R1a439e20c8f641c0"/>
    <x:sheet xmlns:r="http://schemas.openxmlformats.org/officeDocument/2006/relationships" name="Frames" sheetId="4" r:id="Rfc46fbbf94354251"/>
    <x:sheet xmlns:r="http://schemas.openxmlformats.org/officeDocument/2006/relationships" name="Events" sheetId="5" r:id="R204e14c76df64f20"/>
    <x:sheet xmlns:r="http://schemas.openxmlformats.org/officeDocument/2006/relationships" name="HUD and startup" sheetId="6" r:id="R5374d3b877a44f68"/>
    <x:sheet xmlns:r="http://schemas.openxmlformats.org/officeDocument/2006/relationships" name="Stage clear" sheetId="7" r:id="R323cef373c63463c"/>
    <x:sheet xmlns:r="http://schemas.openxmlformats.org/officeDocument/2006/relationships" name="RAM profiles" sheetId="8" r:id="R423a486dfca2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  <x:numFmt numFmtId="210" formatCode="#,##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0a6267616418f" /><Relationship Type="http://schemas.openxmlformats.org/officeDocument/2006/relationships/theme" Target="/xl/theme/theme1.xml" Id="R0d6ba14ad3804cbf" /><Relationship Type="http://schemas.microsoft.com/office/2022/11/relationships/FeaturePropertyBag" Target="/xl/featurePropertyBag/featurePropertyBag.xml" Id="R8df450446df54b1b" /><Relationship Type="http://schemas.openxmlformats.org/officeDocument/2006/relationships/sharedStrings" Target="/xl/sharedStrings.xml" Id="Rae1e5709c7364d91" /><Relationship Type="http://schemas.openxmlformats.org/officeDocument/2006/relationships/worksheet" Target="/xl/worksheets/sheet1.xml" Id="Rdd163e4f75374d8f" /><Relationship Type="http://schemas.openxmlformats.org/officeDocument/2006/relationships/worksheet" Target="/xl/worksheets/sheet2.xml" Id="R87de89c9e8354221" /><Relationship Type="http://schemas.openxmlformats.org/officeDocument/2006/relationships/worksheet" Target="/xl/worksheets/sheet3.xml" Id="R1a439e20c8f641c0" /><Relationship Type="http://schemas.openxmlformats.org/officeDocument/2006/relationships/worksheet" Target="/xl/worksheets/sheet4.xml" Id="Rfc46fbbf94354251" /><Relationship Type="http://schemas.openxmlformats.org/officeDocument/2006/relationships/worksheet" Target="/xl/worksheets/sheet5.xml" Id="R204e14c76df64f20" /><Relationship Type="http://schemas.openxmlformats.org/officeDocument/2006/relationships/worksheet" Target="/xl/worksheets/sheet6.xml" Id="R5374d3b877a44f68" /><Relationship Type="http://schemas.openxmlformats.org/officeDocument/2006/relationships/worksheet" Target="/xl/worksheets/sheet7.xml" Id="R323cef373c63463c" /><Relationship Type="http://schemas.openxmlformats.org/officeDocument/2006/relationships/worksheet" Target="/xl/worksheets/sheet8.xml" Id="R423a486dfca245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3 native enemies</x:v>
      </x:c>
      <x:c r="B2" s="2"/>
      <x:c r="C2" s="2"/>
      <x:c r="D2" s="2"/>
    </x:row>
    <x:row r="3" ht="24" customHeight="1">
      <x:c r="A3" s="2" t="str">
        <x:v>Native round5;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8.076634041477334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29.46772117911465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23.406047416641208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8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9.960652616725493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-7.963116355103335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661c41bd7332fee8b06bef03a20555a44863435fc13747e8150f738c32cc13a5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Panasonic_FS-A1WSX_NR64;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/Users/sandersouza/Developer/msx-gamePorts/newrallyx/references/experiments/full-session-64k/profile-2z1fn1ll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3373 later poses; safe primary movement survives rejected centering.</x:v>
      </x:c>
      <x:c r="B36" s="2"/>
      <x:c r="C36" s="2"/>
      <x:c r="D36" s="2"/>
    </x:row>
    <x:row r="37" ht="24" customHeight="1">
      <x:c r="A37" s="2" t="str">
        <x:v>Default64 KiB RAM; 128 KiB VRAM. See RAM profiles for paired workloads; hardware/full-course acceptance remains open.</x:v>
      </x:c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 t="str">
        <x:v>Cartridge image</x:v>
      </x:c>
      <x:c r="B45" s="10" t="n">
        <x:v>2048000</x:v>
      </x:c>
      <x:c r="C45" s="2" t="str">
        <x:v>bytes</x:v>
      </x:c>
      <x:c r="D45" s="2" t="str">
        <x:v>Uncompressed programmed image; timing belongs to the ROM hash above.</x:v>
      </x:c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49</x:v>
      </x:c>
      <x:c r="B49" s="8" t="n">
        <x:v>33.67802332419344</x:v>
      </x:c>
      <x:c r="C49" s="8" t="n">
        <x:v>-0.7957249687679206</x:v>
      </x:c>
      <x:c r="D49" s="2" t="str">
        <x:v>Game_Prepare 9.476 ms; render 23.461 ms</x:v>
      </x:c>
    </x:row>
    <x:row r="50" ht="24" customHeight="1">
      <x:c r="A50" s="2" t="n">
        <x:v>50</x:v>
      </x:c>
      <x:c r="B50" s="8" t="n">
        <x:v>38.34481756759588</x:v>
      </x:c>
      <x:c r="C50" s="8" t="n">
        <x:v>-5.028385823708982</x:v>
      </x:c>
      <x:c r="D50" s="2" t="str">
        <x:v>Game_Prepare 12.910 ms; render 24.693 ms</x:v>
      </x:c>
    </x:row>
    <x:row r="51" ht="24" customHeight="1">
      <x:c r="A51" s="2" t="n">
        <x:v>77</x:v>
      </x:c>
      <x:c r="B51" s="8" t="n">
        <x:v>34.30575673723895</x:v>
      </x:c>
      <x:c r="C51" s="8" t="n">
        <x:v>-1.4223409213540734</x:v>
      </x:c>
      <x:c r="D51" s="2" t="str">
        <x:v>Game_Prepare 10.552 ms; render 23.012 ms</x:v>
      </x:c>
    </x:row>
    <x:row r="52" ht="24" customHeight="1">
      <x:c r="A52" s="2" t="n">
        <x:v>78</x:v>
      </x:c>
      <x:c r="B52" s="8" t="n">
        <x:v>41.713681487451616</x:v>
      </x:c>
      <x:c r="C52" s="8" t="n">
        <x:v>-7.963116355103335</x:v>
      </x:c>
      <x:c r="D52" s="2" t="str">
        <x:v>Game_Prepare 16.322 ms; render 24.216 ms</x:v>
      </x:c>
    </x:row>
    <x:row r="53" ht="24" customHeight="1">
      <x:c r="A53" s="2" t="n">
        <x:v>123</x:v>
      </x:c>
      <x:c r="B53" s="8" t="n">
        <x:v>35.43020132446584</x:v>
      </x:c>
      <x:c r="C53" s="8" t="n">
        <x:v>-1.3256805916194283</x:v>
      </x:c>
      <x:c r="D53" s="2" t="str">
        <x:v>Game_Prepare 13.421 ms; render 20.046 ms</x:v>
      </x:c>
    </x:row>
    <x:row r="54" ht="24" customHeight="1">
      <x:c r="A54" s="2" t="n">
        <x:v>242</x:v>
      </x:c>
      <x:c r="B54" s="8" t="n">
        <x:v>35.59502674222145</x:v>
      </x:c>
      <x:c r="C54" s="8" t="n">
        <x:v>-3.066683987302399</x:v>
      </x:c>
      <x:c r="D54" s="2" t="str">
        <x:v>Game_Prepare 16.414 ms; render 18.005 ms</x:v>
      </x:c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10.6956190185713</x:v>
      </x:c>
      <x:c r="D6" s="8" t="n">
        <x:f>L6/'Summary'!$B$20*1000</x:f>
        <x:v>14.774782828543852</x:v>
      </x:c>
      <x:c r="E6" s="8" t="n">
        <x:f>M6/'Summary'!$B$20*1000</x:f>
        <x:v>18.42915789576608</x:v>
      </x:c>
      <x:c r="F6" s="8" t="n">
        <x:f>J6/'Summary'!$B$20*1000</x:f>
        <x:v>0.05028572067136004</x:v>
      </x:c>
      <x:c r="G6" s="12" t="n">
        <x:v>38285.44957983181</x:v>
      </x:c>
      <x:c r="H6" s="12" t="n">
        <x:v>52887</x:v>
      </x:c>
      <x:c r="I6" s="12" t="n">
        <x:v>65968</x:v>
      </x:c>
      <x:c r="J6" s="12" t="n">
        <x:v>180.0000000005635</x:v>
      </x:c>
      <x:c r="K6" s="2" t="n">
        <x:v>38285.44957983181</x:v>
      </x:c>
      <x:c r="L6" s="2" t="n">
        <x:v>52887</x:v>
      </x:c>
      <x:c r="M6" s="2" t="n">
        <x:v>65968</x:v>
      </x:c>
      <x:c r="N6" s="12" t="n">
        <x:v>180.0000000005635</x:v>
      </x:c>
      <x:c r="O6" s="12" t="n">
        <x:v>180.00000004470348</x:v>
      </x:c>
      <x:c r="P6" s="12" t="n">
        <x:v>180.00000005960464</x:v>
      </x:c>
      <x:c r="Q6" s="8" t="n">
        <x:f>S6/'Summary'!$B$20*1000</x:f>
        <x:v>0.050285720683691214</x:v>
      </x:c>
      <x:c r="R6" s="8" t="n">
        <x:f>T6/'Summary'!$B$20*1000</x:f>
        <x:v>0.050285720687854085</x:v>
      </x:c>
      <x:c r="S6" s="12" t="n">
        <x:v>180.00000004470348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7.2737520240914195</x:v>
      </x:c>
      <x:c r="D7" s="8" t="n">
        <x:f>L7/'Summary'!$B$20*1000</x:f>
        <x:v>8.714236027204576</x:v>
      </x:c>
      <x:c r="E7" s="8" t="n">
        <x:f>M7/'Summary'!$B$20*1000</x:f>
        <x:v>13.328788994127773</x:v>
      </x:c>
      <x:c r="F7" s="8" t="n">
        <x:f>J7/'Summary'!$B$20*1000</x:f>
        <x:v>0.4594581882620413</x:v>
      </x:c>
      <x:c r="G7" s="12" t="n">
        <x:v>26036.72268907632</x:v>
      </x:c>
      <x:c r="H7" s="12" t="n">
        <x:v>31193</x:v>
      </x:c>
      <x:c r="I7" s="12" t="n">
        <x:v>47710.9999999851</x:v>
      </x:c>
      <x:c r="J7" s="12" t="n">
        <x:v>1644.6512605024486</x:v>
      </x:c>
      <x:c r="K7" s="2" t="n">
        <x:v>26036.72268907632</x:v>
      </x:c>
      <x:c r="L7" s="2" t="n">
        <x:v>31193</x:v>
      </x:c>
      <x:c r="M7" s="2" t="n">
        <x:v>47710.9999999851</x:v>
      </x:c>
      <x:c r="N7" s="12" t="n">
        <x:v>1644.6512605024486</x:v>
      </x:c>
      <x:c r="O7" s="12" t="n">
        <x:v>1742.9999999701977</x:v>
      </x:c>
      <x:c r="P7" s="12" t="n">
        <x:v>3117.000000014901</x:v>
      </x:c>
      <x:c r="Q7" s="8" t="n">
        <x:f>S7/'Summary'!$B$20*1000</x:f>
        <x:v>0.4869333951578197</x:v>
      </x:c>
      <x:c r="R7" s="8" t="n">
        <x:f>T7/'Summary'!$B$20*1000</x:f>
        <x:v>0.8707810629604883</x:v>
      </x:c>
      <x:c r="S7" s="12" t="n">
        <x:v>1742.9999999701977</x:v>
      </x:c>
      <x:c r="T7" s="12" t="n">
        <x:v>3117.000000014901</x:v>
      </x:c>
    </x:row>
    <x:row r="8" ht="24" customHeight="1">
      <x:c r="A8" s="2" t="str">
        <x:v>Game_LogicTick</x:v>
      </x:c>
      <x:c r="B8" s="8" t="n">
        <x:v>2.03781512605042</x:v>
      </x:c>
      <x:c r="C8" s="8" t="n">
        <x:f>K8/'Summary'!$B$20*1000</x:f>
        <x:v>5.076216731033402</x:v>
      </x:c>
      <x:c r="D8" s="8" t="n">
        <x:f>L8/'Summary'!$B$20*1000</x:f>
        <x:v>6.527645273360107</x:v>
      </x:c>
      <x:c r="E8" s="8" t="n">
        <x:f>M8/'Summary'!$B$20*1000</x:f>
        <x:v>10.803607721097206</x:v>
      </x:c>
      <x:c r="F8" s="8" t="n">
        <x:f>J8/'Summary'!$B$20*1000</x:f>
        <x:v>4.674644637889734</x:v>
      </x:c>
      <x:c r="G8" s="12" t="n">
        <x:v>8916.680412370919</x:v>
      </x:c>
      <x:c r="H8" s="12" t="n">
        <x:v>17745</x:v>
      </x:c>
      <x:c r="I8" s="12" t="n">
        <x:v>21612.0000000149</x:v>
      </x:c>
      <x:c r="J8" s="12" t="n">
        <x:v>16733.100840335006</x:v>
      </x:c>
      <x:c r="K8" s="2" t="n">
        <x:v>18170.546218486958</x:v>
      </x:c>
      <x:c r="L8" s="2" t="n">
        <x:v>23366.000000029802</x:v>
      </x:c>
      <x:c r="M8" s="2" t="n">
        <x:v>38672.0000000149</x:v>
      </x:c>
      <x:c r="N8" s="12" t="n">
        <x:v>8211.294845360271</x:v>
      </x:c>
      <x:c r="O8" s="12" t="n">
        <x:v>16324</x:v>
      </x:c>
      <x:c r="P8" s="12" t="n">
        <x:v>19448.000000029802</x:v>
      </x:c>
      <x:c r="Q8" s="8" t="n">
        <x:f>S8/'Summary'!$B$20*1000</x:f>
        <x:v>6.038756322402569</x:v>
      </x:c>
      <x:c r="R8" s="8" t="n">
        <x:f>T8/'Summary'!$B$20*1000</x:f>
        <x:v>9.182731324799605</x:v>
      </x:c>
      <x:c r="S8" s="12" t="n">
        <x:v>21616.000000074506</x:v>
      </x:c>
      <x:c r="T8" s="12" t="n">
        <x:v>32870.0000000298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0.25142860335610057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0.25142860335610057</x:v>
      </x:c>
      <x:c r="G9" s="12" t="n">
        <x:v>900.0000000003131</x:v>
      </x:c>
      <x:c r="H9" s="12" t="n">
        <x:v>900</x:v>
      </x:c>
      <x:c r="I9" s="12" t="n">
        <x:v>900.0000000298023</x:v>
      </x:c>
      <x:c r="J9" s="12" t="n">
        <x:v>900.0000000003131</x:v>
      </x:c>
      <x:c r="K9" s="2" t="n">
        <x:v>900.0000000003131</x:v>
      </x:c>
      <x:c r="L9" s="2" t="n">
        <x:v>900</x:v>
      </x:c>
      <x:c r="M9" s="2" t="n">
        <x:v>900.0000000298023</x:v>
      </x:c>
      <x:c r="N9" s="12" t="n">
        <x:v>900.0000000003131</x:v>
      </x:c>
      <x:c r="O9" s="12" t="n">
        <x:v>900</x:v>
      </x:c>
      <x:c r="P9" s="12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2" t="n">
        <x:v>900</x:v>
      </x:c>
      <x:c r="T9" s="12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1.1132699826373007</x:v>
      </x:c>
      <x:c r="D10" s="8" t="n">
        <x:f>L10/'Summary'!$B$20*1000</x:f>
        <x:v>1.1132699826416208</x:v>
      </x:c>
      <x:c r="E10" s="8" t="n">
        <x:f>M10/'Summary'!$B$20*1000</x:f>
        <x:v>1.113269982645784</x:v>
      </x:c>
      <x:c r="F10" s="8" t="n">
        <x:f>J10/'Summary'!$B$20*1000</x:f>
        <x:v>1.1132699826373007</x:v>
      </x:c>
      <x:c r="G10" s="12" t="n">
        <x:v>3984.9999999994366</x:v>
      </x:c>
      <x:c r="H10" s="12" t="n">
        <x:v>3985.000000014901</x:v>
      </x:c>
      <x:c r="I10" s="12" t="n">
        <x:v>3985.0000000298023</x:v>
      </x:c>
      <x:c r="J10" s="12" t="n">
        <x:v>3984.9999999994366</x:v>
      </x:c>
      <x:c r="K10" s="2" t="n">
        <x:v>3984.9999999994366</x:v>
      </x:c>
      <x:c r="L10" s="2" t="n">
        <x:v>3985.000000014901</x:v>
      </x:c>
      <x:c r="M10" s="2" t="n">
        <x:v>3985.0000000298023</x:v>
      </x:c>
      <x:c r="N10" s="12" t="n">
        <x:v>3984.9999999994366</x:v>
      </x:c>
      <x:c r="O10" s="12" t="n">
        <x:v>3985.000000014901</x:v>
      </x:c>
      <x:c r="P10" s="12" t="n">
        <x:v>3985.0000000298023</x:v>
      </x:c>
      <x:c r="Q10" s="8" t="n">
        <x:f>S10/'Summary'!$B$20*1000</x:f>
        <x:v>1.1132699826416208</x:v>
      </x:c>
      <x:c r="R10" s="8" t="n">
        <x:f>T10/'Summary'!$B$20*1000</x:f>
        <x:v>1.113269982645784</x:v>
      </x:c>
      <x:c r="S10" s="12" t="n">
        <x:v>3985.000000014901</x:v>
      </x:c>
      <x:c r="T10" s="12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1.6612916075160604</x:v>
      </x:c>
      <x:c r="D11" s="8" t="n">
        <x:f>L11/'Summary'!$B$20*1000</x:f>
        <x:v>4.045206862883411</x:v>
      </x:c>
      <x:c r="E11" s="8" t="n">
        <x:f>M11/'Summary'!$B$20*1000</x:f>
        <x:v>9.458185328023534</x:v>
      </x:c>
      <x:c r="F11" s="8" t="n">
        <x:f>J11/'Summary'!$B$20*1000</x:f>
        <x:v>1.5045642566818191</x:v>
      </x:c>
      <x:c r="G11" s="12" t="n">
        <x:v>5946.668067226077</x:v>
      </x:c>
      <x:c r="H11" s="12" t="n">
        <x:v>14480</x:v>
      </x:c>
      <x:c r="I11" s="12" t="n">
        <x:v>33856</x:v>
      </x:c>
      <x:c r="J11" s="12" t="n">
        <x:v>5385.655462184122</x:v>
      </x:c>
      <x:c r="K11" s="2" t="n">
        <x:v>5946.668067226077</x:v>
      </x:c>
      <x:c r="L11" s="2" t="n">
        <x:v>14480</x:v>
      </x:c>
      <x:c r="M11" s="2" t="n">
        <x:v>33856</x:v>
      </x:c>
      <x:c r="N11" s="12" t="n">
        <x:v>5385.655462184122</x:v>
      </x:c>
      <x:c r="O11" s="12" t="n">
        <x:v>13655.999999985099</x:v>
      </x:c>
      <x:c r="P11" s="12" t="n">
        <x:v>33273</x:v>
      </x:c>
      <x:c r="Q11" s="8" t="n">
        <x:f>S11/'Summary'!$B$20*1000</x:f>
        <x:v>3.8150100082510763</x:v>
      </x:c>
      <x:c r="R11" s="8" t="n">
        <x:f>T11/'Summary'!$B$20*1000</x:f>
        <x:v>9.295315466071804</x:v>
      </x:c>
      <x:c r="S11" s="12" t="n">
        <x:v>13655.999999985099</x:v>
      </x:c>
      <x:c r="T11" s="12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0.5528588670561999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0.5528588670561999</x:v>
      </x:c>
      <x:c r="G12" s="12" t="n">
        <x:v>1978.983193276685</x:v>
      </x:c>
      <x:c r="H12" s="12" t="n">
        <x:v>1951.0000000149012</x:v>
      </x:c>
      <x:c r="I12" s="12" t="n">
        <x:v>4819</x:v>
      </x:c>
      <x:c r="J12" s="12" t="n">
        <x:v>1978.983193276685</x:v>
      </x:c>
      <x:c r="K12" s="2" t="n">
        <x:v>1978.983193276685</x:v>
      </x:c>
      <x:c r="L12" s="2" t="n">
        <x:v>1951.0000000149012</x:v>
      </x:c>
      <x:c r="M12" s="2" t="n">
        <x:v>4819</x:v>
      </x:c>
      <x:c r="N12" s="12" t="n">
        <x:v>1978.983193276685</x:v>
      </x:c>
      <x:c r="O12" s="12" t="n">
        <x:v>1951.0000000149012</x:v>
      </x:c>
      <x:c r="P12" s="12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2" t="n">
        <x:v>1951.0000000149012</x:v>
      </x:c>
      <x:c r="T12" s="1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0.5401301472859612</x:v>
      </x:c>
      <x:c r="D13" s="8" t="n">
        <x:f>L13/'Summary'!$B$20*1000</x:f>
        <x:v>0.6213080154041924</x:v>
      </x:c>
      <x:c r="E13" s="8" t="n">
        <x:f>M13/'Summary'!$B$20*1000</x:f>
        <x:v>2.6522924002910986</x:v>
      </x:c>
      <x:c r="F13" s="8" t="n">
        <x:f>J13/'Summary'!$B$20*1000</x:f>
        <x:v>0.5399294269723576</x:v>
      </x:c>
      <x:c r="G13" s="12" t="n">
        <x:v>1933.420168066726</x:v>
      </x:c>
      <x:c r="H13" s="12" t="n">
        <x:v>2224</x:v>
      </x:c>
      <x:c r="I13" s="12" t="n">
        <x:v>9494</x:v>
      </x:c>
      <x:c r="J13" s="12" t="n">
        <x:v>1932.701680671768</x:v>
      </x:c>
      <x:c r="K13" s="2" t="n">
        <x:v>1933.420168066726</x:v>
      </x:c>
      <x:c r="L13" s="2" t="n">
        <x:v>2224</x:v>
      </x:c>
      <x:c r="M13" s="2" t="n">
        <x:v>9494</x:v>
      </x:c>
      <x:c r="N13" s="12" t="n">
        <x:v>1932.701680671768</x:v>
      </x:c>
      <x:c r="O13" s="12" t="n">
        <x:v>2053</x:v>
      </x:c>
      <x:c r="P13" s="12" t="n">
        <x:v>9494</x:v>
      </x:c>
      <x:c r="Q13" s="8" t="n">
        <x:f>S13/'Summary'!$B$20*1000</x:f>
        <x:v>0.5735365807665499</x:v>
      </x:c>
      <x:c r="R13" s="8" t="n">
        <x:f>T13/'Summary'!$B$20*1000</x:f>
        <x:v>2.6522924002910986</x:v>
      </x:c>
      <x:c r="S13" s="12" t="n">
        <x:v>2053</x:v>
      </x:c>
      <x:c r="T13" s="12" t="n">
        <x:v>9494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0.3736907504003946</x:v>
      </x:c>
      <x:c r="D14" s="8" t="n">
        <x:f>L14/'Summary'!$B$20*1000</x:f>
        <x:v>0.45340958139366944</x:v>
      </x:c>
      <x:c r="E14" s="8" t="n">
        <x:f>M14/'Summary'!$B$20*1000</x:f>
        <x:v>1.866158967139623</x:v>
      </x:c>
      <x:c r="F14" s="8" t="n">
        <x:f>J14/'Summary'!$B$20*1000</x:f>
        <x:v>0.3736907504003946</x:v>
      </x:c>
      <x:c r="G14" s="12" t="n">
        <x:v>1337.6428571419806</x:v>
      </x:c>
      <x:c r="H14" s="12" t="n">
        <x:v>1623.0000000298023</x:v>
      </x:c>
      <x:c r="I14" s="12" t="n">
        <x:v>6680.000000029802</x:v>
      </x:c>
      <x:c r="J14" s="12" t="n">
        <x:v>1337.6428571419806</x:v>
      </x:c>
      <x:c r="K14" s="2" t="n">
        <x:v>1337.6428571419806</x:v>
      </x:c>
      <x:c r="L14" s="2" t="n">
        <x:v>1623.0000000298023</x:v>
      </x:c>
      <x:c r="M14" s="2" t="n">
        <x:v>6680.000000029802</x:v>
      </x:c>
      <x:c r="N14" s="12" t="n">
        <x:v>1337.6428571419806</x:v>
      </x:c>
      <x:c r="O14" s="12" t="n">
        <x:v>1623.0000000298023</x:v>
      </x:c>
      <x:c r="P14" s="12" t="n">
        <x:v>6680.000000029802</x:v>
      </x:c>
      <x:c r="Q14" s="8" t="n">
        <x:f>S14/'Summary'!$B$20*1000</x:f>
        <x:v>0.45340958139366944</x:v>
      </x:c>
      <x:c r="R14" s="8" t="n">
        <x:f>T14/'Summary'!$B$20*1000</x:f>
        <x:v>1.866158967139623</x:v>
      </x:c>
      <x:c r="S14" s="12" t="n">
        <x:v>1623.0000000298023</x:v>
      </x:c>
      <x:c r="T14" s="12" t="n">
        <x:v>6680.000000029802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11.606761297803759</x:v>
      </x:c>
      <x:c r="D15" s="8" t="n">
        <x:f>L15/'Summary'!$B$20*1000</x:f>
        <x:v>19.97320888548268</x:v>
      </x:c>
      <x:c r="E15" s="8" t="n">
        <x:f>M15/'Summary'!$B$20*1000</x:f>
        <x:v>24.69252377047921</x:v>
      </x:c>
      <x:c r="F15" s="8" t="n">
        <x:f>J15/'Summary'!$B$20*1000</x:f>
        <x:v>1.1324675307592207</x:v>
      </x:c>
      <x:c r="G15" s="12" t="n">
        <x:v>41546.92436974696</x:v>
      </x:c>
      <x:c r="H15" s="12" t="n">
        <x:v>71494.9999999851</x:v>
      </x:c>
      <x:c r="I15" s="12" t="n">
        <x:v>88388</x:v>
      </x:c>
      <x:c r="J15" s="12" t="n">
        <x:v>4053.7184873915144</x:v>
      </x:c>
      <x:c r="K15" s="2" t="n">
        <x:v>41546.92436974696</x:v>
      </x:c>
      <x:c r="L15" s="2" t="n">
        <x:v>71494.9999999851</x:v>
      </x:c>
      <x:c r="M15" s="2" t="n">
        <x:v>88388</x:v>
      </x:c>
      <x:c r="N15" s="12" t="n">
        <x:v>4053.7184873915144</x:v>
      </x:c>
      <x:c r="O15" s="12" t="n">
        <x:v>4195.999999985099</x:v>
      </x:c>
      <x:c r="P15" s="12" t="n">
        <x:v>4226.000000014901</x:v>
      </x:c>
      <x:c r="Q15" s="8" t="n">
        <x:f>S15/'Summary'!$B$20*1000</x:f>
        <x:v>1.1722160218645383</x:v>
      </x:c>
      <x:c r="R15" s="8" t="n">
        <x:f>T15/'Summary'!$B$20*1000</x:f>
        <x:v>1.1805969753180645</x:v>
      </x:c>
      <x:c r="S15" s="12" t="n">
        <x:v>4195.999999985099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10.529389732423226</x:v>
      </x:c>
      <x:c r="D16" s="8" t="n">
        <x:f>L16/'Summary'!$B$20*1000</x:f>
        <x:v>14.963354281052535</x:v>
      </x:c>
      <x:c r="E16" s="8" t="n">
        <x:f>M16/'Summary'!$B$20*1000</x:f>
        <x:v>15.952306787594514</x:v>
      </x:c>
      <x:c r="F16" s="8" t="n">
        <x:f>J16/'Summary'!$B$20*1000</x:f>
        <x:v>10.481618297785584</x:v>
      </x:c>
      <x:c r="G16" s="12" t="n">
        <x:v>37690.4243697469</x:v>
      </x:c>
      <x:c r="H16" s="12" t="n">
        <x:v>53561.9999999702</x:v>
      </x:c>
      <x:c r="I16" s="12" t="n">
        <x:v>57102</x:v>
      </x:c>
      <x:c r="J16" s="12" t="n">
        <x:v>37519.4243697469</x:v>
      </x:c>
      <x:c r="K16" s="2" t="n">
        <x:v>37690.4243697469</x:v>
      </x:c>
      <x:c r="L16" s="2" t="n">
        <x:v>53561.9999999702</x:v>
      </x:c>
      <x:c r="M16" s="2" t="n">
        <x:v>57102</x:v>
      </x:c>
      <x:c r="N16" s="12" t="n">
        <x:v>37519.4243697469</x:v>
      </x:c>
      <x:c r="O16" s="12" t="n">
        <x:v>53390.9999999702</x:v>
      </x:c>
      <x:c r="P16" s="12" t="n">
        <x:v>56931</x:v>
      </x:c>
      <x:c r="Q16" s="8" t="n">
        <x:f>S16/'Summary'!$B$20*1000</x:f>
        <x:v>14.915582846414893</x:v>
      </x:c>
      <x:c r="R16" s="8" t="n">
        <x:f>T16/'Summary'!$B$20*1000</x:f>
        <x:v>15.90453535295687</x:v>
      </x:c>
      <x:c r="S16" s="12" t="n">
        <x:v>53390.9999999702</x:v>
      </x:c>
      <x:c r="T16" s="12" t="n">
        <x:v>56931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1.0740543980923847</x:v>
      </x:c>
      <x:c r="D17" s="8" t="n">
        <x:f>L17/'Summary'!$B$20*1000</x:f>
        <x:v>1.6756319588104076</x:v>
      </x:c>
      <x:c r="E17" s="8" t="n">
        <x:f>M17/'Summary'!$B$20*1000</x:f>
        <x:v>2.5587050868196934</x:v>
      </x:c>
      <x:c r="F17" s="8" t="n">
        <x:f>J17/'Summary'!$B$20*1000</x:f>
        <x:v>0.1475047806357901</x:v>
      </x:c>
      <x:c r="G17" s="12" t="n">
        <x:v>3844.626050419605</x:v>
      </x:c>
      <x:c r="H17" s="12" t="n">
        <x:v>5998</x:v>
      </x:c>
      <x:c r="I17" s="12" t="n">
        <x:v>9159</x:v>
      </x:c>
      <x:c r="J17" s="12" t="n">
        <x:v>528.0000000009392</x:v>
      </x:c>
      <x:c r="K17" s="2" t="n">
        <x:v>3844.626050419605</x:v>
      </x:c>
      <x:c r="L17" s="2" t="n">
        <x:v>5998</x:v>
      </x:c>
      <x:c r="M17" s="2" t="n">
        <x:v>9159</x:v>
      </x:c>
      <x:c r="N17" s="12" t="n">
        <x:v>528.0000000009392</x:v>
      </x:c>
      <x:c r="O17" s="12" t="n">
        <x:v>528.0000000447035</x:v>
      </x:c>
      <x:c r="P17" s="12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2" t="n">
        <x:v>528.0000000447035</x:v>
      </x:c>
      <x:c r="T17" s="12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1.8681462156163955</x:v>
      </x:c>
      <x:c r="D18" s="8" t="n">
        <x:f>L18/'Summary'!$B$20*1000</x:f>
        <x:v>4.7486482220505675</x:v>
      </x:c>
      <x:c r="E18" s="8" t="n">
        <x:f>M18/'Summary'!$B$20*1000</x:f>
        <x:v>5.193118119765194</x:v>
      </x:c>
      <x:c r="F18" s="8" t="n">
        <x:f>J18/'Summary'!$B$20*1000</x:f>
        <x:v>1.8655368515395667</x:v>
      </x:c>
      <x:c r="G18" s="12" t="n">
        <x:v>6687.11344537859</x:v>
      </x:c>
      <x:c r="H18" s="12" t="n">
        <x:v>16998</x:v>
      </x:c>
      <x:c r="I18" s="12" t="n">
        <x:v>18589.0000000149</x:v>
      </x:c>
      <x:c r="J18" s="12" t="n">
        <x:v>6677.773109244198</x:v>
      </x:c>
      <x:c r="K18" s="2" t="n">
        <x:v>6687.11344537859</x:v>
      </x:c>
      <x:c r="L18" s="2" t="n">
        <x:v>16998</x:v>
      </x:c>
      <x:c r="M18" s="2" t="n">
        <x:v>18589.0000000149</x:v>
      </x:c>
      <x:c r="N18" s="12" t="n">
        <x:v>6677.773109244198</x:v>
      </x:c>
      <x:c r="O18" s="12" t="n">
        <x:v>16998</x:v>
      </x:c>
      <x:c r="P18" s="12" t="n">
        <x:v>18589.0000000149</x:v>
      </x:c>
      <x:c r="Q18" s="8" t="n">
        <x:f>S18/'Summary'!$B$20*1000</x:f>
        <x:v>4.7486482220505675</x:v>
      </x:c>
      <x:c r="R18" s="8" t="n">
        <x:f>T18/'Summary'!$B$20*1000</x:f>
        <x:v>5.193118119765194</x:v>
      </x:c>
      <x:c r="S18" s="12" t="n">
        <x:v>16998</x:v>
      </x:c>
      <x:c r="T18" s="12" t="n">
        <x:v>18589.0000000149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0.2425980833606183</x:v>
      </x:c>
      <x:c r="D19" s="8" t="n">
        <x:f>L19/'Summary'!$B$20*1000</x:f>
        <x:v>0.43720640473294853</x:v>
      </x:c>
      <x:c r="E19" s="8" t="n">
        <x:f>M19/'Summary'!$B$20*1000</x:f>
        <x:v>0.4933587928074658</x:v>
      </x:c>
      <x:c r="F19" s="8" t="n">
        <x:f>J19/'Summary'!$B$20*1000</x:f>
        <x:v>0.23675371820583518</x:v>
      </x:c>
      <x:c r="G19" s="12" t="n">
        <x:v>868.3907563030845</x:v>
      </x:c>
      <x:c r="H19" s="12" t="n">
        <x:v>1565.0000000298023</x:v>
      </x:c>
      <x:c r="I19" s="12" t="n">
        <x:v>1766</x:v>
      </x:c>
      <x:c r="J19" s="12" t="n">
        <x:v>847.4705882351063</x:v>
      </x:c>
      <x:c r="K19" s="2" t="n">
        <x:v>868.3907563030845</x:v>
      </x:c>
      <x:c r="L19" s="2" t="n">
        <x:v>1565.0000000298023</x:v>
      </x:c>
      <x:c r="M19" s="2" t="n">
        <x:v>1766</x:v>
      </x:c>
      <x:c r="N19" s="12" t="n">
        <x:v>847.4705882351063</x:v>
      </x:c>
      <x:c r="O19" s="12" t="n">
        <x:v>1534.0000000298023</x:v>
      </x:c>
      <x:c r="P19" s="12" t="n">
        <x:v>1564.0000000149012</x:v>
      </x:c>
      <x:c r="Q19" s="8" t="n">
        <x:f>S19/'Summary'!$B$20*1000</x:f>
        <x:v>0.42854608617290807</x:v>
      </x:c>
      <x:c r="R19" s="8" t="n">
        <x:f>T19/'Summary'!$B$20*1000</x:f>
        <x:v>0.4369270396139457</x:v>
      </x:c>
      <x:c r="S19" s="12" t="n">
        <x:v>1534.0000000298023</x:v>
      </x:c>
      <x:c r="T19" s="12" t="n">
        <x:v>1564.0000000149012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0.035758734699714266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0.035758734699714266</x:v>
      </x:c>
      <x:c r="G20" s="12" t="n">
        <x:v>128.00000000068871</x:v>
      </x:c>
      <x:c r="H20" s="12" t="n">
        <x:v>145.00000001490116</x:v>
      </x:c>
      <x:c r="I20" s="12" t="n">
        <x:v>145.00000002980232</x:v>
      </x:c>
      <x:c r="J20" s="12" t="n">
        <x:v>128.00000000068871</x:v>
      </x:c>
      <x:c r="K20" s="2" t="n">
        <x:v>128.00000000068871</x:v>
      </x:c>
      <x:c r="L20" s="2" t="n">
        <x:v>145.00000001490116</x:v>
      </x:c>
      <x:c r="M20" s="2" t="n">
        <x:v>145.00000002980232</x:v>
      </x:c>
      <x:c r="N20" s="12" t="n">
        <x:v>128.00000000068871</x:v>
      </x:c>
      <x:c r="O20" s="12" t="n">
        <x:v>145.00000001490116</x:v>
      </x:c>
      <x:c r="P20" s="12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2" t="n">
        <x:v>145.00000001490116</x:v>
      </x:c>
      <x:c r="T20" s="12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1.6656358524321928</x:v>
      </x:c>
      <x:c r="D21" s="8" t="n">
        <x:f>L21/'Summary'!$B$20*1000</x:f>
        <x:v>2.854552743435269</x:v>
      </x:c>
      <x:c r="E21" s="8" t="n">
        <x:f>M21/'Summary'!$B$20*1000</x:f>
        <x:v>3.0163051449234746</x:v>
      </x:c>
      <x:c r="F21" s="8" t="n">
        <x:f>J21/'Summary'!$B$20*1000</x:f>
        <x:v>0.9613070981942456</x:v>
      </x:c>
      <x:c r="G21" s="12" t="n">
        <x:v>5962.218487394394</x:v>
      </x:c>
      <x:c r="H21" s="12" t="n">
        <x:v>10218</x:v>
      </x:c>
      <x:c r="I21" s="12" t="n">
        <x:v>10796.999999985099</x:v>
      </x:c>
      <x:c r="J21" s="12" t="n">
        <x:v>3441.042016805721</x:v>
      </x:c>
      <x:c r="K21" s="2" t="n">
        <x:v>5962.218487394394</x:v>
      </x:c>
      <x:c r="L21" s="2" t="n">
        <x:v>10218</x:v>
      </x:c>
      <x:c r="M21" s="2" t="n">
        <x:v>10796.999999985099</x:v>
      </x:c>
      <x:c r="N21" s="12" t="n">
        <x:v>3441.042016805721</x:v>
      </x:c>
      <x:c r="O21" s="12" t="n">
        <x:v>3823.0000000596046</x:v>
      </x:c>
      <x:c r="P21" s="12" t="n">
        <x:v>4301.999999970198</x:v>
      </x:c>
      <x:c r="Q21" s="8" t="n">
        <x:f>S21/'Summary'!$B$20*1000</x:f>
        <x:v>1.0680128340500272</x:v>
      </x:c>
      <x:c r="R21" s="8" t="n">
        <x:f>T21/'Summary'!$B$20*1000</x:f>
        <x:v>1.2018287240334171</x:v>
      </x:c>
      <x:c r="S21" s="12" t="n">
        <x:v>3823.0000000596046</x:v>
      </x:c>
      <x:c r="T21" s="12" t="n">
        <x:v>4301.999999970198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0.46620051271471685</x:v>
      </x:c>
      <x:c r="D22" s="8" t="n">
        <x:f>L22/'Summary'!$B$20*1000</x:f>
        <x:v>0.5425270530234712</x:v>
      </x:c>
      <x:c r="E22" s="8" t="n">
        <x:f>M22/'Summary'!$B$20*1000</x:f>
        <x:v>0.6498032571178739</x:v>
      </x:c>
      <x:c r="F22" s="8" t="n">
        <x:f>J22/'Summary'!$B$20*1000</x:f>
        <x:v>0.46479547051949205</x:v>
      </x:c>
      <x:c r="G22" s="12" t="n">
        <x:v>1668.7857142854011</x:v>
      </x:c>
      <x:c r="H22" s="12" t="n">
        <x:v>1942.0000000149012</x:v>
      </x:c>
      <x:c r="I22" s="12" t="n">
        <x:v>2326</x:v>
      </x:c>
      <x:c r="J22" s="12" t="n">
        <x:v>1663.7563025206953</x:v>
      </x:c>
      <x:c r="K22" s="2" t="n">
        <x:v>1668.7857142854011</x:v>
      </x:c>
      <x:c r="L22" s="2" t="n">
        <x:v>1942.0000000149012</x:v>
      </x:c>
      <x:c r="M22" s="2" t="n">
        <x:v>2326</x:v>
      </x:c>
      <x:c r="N22" s="12" t="n">
        <x:v>1663.7563025206953</x:v>
      </x:c>
      <x:c r="O22" s="12" t="n">
        <x:v>1942.0000000149012</x:v>
      </x:c>
      <x:c r="P22" s="12" t="n">
        <x:v>2326</x:v>
      </x:c>
      <x:c r="Q22" s="8" t="n">
        <x:f>S22/'Summary'!$B$20*1000</x:f>
        <x:v>0.5425270530234712</x:v>
      </x:c>
      <x:c r="R22" s="8" t="n">
        <x:f>T22/'Summary'!$B$20*1000</x:f>
        <x:v>0.6498032571178739</x:v>
      </x:c>
      <x:c r="S22" s="12" t="n">
        <x:v>1942.0000000149012</x:v>
      </x:c>
      <x:c r="T22" s="12" t="n">
        <x:v>2326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3.865239386382272</x:v>
      </x:c>
      <x:c r="D23" s="8" t="n">
        <x:f>L23/'Summary'!$B$20*1000</x:f>
        <x:v>4.824356168172211</x:v>
      </x:c>
      <x:c r="E23" s="8" t="n">
        <x:f>M23/'Summary'!$B$20*1000</x:f>
        <x:v>10.71756326572232</x:v>
      </x:c>
      <x:c r="F23" s="8" t="n">
        <x:f>J23/'Summary'!$B$20*1000</x:f>
        <x:v>3.849583201921249</x:v>
      </x:c>
      <x:c r="G23" s="12" t="n">
        <x:v>13835.79831932773</x:v>
      </x:c>
      <x:c r="H23" s="12" t="n">
        <x:v>17269</x:v>
      </x:c>
      <x:c r="I23" s="12" t="n">
        <x:v>38364</x:v>
      </x:c>
      <x:c r="J23" s="12" t="n">
        <x:v>13779.756302521197</x:v>
      </x:c>
      <x:c r="K23" s="2" t="n">
        <x:v>13835.79831932773</x:v>
      </x:c>
      <x:c r="L23" s="2" t="n">
        <x:v>17269</x:v>
      </x:c>
      <x:c r="M23" s="2" t="n">
        <x:v>38364</x:v>
      </x:c>
      <x:c r="N23" s="12" t="n">
        <x:v>13779.756302521197</x:v>
      </x:c>
      <x:c r="O23" s="12" t="n">
        <x:v>17269</x:v>
      </x:c>
      <x:c r="P23" s="12" t="n">
        <x:v>38193</x:v>
      </x:c>
      <x:c r="Q23" s="8" t="n">
        <x:f>S23/'Summary'!$B$20*1000</x:f>
        <x:v>4.824356168172211</x:v>
      </x:c>
      <x:c r="R23" s="8" t="n">
        <x:f>T23/'Summary'!$B$20*1000</x:f>
        <x:v>10.669791831084677</x:v>
      </x:c>
      <x:c r="S23" s="12" t="n">
        <x:v>17269</x:v>
      </x:c>
      <x:c r="T23" s="12" t="n">
        <x:v>38193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0.6659453960224813</x:v>
      </x:c>
      <x:c r="D24" s="8" t="n">
        <x:f>L24/'Summary'!$B$20*1000</x:f>
        <x:v>2.990603554362356</x:v>
      </x:c>
      <x:c r="E24" s="8" t="n">
        <x:f>M24/'Summary'!$B$20*1000</x:f>
        <x:v>3.579225851326104</x:v>
      </x:c>
      <x:c r="F24" s="8" t="n">
        <x:f>J24/'Summary'!$B$20*1000</x:f>
        <x:v>0.6647410741408599</x:v>
      </x:c>
      <x:c r="G24" s="12" t="n">
        <x:v>2383.7815126052924</x:v>
      </x:c>
      <x:c r="H24" s="12" t="n">
        <x:v>10705</x:v>
      </x:c>
      <x:c r="I24" s="12" t="n">
        <x:v>12811.999999985099</x:v>
      </x:c>
      <x:c r="J24" s="12" t="n">
        <x:v>2379.4705882355447</x:v>
      </x:c>
      <x:c r="K24" s="2" t="n">
        <x:v>2383.7815126052924</x:v>
      </x:c>
      <x:c r="L24" s="2" t="n">
        <x:v>10705</x:v>
      </x:c>
      <x:c r="M24" s="2" t="n">
        <x:v>12811.999999985099</x:v>
      </x:c>
      <x:c r="N24" s="12" t="n">
        <x:v>2379.4705882355447</x:v>
      </x:c>
      <x:c r="O24" s="12" t="n">
        <x:v>10705</x:v>
      </x:c>
      <x:c r="P24" s="12" t="n">
        <x:v>12811.999999985099</x:v>
      </x:c>
      <x:c r="Q24" s="8" t="n">
        <x:f>S24/'Summary'!$B$20*1000</x:f>
        <x:v>2.990603554362356</x:v>
      </x:c>
      <x:c r="R24" s="8" t="n">
        <x:f>T24/'Summary'!$B$20*1000</x:f>
        <x:v>3.579225851326104</x:v>
      </x:c>
      <x:c r="S24" s="12" t="n">
        <x:v>10705</x:v>
      </x:c>
      <x:c r="T24" s="12" t="n">
        <x:v>12811.999999985099</x:v>
      </x:c>
    </x:row>
    <x:row r="25" ht="24" customHeight="1">
      <x:c r="A25" s="2" t="str">
        <x:v>GameAudio_Tick</x:v>
      </x:c>
      <x:c r="B25" s="8" t="n">
        <x:v>2.03781512605042</x:v>
      </x:c>
      <x:c r="C25" s="8" t="n">
        <x:f>K25/'Summary'!$B$20*1000</x:f>
        <x:v>0.979842621423242</x:v>
      </x:c>
      <x:c r="D25" s="8" t="n">
        <x:f>L25/'Summary'!$B$20*1000</x:f>
        <x:v>1.2093715821382602</x:v>
      </x:c>
      <x:c r="E25" s="8" t="n">
        <x:f>M25/'Summary'!$B$20*1000</x:f>
        <x:v>2.024000257020069</x:v>
      </x:c>
      <x:c r="F25" s="8" t="n">
        <x:f>J25/'Summary'!$B$20*1000</x:f>
        <x:v>0.979842621423242</x:v>
      </x:c>
      <x:c r="G25" s="12" t="n">
        <x:v>1721.152577319557</x:v>
      </x:c>
      <x:c r="H25" s="12" t="n">
        <x:v>4155.999999985099</x:v>
      </x:c>
      <x:c r="I25" s="12" t="n">
        <x:v>7086</x:v>
      </x:c>
      <x:c r="J25" s="12" t="n">
        <x:v>3507.3907563024586</x:v>
      </x:c>
      <x:c r="K25" s="2" t="n">
        <x:v>3507.3907563024586</x:v>
      </x:c>
      <x:c r="L25" s="2" t="n">
        <x:v>4328.999999985099</x:v>
      </x:c>
      <x:c r="M25" s="2" t="n">
        <x:v>7245.000000014901</x:v>
      </x:c>
      <x:c r="N25" s="12" t="n">
        <x:v>1721.152577319557</x:v>
      </x:c>
      <x:c r="O25" s="12" t="n">
        <x:v>4155.999999985099</x:v>
      </x:c>
      <x:c r="P25" s="12" t="n">
        <x:v>7086</x:v>
      </x:c>
      <x:c r="Q25" s="8" t="n">
        <x:f>S25/'Summary'!$B$20*1000</x:f>
        <x:v>1.2093715821382602</x:v>
      </x:c>
      <x:c r="R25" s="8" t="n">
        <x:f>T25/'Summary'!$B$20*1000</x:f>
        <x:v>2.024000257020069</x:v>
      </x:c>
      <x:c r="S25" s="12" t="n">
        <x:v>4328.999999985099</x:v>
      </x:c>
      <x:c r="T25" s="12" t="n">
        <x:v>7245.000000014901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0.23122275845344917</x:v>
      </x:c>
      <x:c r="D26" s="8" t="n">
        <x:f>L26/'Summary'!$B$20*1000</x:f>
        <x:v>0.7785905750591207</x:v>
      </x:c>
      <x:c r="E26" s="8" t="n">
        <x:f>M26/'Summary'!$B$20*1000</x:f>
        <x:v>0.8339048677974435</x:v>
      </x:c>
      <x:c r="F26" s="8" t="n">
        <x:f>J26/'Summary'!$B$20*1000</x:f>
        <x:v>0.2292155553173963</x:v>
      </x:c>
      <x:c r="G26" s="12" t="n">
        <x:v>827.6722689082517</x:v>
      </x:c>
      <x:c r="H26" s="12" t="n">
        <x:v>2787</x:v>
      </x:c>
      <x:c r="I26" s="12" t="n">
        <x:v>2985</x:v>
      </x:c>
      <x:c r="J26" s="12" t="n">
        <x:v>820.4873949586093</x:v>
      </x:c>
      <x:c r="K26" s="2" t="n">
        <x:v>827.6722689082517</x:v>
      </x:c>
      <x:c r="L26" s="2" t="n">
        <x:v>2787</x:v>
      </x:c>
      <x:c r="M26" s="2" t="n">
        <x:v>2985</x:v>
      </x:c>
      <x:c r="N26" s="12" t="n">
        <x:v>820.4873949586093</x:v>
      </x:c>
      <x:c r="O26" s="12" t="n">
        <x:v>2764</x:v>
      </x:c>
      <x:c r="P26" s="12" t="n">
        <x:v>2830</x:v>
      </x:c>
      <x:c r="Q26" s="8" t="n">
        <x:f>S26/'Summary'!$B$20*1000</x:f>
        <x:v>0.7721651774178003</x:v>
      </x:c>
      <x:c r="R26" s="8" t="n">
        <x:f>T26/'Summary'!$B$20*1000</x:f>
        <x:v>0.7906032749972413</x:v>
      </x:c>
      <x:c r="S26" s="12" t="n">
        <x:v>2764</x:v>
      </x:c>
      <x:c r="T26" s="12" t="n">
        <x:v>2830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0.4635395013061178</x:v>
      </x:c>
      <x:c r="D27" s="8" t="n">
        <x:f>L27/'Summary'!$B$20*1000</x:f>
        <x:v>0.4665397417911501</x:v>
      </x:c>
      <x:c r="E27" s="8" t="n">
        <x:f>M27/'Summary'!$B$20*1000</x:f>
        <x:v>0.4665397417911501</x:v>
      </x:c>
      <x:c r="F27" s="8" t="n">
        <x:f>J27/'Summary'!$B$20*1000</x:f>
        <x:v>0.4635395013061178</x:v>
      </x:c>
      <x:c r="G27" s="12" t="n">
        <x:v>1659.2605042028076</x:v>
      </x:c>
      <x:c r="H27" s="12" t="n">
        <x:v>1670.0000000298023</x:v>
      </x:c>
      <x:c r="I27" s="12" t="n">
        <x:v>1670.0000000298023</x:v>
      </x:c>
      <x:c r="J27" s="12" t="n">
        <x:v>1659.2605042028076</x:v>
      </x:c>
      <x:c r="K27" s="2" t="n">
        <x:v>1659.2605042028076</x:v>
      </x:c>
      <x:c r="L27" s="2" t="n">
        <x:v>1670.0000000298023</x:v>
      </x:c>
      <x:c r="M27" s="2" t="n">
        <x:v>1670.0000000298023</x:v>
      </x:c>
      <x:c r="N27" s="12" t="n">
        <x:v>1659.2605042028076</x:v>
      </x:c>
      <x:c r="O27" s="12" t="n">
        <x:v>1670.0000000298023</x:v>
      </x:c>
      <x:c r="P27" s="12" t="n">
        <x:v>1670.0000000298023</x:v>
      </x:c>
      <x:c r="Q27" s="8" t="n">
        <x:f>S27/'Summary'!$B$20*1000</x:f>
        <x:v>0.4665397417911501</x:v>
      </x:c>
      <x:c r="R27" s="8" t="n">
        <x:f>T27/'Summary'!$B$20*1000</x:f>
        <x:v>0.4665397417911501</x:v>
      </x:c>
      <x:c r="S27" s="12" t="n">
        <x:v>1670.0000000298023</x:v>
      </x:c>
      <x:c r="T27" s="12" t="n">
        <x:v>1670.0000000298023</x:v>
      </x:c>
    </x:row>
    <x:row r="28" ht="24" customHeight="1">
      <x:c r="A28" s="2" t="str">
        <x:v>GameSession_InputTick</x:v>
      </x:c>
      <x:c r="B28" s="8" t="n">
        <x:v>2.03781512605042</x:v>
      </x:c>
      <x:c r="C28" s="8" t="n">
        <x:f>K28/'Summary'!$B$20*1000</x:f>
        <x:v>0.043266378710516154</x:v>
      </x:c>
      <x:c r="D28" s="8" t="n">
        <x:f>L28/'Summary'!$B$20*1000</x:f>
        <x:v>0.04246349746817081</x:v>
      </x:c>
      <x:c r="E28" s="8" t="n">
        <x:f>M28/'Summary'!$B$20*1000</x:f>
        <x:v>0.0849269949030387</x:v>
      </x:c>
      <x:c r="F28" s="8" t="n">
        <x:f>J28/'Summary'!$B$20*1000</x:f>
        <x:v>0.043266378710516154</x:v>
      </x:c>
      <x:c r="G28" s="12" t="n">
        <x:v>76.00000000073737</x:v>
      </x:c>
      <x:c r="H28" s="12" t="n">
        <x:v>76.00000002980232</x:v>
      </x:c>
      <x:c r="I28" s="12" t="n">
        <x:v>76.00000002980232</x:v>
      </x:c>
      <x:c r="J28" s="12" t="n">
        <x:v>154.87394958133456</x:v>
      </x:c>
      <x:c r="K28" s="2" t="n">
        <x:v>154.87394958133456</x:v>
      </x:c>
      <x:c r="L28" s="2" t="n">
        <x:v>152.00000004470348</x:v>
      </x:c>
      <x:c r="M28" s="2" t="n">
        <x:v>303.9999999701977</x:v>
      </x:c>
      <x:c r="N28" s="12" t="n">
        <x:v>76.00000000073737</x:v>
      </x:c>
      <x:c r="O28" s="12" t="n">
        <x:v>76.00000002980232</x:v>
      </x:c>
      <x:c r="P28" s="12" t="n">
        <x:v>76.00000002980232</x:v>
      </x:c>
      <x:c r="Q28" s="8" t="n">
        <x:f>S28/'Summary'!$B$20*1000</x:f>
        <x:v>0.04246349746817081</x:v>
      </x:c>
      <x:c r="R28" s="8" t="n">
        <x:f>T28/'Summary'!$B$20*1000</x:f>
        <x:v>0.0849269949030387</x:v>
      </x:c>
      <x:c r="S28" s="12" t="n">
        <x:v>152.00000004470348</x:v>
      </x:c>
      <x:c r="T28" s="12" t="n">
        <x:v>303.9999999701977</x:v>
      </x:c>
    </x:row>
    <x:row r="29" ht="24" customHeight="1">
      <x:c r="A29" s="2" t="str">
        <x:v>GameSession_SharedSprite</x:v>
      </x:c>
      <x:c r="B29" s="8" t="n">
        <x:v>1.3865546218487395</x:v>
      </x:c>
      <x:c r="C29" s="8" t="n">
        <x:f>K29/'Summary'!$B$20*1000</x:f>
        <x:v>0.15512158832541295</x:v>
      </x:c>
      <x:c r="D29" s="8" t="n">
        <x:f>L29/'Summary'!$B$20*1000</x:f>
        <x:v>0.46039370925634404</x:v>
      </x:c>
      <x:c r="E29" s="8" t="n">
        <x:f>M29/'Summary'!$B$20*1000</x:f>
        <x:v>0.5165460973433499</x:v>
      </x:c>
      <x:c r="F29" s="8" t="n">
        <x:f>J29/'Summary'!$B$20*1000</x:f>
        <x:v>0.1549208680118094</x:v>
      </x:c>
      <x:c r="G29" s="12" t="n">
        <x:v>400.4636363635912</x:v>
      </x:c>
      <x:c r="H29" s="12" t="n">
        <x:v>412.00000001490116</x:v>
      </x:c>
      <x:c r="I29" s="12" t="n">
        <x:v>613.0000000149012</x:v>
      </x:c>
      <x:c r="J29" s="12" t="n">
        <x:v>554.5462184873323</x:v>
      </x:c>
      <x:c r="K29" s="2" t="n">
        <x:v>555.2647058822903</x:v>
      </x:c>
      <x:c r="L29" s="2" t="n">
        <x:v>1648</x:v>
      </x:c>
      <x:c r="M29" s="2" t="n">
        <x:v>1849.0000000149012</x:v>
      </x:c>
      <x:c r="N29" s="12" t="n">
        <x:v>399.9454545454094</x:v>
      </x:c>
      <x:c r="O29" s="12" t="n">
        <x:v>412.00000001490116</x:v>
      </x:c>
      <x:c r="P29" s="12" t="n">
        <x:v>442.00000001490116</x:v>
      </x:c>
      <x:c r="Q29" s="8" t="n">
        <x:f>S29/'Summary'!$B$20*1000</x:f>
        <x:v>0.46039370925634404</x:v>
      </x:c>
      <x:c r="R29" s="8" t="n">
        <x:f>T29/'Summary'!$B$20*1000</x:f>
        <x:v>0.46877466270570733</x:v>
      </x:c>
      <x:c r="S29" s="12" t="n">
        <x:v>1648</x:v>
      </x:c>
      <x:c r="T29" s="12" t="n">
        <x:v>1678.0000000149012</x:v>
      </x:c>
    </x:row>
    <x:row r="30" ht="24" customHeight="1">
      <x:c r="A30" s="2" t="str">
        <x:v>GameSession_FlagBlinkUpload</x:v>
      </x:c>
      <x:c r="B30" s="8" t="n">
        <x:v>0.21008403361344538</x:v>
      </x:c>
      <x:c r="C30" s="8" t="n">
        <x:f>K30/'Summary'!$B$20*1000</x:f>
        <x:v>0.020248101810760973</x:v>
      </x:c>
      <x:c r="D30" s="8" t="n">
        <x:f>L30/'Summary'!$B$20*1000</x:f>
        <x:v>0.09638096461980504</x:v>
      </x:c>
      <x:c r="E30" s="8" t="n">
        <x:f>M30/'Summary'!$B$20*1000</x:f>
        <x:v>0.09638096462813076</x:v>
      </x:c>
      <x:c r="F30" s="8" t="n">
        <x:f>J30/'Summary'!$B$20*1000</x:f>
        <x:v>0.020248101810760973</x:v>
      </x:c>
      <x:c r="G30" s="12" t="n">
        <x:v>344.99999999791385</x:v>
      </x:c>
      <x:c r="H30" s="12" t="n">
        <x:v>345.00000001490116</x:v>
      </x:c>
      <x:c r="I30" s="12" t="n">
        <x:v>345.0000000298023</x:v>
      </x:c>
      <x:c r="J30" s="12" t="n">
        <x:v>72.47899159620039</x:v>
      </x:c>
      <x:c r="K30" s="2" t="n">
        <x:v>72.47899159620039</x:v>
      </x:c>
      <x:c r="L30" s="2" t="n">
        <x:v>345</x:v>
      </x:c>
      <x:c r="M30" s="2" t="n">
        <x:v>345.0000000298023</x:v>
      </x:c>
      <x:c r="N30" s="12" t="n">
        <x:v>344.99999999791385</x:v>
      </x:c>
      <x:c r="O30" s="12" t="n">
        <x:v>345.00000001490116</x:v>
      </x:c>
      <x:c r="P30" s="12" t="n">
        <x:v>345.0000000298023</x:v>
      </x:c>
      <x:c r="Q30" s="8" t="n">
        <x:f>S30/'Summary'!$B$20*1000</x:f>
        <x:v>0.09638096461980504</x:v>
      </x:c>
      <x:c r="R30" s="8" t="n">
        <x:f>T30/'Summary'!$B$20*1000</x:f>
        <x:v>0.09638096462813076</x:v>
      </x:c>
      <x:c r="S30" s="12" t="n">
        <x:v>345</x:v>
      </x:c>
      <x:c r="T30" s="12" t="n">
        <x:v>345.0000000298023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0.7163860586901498</x:v>
      </x:c>
      <x:c r="D31" s="8" t="n">
        <x:f>L31/'Summary'!$B$20*1000</x:f>
        <x:v>0.7654604146616399</x:v>
      </x:c>
      <x:c r="E31" s="8" t="n">
        <x:f>M31/'Summary'!$B$20*1000</x:f>
        <x:v>0.7654604146699657</x:v>
      </x:c>
      <x:c r="F31" s="8" t="n">
        <x:f>J31/'Summary'!$B$20*1000</x:f>
        <x:v>0.710364449282096</x:v>
      </x:c>
      <x:c r="G31" s="12" t="n">
        <x:v>2564.336134454032</x:v>
      </x:c>
      <x:c r="H31" s="12" t="n">
        <x:v>2740</x:v>
      </x:c>
      <x:c r="I31" s="12" t="n">
        <x:v>2740.0000000298023</x:v>
      </x:c>
      <x:c r="J31" s="12" t="n">
        <x:v>2542.78151260548</x:v>
      </x:c>
      <x:c r="K31" s="2" t="n">
        <x:v>2564.336134454032</x:v>
      </x:c>
      <x:c r="L31" s="2" t="n">
        <x:v>2740</x:v>
      </x:c>
      <x:c r="M31" s="2" t="n">
        <x:v>2740.0000000298023</x:v>
      </x:c>
      <x:c r="N31" s="12" t="n">
        <x:v>2542.78151260548</x:v>
      </x:c>
      <x:c r="O31" s="12" t="n">
        <x:v>2569</x:v>
      </x:c>
      <x:c r="P31" s="12" t="n">
        <x:v>2569.0000000596046</x:v>
      </x:c>
      <x:c r="Q31" s="8" t="n">
        <x:f>S31/'Summary'!$B$20*1000</x:f>
        <x:v>0.7176889800239975</x:v>
      </x:c>
      <x:c r="R31" s="8" t="n">
        <x:f>T31/'Summary'!$B$20*1000</x:f>
        <x:v>0.717688980040649</x:v>
      </x:c>
      <x:c r="S31" s="12" t="n">
        <x:v>2569</x:v>
      </x:c>
      <x:c r="T31" s="12" t="n">
        <x:v>2569.0000000596046</x:v>
      </x:c>
    </x:row>
    <x:row r="32" ht="24" customHeight="1">
      <x:c r="A32" s="2" t="str">
        <x:v>GameBoundary_Upload</x:v>
      </x:c>
      <x:c r="B32" s="8" t="n">
        <x:v>0.10504201680672269</x:v>
      </x:c>
      <x:c r="C32" s="8" t="n">
        <x:f>K32/'Summary'!$B$20*1000</x:f>
        <x:v>0.36960004693328685</x:v>
      </x:c>
      <x:c r="D32" s="8" t="n">
        <x:f>L32/'Summary'!$B$20*1000</x:f>
        <x:v>3.545981402668468</x:v>
      </x:c>
      <x:c r="E32" s="8" t="n">
        <x:f>M32/'Summary'!$B$20*1000</x:f>
        <x:v>4.080406867357416</x:v>
      </x:c>
      <x:c r="F32" s="8" t="n">
        <x:f>J32/'Summary'!$B$20*1000</x:f>
        <x:v>0.3693993266196833</x:v>
      </x:c>
      <x:c r="G32" s="12" t="n">
        <x:v>12594.959999998211</x:v>
      </x:c>
      <x:c r="H32" s="12" t="n">
        <x:v>14605.999999985099</x:v>
      </x:c>
      <x:c r="I32" s="12" t="n">
        <x:v>14606.000000014901</x:v>
      </x:c>
      <x:c r="J32" s="12" t="n">
        <x:v>1322.2815126048542</x:v>
      </x:c>
      <x:c r="K32" s="2" t="n">
        <x:v>1322.9999999998122</x:v>
      </x:c>
      <x:c r="L32" s="2" t="n">
        <x:v>12693.000000014901</x:v>
      </x:c>
      <x:c r="M32" s="2" t="n">
        <x:v>14606.000000014901</x:v>
      </x:c>
      <x:c r="N32" s="12" t="n">
        <x:v>12588.119999998213</x:v>
      </x:c>
      <x:c r="O32" s="12" t="n">
        <x:v>14605.999999985099</x:v>
      </x:c>
      <x:c r="P32" s="12" t="n">
        <x:v>14606.000000014901</x:v>
      </x:c>
      <x:c r="Q32" s="8" t="n">
        <x:f>S32/'Summary'!$B$20*1000</x:f>
        <x:v>3.545981402668468</x:v>
      </x:c>
      <x:c r="R32" s="8" t="n">
        <x:f>T32/'Summary'!$B$20*1000</x:f>
        <x:v>4.080406867357416</x:v>
      </x:c>
      <x:c r="S32" s="12" t="n">
        <x:v>12693.000000014901</x:v>
      </x:c>
      <x:c r="T32" s="12" t="n">
        <x:v>14606.000000014901</x:v>
      </x:c>
    </x:row>
    <x:row r="33" ht="24" customHeight="1">
      <x:c r="A33" s="2" t="str">
        <x:v>Session_SaveMotion</x:v>
      </x:c>
      <x:c r="B33" s="8" t="n">
        <x:v>1.0168067226890756</x:v>
      </x:c>
      <x:c r="C33" s="8" t="n">
        <x:f>K33/'Summary'!$B$20*1000</x:f>
        <x:v>0.10043293258795379</x:v>
      </x:c>
      <x:c r="D33" s="8" t="n">
        <x:f>L33/'Summary'!$B$20*1000</x:f>
        <x:v>0.28299686133709767</x:v>
      </x:c>
      <x:c r="E33" s="8" t="n">
        <x:f>M33/'Summary'!$B$20*1000</x:f>
        <x:v>0.5659937226658696</x:v>
      </x:c>
      <x:c r="F33" s="8" t="n">
        <x:f>J33/'Summary'!$B$20*1000</x:f>
        <x:v>0.10043293258795379</x:v>
      </x:c>
      <x:c r="G33" s="12" t="n">
        <x:v>353.56198347095125</x:v>
      </x:c>
      <x:c r="H33" s="12" t="n">
        <x:v>1013.0000000149012</x:v>
      </x:c>
      <x:c r="I33" s="12" t="n">
        <x:v>1023.0000000149012</x:v>
      </x:c>
      <x:c r="J33" s="12" t="n">
        <x:v>359.50420168054706</x:v>
      </x:c>
      <x:c r="K33" s="2" t="n">
        <x:v>359.50420168054706</x:v>
      </x:c>
      <x:c r="L33" s="2" t="n">
        <x:v>1013.0000000149012</x:v>
      </x:c>
      <x:c r="M33" s="2" t="n">
        <x:v>2026</x:v>
      </x:c>
      <x:c r="N33" s="12" t="n">
        <x:v>353.56198347095125</x:v>
      </x:c>
      <x:c r="O33" s="12" t="n">
        <x:v>1013.0000000149012</x:v>
      </x:c>
      <x:c r="P33" s="12" t="n">
        <x:v>1023.0000000149012</x:v>
      </x:c>
      <x:c r="Q33" s="8" t="n">
        <x:f>S33/'Summary'!$B$20*1000</x:f>
        <x:v>0.28299686133709767</x:v>
      </x:c>
      <x:c r="R33" s="8" t="n">
        <x:f>T33/'Summary'!$B$20*1000</x:f>
        <x:v>0.5659937226658696</x:v>
      </x:c>
      <x:c r="S33" s="12" t="n">
        <x:v>1013.0000000149012</x:v>
      </x:c>
      <x:c r="T33" s="12" t="n">
        <x:v>2026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1.0168067226890756</x:v>
      </x:c>
      <x:c r="C35" s="8" t="n">
        <x:f>K35/'Summary'!$B$20*1000</x:f>
        <x:v>0.0615882697924328</x:v>
      </x:c>
      <x:c r="D35" s="8" t="n">
        <x:f>L35/'Summary'!$B$20*1000</x:f>
        <x:v>0.20756828032196797</x:v>
      </x:c>
      <x:c r="E35" s="8" t="n">
        <x:f>M35/'Summary'!$B$20*1000</x:f>
        <x:v>0.40563814674770116</x:v>
      </x:c>
      <x:c r="F35" s="8" t="n">
        <x:f>J35/'Summary'!$B$20*1000</x:f>
        <x:v>0.0615882697924328</x:v>
      </x:c>
      <x:c r="G35" s="12" t="n">
        <x:v>216.81404958763892</x:v>
      </x:c>
      <x:c r="H35" s="12" t="n">
        <x:v>737</x:v>
      </x:c>
      <x:c r="I35" s="12" t="n">
        <x:v>783.0000000149012</x:v>
      </x:c>
      <x:c r="J35" s="12" t="n">
        <x:v>220.45798319415385</x:v>
      </x:c>
      <x:c r="K35" s="2" t="n">
        <x:v>220.45798319415385</x:v>
      </x:c>
      <x:c r="L35" s="2" t="n">
        <x:v>742.9999999850988</x:v>
      </x:c>
      <x:c r="M35" s="2" t="n">
        <x:v>1452</x:v>
      </x:c>
      <x:c r="N35" s="12" t="n">
        <x:v>216.81404958763892</x:v>
      </x:c>
      <x:c r="O35" s="12" t="n">
        <x:v>737</x:v>
      </x:c>
      <x:c r="P35" s="12" t="n">
        <x:v>783.0000000149012</x:v>
      </x:c>
      <x:c r="Q35" s="8" t="n">
        <x:f>S35/'Summary'!$B$20*1000</x:f>
        <x:v>0.20756828032196797</x:v>
      </x:c>
      <x:c r="R35" s="8" t="n">
        <x:f>T35/'Summary'!$B$20*1000</x:f>
        <x:v>0.40563814674770116</x:v>
      </x:c>
      <x:c r="S35" s="12" t="n">
        <x:v>742.9999999850988</x:v>
      </x:c>
      <x:c r="T35" s="12" t="n">
        <x:v>1452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0.01526413425759992</x:v>
      </x:c>
      <x:c r="D36" s="8" t="n">
        <x:f>L36/'Summary'!$B$20*1000</x:f>
        <x:v>0.01843809757944096</x:v>
      </x:c>
      <x:c r="E36" s="8" t="n">
        <x:f>M36/'Summary'!$B$20*1000</x:f>
        <x:v>0.018438097587766693</x:v>
      </x:c>
      <x:c r="F36" s="8" t="n">
        <x:f>J36/'Summary'!$B$20*1000</x:f>
        <x:v>0.01526413425759992</x:v>
      </x:c>
      <x:c r="G36" s="12" t="n">
        <x:v>54.63865546112051</x:v>
      </x:c>
      <x:c r="H36" s="12" t="n">
        <x:v>66</x:v>
      </x:c>
      <x:c r="I36" s="12" t="n">
        <x:v>66.00000002980232</x:v>
      </x:c>
      <x:c r="J36" s="12" t="n">
        <x:v>54.63865546112051</x:v>
      </x:c>
      <x:c r="K36" s="2" t="n">
        <x:v>54.63865546112051</x:v>
      </x:c>
      <x:c r="L36" s="2" t="n">
        <x:v>66</x:v>
      </x:c>
      <x:c r="M36" s="2" t="n">
        <x:v>66.00000002980232</x:v>
      </x:c>
      <x:c r="N36" s="12" t="n">
        <x:v>54.63865546112051</x:v>
      </x:c>
      <x:c r="O36" s="12" t="n">
        <x:v>66</x:v>
      </x:c>
      <x:c r="P36" s="12" t="n">
        <x:v>66.00000002980232</x:v>
      </x:c>
      <x:c r="Q36" s="8" t="n">
        <x:f>S36/'Summary'!$B$20*1000</x:f>
        <x:v>0.01843809757944096</x:v>
      </x:c>
      <x:c r="R36" s="8" t="n">
        <x:f>T36/'Summary'!$B$20*1000</x:f>
        <x:v>0.018438097587766693</x:v>
      </x:c>
      <x:c r="S36" s="12" t="n">
        <x:v>66</x:v>
      </x:c>
      <x:c r="T36" s="12" t="n">
        <x:v>66.00000002980232</x:v>
      </x:c>
    </x:row>
    <x:row r="37" ht="24" customHeight="1">
      <x:c r="A37" s="2" t="str">
        <x:v>GameSession_EnemyRocks</x:v>
      </x:c>
      <x:c r="B37" s="8" t="n">
        <x:v>1.0168067226890756</x:v>
      </x:c>
      <x:c r="C37" s="8" t="n">
        <x:f>K37/'Summary'!$B$20*1000</x:f>
        <x:v>0.2395508907632809</x:v>
      </x:c>
      <x:c r="D37" s="8" t="n">
        <x:f>L37/'Summary'!$B$20*1000</x:f>
        <x:v>0.3542349656129756</x:v>
      </x:c>
      <x:c r="E37" s="8" t="n">
        <x:f>M37/'Summary'!$B$20*1000</x:f>
        <x:v>0.6648889733150719</x:v>
      </x:c>
      <x:c r="F37" s="8" t="n">
        <x:f>J37/'Summary'!$B$20*1000</x:f>
        <x:v>0.12886009372741308</x:v>
      </x:c>
      <x:c r="G37" s="12" t="n">
        <x:v>843.3099173553103</x:v>
      </x:c>
      <x:c r="H37" s="12" t="n">
        <x:v>1266.0000000298023</x:v>
      </x:c>
      <x:c r="I37" s="12" t="n">
        <x:v>1298.0000000298023</x:v>
      </x:c>
      <x:c r="J37" s="12" t="n">
        <x:v>461.26050420149284</x:v>
      </x:c>
      <x:c r="K37" s="2" t="n">
        <x:v>857.4831932772483</x:v>
      </x:c>
      <x:c r="L37" s="2" t="n">
        <x:v>1267.9999999850988</x:v>
      </x:c>
      <x:c r="M37" s="2" t="n">
        <x:v>2379.999999985099</x:v>
      </x:c>
      <x:c r="N37" s="12" t="n">
        <x:v>453.6363636361789</x:v>
      </x:c>
      <x:c r="O37" s="12" t="n">
        <x:v>539</x:v>
      </x:c>
      <x:c r="P37" s="12" t="n">
        <x:v>539.0000000298023</x:v>
      </x:c>
      <x:c r="Q37" s="8" t="n">
        <x:f>S37/'Summary'!$B$20*1000</x:f>
        <x:v>0.15057779690293074</x:v>
      </x:c>
      <x:c r="R37" s="8" t="n">
        <x:f>T37/'Summary'!$B$20*1000</x:f>
        <x:v>0.3011555937975357</x:v>
      </x:c>
      <x:c r="S37" s="12" t="n">
        <x:v>539.0000000149012</x:v>
      </x:c>
      <x:c r="T37" s="12" t="n">
        <x:v>1078</x:v>
      </x:c>
    </x:row>
    <x:row r="38" ht="24" customHeight="1">
      <x:c r="A38" s="2" t="str">
        <x:v>GameSession_EnemyRockProbe</x:v>
      </x:c>
      <x:c r="B38" s="8" t="n">
        <x:v>1.6008403361344539</x:v>
      </x:c>
      <x:c r="C38" s="8" t="n">
        <x:f>K38/'Summary'!$B$20*1000</x:f>
        <x:v>0.11069079703586782</x:v>
      </x:c>
      <x:c r="D38" s="8" t="n">
        <x:f>L38/'Summary'!$B$20*1000</x:f>
        <x:v>0.23047621974301202</x:v>
      </x:c>
      <x:c r="E38" s="8" t="n">
        <x:f>M38/'Summary'!$B$20*1000</x:f>
        <x:v>0.4173714815626561</x:v>
      </x:c>
      <x:c r="F38" s="8" t="n">
        <x:f>J38/'Summary'!$B$20*1000</x:f>
        <x:v>0.11069079703586782</x:v>
      </x:c>
      <x:c r="G38" s="12" t="n">
        <x:v>247.50918635178425</x:v>
      </x:c>
      <x:c r="H38" s="12" t="n">
        <x:v>285</x:v>
      </x:c>
      <x:c r="I38" s="12" t="n">
        <x:v>285.0000000298023</x:v>
      </x:c>
      <x:c r="J38" s="12" t="n">
        <x:v>396.22268907575545</x:v>
      </x:c>
      <x:c r="K38" s="2" t="n">
        <x:v>396.22268907575545</x:v>
      </x:c>
      <x:c r="L38" s="2" t="n">
        <x:v>825</x:v>
      </x:c>
      <x:c r="M38" s="2" t="n">
        <x:v>1493.9999999701977</x:v>
      </x:c>
      <x:c r="N38" s="12" t="n">
        <x:v>247.50918635178425</x:v>
      </x:c>
      <x:c r="O38" s="12" t="n">
        <x:v>285</x:v>
      </x:c>
      <x:c r="P38" s="12" t="n">
        <x:v>285.0000000298023</x:v>
      </x:c>
      <x:c r="Q38" s="8" t="n">
        <x:f>S38/'Summary'!$B$20*1000</x:f>
        <x:v>0.23047621974301202</x:v>
      </x:c>
      <x:c r="R38" s="8" t="n">
        <x:f>T38/'Summary'!$B$20*1000</x:f>
        <x:v>0.4173714815626561</x:v>
      </x:c>
      <x:c r="S38" s="12" t="n">
        <x:v>825</x:v>
      </x:c>
      <x:c r="T38" s="12" t="n">
        <x:v>1493.9999999701977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0.22535374343574935</x:v>
      </x:c>
      <x:c r="D39" s="8" t="n">
        <x:f>L39/'Summary'!$B$20*1000</x:f>
        <x:v>0.27238098696901425</x:v>
      </x:c>
      <x:c r="E39" s="8" t="n">
        <x:f>M39/'Summary'!$B$20*1000</x:f>
        <x:v>0.2821587659925776</x:v>
      </x:c>
      <x:c r="F39" s="8" t="n">
        <x:f>J39/'Summary'!$B$20*1000</x:f>
        <x:v>0.22294509967250686</x:v>
      </x:c>
      <x:c r="G39" s="12" t="n">
        <x:v>201.66596638667986</x:v>
      </x:c>
      <x:c r="H39" s="12" t="n">
        <x:v>208.00000001490116</x:v>
      </x:c>
      <x:c r="I39" s="12" t="n">
        <x:v>409</x:v>
      </x:c>
      <x:c r="J39" s="12" t="n">
        <x:v>798.0420168072236</x:v>
      </x:c>
      <x:c r="K39" s="2" t="n">
        <x:v>806.6638655467194</x:v>
      </x:c>
      <x:c r="L39" s="2" t="n">
        <x:v>975</x:v>
      </x:c>
      <x:c r="M39" s="2" t="n">
        <x:v>1010.0000000149012</x:v>
      </x:c>
      <x:c r="N39" s="12" t="n">
        <x:v>199.5105042018059</x:v>
      </x:c>
      <x:c r="O39" s="12" t="n">
        <x:v>208.00000001490116</x:v>
      </x:c>
      <x:c r="P39" s="12" t="n">
        <x:v>238</x:v>
      </x:c>
      <x:c r="Q39" s="8" t="n">
        <x:f>S39/'Summary'!$B$20*1000</x:f>
        <x:v>0.229638124398492</x:v>
      </x:c>
      <x:c r="R39" s="8" t="n">
        <x:f>T39/'Summary'!$B$20*1000</x:f>
        <x:v>0.23438733135493509</x:v>
      </x:c>
      <x:c r="S39" s="12" t="n">
        <x:v>822</x:v>
      </x:c>
      <x:c r="T39" s="12" t="n">
        <x:v>839.0000000149012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0.4344503152722132</x:v>
      </x:c>
      <x:c r="D40" s="8" t="n">
        <x:f>L40/'Summary'!$B$20*1000</x:f>
        <x:v>1.5362287665052403</x:v>
      </x:c>
      <x:c r="E40" s="8" t="n">
        <x:f>M40/'Summary'!$B$20*1000</x:f>
        <x:v>1.592381154588083</x:v>
      </x:c>
      <x:c r="F40" s="8" t="n">
        <x:f>J40/'Summary'!$B$20*1000</x:f>
        <x:v>0.07018168158078232</x:v>
      </x:c>
      <x:c r="G40" s="12" t="n">
        <x:v>1555.1344537810744</x:v>
      </x:c>
      <x:c r="H40" s="12" t="n">
        <x:v>5499</x:v>
      </x:c>
      <x:c r="I40" s="12" t="n">
        <x:v>5700</x:v>
      </x:c>
      <x:c r="J40" s="12" t="n">
        <x:v>251.21848739408145</x:v>
      </x:c>
      <x:c r="K40" s="2" t="n">
        <x:v>1555.1344537810744</x:v>
      </x:c>
      <x:c r="L40" s="2" t="n">
        <x:v>5499</x:v>
      </x:c>
      <x:c r="M40" s="2" t="n">
        <x:v>5700</x:v>
      </x:c>
      <x:c r="N40" s="12" t="n">
        <x:v>251.21848739408145</x:v>
      </x:c>
      <x:c r="O40" s="12" t="n">
        <x:v>262.0000000298023</x:v>
      </x:c>
      <x:c r="P40" s="12" t="n">
        <x:v>292</x:v>
      </x:c>
      <x:c r="Q40" s="8" t="n">
        <x:f>S40/'Summary'!$B$20*1000</x:f>
        <x:v>0.07319366009640955</x:v>
      </x:c>
      <x:c r="R40" s="8" t="n">
        <x:f>T40/'Summary'!$B$20*1000</x:f>
        <x:v>0.08157461353328427</x:v>
      </x:c>
      <x:c r="S40" s="12" t="n">
        <x:v>262.0000000298023</x:v>
      </x:c>
      <x:c r="T40" s="12" t="n">
        <x:v>292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0.3260249580335246</x:v>
      </x:c>
      <x:c r="D41" s="8" t="n">
        <x:f>L41/'Summary'!$B$20*1000</x:f>
        <x:v>1.2007112635823827</x:v>
      </x:c>
      <x:c r="E41" s="8" t="n">
        <x:f>M41/'Summary'!$B$20*1000</x:f>
        <x:v>1.2007112635907085</x:v>
      </x:c>
      <x:c r="F41" s="8" t="n">
        <x:f>J41/'Summary'!$B$20*1000</x:f>
        <x:v>0.09897154784883945</x:v>
      </x:c>
      <x:c r="G41" s="12" t="n">
        <x:v>1167.0210084041128</x:v>
      </x:c>
      <x:c r="H41" s="12" t="n">
        <x:v>4298</x:v>
      </x:c>
      <x:c r="I41" s="12" t="n">
        <x:v>4298.000000029802</x:v>
      </x:c>
      <x:c r="J41" s="12" t="n">
        <x:v>354.273109244574</x:v>
      </x:c>
      <x:c r="K41" s="2" t="n">
        <x:v>1167.0210084041128</x:v>
      </x:c>
      <x:c r="L41" s="2" t="n">
        <x:v>4298</x:v>
      </x:c>
      <x:c r="M41" s="2" t="n">
        <x:v>4298.000000029802</x:v>
      </x:c>
      <x:c r="N41" s="12" t="n">
        <x:v>354.273109244574</x:v>
      </x:c>
      <x:c r="O41" s="12" t="n">
        <x:v>854.0000000149012</x:v>
      </x:c>
      <x:c r="P41" s="12" t="n">
        <x:v>854.0000000298023</x:v>
      </x:c>
      <x:c r="Q41" s="8" t="n">
        <x:f>S41/'Summary'!$B$20*1000</x:f>
        <x:v>0.2385778080775353</x:v>
      </x:c>
      <x:c r="R41" s="8" t="n">
        <x:f>T41/'Summary'!$B$20*1000</x:f>
        <x:v>0.23857780808169818</x:v>
      </x:c>
      <x:c r="S41" s="12" t="n">
        <x:v>854.0000000149012</x:v>
      </x:c>
      <x:c r="T41" s="12" t="n">
        <x:v>854.0000000298023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0.008660318559935506</x:v>
      </x:c>
      <x:c r="D42" s="8" t="n">
        <x:f>L42/'Summary'!$B$20*1000</x:f>
        <x:v>0.008660318564203316</x:v>
      </x:c>
      <x:c r="E42" s="8" t="n">
        <x:f>M42/'Summary'!$B$20*1000</x:f>
        <x:v>0.008660318568366182</x:v>
      </x:c>
      <x:c r="F42" s="8" t="n">
        <x:f>J42/'Summary'!$B$20*1000</x:f>
        <x:v>0.008660318559935506</x:v>
      </x:c>
      <x:c r="G42" s="12" t="n">
        <x:v>30.99999999962434</x:v>
      </x:c>
      <x:c r="H42" s="12" t="n">
        <x:v>31.00000001490116</x:v>
      </x:c>
      <x:c r="I42" s="12" t="n">
        <x:v>31.000000029802322</x:v>
      </x:c>
      <x:c r="J42" s="12" t="n">
        <x:v>30.99999999962434</x:v>
      </x:c>
      <x:c r="K42" s="2" t="n">
        <x:v>30.99999999962434</x:v>
      </x:c>
      <x:c r="L42" s="2" t="n">
        <x:v>31.00000001490116</x:v>
      </x:c>
      <x:c r="M42" s="2" t="n">
        <x:v>31.000000029802322</x:v>
      </x:c>
      <x:c r="N42" s="12" t="n">
        <x:v>30.99999999962434</x:v>
      </x:c>
      <x:c r="O42" s="12" t="n">
        <x:v>31.00000001490116</x:v>
      </x:c>
      <x:c r="P42" s="12" t="n">
        <x:v>31.000000029802322</x:v>
      </x:c>
      <x:c r="Q42" s="8" t="n">
        <x:f>S42/'Summary'!$B$20*1000</x:f>
        <x:v>0.008660318564203316</x:v>
      </x:c>
      <x:c r="R42" s="8" t="n">
        <x:f>T42/'Summary'!$B$20*1000</x:f>
        <x:v>0.008660318568366182</x:v>
      </x:c>
      <x:c r="S42" s="12" t="n">
        <x:v>31.00000001490116</x:v>
      </x:c>
      <x:c r="T42" s="12" t="n">
        <x:v>31.000000029802322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0.008660318560005471</x:v>
      </x:c>
      <x:c r="D43" s="8" t="n">
        <x:f>L43/'Summary'!$B$20*1000</x:f>
        <x:v>0.008660318564203316</x:v>
      </x:c>
      <x:c r="E43" s="8" t="n">
        <x:f>M43/'Summary'!$B$20*1000</x:f>
        <x:v>0.008660318568366182</x:v>
      </x:c>
      <x:c r="F43" s="8" t="n">
        <x:f>J43/'Summary'!$B$20*1000</x:f>
        <x:v>0.008660318560005471</x:v>
      </x:c>
      <x:c r="G43" s="12" t="n">
        <x:v>30.99999999987478</x:v>
      </x:c>
      <x:c r="H43" s="12" t="n">
        <x:v>31.00000001490116</x:v>
      </x:c>
      <x:c r="I43" s="12" t="n">
        <x:v>31.000000029802322</x:v>
      </x:c>
      <x:c r="J43" s="12" t="n">
        <x:v>30.99999999987478</x:v>
      </x:c>
      <x:c r="K43" s="2" t="n">
        <x:v>30.99999999987478</x:v>
      </x:c>
      <x:c r="L43" s="2" t="n">
        <x:v>31.00000001490116</x:v>
      </x:c>
      <x:c r="M43" s="2" t="n">
        <x:v>31.000000029802322</x:v>
      </x:c>
      <x:c r="N43" s="12" t="n">
        <x:v>30.99999999987478</x:v>
      </x:c>
      <x:c r="O43" s="12" t="n">
        <x:v>31.00000001490116</x:v>
      </x:c>
      <x:c r="P43" s="12" t="n">
        <x:v>31.000000029802322</x:v>
      </x:c>
      <x:c r="Q43" s="8" t="n">
        <x:f>S43/'Summary'!$B$20*1000</x:f>
        <x:v>0.008660318564203316</x:v>
      </x:c>
      <x:c r="R43" s="8" t="n">
        <x:f>T43/'Summary'!$B$20*1000</x:f>
        <x:v>0.008660318568366182</x:v>
      </x:c>
      <x:c r="S43" s="12" t="n">
        <x:v>31.00000001490116</x:v>
      </x:c>
      <x:c r="T43" s="12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0.02458413010600874</x:v>
      </x:c>
      <x:c r="D44" s="8" t="n">
        <x:f>L44/'Summary'!$B$20*1000</x:f>
        <x:v>0.02458413011008415</x:v>
      </x:c>
      <x:c r="E44" s="8" t="n">
        <x:f>M44/'Summary'!$B$20*1000</x:f>
        <x:v>0.024584130114247014</x:v>
      </x:c>
      <x:c r="F44" s="8" t="n">
        <x:f>J44/'Summary'!$B$20*1000</x:f>
        <x:v>0.02458413010600874</x:v>
      </x:c>
      <x:c r="G44" s="12" t="n">
        <x:v>88.00000000031305</x:v>
      </x:c>
      <x:c r="H44" s="12" t="n">
        <x:v>88.00000001490116</x:v>
      </x:c>
      <x:c r="I44" s="12" t="n">
        <x:v>88.00000002980232</x:v>
      </x:c>
      <x:c r="J44" s="12" t="n">
        <x:v>88.00000000031305</x:v>
      </x:c>
      <x:c r="K44" s="2" t="n">
        <x:v>88.00000000031305</x:v>
      </x:c>
      <x:c r="L44" s="2" t="n">
        <x:v>88.00000001490116</x:v>
      </x:c>
      <x:c r="M44" s="2" t="n">
        <x:v>88.00000002980232</x:v>
      </x:c>
      <x:c r="N44" s="12" t="n">
        <x:v>88.00000000031305</x:v>
      </x:c>
      <x:c r="O44" s="12" t="n">
        <x:v>88.00000001490116</x:v>
      </x:c>
      <x:c r="P44" s="12" t="n">
        <x:v>88.00000002980232</x:v>
      </x:c>
      <x:c r="Q44" s="8" t="n">
        <x:f>S44/'Summary'!$B$20*1000</x:f>
        <x:v>0.02458413011008415</x:v>
      </x:c>
      <x:c r="R44" s="8" t="n">
        <x:f>T44/'Summary'!$B$20*1000</x:f>
        <x:v>0.024584130114247014</x:v>
      </x:c>
      <x:c r="S44" s="12" t="n">
        <x:v>88.00000001490116</x:v>
      </x:c>
      <x:c r="T44" s="12" t="n">
        <x:v>88.00000002980232</x:v>
      </x:c>
    </x:row>
    <x:row r="45" ht="24" customHeight="1">
      <x:c r="A45" s="2" t="str">
        <x:v>GameSession_PopupOverlay</x:v>
      </x:c>
      <x:c r="B45" s="8" t="n">
        <x:v>0.5126050420168067</x:v>
      </x:c>
      <x:c r="C45" s="8" t="n">
        <x:f>K45/'Summary'!$B$20*1000</x:f>
        <x:v>0.0044393229595408685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0.0044393229595408685</x:v>
      </x:c>
      <x:c r="G45" s="12" t="n">
        <x:v>31.000000001343547</x:v>
      </x:c>
      <x:c r="H45" s="12" t="n">
        <x:v>31.000000029802322</x:v>
      </x:c>
      <x:c r="I45" s="12" t="n">
        <x:v>31.000000029802322</x:v>
      </x:c>
      <x:c r="J45" s="12" t="n">
        <x:v>15.890756303209718</x:v>
      </x:c>
      <x:c r="K45" s="2" t="n">
        <x:v>15.890756303209718</x:v>
      </x:c>
      <x:c r="L45" s="2" t="n">
        <x:v>31.00000001490116</x:v>
      </x:c>
      <x:c r="M45" s="2" t="n">
        <x:v>31.000000029802322</x:v>
      </x:c>
      <x:c r="N45" s="12" t="n">
        <x:v>31.000000001343547</x:v>
      </x:c>
      <x:c r="O45" s="12" t="n">
        <x:v>31.000000029802322</x:v>
      </x:c>
      <x:c r="P45" s="12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2" t="n">
        <x:v>31.00000001490116</x:v>
      </x:c>
      <x:c r="T45" s="12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0.008660318560092925</x:v>
      </x:c>
      <x:c r="D46" s="8" t="n">
        <x:f>L46/'Summary'!$B$20*1000</x:f>
        <x:v>0.008660318564203316</x:v>
      </x:c>
      <x:c r="E46" s="8" t="n">
        <x:f>M46/'Summary'!$B$20*1000</x:f>
        <x:v>0.008660318568366182</x:v>
      </x:c>
      <x:c r="F46" s="8" t="n">
        <x:f>J46/'Summary'!$B$20*1000</x:f>
        <x:v>0.008660318560092925</x:v>
      </x:c>
      <x:c r="G46" s="12" t="n">
        <x:v>31.00000000018783</x:v>
      </x:c>
      <x:c r="H46" s="12" t="n">
        <x:v>31.00000001490116</x:v>
      </x:c>
      <x:c r="I46" s="12" t="n">
        <x:v>31.000000029802322</x:v>
      </x:c>
      <x:c r="J46" s="12" t="n">
        <x:v>31.00000000018783</x:v>
      </x:c>
      <x:c r="K46" s="2" t="n">
        <x:v>31.00000000018783</x:v>
      </x:c>
      <x:c r="L46" s="2" t="n">
        <x:v>31.00000001490116</x:v>
      </x:c>
      <x:c r="M46" s="2" t="n">
        <x:v>31.000000029802322</x:v>
      </x:c>
      <x:c r="N46" s="12" t="n">
        <x:v>31.00000000018783</x:v>
      </x:c>
      <x:c r="O46" s="12" t="n">
        <x:v>31.00000001490116</x:v>
      </x:c>
      <x:c r="P46" s="12" t="n">
        <x:v>31.000000029802322</x:v>
      </x:c>
      <x:c r="Q46" s="8" t="n">
        <x:f>S46/'Summary'!$B$20*1000</x:f>
        <x:v>0.008660318564203316</x:v>
      </x:c>
      <x:c r="R46" s="8" t="n">
        <x:f>T46/'Summary'!$B$20*1000</x:f>
        <x:v>0.008660318568366182</x:v>
      </x:c>
      <x:c r="S46" s="12" t="n">
        <x:v>31.00000001490116</x:v>
      </x:c>
      <x:c r="T46" s="12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0.05688953636919937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0.01704127200559071</x:v>
      </x:c>
      <x:c r="G47" s="12" t="n">
        <x:v>203.63865546268576</x:v>
      </x:c>
      <x:c r="H47" s="12" t="n">
        <x:v>215</x:v>
      </x:c>
      <x:c r="I47" s="12" t="n">
        <x:v>215.00000002980232</x:v>
      </x:c>
      <x:c r="J47" s="12" t="n">
        <x:v>61.0000000012522</x:v>
      </x:c>
      <x:c r="K47" s="2" t="n">
        <x:v>203.63865546268576</x:v>
      </x:c>
      <x:c r="L47" s="2" t="n">
        <x:v>215</x:v>
      </x:c>
      <x:c r="M47" s="2" t="n">
        <x:v>215.00000002980232</x:v>
      </x:c>
      <x:c r="N47" s="12" t="n">
        <x:v>61.0000000012522</x:v>
      </x:c>
      <x:c r="O47" s="12" t="n">
        <x:v>61.00000002980232</x:v>
      </x:c>
      <x:c r="P47" s="12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2" t="n">
        <x:v>61.00000002980232</x:v>
      </x:c>
      <x:c r="T47" s="12" t="n">
        <x:v>61.00000002980232</x:v>
      </x:c>
    </x:row>
    <x:row r="48" ht="24" customHeight="1">
      <x:c r="A48" s="2" t="str">
        <x:v>GameSession_EnsureFlags</x:v>
      </x:c>
      <x:c r="B48" s="8" t="n">
        <x:v>1</x:v>
      </x:c>
      <x:c r="C48" s="8" t="n">
        <x:f>K48/'Summary'!$B$20*1000</x:f>
        <x:v>0.3640679133778273</x:v>
      </x:c>
      <x:c r="D48" s="8" t="n">
        <x:f>L48/'Summary'!$B$20*1000</x:f>
        <x:v>1.4630351064171565</x:v>
      </x:c>
      <x:c r="E48" s="8" t="n">
        <x:f>M48/'Summary'!$B$20*1000</x:f>
        <x:v>1.5191874944999992</x:v>
      </x:c>
      <x:c r="F48" s="8" t="n">
        <x:f>J48/'Summary'!$B$20*1000</x:f>
        <x:v>0.04304805135143989</x:v>
      </x:c>
      <x:c r="G48" s="12" t="n">
        <x:v>1303.1974789920348</x:v>
      </x:c>
      <x:c r="H48" s="12" t="n">
        <x:v>5237</x:v>
      </x:c>
      <x:c r="I48" s="12" t="n">
        <x:v>5438</x:v>
      </x:c>
      <x:c r="J48" s="12" t="n">
        <x:v>154.0924369747899</x:v>
      </x:c>
      <x:c r="K48" s="2" t="n">
        <x:v>1303.1974789920348</x:v>
      </x:c>
      <x:c r="L48" s="2" t="n">
        <x:v>5237</x:v>
      </x:c>
      <x:c r="M48" s="2" t="n">
        <x:v>5438</x:v>
      </x:c>
      <x:c r="N48" s="12" t="n">
        <x:v>154.0924369747899</x:v>
      </x:c>
      <x:c r="O48" s="12" t="n">
        <x:v>308</x:v>
      </x:c>
      <x:c r="P48" s="12" t="n">
        <x:v>308.0000000298023</x:v>
      </x:c>
      <x:c r="Q48" s="8" t="n">
        <x:f>S48/'Summary'!$B$20*1000</x:f>
        <x:v>0.08604445537072448</x:v>
      </x:c>
      <x:c r="R48" s="8" t="n">
        <x:f>T48/'Summary'!$B$20*1000</x:f>
        <x:v>0.08604445537905021</x:v>
      </x:c>
      <x:c r="S48" s="12" t="n">
        <x:v>308</x:v>
      </x:c>
      <x:c r="T48" s="12" t="n">
        <x:v>308.0000000298023</x:v>
      </x:c>
    </x:row>
    <x:row r="49" ht="24" customHeight="1">
      <x:c r="A49" s="2" t="str">
        <x:v>GameSession_FlagCacheAddress</x:v>
      </x:c>
      <x:c r="B49" s="8" t="n">
        <x:v>0.22268907563025211</x:v>
      </x:c>
      <x:c r="C49" s="8" t="n">
        <x:f>K49/'Summary'!$B$20*1000</x:f>
        <x:v>0.009829426351608281</x:v>
      </x:c>
      <x:c r="D49" s="8" t="n">
        <x:f>L49/'Summary'!$B$20*1000</x:f>
        <x:v>0.04413968814888517</x:v>
      </x:c>
      <x:c r="E49" s="8" t="n">
        <x:f>M49/'Summary'!$B$20*1000</x:f>
        <x:v>0.044139688153048036</x:v>
      </x:c>
      <x:c r="F49" s="8" t="n">
        <x:f>J49/'Summary'!$B$20*1000</x:f>
        <x:v>0.009829426351608281</x:v>
      </x:c>
      <x:c r="G49" s="12" t="n">
        <x:v>158.00000000084347</x:v>
      </x:c>
      <x:c r="H49" s="12" t="n">
        <x:v>158.00000001490116</x:v>
      </x:c>
      <x:c r="I49" s="12" t="n">
        <x:v>158.00000002980232</x:v>
      </x:c>
      <x:c r="J49" s="12" t="n">
        <x:v>35.18487394976766</x:v>
      </x:c>
      <x:c r="K49" s="2" t="n">
        <x:v>35.18487394976766</x:v>
      </x:c>
      <x:c r="L49" s="2" t="n">
        <x:v>158.00000001490116</x:v>
      </x:c>
      <x:c r="M49" s="2" t="n">
        <x:v>158.00000002980232</x:v>
      </x:c>
      <x:c r="N49" s="12" t="n">
        <x:v>158.00000000084347</x:v>
      </x:c>
      <x:c r="O49" s="12" t="n">
        <x:v>158.00000001490116</x:v>
      </x:c>
      <x:c r="P49" s="12" t="n">
        <x:v>158.00000002980232</x:v>
      </x:c>
      <x:c r="Q49" s="8" t="n">
        <x:f>S49/'Summary'!$B$20*1000</x:f>
        <x:v>0.04413968814888517</x:v>
      </x:c>
      <x:c r="R49" s="8" t="n">
        <x:f>T49/'Summary'!$B$20*1000</x:f>
        <x:v>0.044139688153048036</x:v>
      </x:c>
      <x:c r="S49" s="12" t="n">
        <x:v>158.00000001490116</x:v>
      </x:c>
      <x:c r="T49" s="12" t="n">
        <x:v>158.00000002980232</x:v>
      </x:c>
    </x:row>
    <x:row r="50" ht="24" customHeight="1">
      <x:c r="A50" s="2" t="str">
        <x:v>GameSession_ApplyBlink</x:v>
      </x:c>
      <x:c r="B50" s="8" t="n">
        <x:v>1</x:v>
      </x:c>
      <x:c r="C50" s="8" t="n">
        <x:f>K50/'Summary'!$B$20*1000</x:f>
        <x:v>0.023041752959423484</x:v>
      </x:c>
      <x:c r="D50" s="8" t="n">
        <x:f>L50/'Summary'!$B$20*1000</x:f>
        <x:v>0.047212704407962464</x:v>
      </x:c>
      <x:c r="E50" s="8" t="n">
        <x:f>M50/'Summary'!$B$20*1000</x:f>
        <x:v>0.04721270441628819</x:v>
      </x:c>
      <x:c r="F50" s="8" t="n">
        <x:f>J50/'Summary'!$B$20*1000</x:f>
        <x:v>0.023041752959423484</x:v>
      </x:c>
      <x:c r="G50" s="12" t="n">
        <x:v>82.47899159713954</x:v>
      </x:c>
      <x:c r="H50" s="12" t="n">
        <x:v>169</x:v>
      </x:c>
      <x:c r="I50" s="12" t="n">
        <x:v>169.00000002980232</x:v>
      </x:c>
      <x:c r="J50" s="12" t="n">
        <x:v>82.47899159713954</x:v>
      </x:c>
      <x:c r="K50" s="2" t="n">
        <x:v>82.47899159713954</x:v>
      </x:c>
      <x:c r="L50" s="2" t="n">
        <x:v>169</x:v>
      </x:c>
      <x:c r="M50" s="2" t="n">
        <x:v>169.00000002980232</x:v>
      </x:c>
      <x:c r="N50" s="12" t="n">
        <x:v>82.47899159713954</x:v>
      </x:c>
      <x:c r="O50" s="12" t="n">
        <x:v>169</x:v>
      </x:c>
      <x:c r="P50" s="12" t="n">
        <x:v>169.00000002980232</x:v>
      </x:c>
      <x:c r="Q50" s="8" t="n">
        <x:f>S50/'Summary'!$B$20*1000</x:f>
        <x:v>0.047212704407962464</x:v>
      </x:c>
      <x:c r="R50" s="8" t="n">
        <x:f>T50/'Summary'!$B$20*1000</x:f>
        <x:v>0.04721270441628819</x:v>
      </x:c>
      <x:c r="S50" s="12" t="n">
        <x:v>169</x:v>
      </x:c>
      <x:c r="T50" s="12" t="n">
        <x:v>169.00000002980232</x:v>
      </x:c>
    </x:row>
    <x:row r="51" ht="24" customHeight="1">
      <x:c r="A51" s="2" t="str">
        <x:v>GameSession_ReadFlagCache</x:v>
      </x:c>
      <x:c r="B51" s="8" t="n">
        <x:v>0.22268907563025211</x:v>
      </x:c>
      <x:c r="C51" s="8" t="n">
        <x:f>K51/'Summary'!$B$20*1000</x:f>
        <x:v>0.28814868271535565</x:v>
      </x:c>
      <x:c r="D51" s="8" t="n">
        <x:f>L51/'Summary'!$B$20*1000</x:f>
        <x:v>1.2875938142976273</x:v>
      </x:c>
      <x:c r="E51" s="8" t="n">
        <x:f>M51/'Summary'!$B$20*1000</x:f>
        <x:v>1.34374620238047</x:v>
      </x:c>
      <x:c r="F51" s="8" t="n">
        <x:f>J51/'Summary'!$B$20*1000</x:f>
        <x:v>0.28694436083373437</x:v>
      </x:c>
      <x:c r="G51" s="12" t="n">
        <x:v>4631.754716980007</x:v>
      </x:c>
      <x:c r="H51" s="12" t="n">
        <x:v>4810</x:v>
      </x:c>
      <x:c r="I51" s="12" t="n">
        <x:v>4810</x:v>
      </x:c>
      <x:c r="J51" s="12" t="n">
        <x:v>1027.1302521005898</x:v>
      </x:c>
      <x:c r="K51" s="2" t="n">
        <x:v>1031.4411764703377</x:v>
      </x:c>
      <x:c r="L51" s="2" t="n">
        <x:v>4609</x:v>
      </x:c>
      <x:c r="M51" s="2" t="n">
        <x:v>4810</x:v>
      </x:c>
      <x:c r="N51" s="12" t="n">
        <x:v>4612.39622641397</x:v>
      </x:c>
      <x:c r="O51" s="12" t="n">
        <x:v>4639</x:v>
      </x:c>
      <x:c r="P51" s="12" t="n">
        <x:v>4639</x:v>
      </x:c>
      <x:c r="Q51" s="8" t="n">
        <x:f>S51/'Summary'!$B$20*1000</x:f>
        <x:v>1.2875938142976273</x:v>
      </x:c>
      <x:c r="R51" s="8" t="n">
        <x:f>T51/'Summary'!$B$20*1000</x:f>
        <x:v>1.2959747677428277</x:v>
      </x:c>
      <x:c r="S51" s="12" t="n">
        <x:v>4609</x:v>
      </x:c>
      <x:c r="T51" s="12" t="n">
        <x:v>4639</x:v>
      </x:c>
    </x:row>
    <x:row r="52" ht="24" customHeight="1">
      <x:c r="A52" s="2" t="str">
        <x:v>GameSession_UploadFlagBytes</x:v>
      </x:c>
      <x:c r="B52" s="8" t="n">
        <x:v>0.44537815126050423</x:v>
      </x:c>
      <x:c r="C52" s="8" t="n">
        <x:f>K52/'Summary'!$B$20*1000</x:f>
        <x:v>0.20680530837392413</x:v>
      </x:c>
      <x:c r="D52" s="8" t="n">
        <x:f>L52/'Summary'!$B$20*1000</x:f>
        <x:v>0.9621334555090102</x:v>
      </x:c>
      <x:c r="E52" s="8" t="n">
        <x:f>M52/'Summary'!$B$20*1000</x:f>
        <x:v>0.9621334555256617</x:v>
      </x:c>
      <x:c r="F52" s="8" t="n">
        <x:f>J52/'Summary'!$B$20*1000</x:f>
        <x:v>0.20680530837392413</x:v>
      </x:c>
      <x:c r="G52" s="12" t="n">
        <x:v>1662.1132075478727</x:v>
      </x:c>
      <x:c r="H52" s="12" t="n">
        <x:v>1722.0000000149012</x:v>
      </x:c>
      <x:c r="I52" s="12" t="n">
        <x:v>1722.0000000298023</x:v>
      </x:c>
      <x:c r="J52" s="12" t="n">
        <x:v>740.2689075633383</x:v>
      </x:c>
      <x:c r="K52" s="2" t="n">
        <x:v>740.2689075633383</x:v>
      </x:c>
      <x:c r="L52" s="2" t="n">
        <x:v>3444</x:v>
      </x:c>
      <x:c r="M52" s="2" t="n">
        <x:v>3444.0000000596046</x:v>
      </x:c>
      <x:c r="N52" s="12" t="n">
        <x:v>1662.1132075478727</x:v>
      </x:c>
      <x:c r="O52" s="12" t="n">
        <x:v>1722.0000000149012</x:v>
      </x:c>
      <x:c r="P52" s="12" t="n">
        <x:v>1722.0000000298023</x:v>
      </x:c>
      <x:c r="Q52" s="8" t="n">
        <x:f>S52/'Summary'!$B$20*1000</x:f>
        <x:v>0.9621334555090102</x:v>
      </x:c>
      <x:c r="R52" s="8" t="n">
        <x:f>T52/'Summary'!$B$20*1000</x:f>
        <x:v>0.9621334555256617</x:v>
      </x:c>
      <x:c r="S52" s="12" t="n">
        <x:v>3444</x:v>
      </x:c>
      <x:c r="T52" s="12" t="n">
        <x:v>3444.0000000596046</x:v>
      </x:c>
    </x:row>
    <x:row r="53" ht="24" customHeight="1">
      <x:c r="A53" s="2" t="str">
        <x:v>GameSession_CloneFlag</x:v>
      </x:c>
      <x:c r="B53" s="8" t="n">
        <x:v>0.20588235294117646</x:v>
      </x:c>
      <x:c r="C53" s="8" t="n">
        <x:f>K53/'Summary'!$B$20*1000</x:f>
        <x:v>0.027032683171511147</x:v>
      </x:c>
      <x:c r="D53" s="8" t="n">
        <x:f>L53/'Summary'!$B$20*1000</x:f>
        <x:v>0.1313016039789697</x:v>
      </x:c>
      <x:c r="E53" s="8" t="n">
        <x:f>M53/'Summary'!$B$20*1000</x:f>
        <x:v>0.1313016039831326</x:v>
      </x:c>
      <x:c r="F53" s="8" t="n">
        <x:f>J53/'Summary'!$B$20*1000</x:f>
        <x:v>0.027032683171511147</x:v>
      </x:c>
      <x:c r="G53" s="12" t="n">
        <x:v>470.00000000395335</x:v>
      </x:c>
      <x:c r="H53" s="12" t="n">
        <x:v>470.0000000298023</x:v>
      </x:c>
      <x:c r="I53" s="12" t="n">
        <x:v>470.0000000298023</x:v>
      </x:c>
      <x:c r="J53" s="12" t="n">
        <x:v>96.76470588316687</x:v>
      </x:c>
      <x:c r="K53" s="2" t="n">
        <x:v>96.76470588316687</x:v>
      </x:c>
      <x:c r="L53" s="2" t="n">
        <x:v>470.00000001490116</x:v>
      </x:c>
      <x:c r="M53" s="2" t="n">
        <x:v>470.0000000298023</x:v>
      </x:c>
      <x:c r="N53" s="12" t="n">
        <x:v>470.00000000395335</x:v>
      </x:c>
      <x:c r="O53" s="12" t="n">
        <x:v>470.0000000298023</x:v>
      </x:c>
      <x:c r="P53" s="12" t="n">
        <x:v>470.0000000298023</x:v>
      </x:c>
      <x:c r="Q53" s="8" t="n">
        <x:f>S53/'Summary'!$B$20*1000</x:f>
        <x:v>0.1313016039789697</x:v>
      </x:c>
      <x:c r="R53" s="8" t="n">
        <x:f>T53/'Summary'!$B$20*1000</x:f>
        <x:v>0.1313016039831326</x:v>
      </x:c>
      <x:c r="S53" s="12" t="n">
        <x:v>470.00000001490116</x:v>
      </x:c>
      <x:c r="T53" s="12" t="n">
        <x:v>470.0000000298023</x:v>
      </x:c>
    </x:row>
    <x:row r="54" ht="24" customHeight="1">
      <x:c r="A54" s="2" t="str">
        <x:v>clock_irq</x:v>
      </x:c>
      <x:c r="B54" s="8" t="n">
        <x:v>2.033613445378151</x:v>
      </x:c>
      <x:c r="C54" s="8" t="n">
        <x:f>K54/'Summary'!$B$20*1000</x:f>
        <x:v>0.09714863178397339</x:v>
      </x:c>
      <x:c r="D54" s="8" t="n">
        <x:f>L54/'Summary'!$B$20*1000</x:f>
        <x:v>0.0955428692836107</x:v>
      </x:c>
      <x:c r="E54" s="8" t="n">
        <x:f>M54/'Summary'!$B$20*1000</x:f>
        <x:v>0.1433143039212532</x:v>
      </x:c>
      <x:c r="F54" s="8" t="n">
        <x:f>J54/'Summary'!$B$20*1000</x:f>
        <x:v>0.09714863178397339</x:v>
      </x:c>
      <x:c r="G54" s="12" t="n">
        <x:v>170.9999999997537</x:v>
      </x:c>
      <x:c r="H54" s="12" t="n">
        <x:v>171</x:v>
      </x:c>
      <x:c r="I54" s="12" t="n">
        <x:v>171.00000002980232</x:v>
      </x:c>
      <x:c r="J54" s="12" t="n">
        <x:v>347.747899159163</x:v>
      </x:c>
      <x:c r="K54" s="2" t="n">
        <x:v>347.747899159163</x:v>
      </x:c>
      <x:c r="L54" s="2" t="n">
        <x:v>342.0000000298023</x:v>
      </x:c>
      <x:c r="M54" s="2" t="n">
        <x:v>513.0000000298023</x:v>
      </x:c>
      <x:c r="N54" s="12" t="n">
        <x:v>170.9999999997537</x:v>
      </x:c>
      <x:c r="O54" s="12" t="n">
        <x:v>171</x:v>
      </x:c>
      <x:c r="P54" s="12" t="n">
        <x:v>171.00000002980232</x:v>
      </x:c>
      <x:c r="Q54" s="8" t="n">
        <x:f>S54/'Summary'!$B$20*1000</x:f>
        <x:v>0.0955428692836107</x:v>
      </x:c>
      <x:c r="R54" s="8" t="n">
        <x:f>T54/'Summary'!$B$20*1000</x:f>
        <x:v>0.1433143039212532</x:v>
      </x:c>
      <x:c r="S54" s="12" t="n">
        <x:v>342.0000000298023</x:v>
      </x:c>
      <x:c r="T54" s="12" t="n">
        <x:v>513.0000000298023</x:v>
      </x:c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86.000..222.000</x:v>
      </x:c>
      <x:c r="D6" s="12" t="n">
        <x:v>7352.571428571428</x:v>
      </x:c>
      <x:c r="E6" s="12" t="n">
        <x:v>30932.87815126038</x:v>
      </x:c>
      <x:c r="F6" s="12" t="n">
        <x:v>17404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14.000..205.000</x:v>
      </x:c>
      <x:c r="D7" s="12" t="n">
        <x:v>6921.359943977591</x:v>
      </x:c>
      <x:c r="E7" s="12" t="n">
        <x:v>19115.362745098726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2" t="n">
        <x:v>648.101030927835</x:v>
      </x:c>
      <x:c r="E8" s="12" t="n">
        <x:v>8268.579381443114</x:v>
      </x:c>
      <x:c r="F8" s="12" t="n">
        <x:v>4083.6666666666665</x:v>
      </x:c>
      <x:c r="G8" s="2" t="n">
        <x:v>1</x:v>
      </x:c>
      <x:c r="H8" s="2" t="n">
        <x:v>259</x:v>
      </x:c>
    </x:row>
    <x:row r="9" ht="24" customHeight="1">
      <x:c r="A9" s="2" t="str">
        <x:v>Game_Position</x:v>
      </x:c>
      <x:c r="B9" s="2" t="str">
        <x:v>87..211</x:v>
      </x:c>
      <x:c r="C9" s="2" t="str">
        <x:v>1.000..227.000</x:v>
      </x:c>
      <x:c r="D9" s="12" t="n">
        <x:v>0</x:v>
      </x:c>
      <x:c r="E9" s="12" t="n">
        <x:v>900.0000000003131</x:v>
      </x:c>
      <x:c r="F9" s="12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92..216</x:v>
      </x:c>
      <x:c r="C10" s="2" t="str">
        <x:v>1.000..227.000</x:v>
      </x:c>
      <x:c r="D10" s="12" t="n">
        <x:v>0</x:v>
      </x:c>
      <x:c r="E10" s="12" t="n">
        <x:v>3984.9999999994366</x:v>
      </x:c>
      <x:c r="F10" s="12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110..233</x:v>
      </x:c>
      <x:c r="C11" s="2" t="str">
        <x:v>0.000..226.000</x:v>
      </x:c>
      <x:c r="D11" s="12" t="n">
        <x:v>232.9033613445378</x:v>
      </x:c>
      <x:c r="E11" s="12" t="n">
        <x:v>5713.764705881539</x:v>
      </x:c>
      <x:c r="F11" s="12" t="n">
        <x:v>8586.333333333334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1978.9831932773109</x:v>
      </x:c>
      <x:c r="E12" s="12" t="n">
        <x:v>2.5043968393021273e-9</x:v>
      </x:c>
      <x:c r="F12" s="12" t="n">
        <x:v>4819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0..260</x:v>
      </x:c>
      <x:c r="C13" s="2" t="str">
        <x:v>0.000..227.000</x:v>
      </x:c>
      <x:c r="D13" s="12" t="n">
        <x:v>82.8921568627451</x:v>
      </x:c>
      <x:c r="E13" s="12" t="n">
        <x:v>1850.5280112040434</x:v>
      </x:c>
      <x:c r="F13" s="12" t="n">
        <x:v>2023</x:v>
      </x:c>
      <x:c r="G13" s="2" t="n">
        <x:v>9</x:v>
      </x:c>
      <x:c r="H13" s="2" t="n">
        <x:v>228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1337.642857142857</x:v>
      </x:c>
      <x:c r="E14" s="12" t="n">
        <x:v>4.194864705831063e-9</x:v>
      </x:c>
      <x:c r="F14" s="12" t="n">
        <x:v>6680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7..250</x:v>
      </x:c>
      <x:c r="C15" s="2" t="str">
        <x:v>1.000..227.000</x:v>
      </x:c>
      <x:c r="D15" s="12" t="n">
        <x:v>10311.971988795518</x:v>
      </x:c>
      <x:c r="E15" s="12" t="n">
        <x:v>31234.952380951443</x:v>
      </x:c>
      <x:c r="F15" s="12" t="n">
        <x:v>22344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2..261</x:v>
      </x:c>
      <x:c r="C16" s="2" t="str">
        <x:v>0.000..227.000</x:v>
      </x:c>
      <x:c r="D16" s="12" t="n">
        <x:v>1127.952380952381</x:v>
      </x:c>
      <x:c r="E16" s="12" t="n">
        <x:v>36562.47198879452</x:v>
      </x:c>
      <x:c r="F16" s="12" t="n">
        <x:v>8538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3844.626050420168</x:v>
      </x:c>
      <x:c r="E17" s="12" t="n">
        <x:v>4.007034942883403e-9</x:v>
      </x:c>
      <x:c r="F17" s="12" t="n">
        <x:v>9159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8..252</x:v>
      </x:c>
      <x:c r="C18" s="2" t="str">
        <x:v>0.000..225.000</x:v>
      </x:c>
      <x:c r="D18" s="12" t="n">
        <x:v>369.53921568627453</x:v>
      </x:c>
      <x:c r="E18" s="12" t="n">
        <x:v>6317.574229692377</x:v>
      </x:c>
      <x:c r="F18" s="12" t="n">
        <x:v>10649.333333333334</x:v>
      </x:c>
      <x:c r="G18" s="2" t="n">
        <x:v>4</x:v>
      </x:c>
      <x:c r="H18" s="2" t="n">
        <x:v>215</x:v>
      </x:c>
    </x:row>
    <x:row r="19" ht="24" customHeight="1">
      <x:c r="A19" s="2" t="str">
        <x:v>Game_RingPatch</x:v>
      </x:c>
      <x:c r="B19" s="2" t="str">
        <x:v>6..260</x:v>
      </x:c>
      <x:c r="C19" s="2" t="str">
        <x:v>0.000..227.000</x:v>
      </x:c>
      <x:c r="D19" s="12" t="n">
        <x:v>108.68347338935574</x:v>
      </x:c>
      <x:c r="E19" s="12" t="n">
        <x:v>759.7072829139792</x:v>
      </x:c>
      <x:c r="F19" s="12" t="n">
        <x:v>1565</x:v>
      </x:c>
      <x:c r="G19" s="2" t="n">
        <x:v>15</x:v>
      </x:c>
      <x:c r="H19" s="2" t="n">
        <x:v>214</x:v>
      </x:c>
    </x:row>
    <x:row r="20" ht="24" customHeight="1">
      <x:c r="A20" s="2" t="str">
        <x:v>Game_DirtyTileUpload</x:v>
      </x:c>
      <x:c r="B20" s="2" t="str">
        <x:v>1..260</x:v>
      </x:c>
      <x:c r="C20" s="2" t="str">
        <x:v>0.000..227.000</x:v>
      </x:c>
      <x:c r="D20" s="12" t="n">
        <x:v>35.857142857142854</x:v>
      </x:c>
      <x:c r="E20" s="12" t="n">
        <x:v>92.14285714429717</x:v>
      </x:c>
      <x:c r="F20" s="12" t="n">
        <x:v>145</x:v>
      </x:c>
      <x:c r="G20" s="2" t="n">
        <x:v>68</x:v>
      </x:c>
      <x:c r="H20" s="2" t="n">
        <x:v>170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0.000..226.000</x:v>
      </x:c>
      <x:c r="D21" s="12" t="n">
        <x:v>2072.0196078431372</x:v>
      </x:c>
      <x:c r="E21" s="12" t="n">
        <x:v>3890.198879552071</x:v>
      </x:c>
      <x:c r="F21" s="12" t="n">
        <x:v>9522</x:v>
      </x:c>
      <x:c r="G21" s="2" t="n">
        <x:v>43</x:v>
      </x:c>
      <x:c r="H21" s="2" t="n">
        <x:v>107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2" t="n">
        <x:v>597.2296918767507</x:v>
      </x:c>
      <x:c r="E22" s="12" t="n">
        <x:v>1071.5560224104036</x:v>
      </x:c>
      <x:c r="F22" s="12" t="n">
        <x:v>1942</x:v>
      </x:c>
      <x:c r="G22" s="2" t="n">
        <x:v>83</x:v>
      </x:c>
      <x:c r="H22" s="2" t="n">
        <x:v>143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0.000..226.000</x:v>
      </x:c>
      <x:c r="D23" s="12" t="n">
        <x:v>4503.351540616247</x:v>
      </x:c>
      <x:c r="E23" s="12" t="n">
        <x:v>9332.446778711485</x:v>
      </x:c>
      <x:c r="F23" s="12" t="n">
        <x:v>11172</x:v>
      </x:c>
      <x:c r="G23" s="2" t="n">
        <x:v>0</x:v>
      </x:c>
      <x:c r="H23" s="2" t="n">
        <x:v>70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0.000..227.000</x:v>
      </x:c>
      <x:c r="D24" s="12" t="n">
        <x:v>943.5728291316526</x:v>
      </x:c>
      <x:c r="E24" s="12" t="n">
        <x:v>1440.2086834752051</x:v>
      </x:c>
      <x:c r="F24" s="12" t="n">
        <x:v>11172</x:v>
      </x:c>
      <x:c r="G24" s="2" t="n">
        <x:v>91</x:v>
      </x:c>
      <x:c r="H24" s="2" t="n">
        <x:v>125</x:v>
      </x:c>
    </x:row>
    <x:row r="25" ht="24" customHeight="1">
      <x:c r="A25" s="2" t="str">
        <x:v>GameAudio_Tick</x:v>
      </x:c>
      <x:c r="B25" s="2" t="str">
        <x:v>3..149</x:v>
      </x:c>
      <x:c r="C25" s="2" t="str">
        <x:v>1.000..224.000</x:v>
      </x:c>
      <x:c r="D25" s="12" t="n">
        <x:v>1640.2323024054983</x:v>
      </x:c>
      <x:c r="E25" s="12" t="n">
        <x:v>80.92027491605569</x:v>
      </x:c>
      <x:c r="F25" s="12" t="n">
        <x:v>4363</x:v>
      </x:c>
      <x:c r="G25" s="2" t="n">
        <x:v>227</x:v>
      </x:c>
      <x:c r="H25" s="2" t="n">
        <x:v>248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2.000..226.000</x:v>
      </x:c>
      <x:c r="D26" s="12" t="n">
        <x:v>185.9313725490196</x:v>
      </x:c>
      <x:c r="E26" s="12" t="n">
        <x:v>641.740896359733</x:v>
      </x:c>
      <x:c r="F26" s="12" t="n">
        <x:v>2877.3333333333335</x:v>
      </x:c>
      <x:c r="G26" s="2" t="n">
        <x:v>20</x:v>
      </x:c>
      <x:c r="H26" s="2" t="n">
        <x:v>206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40.000..176.000</x:v>
      </x:c>
      <x:c r="D27" s="12" t="n">
        <x:v>1658.2240896358544</x:v>
      </x:c>
      <x:c r="E27" s="12" t="n">
        <x:v>1.0364145703968541</x:v>
      </x:c>
      <x:c r="F27" s="12" t="n">
        <x:v>1670</x:v>
      </x:c>
      <x:c r="G27" s="2" t="n">
        <x:v>236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0.000..225.000</x:v>
      </x:c>
      <x:c r="D28" s="12" t="n">
        <x:v>35.57113402061856</x:v>
      </x:c>
      <x:c r="E28" s="12" t="n">
        <x:v>40.42886598190081</x:v>
      </x:c>
      <x:c r="F28" s="12" t="n">
        <x:v>76</x:v>
      </x:c>
      <x:c r="G28" s="2" t="n">
        <x:v>227</x:v>
      </x:c>
      <x:c r="H28" s="2" t="n">
        <x:v>258</x:v>
      </x:c>
    </x:row>
    <x:row r="29" ht="24" customHeight="1">
      <x:c r="A29" s="2" t="str">
        <x:v>GameSession_SharedSprite</x:v>
      </x:c>
      <x:c r="B29" s="2" t="str">
        <x:v>114..256</x:v>
      </x:c>
      <x:c r="C29" s="2" t="str">
        <x:v>0.000..227.000</x:v>
      </x:c>
      <x:c r="D29" s="12" t="n">
        <x:v>4.155555555555556</x:v>
      </x:c>
      <x:c r="E29" s="12" t="n">
        <x:v>396.30808080803564</x:v>
      </x:c>
      <x:c r="F29" s="12" t="n">
        <x:v>547.3333333333334</x:v>
      </x:c>
      <x:c r="G29" s="2" t="n">
        <x:v>2</x:v>
      </x:c>
      <x:c r="H29" s="2" t="n">
        <x:v>327</x:v>
      </x:c>
    </x:row>
    <x:row r="30" ht="24" customHeight="1">
      <x:c r="A30" s="2" t="str">
        <x:v>GameSession_FlagBlinkUpload</x:v>
      </x:c>
      <x:c r="B30" s="2" t="str">
        <x:v>0..259</x:v>
      </x:c>
      <x:c r="C30" s="2" t="str">
        <x:v>0.000..227.000</x:v>
      </x:c>
      <x:c r="D30" s="12" t="n">
        <x:v>169.95333333333332</x:v>
      </x:c>
      <x:c r="E30" s="12" t="n">
        <x:v>175.04666666756074</x:v>
      </x:c>
      <x:c r="F30" s="12" t="n">
        <x:v>345</x:v>
      </x:c>
      <x:c r="G30" s="2" t="n">
        <x:v>24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1..261</x:v>
      </x:c>
      <x:c r="C31" s="2" t="str">
        <x:v>0.000..227.000</x:v>
      </x:c>
      <x:c r="D31" s="12" t="n">
        <x:v>611.9313725490196</x:v>
      </x:c>
      <x:c r="E31" s="12" t="n">
        <x:v>1952.4047619052</x:v>
      </x:c>
      <x:c r="F31" s="12" t="n">
        <x:v>2735.3333333333335</x:v>
      </x:c>
      <x:c r="G31" s="2" t="n">
        <x:v>37</x:v>
      </x:c>
      <x:c r="H31" s="2" t="n">
        <x:v>167</x:v>
      </x:c>
    </x:row>
    <x:row r="32" ht="24" customHeight="1">
      <x:c r="A32" s="2" t="str">
        <x:v>GameBoundary_Upload</x:v>
      </x:c>
      <x:c r="B32" s="2" t="str">
        <x:v>29..227</x:v>
      </x:c>
      <x:c r="C32" s="2" t="str">
        <x:v>9.000..221.000</x:v>
      </x:c>
      <x:c r="D32" s="12" t="n">
        <x:v>312.2</x:v>
      </x:c>
      <x:c r="E32" s="12" t="n">
        <x:v>12282.759999998212</x:v>
      </x:c>
      <x:c r="F32" s="12" t="n">
        <x:v>7462.333333333333</x:v>
      </x:c>
      <x:c r="G32" s="2" t="n">
        <x:v>0</x:v>
      </x:c>
      <x:c r="H32" s="2" t="n">
        <x:v>23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0.000..227.000</x:v>
      </x:c>
      <x:c r="D33" s="12" t="n">
        <x:v>163.37465564738292</x:v>
      </x:c>
      <x:c r="E33" s="12" t="n">
        <x:v>190.18732782535398</x:v>
      </x:c>
      <x:c r="F33" s="12" t="n">
        <x:v>1023</x:v>
      </x:c>
      <x:c r="G33" s="2" t="n">
        <x:v>93</x:v>
      </x:c>
      <x:c r="H33" s="2" t="n">
        <x:v>136</x:v>
      </x:c>
    </x:row>
    <x:row r="34" ht="24" customHeight="1">
      <x:c r="A34" s="2" t="str">
        <x:v>GameSession_ValidateMotion</x:v>
      </x:c>
      <x:c r="B34" s="2" t="str">
        <x:v>46..183</x:v>
      </x:c>
      <x:c r="C34" s="2" t="str">
        <x:v>0.000..225.000</x:v>
      </x:c>
      <x:c r="D34" s="12" t="n">
        <x:v>0</x:v>
      </x:c>
      <x:c r="E34" s="12" t="n">
        <x:v>216.81404958763892</x:v>
      </x:c>
      <x:c r="F34" s="12" t="n">
        <x:v>0</x:v>
      </x:c>
      <x:c r="G34" s="2" t="n">
        <x:v>0</x:v>
      </x:c>
      <x:c r="H34" s="2" t="n">
        <x:v>242</x:v>
      </x:c>
    </x:row>
    <x:row r="35" ht="24" customHeight="1">
      <x:c r="A35" s="2" t="str">
        <x:v>GameSession_SpecialFrame</x:v>
      </x:c>
      <x:c r="B35" s="2" t="str">
        <x:v>91..215</x:v>
      </x:c>
      <x:c r="C35" s="2" t="str">
        <x:v>4.000..227.000</x:v>
      </x:c>
      <x:c r="D35" s="12" t="n">
        <x:v>0</x:v>
      </x:c>
      <x:c r="E35" s="12" t="n">
        <x:v>54.63865546112051</x:v>
      </x:c>
      <x:c r="F35" s="12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52..194</x:v>
      </x:c>
      <x:c r="C36" s="2" t="str">
        <x:v>1.000..227.000</x:v>
      </x:c>
      <x:c r="D36" s="12" t="n">
        <x:v>0</x:v>
      </x:c>
      <x:c r="E36" s="12" t="n">
        <x:v>843.3099173553103</x:v>
      </x:c>
      <x:c r="F36" s="12" t="n">
        <x:v>0</x:v>
      </x:c>
      <x:c r="G36" s="2" t="n">
        <x:v>0</x:v>
      </x:c>
      <x:c r="H36" s="2" t="n">
        <x:v>242</x:v>
      </x:c>
    </x:row>
    <x:row r="37" ht="24" customHeight="1">
      <x:c r="A37" s="2" t="str">
        <x:v>GameSession_EnemyRockProbe</x:v>
      </x:c>
      <x:c r="B37" s="2" t="str">
        <x:v>55..162</x:v>
      </x:c>
      <x:c r="C37" s="2" t="str">
        <x:v>0.000..227.000</x:v>
      </x:c>
      <x:c r="D37" s="12" t="n">
        <x:v>0</x:v>
      </x:c>
      <x:c r="E37" s="12" t="n">
        <x:v>247.50918635178425</x:v>
      </x:c>
      <x:c r="F37" s="12" t="n">
        <x:v>0</x:v>
      </x:c>
      <x:c r="G37" s="2" t="n">
        <x:v>0</x:v>
      </x:c>
      <x:c r="H37" s="2" t="n">
        <x:v>381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2" t="n">
        <x:v>78.88305322128852</x:v>
      </x:c>
      <x:c r="E38" s="12" t="n">
        <x:v>122.782913166487</x:v>
      </x:c>
      <x:c r="F38" s="12" t="n">
        <x:v>355.3333333333333</x:v>
      </x:c>
      <x:c r="G38" s="2" t="n">
        <x:v>360</x:v>
      </x:c>
      <x:c r="H38" s="2" t="n">
        <x:v>579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0.000..226.000</x:v>
      </x:c>
      <x:c r="D39" s="12" t="n">
        <x:v>462.5602240896359</x:v>
      </x:c>
      <x:c r="E39" s="12" t="n">
        <x:v>1092.5742296920646</x:v>
      </x:c>
      <x:c r="F39" s="12" t="n">
        <x:v>5499</x:v>
      </x:c>
      <x:c r="G39" s="2" t="n">
        <x:v>53</x:v>
      </x:c>
      <x:c r="H39" s="2" t="n">
        <x:v>163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0.000..227.000</x:v>
      </x:c>
      <x:c r="D40" s="12" t="n">
        <x:v>192.109243697479</x:v>
      </x:c>
      <x:c r="E40" s="12" t="n">
        <x:v>974.9117647072597</x:v>
      </x:c>
      <x:c r="F40" s="12" t="n">
        <x:v>4298</x:v>
      </x:c>
      <x:c r="G40" s="2" t="n">
        <x:v>86</x:v>
      </x:c>
      <x:c r="H40" s="2" t="n">
        <x:v>143</x:v>
      </x:c>
    </x:row>
    <x:row r="41" ht="24" customHeight="1">
      <x:c r="A41" s="2" t="str">
        <x:v>GameSession_LabelNames</x:v>
      </x:c>
      <x:c r="B41" s="2" t="str">
        <x:v>0..259</x:v>
      </x:c>
      <x:c r="C41" s="2" t="str">
        <x:v>2.000..227.000</x:v>
      </x:c>
      <x:c r="D41" s="12" t="n">
        <x:v>7.815126050420168</x:v>
      </x:c>
      <x:c r="E41" s="12" t="n">
        <x:v>23.18487395014332</x:v>
      </x:c>
      <x:c r="F41" s="12" t="n">
        <x:v>31</x:v>
      </x:c>
      <x:c r="G41" s="2" t="n">
        <x:v>60</x:v>
      </x:c>
      <x:c r="H41" s="2" t="n">
        <x:v>178</x:v>
      </x:c>
    </x:row>
    <x:row r="42" ht="24" customHeight="1">
      <x:c r="A42" s="2" t="str">
        <x:v>GameSession_LabelUpload</x:v>
      </x:c>
      <x:c r="B42" s="2" t="str">
        <x:v>0..261</x:v>
      </x:c>
      <x:c r="C42" s="2" t="str">
        <x:v>0.000..227.000</x:v>
      </x:c>
      <x:c r="D42" s="12" t="n">
        <x:v>11.46218487394958</x:v>
      </x:c>
      <x:c r="E42" s="12" t="n">
        <x:v>19.53781512705218</x:v>
      </x:c>
      <x:c r="F42" s="12" t="n">
        <x:v>31</x:v>
      </x:c>
      <x:c r="G42" s="2" t="n">
        <x:v>88</x:v>
      </x:c>
      <x:c r="H42" s="2" t="n">
        <x:v>150</x:v>
      </x:c>
    </x:row>
    <x:row r="43" ht="24" customHeight="1">
      <x:c r="A43" s="2" t="str">
        <x:v>GameSession_PopupFrame</x:v>
      </x:c>
      <x:c r="B43" s="2" t="str">
        <x:v>92..215</x:v>
      </x:c>
      <x:c r="C43" s="2" t="str">
        <x:v>1.000..227.000</x:v>
      </x:c>
      <x:c r="D43" s="12" t="n">
        <x:v>0</x:v>
      </x:c>
      <x:c r="E43" s="12" t="n">
        <x:v>88.00000000031305</x:v>
      </x:c>
      <x:c r="F43" s="12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1.000..223.000</x:v>
      </x:c>
      <x:c r="D44" s="12" t="n">
        <x:v>4.573770491803279</x:v>
      </x:c>
      <x:c r="E44" s="12" t="n">
        <x:v>26.426229510395252</x:v>
      </x:c>
      <x:c r="F44" s="12" t="n">
        <x:v>31</x:v>
      </x:c>
      <x:c r="G44" s="2" t="n">
        <x:v>18</x:v>
      </x:c>
      <x:c r="H44" s="2" t="n">
        <x:v>104</x:v>
      </x:c>
    </x:row>
    <x:row r="45" ht="24" customHeight="1">
      <x:c r="A45" s="2" t="str">
        <x:v>GameSession_PopupUpload</x:v>
      </x:c>
      <x:c r="B45" s="2" t="str">
        <x:v>0..261</x:v>
      </x:c>
      <x:c r="C45" s="2" t="str">
        <x:v>0.000..227.000</x:v>
      </x:c>
      <x:c r="D45" s="12" t="n">
        <x:v>11.46218487394958</x:v>
      </x:c>
      <x:c r="E45" s="12" t="n">
        <x:v>19.537815127490447</x:v>
      </x:c>
      <x:c r="F45" s="12" t="n">
        <x:v>31</x:v>
      </x:c>
      <x:c r="G45" s="2" t="n">
        <x:v>88</x:v>
      </x:c>
      <x:c r="H45" s="2" t="n">
        <x:v>150</x:v>
      </x:c>
    </x:row>
    <x:row r="46" ht="24" customHeight="1">
      <x:c r="A46" s="2" t="str">
        <x:v>GameSession_AfterFrame</x:v>
      </x:c>
      <x:c r="B46" s="2" t="str">
        <x:v>91..215</x:v>
      </x:c>
      <x:c r="C46" s="2" t="str">
        <x:v>3.000..224.000</x:v>
      </x:c>
      <x:c r="D46" s="12" t="n">
        <x:v>0</x:v>
      </x:c>
      <x:c r="E46" s="12" t="n">
        <x:v>203.63865546268576</x:v>
      </x:c>
      <x:c r="F46" s="12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GameSession_EnsureFlags</x:v>
      </x:c>
      <x:c r="B47" s="2" t="str">
        <x:v>0..261</x:v>
      </x:c>
      <x:c r="C47" s="2" t="str">
        <x:v>2.000..227.000</x:v>
      </x:c>
      <x:c r="D47" s="12" t="n">
        <x:v>399.2226890756302</x:v>
      </x:c>
      <x:c r="E47" s="12" t="n">
        <x:v>903.9747899172812</x:v>
      </x:c>
      <x:c r="F47" s="12" t="n">
        <x:v>5237</x:v>
      </x:c>
      <x:c r="G47" s="2" t="n">
        <x:v>53</x:v>
      </x:c>
      <x:c r="H47" s="2" t="n">
        <x:v>164</x:v>
      </x:c>
    </x:row>
    <x:row r="48" ht="24" customHeight="1">
      <x:c r="A48" s="2" t="str">
        <x:v>GameSession_FlagCacheAddress</x:v>
      </x:c>
      <x:c r="B48" s="2" t="str">
        <x:v>4..261</x:v>
      </x:c>
      <x:c r="C48" s="2" t="str">
        <x:v>8.000..204.000</x:v>
      </x:c>
      <x:c r="D48" s="12" t="n">
        <x:v>62.60377358490566</x:v>
      </x:c>
      <x:c r="E48" s="12" t="n">
        <x:v>95.39622641650011</x:v>
      </x:c>
      <x:c r="F48" s="12" t="n">
        <x:v>158</x:v>
      </x:c>
      <x:c r="G48" s="2" t="n">
        <x:v>21</x:v>
      </x:c>
      <x:c r="H48" s="2" t="n">
        <x:v>32</x:v>
      </x:c>
    </x:row>
    <x:row r="49" ht="24" customHeight="1">
      <x:c r="A49" s="2" t="str">
        <x:v>GameSession_ApplyBlink</x:v>
      </x:c>
      <x:c r="B49" s="2" t="str">
        <x:v>0..260</x:v>
      </x:c>
      <x:c r="C49" s="2" t="str">
        <x:v>0.000..227.000</x:v>
      </x:c>
      <x:c r="D49" s="12" t="n">
        <x:v>20.701680672268907</x:v>
      </x:c>
      <x:c r="E49" s="12" t="n">
        <x:v>61.777310925308896</x:v>
      </x:c>
      <x:c r="F49" s="12" t="n">
        <x:v>169</x:v>
      </x:c>
      <x:c r="G49" s="2" t="n">
        <x:v>59</x:v>
      </x:c>
      <x:c r="H49" s="2" t="n">
        <x:v>179</x:v>
      </x:c>
    </x:row>
    <x:row r="50" ht="24" customHeight="1">
      <x:c r="A50" s="2" t="str">
        <x:v>GameSession_ReadFlagCache</x:v>
      </x:c>
      <x:c r="B50" s="2" t="str">
        <x:v>0..260</x:v>
      </x:c>
      <x:c r="C50" s="2" t="str">
        <x:v>31.000..227.000</x:v>
      </x:c>
      <x:c r="D50" s="12" t="n">
        <x:v>1431.3396226415095</x:v>
      </x:c>
      <x:c r="E50" s="12" t="n">
        <x:v>3200.4150943390605</x:v>
      </x:c>
      <x:c r="F50" s="12" t="n">
        <x:v>4609</x:v>
      </x:c>
      <x:c r="G50" s="2" t="n">
        <x:v>6</x:v>
      </x:c>
      <x:c r="H50" s="2" t="n">
        <x:v>26</x:v>
      </x:c>
    </x:row>
    <x:row r="51" ht="24" customHeight="1">
      <x:c r="A51" s="2" t="str">
        <x:v>GameSession_UploadFlagBytes</x:v>
      </x:c>
      <x:c r="B51" s="2" t="str">
        <x:v>11..218</x:v>
      </x:c>
      <x:c r="C51" s="2" t="str">
        <x:v>0.000..226.000</x:v>
      </x:c>
      <x:c r="D51" s="12" t="n">
        <x:v>133.8930817610063</x:v>
      </x:c>
      <x:c r="E51" s="12" t="n">
        <x:v>1528.220125787007</x:v>
      </x:c>
      <x:c r="F51" s="12" t="n">
        <x:v>1722</x:v>
      </x:c>
      <x:c r="G51" s="2" t="n">
        <x:v>5</x:v>
      </x:c>
      <x:c r="H51" s="2" t="n">
        <x:v>94</x:v>
      </x:c>
    </x:row>
    <x:row r="52" ht="24" customHeight="1">
      <x:c r="A52" s="2" t="str">
        <x:v>GameSession_CloneFlag</x:v>
      </x:c>
      <x:c r="B52" s="2" t="str">
        <x:v>0..260</x:v>
      </x:c>
      <x:c r="C52" s="2" t="str">
        <x:v>3.000..221.000</x:v>
      </x:c>
      <x:c r="D52" s="12" t="n">
        <x:v>201.42857142857142</x:v>
      </x:c>
      <x:c r="E52" s="12" t="n">
        <x:v>268.5714285759901</x:v>
      </x:c>
      <x:c r="F52" s="12" t="n">
        <x:v>470</x:v>
      </x:c>
      <x:c r="G52" s="2" t="n">
        <x:v>21</x:v>
      </x:c>
      <x:c r="H52" s="2" t="n">
        <x:v>28</x:v>
      </x:c>
    </x:row>
    <x:row r="53" ht="24" customHeight="1">
      <x:c r="A53" s="2" t="str">
        <x:v>clock_irq</x:v>
      </x:c>
      <x:c r="B53" s="2" t="str">
        <x:v>244..244</x:v>
      </x:c>
      <x:c r="C53" s="2" t="str">
        <x:v>64.000..153.000</x:v>
      </x:c>
      <x:c r="D53" s="12" t="n">
        <x:v>171</x:v>
      </x:c>
      <x:c r="E53" s="12" t="n">
        <x:v>7.696880781946104e-10</x:v>
      </x:c>
      <x:c r="F53" s="12" t="n">
        <x:v>171</x:v>
      </x:c>
      <x:c r="G53" s="2" t="n">
        <x:v>484</x:v>
      </x:c>
      <x:c r="H53" s="2" t="n">
        <x:v>0</x:v>
      </x:c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 t="str">
        <x:v>VR rises at line244 cycle33.667 and falls next line31 cycle33.667.</x:v>
      </x:c>
      <x:c r="B56" s="2"/>
      <x:c r="C56" s="2"/>
      <x:c r="D56" s="2"/>
      <x:c r="E56" s="2"/>
      <x:c r="F56" s="2"/>
      <x:c r="G56" s="2"/>
      <x:c r="H56" s="2"/>
    </x:row>
    <x:row r="57" ht="24" customHeight="1">
      <x:c r="A57" s="2" t="str">
        <x:v>Gameplay logic, PSG and inactive-table drawing run in foreground, including visible scanlines.</x:v>
      </x:c>
      <x:c r="B57" s="2"/>
      <x:c r="C57" s="2"/>
      <x:c r="D57" s="2"/>
      <x:c r="E57" s="2"/>
      <x:c r="F57" s="2"/>
      <x:c r="G57" s="2"/>
      <x:c r="H57" s="2"/>
    </x:row>
    <x:row r="58" ht="24" customHeight="1">
      <x:c r="A58" s="2" t="str">
        <x:v>Active VBlank IRQ acknowledges VDP status and advances the clock. UI additionally latches keys in its IRQ.</x:v>
      </x:c>
      <x:c r="B58" s="2"/>
      <x:c r="C58" s="2"/>
      <x:c r="D58" s="2"/>
      <x:c r="E58" s="2"/>
      <x:c r="F58" s="2"/>
      <x:c r="G58" s="2"/>
      <x:c r="H58" s="2"/>
    </x:row>
    <x:row r="59" ht="24" customHeight="1">
      <x:c r="A59" s="2" t="str">
        <x:v>Commit publishes display registers and sprite attribute tables after HALT. See observed endpoints above.</x:v>
      </x:c>
      <x:c r="B59" s="2"/>
      <x:c r="C59" s="2"/>
      <x:c r="D59" s="2"/>
      <x:c r="E59" s="2"/>
      <x:c r="F59" s="2"/>
      <x:c r="G59" s="2"/>
      <x:c r="H59" s="2"/>
    </x:row>
    <x:row r="60" ht="24" customHeight="1">
      <x:c r="A60" s="2" t="str">
        <x:v>Inclusive spans may cross VBlank. In/outside partitions do not establish a safe VRAM transfer allowance.</x:v>
      </x:c>
      <x:c r="B60" s="2"/>
      <x:c r="C60" s="2"/>
      <x:c r="D60" s="2"/>
      <x:c r="E60" s="2"/>
      <x:c r="F60" s="2"/>
      <x:c r="G60" s="2"/>
      <x:c r="H60" s="2"/>
    </x:row>
    <x:row r="61" ht="24" customHeight="1">
      <x:c r="A61" s="2" t="str">
        <x:v>UI/cold restoration and flag-capture costs are separate event samples in Events; excluded from active FPS.</x:v>
      </x:c>
      <x:c r="B61" s="2"/>
      <x:c r="C61" s="2"/>
      <x:c r="D61" s="2"/>
      <x:c r="E61" s="2"/>
      <x:c r="F61" s="2"/>
      <x:c r="G61" s="2"/>
      <x:c r="H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122295</x:v>
      </x:c>
      <x:c r="D6" s="12" t="n">
        <x:v>87883</x:v>
      </x:c>
      <x:c r="E6" s="12" t="n">
        <x:v>34196.666666671634</x:v>
      </x:c>
      <x:c r="F6" s="12" t="n">
        <x:v>40994.0000000149</x:v>
      </x:c>
      <x:c r="G6" s="12" t="n">
        <x:v>39860</x:v>
      </x:c>
      <x:c r="H6" s="12" t="n">
        <x:v>34412</x:v>
      </x:c>
      <x:c r="I6" s="12" t="n">
        <x:v>6923</x:v>
      </x:c>
      <x:c r="J6" s="12" t="n">
        <x:v>105.99999998509884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116648</x:v>
      </x:c>
      <x:c r="D7" s="12" t="n">
        <x:v>70111.0000000149</x:v>
      </x:c>
      <x:c r="E7" s="12" t="n">
        <x:v>46324.666666671634</x:v>
      </x:c>
      <x:c r="F7" s="12" t="n">
        <x:v>37127</x:v>
      </x:c>
      <x:c r="G7" s="12" t="n">
        <x:v>28775.9999999851</x:v>
      </x:c>
      <x:c r="H7" s="12" t="n">
        <x:v>46536.9999999851</x:v>
      </x:c>
      <x:c r="I7" s="12" t="n">
        <x:v>4102</x:v>
      </x:c>
      <x:c r="J7" s="12" t="n">
        <x:v>106.00000002980232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119473.9999999851</x:v>
      </x:c>
      <x:c r="D8" s="12" t="n">
        <x:v>79501.9999999851</x:v>
      </x:c>
      <x:c r="E8" s="12" t="n">
        <x:v>39757.666666671634</x:v>
      </x:c>
      <x:c r="F8" s="12" t="n">
        <x:v>35434</x:v>
      </x:c>
      <x:c r="G8" s="12" t="n">
        <x:v>39860</x:v>
      </x:c>
      <x:c r="H8" s="12" t="n">
        <x:v>39972</x:v>
      </x:c>
      <x:c r="I8" s="12" t="n">
        <x:v>4102</x:v>
      </x:c>
      <x:c r="J8" s="12" t="n">
        <x:v>105.99999998509884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119472.0000000149</x:v>
      </x:c>
      <x:c r="D9" s="12" t="n">
        <x:v>70400.0000000149</x:v>
      </x:c>
      <x:c r="E9" s="12" t="n">
        <x:v>48857.666666671634</x:v>
      </x:c>
      <x:c r="F9" s="12" t="n">
        <x:v>36880</x:v>
      </x:c>
      <x:c r="G9" s="12" t="n">
        <x:v>29311.9999999851</x:v>
      </x:c>
      <x:c r="H9" s="12" t="n">
        <x:v>49072</x:v>
      </x:c>
      <x:c r="I9" s="12" t="n">
        <x:v>4101.999999985099</x:v>
      </x:c>
      <x:c r="J9" s="12" t="n">
        <x:v>106.00000004470348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119471.9999999851</x:v>
      </x:c>
      <x:c r="D10" s="12" t="n">
        <x:v>81294.9999999851</x:v>
      </x:c>
      <x:c r="E10" s="12" t="n">
        <x:v>37962.666666671634</x:v>
      </x:c>
      <x:c r="F10" s="12" t="n">
        <x:v>36691.0000000149</x:v>
      </x:c>
      <x:c r="G10" s="12" t="n">
        <x:v>40396</x:v>
      </x:c>
      <x:c r="H10" s="12" t="n">
        <x:v>38177</x:v>
      </x:c>
      <x:c r="I10" s="12" t="n">
        <x:v>4102</x:v>
      </x:c>
      <x:c r="J10" s="12" t="n">
        <x:v>105.99999997019768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119473.0000000149</x:v>
      </x:c>
      <x:c r="D11" s="12" t="n">
        <x:v>69416.0000000149</x:v>
      </x:c>
      <x:c r="E11" s="12" t="n">
        <x:v>49841.666666671634</x:v>
      </x:c>
      <x:c r="F11" s="12" t="n">
        <x:v>36435</x:v>
      </x:c>
      <x:c r="G11" s="12" t="n">
        <x:v>28773.0000000149</x:v>
      </x:c>
      <x:c r="H11" s="12" t="n">
        <x:v>50057</x:v>
      </x:c>
      <x:c r="I11" s="12" t="n">
        <x:v>4101.999999985099</x:v>
      </x:c>
      <x:c r="J11" s="12" t="n">
        <x:v>106.00000001490116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79503</x:v>
      </x:c>
      <x:c r="E12" s="12" t="n">
        <x:v>39753.666666671634</x:v>
      </x:c>
      <x:c r="F12" s="12" t="n">
        <x:v>35412.0000000149</x:v>
      </x:c>
      <x:c r="G12" s="12" t="n">
        <x:v>39883.0000000149</x:v>
      </x:c>
      <x:c r="H12" s="12" t="n">
        <x:v>39967</x:v>
      </x:c>
      <x:c r="I12" s="12" t="n">
        <x:v>4102</x:v>
      </x:c>
      <x:c r="J12" s="12" t="n">
        <x:v>105.99999997019768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119475</x:v>
      </x:c>
      <x:c r="D13" s="12" t="n">
        <x:v>69713</x:v>
      </x:c>
      <x:c r="E13" s="12" t="n">
        <x:v>49545.666666671634</x:v>
      </x:c>
      <x:c r="F13" s="12" t="n">
        <x:v>36732.0000000149</x:v>
      </x:c>
      <x:c r="G13" s="12" t="n">
        <x:v>28773</x:v>
      </x:c>
      <x:c r="H13" s="12" t="n">
        <x:v>49762</x:v>
      </x:c>
      <x:c r="I13" s="12" t="n">
        <x:v>4102</x:v>
      </x:c>
      <x:c r="J13" s="12" t="n">
        <x:v>105.99999998509884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119471.9999999851</x:v>
      </x:c>
      <x:c r="D14" s="12" t="n">
        <x:v>109020</x:v>
      </x:c>
      <x:c r="E14" s="12" t="n">
        <x:v>10235.666666671634</x:v>
      </x:c>
      <x:c r="F14" s="12" t="n">
        <x:v>64266.9999999851</x:v>
      </x:c>
      <x:c r="G14" s="12" t="n">
        <x:v>40545</x:v>
      </x:c>
      <x:c r="H14" s="12" t="n">
        <x:v>10451.999999985099</x:v>
      </x:c>
      <x:c r="I14" s="12" t="n">
        <x:v>4102</x:v>
      </x:c>
      <x:c r="J14" s="12" t="n">
        <x:v>106.00000001490116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119472.0000000149</x:v>
      </x:c>
      <x:c r="D15" s="12" t="n">
        <x:v>96645.0000000149</x:v>
      </x:c>
      <x:c r="E15" s="12" t="n">
        <x:v>22610.666666671634</x:v>
      </x:c>
      <x:c r="F15" s="12" t="n">
        <x:v>63865</x:v>
      </x:c>
      <x:c r="G15" s="12" t="n">
        <x:v>28571.9999999851</x:v>
      </x:c>
      <x:c r="H15" s="12" t="n">
        <x:v>22827</x:v>
      </x:c>
      <x:c r="I15" s="12" t="n">
        <x:v>4101.999999985099</x:v>
      </x:c>
      <x:c r="J15" s="12" t="n">
        <x:v>106.00000004470348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119470</x:v>
      </x:c>
      <x:c r="D16" s="12" t="n">
        <x:v>105863</x:v>
      </x:c>
      <x:c r="E16" s="12" t="n">
        <x:v>13392.666666671634</x:v>
      </x:c>
      <x:c r="F16" s="12" t="n">
        <x:v>61110.0000000149</x:v>
      </x:c>
      <x:c r="G16" s="12" t="n">
        <x:v>40545.0000000149</x:v>
      </x:c>
      <x:c r="H16" s="12" t="n">
        <x:v>13607</x:v>
      </x:c>
      <x:c r="I16" s="12" t="n">
        <x:v>4101.999999985099</x:v>
      </x:c>
      <x:c r="J16" s="12" t="n">
        <x:v>105.99999998509884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119474</x:v>
      </x:c>
      <x:c r="D17" s="12" t="n">
        <x:v>95636.9999999851</x:v>
      </x:c>
      <x:c r="E17" s="12" t="n">
        <x:v>23620.666666671634</x:v>
      </x:c>
      <x:c r="F17" s="12" t="n">
        <x:v>62322.0000000149</x:v>
      </x:c>
      <x:c r="G17" s="12" t="n">
        <x:v>29107</x:v>
      </x:c>
      <x:c r="H17" s="12" t="n">
        <x:v>23837.0000000149</x:v>
      </x:c>
      <x:c r="I17" s="12" t="n">
        <x:v>4102</x:v>
      </x:c>
      <x:c r="J17" s="12" t="n">
        <x:v>105.99999997019768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119467.9999999851</x:v>
      </x:c>
      <x:c r="D18" s="12" t="n">
        <x:v>80650.9999999851</x:v>
      </x:c>
      <x:c r="E18" s="12" t="n">
        <x:v>38604.666666671634</x:v>
      </x:c>
      <x:c r="F18" s="12" t="n">
        <x:v>35162</x:v>
      </x:c>
      <x:c r="G18" s="12" t="n">
        <x:v>41281</x:v>
      </x:c>
      <x:c r="H18" s="12" t="n">
        <x:v>38817</x:v>
      </x:c>
      <x:c r="I18" s="12" t="n">
        <x:v>4102</x:v>
      </x:c>
      <x:c r="J18" s="12" t="n">
        <x:v>105.99999998509884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119473.0000000149</x:v>
      </x:c>
      <x:c r="D19" s="12" t="n">
        <x:v>67956</x:v>
      </x:c>
      <x:c r="E19" s="12" t="n">
        <x:v>51303.666666671634</x:v>
      </x:c>
      <x:c r="F19" s="12" t="n">
        <x:v>34971.9999999851</x:v>
      </x:c>
      <x:c r="G19" s="12" t="n">
        <x:v>28776</x:v>
      </x:c>
      <x:c r="H19" s="12" t="n">
        <x:v>51517.0000000149</x:v>
      </x:c>
      <x:c r="I19" s="12" t="n">
        <x:v>4102.000000014901</x:v>
      </x:c>
      <x:c r="J19" s="12" t="n">
        <x:v>106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119475</x:v>
      </x:c>
      <x:c r="D20" s="12" t="n">
        <x:v>78268</x:v>
      </x:c>
      <x:c r="E20" s="12" t="n">
        <x:v>40990.666666671634</x:v>
      </x:c>
      <x:c r="F20" s="12" t="n">
        <x:v>33337</x:v>
      </x:c>
      <x:c r="G20" s="12" t="n">
        <x:v>40723</x:v>
      </x:c>
      <x:c r="H20" s="12" t="n">
        <x:v>41207</x:v>
      </x:c>
      <x:c r="I20" s="12" t="n">
        <x:v>4102.000000014901</x:v>
      </x:c>
      <x:c r="J20" s="12" t="n">
        <x:v>105.99999998509884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119470</x:v>
      </x:c>
      <x:c r="D21" s="12" t="n">
        <x:v>67568</x:v>
      </x:c>
      <x:c r="E21" s="12" t="n">
        <x:v>51687.666666671634</x:v>
      </x:c>
      <x:c r="F21" s="12" t="n">
        <x:v>34584</x:v>
      </x:c>
      <x:c r="G21" s="12" t="n">
        <x:v>28776.0000000149</x:v>
      </x:c>
      <x:c r="H21" s="12" t="n">
        <x:v>51902</x:v>
      </x:c>
      <x:c r="I21" s="12" t="n">
        <x:v>4102.000000014901</x:v>
      </x:c>
      <x:c r="J21" s="12" t="n">
        <x:v>105.99999997019768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119472</x:v>
      </x:c>
      <x:c r="D22" s="12" t="n">
        <x:v>79420.0000000149</x:v>
      </x:c>
      <x:c r="E22" s="12" t="n">
        <x:v>39837.666666671634</x:v>
      </x:c>
      <x:c r="F22" s="12" t="n">
        <x:v>34489</x:v>
      </x:c>
      <x:c r="G22" s="12" t="n">
        <x:v>40722.9999999851</x:v>
      </x:c>
      <x:c r="H22" s="12" t="n">
        <x:v>40051.9999999851</x:v>
      </x:c>
      <x:c r="I22" s="12" t="n">
        <x:v>4102</x:v>
      </x:c>
      <x:c r="J22" s="12" t="n">
        <x:v>106.00000002980232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119472.9999999851</x:v>
      </x:c>
      <x:c r="D23" s="12" t="n">
        <x:v>67310.9999999851</x:v>
      </x:c>
      <x:c r="E23" s="12" t="n">
        <x:v>51946.666666671634</x:v>
      </x:c>
      <x:c r="F23" s="12" t="n">
        <x:v>34327</x:v>
      </x:c>
      <x:c r="G23" s="12" t="n">
        <x:v>28775.9999999851</x:v>
      </x:c>
      <x:c r="H23" s="12" t="n">
        <x:v>52162</x:v>
      </x:c>
      <x:c r="I23" s="12" t="n">
        <x:v>4102</x:v>
      </x:c>
      <x:c r="J23" s="12" t="n">
        <x:v>106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119472.0000000149</x:v>
      </x:c>
      <x:c r="D24" s="12" t="n">
        <x:v>78210.0000000149</x:v>
      </x:c>
      <x:c r="E24" s="12" t="n">
        <x:v>41046.666666671634</x:v>
      </x:c>
      <x:c r="F24" s="12" t="n">
        <x:v>33279</x:v>
      </x:c>
      <x:c r="G24" s="12" t="n">
        <x:v>40722.9999999851</x:v>
      </x:c>
      <x:c r="H24" s="12" t="n">
        <x:v>41262</x:v>
      </x:c>
      <x:c r="I24" s="12" t="n">
        <x:v>4102</x:v>
      </x:c>
      <x:c r="J24" s="12" t="n">
        <x:v>106.00000002980232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119472</x:v>
      </x:c>
      <x:c r="D25" s="12" t="n">
        <x:v>68075</x:v>
      </x:c>
      <x:c r="E25" s="12" t="n">
        <x:v>51181.666666671634</x:v>
      </x:c>
      <x:c r="F25" s="12" t="n">
        <x:v>34555</x:v>
      </x:c>
      <x:c r="G25" s="12" t="n">
        <x:v>29312.0000000149</x:v>
      </x:c>
      <x:c r="H25" s="12" t="n">
        <x:v>51397</x:v>
      </x:c>
      <x:c r="I25" s="12" t="n">
        <x:v>4102.000000014901</x:v>
      </x:c>
      <x:c r="J25" s="12" t="n">
        <x:v>105.99999997019768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119473</x:v>
      </x:c>
      <x:c r="D26" s="12" t="n">
        <x:v>80691</x:v>
      </x:c>
      <x:c r="E26" s="12" t="n">
        <x:v>38565.666666671634</x:v>
      </x:c>
      <x:c r="F26" s="12" t="n">
        <x:v>35224</x:v>
      </x:c>
      <x:c r="G26" s="12" t="n">
        <x:v>41259</x:v>
      </x:c>
      <x:c r="H26" s="12" t="n">
        <x:v>38782</x:v>
      </x:c>
      <x:c r="I26" s="12" t="n">
        <x:v>4101.999999985099</x:v>
      </x:c>
      <x:c r="J26" s="12" t="n">
        <x:v>106.00000001490116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119471.9999999851</x:v>
      </x:c>
      <x:c r="D27" s="12" t="n">
        <x:v>67919.9999999851</x:v>
      </x:c>
      <x:c r="E27" s="12" t="n">
        <x:v>51335.666666671634</x:v>
      </x:c>
      <x:c r="F27" s="12" t="n">
        <x:v>34939.0000000149</x:v>
      </x:c>
      <x:c r="G27" s="12" t="n">
        <x:v>28772.9999999851</x:v>
      </x:c>
      <x:c r="H27" s="12" t="n">
        <x:v>51552</x:v>
      </x:c>
      <x:c r="I27" s="12" t="n">
        <x:v>4102</x:v>
      </x:c>
      <x:c r="J27" s="12" t="n">
        <x:v>105.99999998509884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119468.0000000149</x:v>
      </x:c>
      <x:c r="D28" s="12" t="n">
        <x:v>77501.0000000149</x:v>
      </x:c>
      <x:c r="E28" s="12" t="n">
        <x:v>41754.666666671634</x:v>
      </x:c>
      <x:c r="F28" s="12" t="n">
        <x:v>32549</x:v>
      </x:c>
      <x:c r="G28" s="12" t="n">
        <x:v>40743.9999999851</x:v>
      </x:c>
      <x:c r="H28" s="12" t="n">
        <x:v>41967</x:v>
      </x:c>
      <x:c r="I28" s="12" t="n">
        <x:v>4101.999999985099</x:v>
      </x:c>
      <x:c r="J28" s="12" t="n">
        <x:v>106.00000004470348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119474</x:v>
      </x:c>
      <x:c r="D29" s="12" t="n">
        <x:v>66907</x:v>
      </x:c>
      <x:c r="E29" s="12" t="n">
        <x:v>52352.666666671634</x:v>
      </x:c>
      <x:c r="F29" s="12" t="n">
        <x:v>33926</x:v>
      </x:c>
      <x:c r="G29" s="12" t="n">
        <x:v>28773</x:v>
      </x:c>
      <x:c r="H29" s="12" t="n">
        <x:v>52567</x:v>
      </x:c>
      <x:c r="I29" s="12" t="n">
        <x:v>4102</x:v>
      </x:c>
      <x:c r="J29" s="12" t="n">
        <x:v>106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119474</x:v>
      </x:c>
      <x:c r="D30" s="12" t="n">
        <x:v>80057.0000000149</x:v>
      </x:c>
      <x:c r="E30" s="12" t="n">
        <x:v>39200.666666671634</x:v>
      </x:c>
      <x:c r="F30" s="12" t="n">
        <x:v>35105</x:v>
      </x:c>
      <x:c r="G30" s="12" t="n">
        <x:v>40744</x:v>
      </x:c>
      <x:c r="H30" s="12" t="n">
        <x:v>39416.9999999851</x:v>
      </x:c>
      <x:c r="I30" s="12" t="n">
        <x:v>4102</x:v>
      </x:c>
      <x:c r="J30" s="12" t="n">
        <x:v>106.00000001490116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119471</x:v>
      </x:c>
      <x:c r="D31" s="12" t="n">
        <x:v>67839</x:v>
      </x:c>
      <x:c r="E31" s="12" t="n">
        <x:v>51416.666666671634</x:v>
      </x:c>
      <x:c r="F31" s="12" t="n">
        <x:v>34857.9999999851</x:v>
      </x:c>
      <x:c r="G31" s="12" t="n">
        <x:v>28772.9999999851</x:v>
      </x:c>
      <x:c r="H31" s="12" t="n">
        <x:v>51632</x:v>
      </x:c>
      <x:c r="I31" s="12" t="n">
        <x:v>4101.999999985099</x:v>
      </x:c>
      <x:c r="J31" s="12" t="n">
        <x:v>106.00000004470348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119469</x:v>
      </x:c>
      <x:c r="D32" s="12" t="n">
        <x:v>78232.0000000149</x:v>
      </x:c>
      <x:c r="E32" s="12" t="n">
        <x:v>41024.666666671634</x:v>
      </x:c>
      <x:c r="F32" s="12" t="n">
        <x:v>33280</x:v>
      </x:c>
      <x:c r="G32" s="12" t="n">
        <x:v>40743.9999999851</x:v>
      </x:c>
      <x:c r="H32" s="12" t="n">
        <x:v>41236.9999999851</x:v>
      </x:c>
      <x:c r="I32" s="12" t="n">
        <x:v>4102</x:v>
      </x:c>
      <x:c r="J32" s="12" t="n">
        <x:v>106.00000002980232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119474</x:v>
      </x:c>
      <x:c r="D33" s="12" t="n">
        <x:v>68157.0000000149</x:v>
      </x:c>
      <x:c r="E33" s="12" t="n">
        <x:v>51102.666666671634</x:v>
      </x:c>
      <x:c r="F33" s="12" t="n">
        <x:v>34640.9999999851</x:v>
      </x:c>
      <x:c r="G33" s="12" t="n">
        <x:v>29308</x:v>
      </x:c>
      <x:c r="H33" s="12" t="n">
        <x:v>51316.9999999851</x:v>
      </x:c>
      <x:c r="I33" s="12" t="n">
        <x:v>4102</x:v>
      </x:c>
      <x:c r="J33" s="12" t="n">
        <x:v>106.00000002980232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119473.9999999851</x:v>
      </x:c>
      <x:c r="D34" s="12" t="n">
        <x:v>79861.9999999851</x:v>
      </x:c>
      <x:c r="E34" s="12" t="n">
        <x:v>39395.666666671634</x:v>
      </x:c>
      <x:c r="F34" s="12" t="n">
        <x:v>34375</x:v>
      </x:c>
      <x:c r="G34" s="12" t="n">
        <x:v>41279.0000000149</x:v>
      </x:c>
      <x:c r="H34" s="12" t="n">
        <x:v>39612</x:v>
      </x:c>
      <x:c r="I34" s="12" t="n">
        <x:v>4102</x:v>
      </x:c>
      <x:c r="J34" s="12" t="n">
        <x:v>105.99999997019768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119472.0000000149</x:v>
      </x:c>
      <x:c r="D35" s="12" t="n">
        <x:v>67190.0000000149</x:v>
      </x:c>
      <x:c r="E35" s="12" t="n">
        <x:v>52065.666666671634</x:v>
      </x:c>
      <x:c r="F35" s="12" t="n">
        <x:v>34206</x:v>
      </x:c>
      <x:c r="G35" s="12" t="n">
        <x:v>28776</x:v>
      </x:c>
      <x:c r="H35" s="12" t="n">
        <x:v>52282</x:v>
      </x:c>
      <x:c r="I35" s="12" t="n">
        <x:v>4101.999999985099</x:v>
      </x:c>
      <x:c r="J35" s="12" t="n">
        <x:v>106.00000002980232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119469</x:v>
      </x:c>
      <x:c r="D36" s="12" t="n">
        <x:v>78112.0000000149</x:v>
      </x:c>
      <x:c r="E36" s="12" t="n">
        <x:v>41143.666666671634</x:v>
      </x:c>
      <x:c r="F36" s="12" t="n">
        <x:v>33183.0000000149</x:v>
      </x:c>
      <x:c r="G36" s="12" t="n">
        <x:v>40721</x:v>
      </x:c>
      <x:c r="H36" s="12" t="n">
        <x:v>41356.9999999851</x:v>
      </x:c>
      <x:c r="I36" s="12" t="n">
        <x:v>4102</x:v>
      </x:c>
      <x:c r="J36" s="12" t="n">
        <x:v>106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119471</x:v>
      </x:c>
      <x:c r="D37" s="12" t="n">
        <x:v>66934</x:v>
      </x:c>
      <x:c r="E37" s="12" t="n">
        <x:v>52324.666666671634</x:v>
      </x:c>
      <x:c r="F37" s="12" t="n">
        <x:v>33950</x:v>
      </x:c>
      <x:c r="G37" s="12" t="n">
        <x:v>28776.0000000149</x:v>
      </x:c>
      <x:c r="H37" s="12" t="n">
        <x:v>52537</x:v>
      </x:c>
      <x:c r="I37" s="12" t="n">
        <x:v>4101.999999985099</x:v>
      </x:c>
      <x:c r="J37" s="12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119473</x:v>
      </x:c>
      <x:c r="D38" s="12" t="n">
        <x:v>80161.0000000149</x:v>
      </x:c>
      <x:c r="E38" s="12" t="n">
        <x:v>39098.666666671634</x:v>
      </x:c>
      <x:c r="F38" s="12" t="n">
        <x:v>35232.0000000149</x:v>
      </x:c>
      <x:c r="G38" s="12" t="n">
        <x:v>40721</x:v>
      </x:c>
      <x:c r="H38" s="12" t="n">
        <x:v>39311.9999999851</x:v>
      </x:c>
      <x:c r="I38" s="12" t="n">
        <x:v>4102</x:v>
      </x:c>
      <x:c r="J38" s="12" t="n">
        <x:v>106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119471</x:v>
      </x:c>
      <x:c r="D39" s="12" t="n">
        <x:v>67884</x:v>
      </x:c>
      <x:c r="E39" s="12" t="n">
        <x:v>51374.666666671634</x:v>
      </x:c>
      <x:c r="F39" s="12" t="n">
        <x:v>34899.9999999851</x:v>
      </x:c>
      <x:c r="G39" s="12" t="n">
        <x:v>28776</x:v>
      </x:c>
      <x:c r="H39" s="12" t="n">
        <x:v>51587</x:v>
      </x:c>
      <x:c r="I39" s="12" t="n">
        <x:v>4101.999999985099</x:v>
      </x:c>
      <x:c r="J39" s="12" t="n">
        <x:v>106.00000002980232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119471.9999999851</x:v>
      </x:c>
      <x:c r="D40" s="12" t="n">
        <x:v>76214.9999999851</x:v>
      </x:c>
      <x:c r="E40" s="12" t="n">
        <x:v>43044.666666671634</x:v>
      </x:c>
      <x:c r="F40" s="12" t="n">
        <x:v>31286.0000000149</x:v>
      </x:c>
      <x:c r="G40" s="12" t="n">
        <x:v>40721</x:v>
      </x:c>
      <x:c r="H40" s="12" t="n">
        <x:v>43257</x:v>
      </x:c>
      <x:c r="I40" s="12" t="n">
        <x:v>4102</x:v>
      </x:c>
      <x:c r="J40" s="12" t="n">
        <x:v>105.99999997019768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119476.0000000149</x:v>
      </x:c>
      <x:c r="D41" s="12" t="n">
        <x:v>67459.0000000298</x:v>
      </x:c>
      <x:c r="E41" s="12" t="n">
        <x:v>51800.666666671634</x:v>
      </x:c>
      <x:c r="F41" s="12" t="n">
        <x:v>33938.9999999851</x:v>
      </x:c>
      <x:c r="G41" s="12" t="n">
        <x:v>29312</x:v>
      </x:c>
      <x:c r="H41" s="12" t="n">
        <x:v>52016.9999999851</x:v>
      </x:c>
      <x:c r="I41" s="12" t="n">
        <x:v>4102</x:v>
      </x:c>
      <x:c r="J41" s="12" t="n">
        <x:v>106.00000004470348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119472</x:v>
      </x:c>
      <x:c r="D42" s="12" t="n">
        <x:v>80675</x:v>
      </x:c>
      <x:c r="E42" s="12" t="n">
        <x:v>38580.666666671634</x:v>
      </x:c>
      <x:c r="F42" s="12" t="n">
        <x:v>35209.9999999851</x:v>
      </x:c>
      <x:c r="G42" s="12" t="n">
        <x:v>41256.9999999851</x:v>
      </x:c>
      <x:c r="H42" s="12" t="n">
        <x:v>38797</x:v>
      </x:c>
      <x:c r="I42" s="12" t="n">
        <x:v>4101.999999985099</x:v>
      </x:c>
      <x:c r="J42" s="12" t="n">
        <x:v>106.00000004470348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119468</x:v>
      </x:c>
      <x:c r="D43" s="12" t="n">
        <x:v>67211.0000000149</x:v>
      </x:c>
      <x:c r="E43" s="12" t="n">
        <x:v>52044.666666671634</x:v>
      </x:c>
      <x:c r="F43" s="12" t="n">
        <x:v>34230</x:v>
      </x:c>
      <x:c r="G43" s="12" t="n">
        <x:v>28772.9999999851</x:v>
      </x:c>
      <x:c r="H43" s="12" t="n">
        <x:v>52256.9999999851</x:v>
      </x:c>
      <x:c r="I43" s="12" t="n">
        <x:v>4102</x:v>
      </x:c>
      <x:c r="J43" s="12" t="n">
        <x:v>106.00000002980232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78095</x:v>
      </x:c>
      <x:c r="E44" s="12" t="n">
        <x:v>41164.666666671634</x:v>
      </x:c>
      <x:c r="F44" s="12" t="n">
        <x:v>33143</x:v>
      </x:c>
      <x:c r="G44" s="12" t="n">
        <x:v>40744</x:v>
      </x:c>
      <x:c r="H44" s="12" t="n">
        <x:v>41377</x:v>
      </x:c>
      <x:c r="I44" s="12" t="n">
        <x:v>4102</x:v>
      </x:c>
      <x:c r="J44" s="12" t="n">
        <x:v>106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119475.9999999851</x:v>
      </x:c>
      <x:c r="D45" s="12" t="n">
        <x:v>67503.9999999851</x:v>
      </x:c>
      <x:c r="E45" s="12" t="n">
        <x:v>51755.666666671634</x:v>
      </x:c>
      <x:c r="F45" s="12" t="n">
        <x:v>34523</x:v>
      </x:c>
      <x:c r="G45" s="12" t="n">
        <x:v>28773.0000000149</x:v>
      </x:c>
      <x:c r="H45" s="12" t="n">
        <x:v>51972</x:v>
      </x:c>
      <x:c r="I45" s="12" t="n">
        <x:v>4102</x:v>
      </x:c>
      <x:c r="J45" s="12" t="n">
        <x:v>105.99999997019768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122290.0000000149</x:v>
      </x:c>
      <x:c r="D46" s="12" t="n">
        <x:v>85783.0000000149</x:v>
      </x:c>
      <x:c r="E46" s="12" t="n">
        <x:v>36293.666666671634</x:v>
      </x:c>
      <x:c r="F46" s="12" t="n">
        <x:v>38009.9999999851</x:v>
      </x:c>
      <x:c r="G46" s="12" t="n">
        <x:v>40743.9999999851</x:v>
      </x:c>
      <x:c r="H46" s="12" t="n">
        <x:v>36507</x:v>
      </x:c>
      <x:c r="I46" s="12" t="n">
        <x:v>6923.000000014901</x:v>
      </x:c>
      <x:c r="J46" s="12" t="n">
        <x:v>106.00000002980232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116654</x:v>
      </x:c>
      <x:c r="D47" s="12" t="n">
        <x:v>67307</x:v>
      </x:c>
      <x:c r="E47" s="12" t="n">
        <x:v>49130.666666671634</x:v>
      </x:c>
      <x:c r="F47" s="12" t="n">
        <x:v>34325.9999999851</x:v>
      </x:c>
      <x:c r="G47" s="12" t="n">
        <x:v>28773</x:v>
      </x:c>
      <x:c r="H47" s="12" t="n">
        <x:v>49347</x:v>
      </x:c>
      <x:c r="I47" s="12" t="n">
        <x:v>4102.000000014901</x:v>
      </x:c>
      <x:c r="J47" s="12" t="n">
        <x:v>106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119470.9999999851</x:v>
      </x:c>
      <x:c r="D48" s="12" t="n">
        <x:v>78218.9999999851</x:v>
      </x:c>
      <x:c r="E48" s="12" t="n">
        <x:v>41036.666666671634</x:v>
      </x:c>
      <x:c r="F48" s="12" t="n">
        <x:v>33266.9999999851</x:v>
      </x:c>
      <x:c r="G48" s="12" t="n">
        <x:v>40744</x:v>
      </x:c>
      <x:c r="H48" s="12" t="n">
        <x:v>41252</x:v>
      </x:c>
      <x:c r="I48" s="12" t="n">
        <x:v>4102</x:v>
      </x:c>
      <x:c r="J48" s="12" t="n">
        <x:v>106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119473.0000000149</x:v>
      </x:c>
      <x:c r="D49" s="12" t="n">
        <x:v>68201.0000000149</x:v>
      </x:c>
      <x:c r="E49" s="12" t="n">
        <x:v>51055.666666671634</x:v>
      </x:c>
      <x:c r="F49" s="12" t="n">
        <x:v>34685</x:v>
      </x:c>
      <x:c r="G49" s="12" t="n">
        <x:v>29307.9999999851</x:v>
      </x:c>
      <x:c r="H49" s="12" t="n">
        <x:v>51272</x:v>
      </x:c>
      <x:c r="I49" s="12" t="n">
        <x:v>4102</x:v>
      </x:c>
      <x:c r="J49" s="12" t="n">
        <x:v>106.00000002980232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3</x:v>
      </x:c>
      <x:c r="C50" s="12" t="n">
        <x:v>177654</x:v>
      </x:c>
      <x:c r="D50" s="12" t="n">
        <x:v>120552</x:v>
      </x:c>
      <x:c r="E50" s="12" t="n">
        <x:v>-2848.3333333283663</x:v>
      </x:c>
      <x:c r="F50" s="12" t="n">
        <x:v>33918</x:v>
      </x:c>
      <x:c r="G50" s="12" t="n">
        <x:v>83978</x:v>
      </x:c>
      <x:c r="H50" s="12" t="n">
        <x:v>57102</x:v>
      </x:c>
      <x:c r="I50" s="12" t="n">
        <x:v>2550</x:v>
      </x:c>
      <x:c r="J50" s="12" t="n">
        <x:v>106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3</x:v>
      </x:c>
      <x:c r="C51" s="12" t="n">
        <x:v>179209</x:v>
      </x:c>
      <x:c r="D51" s="12" t="n">
        <x:v>137257</x:v>
      </x:c>
      <x:c r="E51" s="12" t="n">
        <x:v>-17999.333333328366</x:v>
      </x:c>
      <x:c r="F51" s="12" t="n">
        <x:v>46213</x:v>
      </x:c>
      <x:c r="G51" s="12" t="n">
        <x:v>88388</x:v>
      </x:c>
      <x:c r="H51" s="12" t="n">
        <x:v>41952</x:v>
      </x:c>
      <x:c r="I51" s="12" t="n">
        <x:v>2550.000000014901</x:v>
      </x:c>
      <x:c r="J51" s="12" t="n">
        <x:v>105.99999998509884</x:v>
      </x:c>
      <x:c r="K51" s="2" t="n">
        <x:v>304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119469</x:v>
      </x:c>
      <x:c r="D52" s="12" t="n">
        <x:v>71177</x:v>
      </x:c>
      <x:c r="E52" s="12" t="n">
        <x:v>48079.666666671634</x:v>
      </x:c>
      <x:c r="F52" s="12" t="n">
        <x:v>36217</x:v>
      </x:c>
      <x:c r="G52" s="12" t="n">
        <x:v>32303.9999999851</x:v>
      </x:c>
      <x:c r="H52" s="12" t="n">
        <x:v>48292</x:v>
      </x:c>
      <x:c r="I52" s="12" t="n">
        <x:v>2550</x:v>
      </x:c>
      <x:c r="J52" s="12" t="n">
        <x:v>106.00000001490116</x:v>
      </x:c>
      <x:c r="K52" s="2" t="n">
        <x:v>308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119476</x:v>
      </x:c>
      <x:c r="D53" s="12" t="n">
        <x:v>88869</x:v>
      </x:c>
      <x:c r="E53" s="12" t="n">
        <x:v>30390.666666671634</x:v>
      </x:c>
      <x:c r="F53" s="12" t="n">
        <x:v>34030.0000000149</x:v>
      </x:c>
      <x:c r="G53" s="12" t="n">
        <x:v>52182.9999999851</x:v>
      </x:c>
      <x:c r="H53" s="12" t="n">
        <x:v>30607</x:v>
      </x:c>
      <x:c r="I53" s="12" t="n">
        <x:v>2550</x:v>
      </x:c>
      <x:c r="J53" s="12" t="n">
        <x:v>106</x:v>
      </x:c>
      <x:c r="K53" s="2" t="n">
        <x:v>312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119469</x:v>
      </x:c>
      <x:c r="D54" s="12" t="n">
        <x:v>67966.9999999851</x:v>
      </x:c>
      <x:c r="E54" s="12" t="n">
        <x:v>51288.666666671634</x:v>
      </x:c>
      <x:c r="F54" s="12" t="n">
        <x:v>33814</x:v>
      </x:c>
      <x:c r="G54" s="12" t="n">
        <x:v>31497</x:v>
      </x:c>
      <x:c r="H54" s="12" t="n">
        <x:v>51502.0000000149</x:v>
      </x:c>
      <x:c r="I54" s="12" t="n">
        <x:v>2550</x:v>
      </x:c>
      <x:c r="J54" s="12" t="n">
        <x:v>105.99999998509884</x:v>
      </x:c>
      <x:c r="K54" s="2" t="n">
        <x:v>316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119472</x:v>
      </x:c>
      <x:c r="D55" s="12" t="n">
        <x:v>84270.0000000149</x:v>
      </x:c>
      <x:c r="E55" s="12" t="n">
        <x:v>34988.666666671634</x:v>
      </x:c>
      <x:c r="F55" s="12" t="n">
        <x:v>32004</x:v>
      </x:c>
      <x:c r="G55" s="12" t="n">
        <x:v>49610.0000000149</x:v>
      </x:c>
      <x:c r="H55" s="12" t="n">
        <x:v>35201.9999999851</x:v>
      </x:c>
      <x:c r="I55" s="12" t="n">
        <x:v>2550</x:v>
      </x:c>
      <x:c r="J55" s="12" t="n">
        <x:v>106</x:v>
      </x:c>
      <x:c r="K55" s="2" t="n">
        <x:v>320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119475</x:v>
      </x:c>
      <x:c r="D56" s="12" t="n">
        <x:v>65363.0000000149</x:v>
      </x:c>
      <x:c r="E56" s="12" t="n">
        <x:v>53895.666666671634</x:v>
      </x:c>
      <x:c r="F56" s="12" t="n">
        <x:v>33247</x:v>
      </x:c>
      <x:c r="G56" s="12" t="n">
        <x:v>29460</x:v>
      </x:c>
      <x:c r="H56" s="12" t="n">
        <x:v>54111.9999999851</x:v>
      </x:c>
      <x:c r="I56" s="12" t="n">
        <x:v>2550</x:v>
      </x:c>
      <x:c r="J56" s="12" t="n">
        <x:v>106.00000001490116</x:v>
      </x:c>
      <x:c r="K56" s="2" t="n">
        <x:v>324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119468</x:v>
      </x:c>
      <x:c r="D57" s="12" t="n">
        <x:v>84336</x:v>
      </x:c>
      <x:c r="E57" s="12" t="n">
        <x:v>34919.666666671634</x:v>
      </x:c>
      <x:c r="F57" s="12" t="n">
        <x:v>33125</x:v>
      </x:c>
      <x:c r="G57" s="12" t="n">
        <x:v>48554.9999999851</x:v>
      </x:c>
      <x:c r="H57" s="12" t="n">
        <x:v>35132</x:v>
      </x:c>
      <x:c r="I57" s="12" t="n">
        <x:v>2550</x:v>
      </x:c>
      <x:c r="J57" s="12" t="n">
        <x:v>106.00000001490116</x:v>
      </x:c>
      <x:c r="K57" s="2" t="n">
        <x:v>328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119475.9999999851</x:v>
      </x:c>
      <x:c r="D58" s="12" t="n">
        <x:v>64548.9999999851</x:v>
      </x:c>
      <x:c r="E58" s="12" t="n">
        <x:v>54710.666666671634</x:v>
      </x:c>
      <x:c r="F58" s="12" t="n">
        <x:v>32971.9999999851</x:v>
      </x:c>
      <x:c r="G58" s="12" t="n">
        <x:v>28921</x:v>
      </x:c>
      <x:c r="H58" s="12" t="n">
        <x:v>54927</x:v>
      </x:c>
      <x:c r="I58" s="12" t="n">
        <x:v>2550</x:v>
      </x:c>
      <x:c r="J58" s="12" t="n">
        <x:v>106</x:v>
      </x:c>
      <x:c r="K58" s="2" t="n">
        <x:v>332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119470</x:v>
      </x:c>
      <x:c r="D59" s="12" t="n">
        <x:v>82673.0000000149</x:v>
      </x:c>
      <x:c r="E59" s="12" t="n">
        <x:v>36582.666666671634</x:v>
      </x:c>
      <x:c r="F59" s="12" t="n">
        <x:v>32001</x:v>
      </x:c>
      <x:c r="G59" s="12" t="n">
        <x:v>48016</x:v>
      </x:c>
      <x:c r="H59" s="12" t="n">
        <x:v>36796.9999999851</x:v>
      </x:c>
      <x:c r="I59" s="12" t="n">
        <x:v>2550</x:v>
      </x:c>
      <x:c r="J59" s="12" t="n">
        <x:v>106.00000001490116</x:v>
      </x:c>
      <x:c r="K59" s="2" t="n">
        <x:v>336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119472.0000000149</x:v>
      </x:c>
      <x:c r="D60" s="12" t="n">
        <x:v>64845.0000000149</x:v>
      </x:c>
      <x:c r="E60" s="12" t="n">
        <x:v>54412.666666671634</x:v>
      </x:c>
      <x:c r="F60" s="12" t="n">
        <x:v>33268</x:v>
      </x:c>
      <x:c r="G60" s="12" t="n">
        <x:v>28921</x:v>
      </x:c>
      <x:c r="H60" s="12" t="n">
        <x:v>54627</x:v>
      </x:c>
      <x:c r="I60" s="12" t="n">
        <x:v>2550</x:v>
      </x:c>
      <x:c r="J60" s="12" t="n">
        <x:v>106.00000001490116</x:v>
      </x:c>
      <x:c r="K60" s="2" t="n">
        <x:v>340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119474</x:v>
      </x:c>
      <x:c r="D61" s="12" t="n">
        <x:v>91187</x:v>
      </x:c>
      <x:c r="E61" s="12" t="n">
        <x:v>28070.666666671634</x:v>
      </x:c>
      <x:c r="F61" s="12" t="n">
        <x:v>40515</x:v>
      </x:c>
      <x:c r="G61" s="12" t="n">
        <x:v>48015.9999999851</x:v>
      </x:c>
      <x:c r="H61" s="12" t="n">
        <x:v>28287</x:v>
      </x:c>
      <x:c r="I61" s="12" t="n">
        <x:v>2550</x:v>
      </x:c>
      <x:c r="J61" s="12" t="n">
        <x:v>106.00000001490116</x:v>
      </x:c>
      <x:c r="K61" s="2" t="n">
        <x:v>344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119472</x:v>
      </x:c>
      <x:c r="D62" s="12" t="n">
        <x:v>67239.9999999851</x:v>
      </x:c>
      <x:c r="E62" s="12" t="n">
        <x:v>52015.666666671634</x:v>
      </x:c>
      <x:c r="F62" s="12" t="n">
        <x:v>35663.0000000149</x:v>
      </x:c>
      <x:c r="G62" s="12" t="n">
        <x:v>28921</x:v>
      </x:c>
      <x:c r="H62" s="12" t="n">
        <x:v>52232.0000000149</x:v>
      </x:c>
      <x:c r="I62" s="12" t="n">
        <x:v>2550</x:v>
      </x:c>
      <x:c r="J62" s="12" t="n">
        <x:v>105.99999997019768</x:v>
      </x:c>
      <x:c r="K62" s="2" t="n">
        <x:v>348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119469</x:v>
      </x:c>
      <x:c r="D63" s="12" t="n">
        <x:v>83962</x:v>
      </x:c>
      <x:c r="E63" s="12" t="n">
        <x:v>35293.666666671634</x:v>
      </x:c>
      <x:c r="F63" s="12" t="n">
        <x:v>33290</x:v>
      </x:c>
      <x:c r="G63" s="12" t="n">
        <x:v>48016</x:v>
      </x:c>
      <x:c r="H63" s="12" t="n">
        <x:v>35507</x:v>
      </x:c>
      <x:c r="I63" s="12" t="n">
        <x:v>2550</x:v>
      </x:c>
      <x:c r="J63" s="12" t="n">
        <x:v>106</x:v>
      </x:c>
      <x:c r="K63" s="2" t="n">
        <x:v>352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119474</x:v>
      </x:c>
      <x:c r="D64" s="12" t="n">
        <x:v>66977</x:v>
      </x:c>
      <x:c r="E64" s="12" t="n">
        <x:v>52281.666666671634</x:v>
      </x:c>
      <x:c r="F64" s="12" t="n">
        <x:v>34865</x:v>
      </x:c>
      <x:c r="G64" s="12" t="n">
        <x:v>29455.9999999851</x:v>
      </x:c>
      <x:c r="H64" s="12" t="n">
        <x:v>52497</x:v>
      </x:c>
      <x:c r="I64" s="12" t="n">
        <x:v>2550</x:v>
      </x:c>
      <x:c r="J64" s="12" t="n">
        <x:v>106.00000001490116</x:v>
      </x:c>
      <x:c r="K64" s="2" t="n">
        <x:v>356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119470</x:v>
      </x:c>
      <x:c r="D65" s="12" t="n">
        <x:v>87203</x:v>
      </x:c>
      <x:c r="E65" s="12" t="n">
        <x:v>32053.666666671634</x:v>
      </x:c>
      <x:c r="F65" s="12" t="n">
        <x:v>35996.0000000149</x:v>
      </x:c>
      <x:c r="G65" s="12" t="n">
        <x:v>48551</x:v>
      </x:c>
      <x:c r="H65" s="12" t="n">
        <x:v>32267</x:v>
      </x:c>
      <x:c r="I65" s="12" t="n">
        <x:v>2550</x:v>
      </x:c>
      <x:c r="J65" s="12" t="n">
        <x:v>105.99999998509884</x:v>
      </x:c>
      <x:c r="K65" s="2" t="n">
        <x:v>360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119474</x:v>
      </x:c>
      <x:c r="D66" s="12" t="n">
        <x:v>71376.9999999851</x:v>
      </x:c>
      <x:c r="E66" s="12" t="n">
        <x:v>47881.666666671634</x:v>
      </x:c>
      <x:c r="F66" s="12" t="n">
        <x:v>39797.0000000149</x:v>
      </x:c>
      <x:c r="G66" s="12" t="n">
        <x:v>28924</x:v>
      </x:c>
      <x:c r="H66" s="12" t="n">
        <x:v>48097.0000000149</x:v>
      </x:c>
      <x:c r="I66" s="12" t="n">
        <x:v>2550</x:v>
      </x:c>
      <x:c r="J66" s="12" t="n">
        <x:v>105.99999997019768</x:v>
      </x:c>
      <x:c r="K66" s="2" t="n">
        <x:v>364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121025</x:v>
      </x:c>
      <x:c r="D67" s="12" t="n">
        <x:v>83798.0000000149</x:v>
      </x:c>
      <x:c r="E67" s="12" t="n">
        <x:v>37010.666666671634</x:v>
      </x:c>
      <x:c r="F67" s="12" t="n">
        <x:v>40820</x:v>
      </x:c>
      <x:c r="G67" s="12" t="n">
        <x:v>38769.9999999851</x:v>
      </x:c>
      <x:c r="H67" s="12" t="n">
        <x:v>37226.9999999851</x:v>
      </x:c>
      <x:c r="I67" s="12" t="n">
        <x:v>4102</x:v>
      </x:c>
      <x:c r="J67" s="12" t="n">
        <x:v>106.00000002980232</x:v>
      </x:c>
      <x:c r="K67" s="2" t="n">
        <x:v>364</x:v>
      </x:c>
      <x:c r="L67" s="2" t="n">
        <x:v>935</x:v>
      </x:c>
    </x:row>
    <x:row r="68" ht="24" customHeight="1">
      <x:c r="A68" s="2" t="n">
        <x:v>67</x:v>
      </x:c>
      <x:c r="B68" s="2" t="n">
        <x:v>2</x:v>
      </x:c>
      <x:c r="C68" s="12" t="n">
        <x:v>119471</x:v>
      </x:c>
      <x:c r="D68" s="12" t="n">
        <x:v>100719</x:v>
      </x:c>
      <x:c r="E68" s="12" t="n">
        <x:v>18536.666666671634</x:v>
      </x:c>
      <x:c r="F68" s="12" t="n">
        <x:v>36966</x:v>
      </x:c>
      <x:c r="G68" s="12" t="n">
        <x:v>59545.0000000149</x:v>
      </x:c>
      <x:c r="H68" s="12" t="n">
        <x:v>18752</x:v>
      </x:c>
      <x:c r="I68" s="12" t="n">
        <x:v>4102</x:v>
      </x:c>
      <x:c r="J68" s="12" t="n">
        <x:v>105.99999998509884</x:v>
      </x:c>
      <x:c r="K68" s="2" t="n">
        <x:v>365</x:v>
      </x:c>
      <x:c r="L68" s="2" t="n">
        <x:v>931</x:v>
      </x:c>
    </x:row>
    <x:row r="69" ht="24" customHeight="1">
      <x:c r="A69" s="2" t="n">
        <x:v>68</x:v>
      </x:c>
      <x:c r="B69" s="2" t="n">
        <x:v>2</x:v>
      </x:c>
      <x:c r="C69" s="12" t="n">
        <x:v>119472</x:v>
      </x:c>
      <x:c r="D69" s="12" t="n">
        <x:v>110435</x:v>
      </x:c>
      <x:c r="E69" s="12" t="n">
        <x:v>8821.666666671634</x:v>
      </x:c>
      <x:c r="F69" s="12" t="n">
        <x:v>36631</x:v>
      </x:c>
      <x:c r="G69" s="12" t="n">
        <x:v>69596</x:v>
      </x:c>
      <x:c r="H69" s="12" t="n">
        <x:v>9037</x:v>
      </x:c>
      <x:c r="I69" s="12" t="n">
        <x:v>4102.000000014901</x:v>
      </x:c>
      <x:c r="J69" s="12" t="n">
        <x:v>105.99999998509884</x:v>
      </x:c>
      <x:c r="K69" s="2" t="n">
        <x:v>365</x:v>
      </x:c>
      <x:c r="L69" s="2" t="n">
        <x:v>927</x:v>
      </x:c>
    </x:row>
    <x:row r="70" ht="24" customHeight="1">
      <x:c r="A70" s="2" t="n">
        <x:v>69</x:v>
      </x:c>
      <x:c r="B70" s="2" t="n">
        <x:v>2</x:v>
      </x:c>
      <x:c r="C70" s="12" t="n">
        <x:v>119473</x:v>
      </x:c>
      <x:c r="D70" s="12" t="n">
        <x:v>99270.9999999851</x:v>
      </x:c>
      <x:c r="E70" s="12" t="n">
        <x:v>19985.666666671634</x:v>
      </x:c>
      <x:c r="F70" s="12" t="n">
        <x:v>36621</x:v>
      </x:c>
      <x:c r="G70" s="12" t="n">
        <x:v>58442.0000000149</x:v>
      </x:c>
      <x:c r="H70" s="12" t="n">
        <x:v>20202.0000000149</x:v>
      </x:c>
      <x:c r="I70" s="12" t="n">
        <x:v>4101.999999985099</x:v>
      </x:c>
      <x:c r="J70" s="12" t="n">
        <x:v>105.99999998509884</x:v>
      </x:c>
      <x:c r="K70" s="2" t="n">
        <x:v>366</x:v>
      </x:c>
      <x:c r="L70" s="2" t="n">
        <x:v>923</x:v>
      </x:c>
    </x:row>
    <x:row r="71" ht="24" customHeight="1">
      <x:c r="A71" s="2" t="n">
        <x:v>70</x:v>
      </x:c>
      <x:c r="B71" s="2" t="n">
        <x:v>2</x:v>
      </x:c>
      <x:c r="C71" s="12" t="n">
        <x:v>119471</x:v>
      </x:c>
      <x:c r="D71" s="12" t="n">
        <x:v>113013.9999999851</x:v>
      </x:c>
      <x:c r="E71" s="12" t="n">
        <x:v>6241.666666671634</x:v>
      </x:c>
      <x:c r="F71" s="12" t="n">
        <x:v>37689.0000000149</x:v>
      </x:c>
      <x:c r="G71" s="12" t="n">
        <x:v>71117.0000000149</x:v>
      </x:c>
      <x:c r="H71" s="12" t="n">
        <x:v>6457.000000014901</x:v>
      </x:c>
      <x:c r="I71" s="12" t="n">
        <x:v>4102.000000014901</x:v>
      </x:c>
      <x:c r="J71" s="12" t="n">
        <x:v>105.99999994039536</x:v>
      </x:c>
      <x:c r="K71" s="2" t="n">
        <x:v>366</x:v>
      </x:c>
      <x:c r="L71" s="2" t="n">
        <x:v>919</x:v>
      </x:c>
    </x:row>
    <x:row r="72" ht="24" customHeight="1">
      <x:c r="A72" s="2" t="n">
        <x:v>71</x:v>
      </x:c>
      <x:c r="B72" s="2" t="n">
        <x:v>2</x:v>
      </x:c>
      <x:c r="C72" s="12" t="n">
        <x:v>119469</x:v>
      </x:c>
      <x:c r="D72" s="12" t="n">
        <x:v>102687.0000000149</x:v>
      </x:c>
      <x:c r="E72" s="12" t="n">
        <x:v>16569.666666671634</x:v>
      </x:c>
      <x:c r="F72" s="12" t="n">
        <x:v>38783</x:v>
      </x:c>
      <x:c r="G72" s="12" t="n">
        <x:v>59695.9999999851</x:v>
      </x:c>
      <x:c r="H72" s="12" t="n">
        <x:v>16781.9999999851</x:v>
      </x:c>
      <x:c r="I72" s="12" t="n">
        <x:v>4102.000000014901</x:v>
      </x:c>
      <x:c r="J72" s="12" t="n">
        <x:v>106.00000001490116</x:v>
      </x:c>
      <x:c r="K72" s="2" t="n">
        <x:v>367</x:v>
      </x:c>
      <x:c r="L72" s="2" t="n">
        <x:v>915</x:v>
      </x:c>
    </x:row>
    <x:row r="73" ht="24" customHeight="1">
      <x:c r="A73" s="2" t="n">
        <x:v>72</x:v>
      </x:c>
      <x:c r="B73" s="2" t="n">
        <x:v>2</x:v>
      </x:c>
      <x:c r="C73" s="12" t="n">
        <x:v>119476</x:v>
      </x:c>
      <x:c r="D73" s="12" t="n">
        <x:v>118299</x:v>
      </x:c>
      <x:c r="E73" s="12" t="n">
        <x:v>960.6666666716337</x:v>
      </x:c>
      <x:c r="F73" s="12" t="n">
        <x:v>42596</x:v>
      </x:c>
      <x:c r="G73" s="12" t="n">
        <x:v>71494.9999999851</x:v>
      </x:c>
      <x:c r="H73" s="12" t="n">
        <x:v>1177</x:v>
      </x:c>
      <x:c r="I73" s="12" t="n">
        <x:v>4102.000000014901</x:v>
      </x:c>
      <x:c r="J73" s="12" t="n">
        <x:v>106</x:v>
      </x:c>
      <x:c r="K73" s="2" t="n">
        <x:v>367</x:v>
      </x:c>
      <x:c r="L73" s="2" t="n">
        <x:v>911</x:v>
      </x:c>
    </x:row>
    <x:row r="74" ht="24" customHeight="1">
      <x:c r="A74" s="2" t="n">
        <x:v>73</x:v>
      </x:c>
      <x:c r="B74" s="2" t="n">
        <x:v>2</x:v>
      </x:c>
      <x:c r="C74" s="12" t="n">
        <x:v>119470.9999999851</x:v>
      </x:c>
      <x:c r="D74" s="12" t="n">
        <x:v>71848.9999999702</x:v>
      </x:c>
      <x:c r="E74" s="12" t="n">
        <x:v>47406.666666671634</x:v>
      </x:c>
      <x:c r="F74" s="12" t="n">
        <x:v>40603.9999999851</x:v>
      </x:c>
      <x:c r="G74" s="12" t="n">
        <x:v>27037.0000000149</x:v>
      </x:c>
      <x:c r="H74" s="12" t="n">
        <x:v>47622.0000000149</x:v>
      </x:c>
      <x:c r="I74" s="12" t="n">
        <x:v>4102.000000014901</x:v>
      </x:c>
      <x:c r="J74" s="12" t="n">
        <x:v>105.99999995529652</x:v>
      </x:c>
      <x:c r="K74" s="2" t="n">
        <x:v>367</x:v>
      </x:c>
      <x:c r="L74" s="2" t="n">
        <x:v>907</x:v>
      </x:c>
    </x:row>
    <x:row r="75" ht="24" customHeight="1">
      <x:c r="A75" s="2" t="n">
        <x:v>74</x:v>
      </x:c>
      <x:c r="B75" s="2" t="n">
        <x:v>2</x:v>
      </x:c>
      <x:c r="C75" s="12" t="n">
        <x:v>119471</x:v>
      </x:c>
      <x:c r="D75" s="12" t="n">
        <x:v>77933.9999999851</x:v>
      </x:c>
      <x:c r="E75" s="12" t="n">
        <x:v>41322.666666671634</x:v>
      </x:c>
      <x:c r="F75" s="12" t="n">
        <x:v>34638</x:v>
      </x:c>
      <x:c r="G75" s="12" t="n">
        <x:v>39088</x:v>
      </x:c>
      <x:c r="H75" s="12" t="n">
        <x:v>41537.0000000149</x:v>
      </x:c>
      <x:c r="I75" s="12" t="n">
        <x:v>4102.000000014901</x:v>
      </x:c>
      <x:c r="J75" s="12" t="n">
        <x:v>105.99999997019768</x:v>
      </x:c>
      <x:c r="K75" s="2" t="n">
        <x:v>367</x:v>
      </x:c>
      <x:c r="L75" s="2" t="n">
        <x:v>903</x:v>
      </x:c>
    </x:row>
    <x:row r="76" ht="24" customHeight="1">
      <x:c r="A76" s="2" t="n">
        <x:v>75</x:v>
      </x:c>
      <x:c r="B76" s="2" t="n">
        <x:v>2</x:v>
      </x:c>
      <x:c r="C76" s="12" t="n">
        <x:v>119472.0000000149</x:v>
      </x:c>
      <x:c r="D76" s="12" t="n">
        <x:v>67375.0000000149</x:v>
      </x:c>
      <x:c r="E76" s="12" t="n">
        <x:v>51882.666666671634</x:v>
      </x:c>
      <x:c r="F76" s="12" t="n">
        <x:v>36129.9999999851</x:v>
      </x:c>
      <x:c r="G76" s="12" t="n">
        <x:v>27036.9999999851</x:v>
      </x:c>
      <x:c r="H76" s="12" t="n">
        <x:v>52097</x:v>
      </x:c>
      <x:c r="I76" s="12" t="n">
        <x:v>4102.000000014901</x:v>
      </x:c>
      <x:c r="J76" s="12" t="n">
        <x:v>106.00000002980232</x:v>
      </x:c>
      <x:c r="K76" s="2" t="n">
        <x:v>367</x:v>
      </x:c>
      <x:c r="L76" s="2" t="n">
        <x:v>899</x:v>
      </x:c>
    </x:row>
    <x:row r="77" ht="24" customHeight="1">
      <x:c r="A77" s="2" t="n">
        <x:v>76</x:v>
      </x:c>
      <x:c r="B77" s="2" t="n">
        <x:v>2</x:v>
      </x:c>
      <x:c r="C77" s="12" t="n">
        <x:v>119470</x:v>
      </x:c>
      <x:c r="D77" s="12" t="n">
        <x:v>82212.9999999851</x:v>
      </x:c>
      <x:c r="E77" s="12" t="n">
        <x:v>37044.666666671634</x:v>
      </x:c>
      <x:c r="F77" s="12" t="n">
        <x:v>38890.9999999851</x:v>
      </x:c>
      <x:c r="G77" s="12" t="n">
        <x:v>39114</x:v>
      </x:c>
      <x:c r="H77" s="12" t="n">
        <x:v>37257.0000000149</x:v>
      </x:c>
      <x:c r="I77" s="12" t="n">
        <x:v>4101.999999985099</x:v>
      </x:c>
      <x:c r="J77" s="12" t="n">
        <x:v>106.00000001490116</x:v>
      </x:c>
      <x:c r="K77" s="2" t="n">
        <x:v>367</x:v>
      </x:c>
      <x:c r="L77" s="2" t="n">
        <x:v>895</x:v>
      </x:c>
    </x:row>
    <x:row r="78" ht="24" customHeight="1">
      <x:c r="A78" s="2" t="n">
        <x:v>77</x:v>
      </x:c>
      <x:c r="B78" s="2" t="n">
        <x:v>3</x:v>
      </x:c>
      <x:c r="C78" s="12" t="n">
        <x:v>177656</x:v>
      </x:c>
      <x:c r="D78" s="12" t="n">
        <x:v>122799</x:v>
      </x:c>
      <x:c r="E78" s="12" t="n">
        <x:v>-5091.333333328366</x:v>
      </x:c>
      <x:c r="F78" s="12" t="n">
        <x:v>37770.0000000149</x:v>
      </x:c>
      <x:c r="G78" s="12" t="n">
        <x:v>82372.9999999851</x:v>
      </x:c>
      <x:c r="H78" s="12" t="n">
        <x:v>54857</x:v>
      </x:c>
      <x:c r="I78" s="12" t="n">
        <x:v>2549.999999985099</x:v>
      </x:c>
      <x:c r="J78" s="12" t="n">
        <x:v>106.00000001490116</x:v>
      </x:c>
      <x:c r="K78" s="2" t="n">
        <x:v>371</x:v>
      </x:c>
      <x:c r="L78" s="2" t="n">
        <x:v>895</x:v>
      </x:c>
    </x:row>
    <x:row r="79" ht="24" customHeight="1">
      <x:c r="A79" s="2" t="n">
        <x:v>78</x:v>
      </x:c>
      <x:c r="B79" s="2" t="n">
        <x:v>3</x:v>
      </x:c>
      <x:c r="C79" s="12" t="n">
        <x:v>180763</x:v>
      </x:c>
      <x:c r="D79" s="12" t="n">
        <x:v>149316</x:v>
      </x:c>
      <x:c r="E79" s="12" t="n">
        <x:v>-28504.333333328366</x:v>
      </x:c>
      <x:c r="F79" s="12" t="n">
        <x:v>58425</x:v>
      </x:c>
      <x:c r="G79" s="12" t="n">
        <x:v>86683</x:v>
      </x:c>
      <x:c r="H79" s="12" t="n">
        <x:v>31447</x:v>
      </x:c>
      <x:c r="I79" s="12" t="n">
        <x:v>4101.999999985099</x:v>
      </x:c>
      <x:c r="J79" s="12" t="n">
        <x:v>106.00000001490116</x:v>
      </x:c>
      <x:c r="K79" s="2" t="n">
        <x:v>379</x:v>
      </x:c>
      <x:c r="L79" s="2" t="n">
        <x:v>894</x:v>
      </x:c>
    </x:row>
    <x:row r="80" ht="24" customHeight="1">
      <x:c r="A80" s="2" t="n">
        <x:v>79</x:v>
      </x:c>
      <x:c r="B80" s="2" t="n">
        <x:v>2</x:v>
      </x:c>
      <x:c r="C80" s="12" t="n">
        <x:v>119471</x:v>
      </x:c>
      <x:c r="D80" s="12" t="n">
        <x:v>98474</x:v>
      </x:c>
      <x:c r="E80" s="12" t="n">
        <x:v>20782.666666671634</x:v>
      </x:c>
      <x:c r="F80" s="12" t="n">
        <x:v>43854</x:v>
      </x:c>
      <x:c r="G80" s="12" t="n">
        <x:v>50412</x:v>
      </x:c>
      <x:c r="H80" s="12" t="n">
        <x:v>20997</x:v>
      </x:c>
      <x:c r="I80" s="12" t="n">
        <x:v>4101.999999985099</x:v>
      </x:c>
      <x:c r="J80" s="12" t="n">
        <x:v>106.00000001490116</x:v>
      </x:c>
      <x:c r="K80" s="2" t="n">
        <x:v>383</x:v>
      </x:c>
      <x:c r="L80" s="2" t="n">
        <x:v>893</x:v>
      </x:c>
    </x:row>
    <x:row r="81" ht="24" customHeight="1">
      <x:c r="A81" s="2" t="n">
        <x:v>80</x:v>
      </x:c>
      <x:c r="B81" s="2" t="n">
        <x:v>2</x:v>
      </x:c>
      <x:c r="C81" s="12" t="n">
        <x:v>117921</x:v>
      </x:c>
      <x:c r="D81" s="12" t="n">
        <x:v>108664.0000000149</x:v>
      </x:c>
      <x:c r="E81" s="12" t="n">
        <x:v>9041.666666671634</x:v>
      </x:c>
      <x:c r="F81" s="12" t="n">
        <x:v>36805</x:v>
      </x:c>
      <x:c r="G81" s="12" t="n">
        <x:v>69202.9999999851</x:v>
      </x:c>
      <x:c r="H81" s="12" t="n">
        <x:v>9256.999999985099</x:v>
      </x:c>
      <x:c r="I81" s="12" t="n">
        <x:v>2550.000000014901</x:v>
      </x:c>
      <x:c r="J81" s="12" t="n">
        <x:v>106.00000001490116</x:v>
      </x:c>
      <x:c r="K81" s="2" t="n">
        <x:v>387</x:v>
      </x:c>
      <x:c r="L81" s="2" t="n">
        <x:v>893</x:v>
      </x:c>
    </x:row>
    <x:row r="82" ht="24" customHeight="1">
      <x:c r="A82" s="2" t="n">
        <x:v>81</x:v>
      </x:c>
      <x:c r="B82" s="2" t="n">
        <x:v>2</x:v>
      </x:c>
      <x:c r="C82" s="12" t="n">
        <x:v>121021</x:v>
      </x:c>
      <x:c r="D82" s="12" t="n">
        <x:v>90659.0000000149</x:v>
      </x:c>
      <x:c r="E82" s="12" t="n">
        <x:v>30149.666666671634</x:v>
      </x:c>
      <x:c r="F82" s="12" t="n">
        <x:v>37276.9999999851</x:v>
      </x:c>
      <x:c r="G82" s="12" t="n">
        <x:v>49173.9999999851</x:v>
      </x:c>
      <x:c r="H82" s="12" t="n">
        <x:v>30361.9999999851</x:v>
      </x:c>
      <x:c r="I82" s="12" t="n">
        <x:v>4102</x:v>
      </x:c>
      <x:c r="J82" s="12" t="n">
        <x:v>106.00000004470348</x:v>
      </x:c>
      <x:c r="K82" s="2" t="n">
        <x:v>391</x:v>
      </x:c>
      <x:c r="L82" s="2" t="n">
        <x:v>892</x:v>
      </x:c>
    </x:row>
    <x:row r="83" ht="24" customHeight="1">
      <x:c r="A83" s="2" t="n">
        <x:v>82</x:v>
      </x:c>
      <x:c r="B83" s="2" t="n">
        <x:v>2</x:v>
      </x:c>
      <x:c r="C83" s="12" t="n">
        <x:v>117922.9999999851</x:v>
      </x:c>
      <x:c r="D83" s="12" t="n">
        <x:v>104785.9999999702</x:v>
      </x:c>
      <x:c r="E83" s="12" t="n">
        <x:v>12921.666666671634</x:v>
      </x:c>
      <x:c r="F83" s="12" t="n">
        <x:v>35344.9999999851</x:v>
      </x:c>
      <x:c r="G83" s="12" t="n">
        <x:v>66785</x:v>
      </x:c>
      <x:c r="H83" s="12" t="n">
        <x:v>13137.000000014901</x:v>
      </x:c>
      <x:c r="I83" s="12" t="n">
        <x:v>2549.999999985099</x:v>
      </x:c>
      <x:c r="J83" s="12" t="n">
        <x:v>106</x:v>
      </x:c>
      <x:c r="K83" s="2" t="n">
        <x:v>395</x:v>
      </x:c>
      <x:c r="L83" s="2" t="n">
        <x:v>892</x:v>
      </x:c>
    </x:row>
    <x:row r="84" ht="24" customHeight="1">
      <x:c r="A84" s="2" t="n">
        <x:v>83</x:v>
      </x:c>
      <x:c r="B84" s="2" t="n">
        <x:v>2</x:v>
      </x:c>
      <x:c r="C84" s="12" t="n">
        <x:v>123844.0000000149</x:v>
      </x:c>
      <x:c r="D84" s="12" t="n">
        <x:v>80107.0000000149</x:v>
      </x:c>
      <x:c r="E84" s="12" t="n">
        <x:v>43522.666666671634</x:v>
      </x:c>
      <x:c r="F84" s="12" t="n">
        <x:v>42721.0000000149</x:v>
      </x:c>
      <x:c r="G84" s="12" t="n">
        <x:v>30356.9999999851</x:v>
      </x:c>
      <x:c r="H84" s="12" t="n">
        <x:v>43737</x:v>
      </x:c>
      <x:c r="I84" s="12" t="n">
        <x:v>6923</x:v>
      </x:c>
      <x:c r="J84" s="12" t="n">
        <x:v>106.00000001490116</x:v>
      </x:c>
      <x:c r="K84" s="2" t="n">
        <x:v>399</x:v>
      </x:c>
      <x:c r="L84" s="2" t="n">
        <x:v>891</x:v>
      </x:c>
    </x:row>
    <x:row r="85" ht="24" customHeight="1">
      <x:c r="A85" s="2" t="n">
        <x:v>84</x:v>
      </x:c>
      <x:c r="B85" s="2" t="n">
        <x:v>2</x:v>
      </x:c>
      <x:c r="C85" s="12" t="n">
        <x:v>115100</x:v>
      </x:c>
      <x:c r="D85" s="12" t="n">
        <x:v>112343</x:v>
      </x:c>
      <x:c r="E85" s="12" t="n">
        <x:v>2541.6666666716337</x:v>
      </x:c>
      <x:c r="F85" s="12" t="n">
        <x:v>40573.9999999851</x:v>
      </x:c>
      <x:c r="G85" s="12" t="n">
        <x:v>69112.9999999851</x:v>
      </x:c>
      <x:c r="H85" s="12" t="n">
        <x:v>2757</x:v>
      </x:c>
      <x:c r="I85" s="12" t="n">
        <x:v>2550</x:v>
      </x:c>
      <x:c r="J85" s="12" t="n">
        <x:v>106.00000002980232</x:v>
      </x:c>
      <x:c r="K85" s="2" t="n">
        <x:v>403</x:v>
      </x:c>
      <x:c r="L85" s="2" t="n">
        <x:v>891</x:v>
      </x:c>
    </x:row>
    <x:row r="86" ht="24" customHeight="1">
      <x:c r="A86" s="2" t="n">
        <x:v>85</x:v>
      </x:c>
      <x:c r="B86" s="2" t="n">
        <x:v>2</x:v>
      </x:c>
      <x:c r="C86" s="12" t="n">
        <x:v>119471</x:v>
      </x:c>
      <x:c r="D86" s="12" t="n">
        <x:v>68609.0000000149</x:v>
      </x:c>
      <x:c r="E86" s="12" t="n">
        <x:v>50647.666666671634</x:v>
      </x:c>
      <x:c r="F86" s="12" t="n">
        <x:v>36127.9999999851</x:v>
      </x:c>
      <x:c r="G86" s="12" t="n">
        <x:v>29825</x:v>
      </x:c>
      <x:c r="H86" s="12" t="n">
        <x:v>50861.9999999851</x:v>
      </x:c>
      <x:c r="I86" s="12" t="n">
        <x:v>2550.000000014901</x:v>
      </x:c>
      <x:c r="J86" s="12" t="n">
        <x:v>106.00000001490116</x:v>
      </x:c>
      <x:c r="K86" s="2" t="n">
        <x:v>407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119474</x:v>
      </x:c>
      <x:c r="D87" s="12" t="n">
        <x:v>83957.0000000149</x:v>
      </x:c>
      <x:c r="E87" s="12" t="n">
        <x:v>35300.666666671634</x:v>
      </x:c>
      <x:c r="F87" s="12" t="n">
        <x:v>33624.9999999851</x:v>
      </x:c>
      <x:c r="G87" s="12" t="n">
        <x:v>47675.9999999851</x:v>
      </x:c>
      <x:c r="H87" s="12" t="n">
        <x:v>35516.9999999851</x:v>
      </x:c>
      <x:c r="I87" s="12" t="n">
        <x:v>2550</x:v>
      </x:c>
      <x:c r="J87" s="12" t="n">
        <x:v>106.00000004470348</x:v>
      </x:c>
      <x:c r="K87" s="2" t="n">
        <x:v>411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119471</x:v>
      </x:c>
      <x:c r="D88" s="12" t="n">
        <x:v>68849</x:v>
      </x:c>
      <x:c r="E88" s="12" t="n">
        <x:v>50406.666666671634</x:v>
      </x:c>
      <x:c r="F88" s="12" t="n">
        <x:v>35832</x:v>
      </x:c>
      <x:c r="G88" s="12" t="n">
        <x:v>30361.0000000149</x:v>
      </x:c>
      <x:c r="H88" s="12" t="n">
        <x:v>50622</x:v>
      </x:c>
      <x:c r="I88" s="12" t="n">
        <x:v>2550.000000014901</x:v>
      </x:c>
      <x:c r="J88" s="12" t="n">
        <x:v>105.99999997019768</x:v>
      </x:c>
      <x:c r="K88" s="2" t="n">
        <x:v>415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119472</x:v>
      </x:c>
      <x:c r="D89" s="12" t="n">
        <x:v>84495.0000000149</x:v>
      </x:c>
      <x:c r="E89" s="12" t="n">
        <x:v>34761.666666671634</x:v>
      </x:c>
      <x:c r="F89" s="12" t="n">
        <x:v>34702</x:v>
      </x:c>
      <x:c r="G89" s="12" t="n">
        <x:v>47136.9999999851</x:v>
      </x:c>
      <x:c r="H89" s="12" t="n">
        <x:v>34976.9999999851</x:v>
      </x:c>
      <x:c r="I89" s="12" t="n">
        <x:v>2549.999999985099</x:v>
      </x:c>
      <x:c r="J89" s="12" t="n">
        <x:v>106.00000004470348</x:v>
      </x:c>
      <x:c r="K89" s="2" t="n">
        <x:v>419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119469</x:v>
      </x:c>
      <x:c r="D90" s="12" t="n">
        <x:v>66467</x:v>
      </x:c>
      <x:c r="E90" s="12" t="n">
        <x:v>52789.666666671634</x:v>
      </x:c>
      <x:c r="F90" s="12" t="n">
        <x:v>33989.0000000149</x:v>
      </x:c>
      <x:c r="G90" s="12" t="n">
        <x:v>29822</x:v>
      </x:c>
      <x:c r="H90" s="12" t="n">
        <x:v>53002</x:v>
      </x:c>
      <x:c r="I90" s="12" t="n">
        <x:v>2549.999999985099</x:v>
      </x:c>
      <x:c r="J90" s="12" t="n">
        <x:v>106</x:v>
      </x:c>
      <x:c r="K90" s="2" t="n">
        <x:v>423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119474</x:v>
      </x:c>
      <x:c r="D91" s="12" t="n">
        <x:v>90862</x:v>
      </x:c>
      <x:c r="E91" s="12" t="n">
        <x:v>28397.666666671634</x:v>
      </x:c>
      <x:c r="F91" s="12" t="n">
        <x:v>41069.0000000298</x:v>
      </x:c>
      <x:c r="G91" s="12" t="n">
        <x:v>47137.0000000149</x:v>
      </x:c>
      <x:c r="H91" s="12" t="n">
        <x:v>28612</x:v>
      </x:c>
      <x:c r="I91" s="12" t="n">
        <x:v>2549.999999985099</x:v>
      </x:c>
      <x:c r="J91" s="12" t="n">
        <x:v>105.99999997019768</x:v>
      </x:c>
      <x:c r="K91" s="2" t="n">
        <x:v>427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119471</x:v>
      </x:c>
      <x:c r="D92" s="12" t="n">
        <x:v>69879.0000000298</x:v>
      </x:c>
      <x:c r="E92" s="12" t="n">
        <x:v>49378.666666671634</x:v>
      </x:c>
      <x:c r="F92" s="12" t="n">
        <x:v>37401.0000000149</x:v>
      </x:c>
      <x:c r="G92" s="12" t="n">
        <x:v>29822</x:v>
      </x:c>
      <x:c r="H92" s="12" t="n">
        <x:v>49591.9999999702</x:v>
      </x:c>
      <x:c r="I92" s="12" t="n">
        <x:v>2549.999999985099</x:v>
      </x:c>
      <x:c r="J92" s="12" t="n">
        <x:v>106.00000002980232</x:v>
      </x:c>
      <x:c r="K92" s="2" t="n">
        <x:v>431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119474.9999999851</x:v>
      </x:c>
      <x:c r="D93" s="12" t="n">
        <x:v>85687.9999999851</x:v>
      </x:c>
      <x:c r="E93" s="12" t="n">
        <x:v>33570.666666671634</x:v>
      </x:c>
      <x:c r="F93" s="12" t="n">
        <x:v>35895</x:v>
      </x:c>
      <x:c r="G93" s="12" t="n">
        <x:v>47137</x:v>
      </x:c>
      <x:c r="H93" s="12" t="n">
        <x:v>33787</x:v>
      </x:c>
      <x:c r="I93" s="12" t="n">
        <x:v>2550.000000014901</x:v>
      </x:c>
      <x:c r="J93" s="12" t="n">
        <x:v>105.99999997019768</x:v>
      </x:c>
      <x:c r="K93" s="2" t="n">
        <x:v>435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119471</x:v>
      </x:c>
      <x:c r="D94" s="12" t="n">
        <x:v>68824</x:v>
      </x:c>
      <x:c r="E94" s="12" t="n">
        <x:v>50431.666666671634</x:v>
      </x:c>
      <x:c r="F94" s="12" t="n">
        <x:v>36346</x:v>
      </x:c>
      <x:c r="G94" s="12" t="n">
        <x:v>29822</x:v>
      </x:c>
      <x:c r="H94" s="12" t="n">
        <x:v>50647</x:v>
      </x:c>
      <x:c r="I94" s="12" t="n">
        <x:v>2550</x:v>
      </x:c>
      <x:c r="J94" s="12" t="n">
        <x:v>106</x:v>
      </x:c>
      <x:c r="K94" s="2" t="n">
        <x:v>439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121025.0000000149</x:v>
      </x:c>
      <x:c r="D95" s="12" t="n">
        <x:v>94093</x:v>
      </x:c>
      <x:c r="E95" s="12" t="n">
        <x:v>26715.666666671634</x:v>
      </x:c>
      <x:c r="F95" s="12" t="n">
        <x:v>42039</x:v>
      </x:c>
      <x:c r="G95" s="12" t="n">
        <x:v>47846</x:v>
      </x:c>
      <x:c r="H95" s="12" t="n">
        <x:v>26932.0000000149</x:v>
      </x:c>
      <x:c r="I95" s="12" t="n">
        <x:v>4101.999999985099</x:v>
      </x:c>
      <x:c r="J95" s="12" t="n">
        <x:v>106.00000001490116</x:v>
      </x:c>
      <x:c r="K95" s="2" t="n">
        <x:v>439</x:v>
      </x:c>
      <x:c r="L95" s="2" t="n">
        <x:v>895</x:v>
      </x:c>
    </x:row>
    <x:row r="96" ht="24" customHeight="1">
      <x:c r="A96" s="2" t="n">
        <x:v>95</x:v>
      </x:c>
      <x:c r="B96" s="2" t="n">
        <x:v>2</x:v>
      </x:c>
      <x:c r="C96" s="12" t="n">
        <x:v>119471.9999999851</x:v>
      </x:c>
      <x:c r="D96" s="12" t="n">
        <x:v>85159.9999999702</x:v>
      </x:c>
      <x:c r="E96" s="12" t="n">
        <x:v>34095.666666671634</x:v>
      </x:c>
      <x:c r="F96" s="12" t="n">
        <x:v>41385</x:v>
      </x:c>
      <x:c r="G96" s="12" t="n">
        <x:v>39567</x:v>
      </x:c>
      <x:c r="H96" s="12" t="n">
        <x:v>34312.0000000149</x:v>
      </x:c>
      <x:c r="I96" s="12" t="n">
        <x:v>4101.999999985099</x:v>
      </x:c>
      <x:c r="J96" s="12" t="n">
        <x:v>105.99999998509884</x:v>
      </x:c>
      <x:c r="K96" s="2" t="n">
        <x:v>439</x:v>
      </x:c>
      <x:c r="L96" s="2" t="n">
        <x:v>899</x:v>
      </x:c>
    </x:row>
    <x:row r="97" ht="24" customHeight="1">
      <x:c r="A97" s="2" t="n">
        <x:v>96</x:v>
      </x:c>
      <x:c r="B97" s="2" t="n">
        <x:v>2</x:v>
      </x:c>
      <x:c r="C97" s="12" t="n">
        <x:v>119470.0000000149</x:v>
      </x:c>
      <x:c r="D97" s="12" t="n">
        <x:v>72473.0000000149</x:v>
      </x:c>
      <x:c r="E97" s="12" t="n">
        <x:v>46782.666666671634</x:v>
      </x:c>
      <x:c r="F97" s="12" t="n">
        <x:v>41158</x:v>
      </x:c>
      <x:c r="G97" s="12" t="n">
        <x:v>27107</x:v>
      </x:c>
      <x:c r="H97" s="12" t="n">
        <x:v>46997</x:v>
      </x:c>
      <x:c r="I97" s="12" t="n">
        <x:v>4102</x:v>
      </x:c>
      <x:c r="J97" s="12" t="n">
        <x:v>106.00000001490116</x:v>
      </x:c>
      <x:c r="K97" s="2" t="n">
        <x:v>439</x:v>
      </x:c>
      <x:c r="L97" s="2" t="n">
        <x:v>903</x:v>
      </x:c>
    </x:row>
    <x:row r="98" ht="24" customHeight="1">
      <x:c r="A98" s="2" t="n">
        <x:v>97</x:v>
      </x:c>
      <x:c r="B98" s="2" t="n">
        <x:v>2</x:v>
      </x:c>
      <x:c r="C98" s="12" t="n">
        <x:v>119469.9999999851</x:v>
      </x:c>
      <x:c r="D98" s="12" t="n">
        <x:v>118427.9999999702</x:v>
      </x:c>
      <x:c r="E98" s="12" t="n">
        <x:v>829.6666666716337</x:v>
      </x:c>
      <x:c r="F98" s="12" t="n">
        <x:v>41835.9999999851</x:v>
      </x:c>
      <x:c r="G98" s="12" t="n">
        <x:v>72384</x:v>
      </x:c>
      <x:c r="H98" s="12" t="n">
        <x:v>1042.0000000149012</x:v>
      </x:c>
      <x:c r="I98" s="12" t="n">
        <x:v>4101.999999985099</x:v>
      </x:c>
      <x:c r="J98" s="12" t="n">
        <x:v>106</x:v>
      </x:c>
      <x:c r="K98" s="2" t="n">
        <x:v>438</x:v>
      </x:c>
      <x:c r="L98" s="2" t="n">
        <x:v>907</x:v>
      </x:c>
    </x:row>
    <x:row r="99" ht="24" customHeight="1">
      <x:c r="A99" s="2" t="n">
        <x:v>98</x:v>
      </x:c>
      <x:c r="B99" s="2" t="n">
        <x:v>2</x:v>
      </x:c>
      <x:c r="C99" s="12" t="n">
        <x:v>119473.0000000149</x:v>
      </x:c>
      <x:c r="D99" s="12" t="n">
        <x:v>102591.0000000298</x:v>
      </x:c>
      <x:c r="E99" s="12" t="n">
        <x:v>16668.666666671634</x:v>
      </x:c>
      <x:c r="F99" s="12" t="n">
        <x:v>37892.0000000149</x:v>
      </x:c>
      <x:c r="G99" s="12" t="n">
        <x:v>60491</x:v>
      </x:c>
      <x:c r="H99" s="12" t="n">
        <x:v>16881.9999999851</x:v>
      </x:c>
      <x:c r="I99" s="12" t="n">
        <x:v>4102</x:v>
      </x:c>
      <x:c r="J99" s="12" t="n">
        <x:v>106.00000001490116</x:v>
      </x:c>
      <x:c r="K99" s="2" t="n">
        <x:v>438</x:v>
      </x:c>
      <x:c r="L99" s="2" t="n">
        <x:v>911</x:v>
      </x:c>
    </x:row>
    <x:row r="100" ht="24" customHeight="1">
      <x:c r="A100" s="2" t="n">
        <x:v>99</x:v>
      </x:c>
      <x:c r="B100" s="2" t="n">
        <x:v>2</x:v>
      </x:c>
      <x:c r="C100" s="12" t="n">
        <x:v>119474</x:v>
      </x:c>
      <x:c r="D100" s="12" t="n">
        <x:v>113332</x:v>
      </x:c>
      <x:c r="E100" s="12" t="n">
        <x:v>5926.666666671634</x:v>
      </x:c>
      <x:c r="F100" s="12" t="n">
        <x:v>38621</x:v>
      </x:c>
      <x:c r="G100" s="12" t="n">
        <x:v>70503</x:v>
      </x:c>
      <x:c r="H100" s="12" t="n">
        <x:v>6142</x:v>
      </x:c>
      <x:c r="I100" s="12" t="n">
        <x:v>4101.999999985099</x:v>
      </x:c>
      <x:c r="J100" s="12" t="n">
        <x:v>106.00000001490116</x:v>
      </x:c>
      <x:c r="K100" s="2" t="n">
        <x:v>437</x:v>
      </x:c>
      <x:c r="L100" s="2" t="n">
        <x:v>915</x:v>
      </x:c>
    </x:row>
    <x:row r="101" ht="24" customHeight="1">
      <x:c r="A101" s="2" t="n">
        <x:v>100</x:v>
      </x:c>
      <x:c r="B101" s="2" t="n">
        <x:v>2</x:v>
      </x:c>
      <x:c r="C101" s="12" t="n">
        <x:v>119469.9999999851</x:v>
      </x:c>
      <x:c r="D101" s="12" t="n">
        <x:v>100597.9999999851</x:v>
      </x:c>
      <x:c r="E101" s="12" t="n">
        <x:v>18658.666666671634</x:v>
      </x:c>
      <x:c r="F101" s="12" t="n">
        <x:v>36765</x:v>
      </x:c>
      <x:c r="G101" s="12" t="n">
        <x:v>59625</x:v>
      </x:c>
      <x:c r="H101" s="12" t="n">
        <x:v>18872</x:v>
      </x:c>
      <x:c r="I101" s="12" t="n">
        <x:v>4102.000000014901</x:v>
      </x:c>
      <x:c r="J101" s="12" t="n">
        <x:v>105.99999997019768</x:v>
      </x:c>
      <x:c r="K101" s="2" t="n">
        <x:v>437</x:v>
      </x:c>
      <x:c r="L101" s="2" t="n">
        <x:v>919</x:v>
      </x:c>
    </x:row>
    <x:row r="102" ht="24" customHeight="1">
      <x:c r="A102" s="2" t="n">
        <x:v>101</x:v>
      </x:c>
      <x:c r="B102" s="2" t="n">
        <x:v>2</x:v>
      </x:c>
      <x:c r="C102" s="12" t="n">
        <x:v>119475.0000000149</x:v>
      </x:c>
      <x:c r="D102" s="12" t="n">
        <x:v>78588.0000000298</x:v>
      </x:c>
      <x:c r="E102" s="12" t="n">
        <x:v>40670.666666671634</x:v>
      </x:c>
      <x:c r="F102" s="12" t="n">
        <x:v>35147</x:v>
      </x:c>
      <x:c r="G102" s="12" t="n">
        <x:v>39233.0000000149</x:v>
      </x:c>
      <x:c r="H102" s="12" t="n">
        <x:v>40886.9999999851</x:v>
      </x:c>
      <x:c r="I102" s="12" t="n">
        <x:v>4101.999999985099</x:v>
      </x:c>
      <x:c r="J102" s="12" t="n">
        <x:v>106.00000002980232</x:v>
      </x:c>
      <x:c r="K102" s="2" t="n">
        <x:v>436</x:v>
      </x:c>
      <x:c r="L102" s="2" t="n">
        <x:v>923</x:v>
      </x:c>
    </x:row>
    <x:row r="103" ht="24" customHeight="1">
      <x:c r="A103" s="2" t="n">
        <x:v>102</x:v>
      </x:c>
      <x:c r="B103" s="2" t="n">
        <x:v>2</x:v>
      </x:c>
      <x:c r="C103" s="12" t="n">
        <x:v>119467.9999999851</x:v>
      </x:c>
      <x:c r="D103" s="12" t="n">
        <x:v>88001</x:v>
      </x:c>
      <x:c r="E103" s="12" t="n">
        <x:v>31254.666666671634</x:v>
      </x:c>
      <x:c r="F103" s="12" t="n">
        <x:v>36411.9999999851</x:v>
      </x:c>
      <x:c r="G103" s="12" t="n">
        <x:v>47381</x:v>
      </x:c>
      <x:c r="H103" s="12" t="n">
        <x:v>31466.9999999851</x:v>
      </x:c>
      <x:c r="I103" s="12" t="n">
        <x:v>4102.000000014901</x:v>
      </x:c>
      <x:c r="J103" s="12" t="n">
        <x:v>106</x:v>
      </x:c>
      <x:c r="K103" s="2" t="n">
        <x:v>436</x:v>
      </x:c>
      <x:c r="L103" s="2" t="n">
        <x:v>927</x:v>
      </x:c>
    </x:row>
    <x:row r="104" ht="24" customHeight="1">
      <x:c r="A104" s="2" t="n">
        <x:v>103</x:v>
      </x:c>
      <x:c r="B104" s="2" t="n">
        <x:v>2</x:v>
      </x:c>
      <x:c r="C104" s="12" t="n">
        <x:v>119475.0000000149</x:v>
      </x:c>
      <x:c r="D104" s="12" t="n">
        <x:v>84133.0000000149</x:v>
      </x:c>
      <x:c r="E104" s="12" t="n">
        <x:v>35126.666666671634</x:v>
      </x:c>
      <x:c r="F104" s="12" t="n">
        <x:v>41228.9999999851</x:v>
      </x:c>
      <x:c r="G104" s="12" t="n">
        <x:v>38696</x:v>
      </x:c>
      <x:c r="H104" s="12" t="n">
        <x:v>35342</x:v>
      </x:c>
      <x:c r="I104" s="12" t="n">
        <x:v>4101.999999985099</x:v>
      </x:c>
      <x:c r="J104" s="12" t="n">
        <x:v>106.00000004470348</x:v>
      </x:c>
      <x:c r="K104" s="2" t="n">
        <x:v>436</x:v>
      </x:c>
      <x:c r="L104" s="2" t="n">
        <x:v>931</x:v>
      </x:c>
    </x:row>
    <x:row r="105" ht="24" customHeight="1">
      <x:c r="A105" s="2" t="n">
        <x:v>104</x:v>
      </x:c>
      <x:c r="B105" s="2" t="n">
        <x:v>2</x:v>
      </x:c>
      <x:c r="C105" s="12" t="n">
        <x:v>119471</x:v>
      </x:c>
      <x:c r="D105" s="12" t="n">
        <x:v>69309</x:v>
      </x:c>
      <x:c r="E105" s="12" t="n">
        <x:v>49947.666666671634</x:v>
      </x:c>
      <x:c r="F105" s="12" t="n">
        <x:v>38876.0000000149</x:v>
      </x:c>
      <x:c r="G105" s="12" t="n">
        <x:v>26225</x:v>
      </x:c>
      <x:c r="H105" s="12" t="n">
        <x:v>50162</x:v>
      </x:c>
      <x:c r="I105" s="12" t="n">
        <x:v>4101.999999985099</x:v>
      </x:c>
      <x:c r="J105" s="12" t="n">
        <x:v>106</x:v>
      </x:c>
      <x:c r="K105" s="2" t="n">
        <x:v>436</x:v>
      </x:c>
      <x:c r="L105" s="2" t="n">
        <x:v>935</x:v>
      </x:c>
    </x:row>
    <x:row r="106" ht="24" customHeight="1">
      <x:c r="A106" s="2" t="n">
        <x:v>105</x:v>
      </x:c>
      <x:c r="B106" s="2" t="n">
        <x:v>2</x:v>
      </x:c>
      <x:c r="C106" s="12" t="n">
        <x:v>119471</x:v>
      </x:c>
      <x:c r="D106" s="12" t="n">
        <x:v>87449</x:v>
      </x:c>
      <x:c r="E106" s="12" t="n">
        <x:v>31808.666666671634</x:v>
      </x:c>
      <x:c r="F106" s="12" t="n">
        <x:v>44805.0000000149</x:v>
      </x:c>
      <x:c r="G106" s="12" t="n">
        <x:v>38436</x:v>
      </x:c>
      <x:c r="H106" s="12" t="n">
        <x:v>32022</x:v>
      </x:c>
      <x:c r="I106" s="12" t="n">
        <x:v>4102</x:v>
      </x:c>
      <x:c r="J106" s="12" t="n">
        <x:v>105.99999998509884</x:v>
      </x:c>
      <x:c r="K106" s="2" t="n">
        <x:v>436</x:v>
      </x:c>
      <x:c r="L106" s="2" t="n">
        <x:v>939</x:v>
      </x:c>
    </x:row>
    <x:row r="107" ht="24" customHeight="1">
      <x:c r="A107" s="2" t="n">
        <x:v>106</x:v>
      </x:c>
      <x:c r="B107" s="2" t="n">
        <x:v>2</x:v>
      </x:c>
      <x:c r="C107" s="12" t="n">
        <x:v>119472.9999999851</x:v>
      </x:c>
      <x:c r="D107" s="12" t="n">
        <x:v>76665.9999999702</x:v>
      </x:c>
      <x:c r="E107" s="12" t="n">
        <x:v>42592.666666671634</x:v>
      </x:c>
      <x:c r="F107" s="12" t="n">
        <x:v>46233</x:v>
      </x:c>
      <x:c r="G107" s="12" t="n">
        <x:v>26225</x:v>
      </x:c>
      <x:c r="H107" s="12" t="n">
        <x:v>42807.0000000149</x:v>
      </x:c>
      <x:c r="I107" s="12" t="n">
        <x:v>4102.000000014901</x:v>
      </x:c>
      <x:c r="J107" s="12" t="n">
        <x:v>105.99999995529652</x:v>
      </x:c>
      <x:c r="K107" s="2" t="n">
        <x:v>436</x:v>
      </x:c>
      <x:c r="L107" s="2" t="n">
        <x:v>943</x:v>
      </x:c>
    </x:row>
    <x:row r="108" ht="24" customHeight="1">
      <x:c r="A108" s="2" t="n">
        <x:v>107</x:v>
      </x:c>
      <x:c r="B108" s="2" t="n">
        <x:v>2</x:v>
      </x:c>
      <x:c r="C108" s="12" t="n">
        <x:v>119474</x:v>
      </x:c>
      <x:c r="D108" s="12" t="n">
        <x:v>90332.0000000149</x:v>
      </x:c>
      <x:c r="E108" s="12" t="n">
        <x:v>28925.666666671634</x:v>
      </x:c>
      <x:c r="F108" s="12" t="n">
        <x:v>47687.9999999851</x:v>
      </x:c>
      <x:c r="G108" s="12" t="n">
        <x:v>38436</x:v>
      </x:c>
      <x:c r="H108" s="12" t="n">
        <x:v>29141.9999999851</x:v>
      </x:c>
      <x:c r="I108" s="12" t="n">
        <x:v>4102.000000014901</x:v>
      </x:c>
      <x:c r="J108" s="12" t="n">
        <x:v>106.00000001490116</x:v>
      </x:c>
      <x:c r="K108" s="2" t="n">
        <x:v>436</x:v>
      </x:c>
      <x:c r="L108" s="2" t="n">
        <x:v>947</x:v>
      </x:c>
    </x:row>
    <x:row r="109" ht="24" customHeight="1">
      <x:c r="A109" s="2" t="n">
        <x:v>108</x:v>
      </x:c>
      <x:c r="B109" s="2" t="n">
        <x:v>2</x:v>
      </x:c>
      <x:c r="C109" s="12" t="n">
        <x:v>119469.0000000149</x:v>
      </x:c>
      <x:c r="D109" s="12" t="n">
        <x:v>77827.0000000149</x:v>
      </x:c>
      <x:c r="E109" s="12" t="n">
        <x:v>41428.666666671634</x:v>
      </x:c>
      <x:c r="F109" s="12" t="n">
        <x:v>47394</x:v>
      </x:c>
      <x:c r="G109" s="12" t="n">
        <x:v>26225</x:v>
      </x:c>
      <x:c r="H109" s="12" t="n">
        <x:v>41642</x:v>
      </x:c>
      <x:c r="I109" s="12" t="n">
        <x:v>4102.000000014901</x:v>
      </x:c>
      <x:c r="J109" s="12" t="n">
        <x:v>106</x:v>
      </x:c>
      <x:c r="K109" s="2" t="n">
        <x:v>436</x:v>
      </x:c>
      <x:c r="L109" s="2" t="n">
        <x:v>951</x:v>
      </x:c>
    </x:row>
    <x:row r="110" ht="24" customHeight="1">
      <x:c r="A110" s="2" t="n">
        <x:v>109</x:v>
      </x:c>
      <x:c r="B110" s="2" t="n">
        <x:v>2</x:v>
      </x:c>
      <x:c r="C110" s="12" t="n">
        <x:v>119470.9999999851</x:v>
      </x:c>
      <x:c r="D110" s="12" t="n">
        <x:v>86653.9999999702</x:v>
      </x:c>
      <x:c r="E110" s="12" t="n">
        <x:v>32604.666666671634</x:v>
      </x:c>
      <x:c r="F110" s="12" t="n">
        <x:v>44010</x:v>
      </x:c>
      <x:c r="G110" s="12" t="n">
        <x:v>38436.0000000149</x:v>
      </x:c>
      <x:c r="H110" s="12" t="n">
        <x:v>32817.0000000149</x:v>
      </x:c>
      <x:c r="I110" s="12" t="n">
        <x:v>4102.000000014901</x:v>
      </x:c>
      <x:c r="J110" s="12" t="n">
        <x:v>105.99999994039536</x:v>
      </x:c>
      <x:c r="K110" s="2" t="n">
        <x:v>436</x:v>
      </x:c>
      <x:c r="L110" s="2" t="n">
        <x:v>955</x:v>
      </x:c>
    </x:row>
    <x:row r="111" ht="24" customHeight="1">
      <x:c r="A111" s="2" t="n">
        <x:v>110</x:v>
      </x:c>
      <x:c r="B111" s="2" t="n">
        <x:v>2</x:v>
      </x:c>
      <x:c r="C111" s="12" t="n">
        <x:v>119475.0000000149</x:v>
      </x:c>
      <x:c r="D111" s="12" t="n">
        <x:v>80893.0000000149</x:v>
      </x:c>
      <x:c r="E111" s="12" t="n">
        <x:v>38366.666666671634</x:v>
      </x:c>
      <x:c r="F111" s="12" t="n">
        <x:v>49909</x:v>
      </x:c>
      <x:c r="G111" s="12" t="n">
        <x:v>26776</x:v>
      </x:c>
      <x:c r="H111" s="12" t="n">
        <x:v>38582</x:v>
      </x:c>
      <x:c r="I111" s="12" t="n">
        <x:v>4101.999999985099</x:v>
      </x:c>
      <x:c r="J111" s="12" t="n">
        <x:v>106.00000002980232</x:v>
      </x:c>
      <x:c r="K111" s="2" t="n">
        <x:v>436</x:v>
      </x:c>
      <x:c r="L111" s="2" t="n">
        <x:v>959</x:v>
      </x:c>
    </x:row>
    <x:row r="112" ht="24" customHeight="1">
      <x:c r="A112" s="2" t="n">
        <x:v>111</x:v>
      </x:c>
      <x:c r="B112" s="2" t="n">
        <x:v>2</x:v>
      </x:c>
      <x:c r="C112" s="12" t="n">
        <x:v>119471</x:v>
      </x:c>
      <x:c r="D112" s="12" t="n">
        <x:v>81429</x:v>
      </x:c>
      <x:c r="E112" s="12" t="n">
        <x:v>37827.666666671634</x:v>
      </x:c>
      <x:c r="F112" s="12" t="n">
        <x:v>38260</x:v>
      </x:c>
      <x:c r="G112" s="12" t="n">
        <x:v>38961.0000000298</x:v>
      </x:c>
      <x:c r="H112" s="12" t="n">
        <x:v>38042</x:v>
      </x:c>
      <x:c r="I112" s="12" t="n">
        <x:v>4102</x:v>
      </x:c>
      <x:c r="J112" s="12" t="n">
        <x:v>105.99999997019768</x:v>
      </x:c>
      <x:c r="K112" s="2" t="n">
        <x:v>436</x:v>
      </x:c>
      <x:c r="L112" s="2" t="n">
        <x:v>963</x:v>
      </x:c>
    </x:row>
    <x:row r="113" ht="24" customHeight="1">
      <x:c r="A113" s="2" t="n">
        <x:v>112</x:v>
      </x:c>
      <x:c r="B113" s="2" t="n">
        <x:v>2</x:v>
      </x:c>
      <x:c r="C113" s="12" t="n">
        <x:v>119474</x:v>
      </x:c>
      <x:c r="D113" s="12" t="n">
        <x:v>68467</x:v>
      </x:c>
      <x:c r="E113" s="12" t="n">
        <x:v>50790.666666671634</x:v>
      </x:c>
      <x:c r="F113" s="12" t="n">
        <x:v>38014.9999999851</x:v>
      </x:c>
      <x:c r="G113" s="12" t="n">
        <x:v>26244</x:v>
      </x:c>
      <x:c r="H113" s="12" t="n">
        <x:v>51007</x:v>
      </x:c>
      <x:c r="I113" s="12" t="n">
        <x:v>4101.999999985099</x:v>
      </x:c>
      <x:c r="J113" s="12" t="n">
        <x:v>106.00000002980232</x:v>
      </x:c>
      <x:c r="K113" s="2" t="n">
        <x:v>436</x:v>
      </x:c>
      <x:c r="L113" s="2" t="n">
        <x:v>967</x:v>
      </x:c>
    </x:row>
    <x:row r="114" ht="24" customHeight="1">
      <x:c r="A114" s="2" t="n">
        <x:v>113</x:v>
      </x:c>
      <x:c r="B114" s="2" t="n">
        <x:v>2</x:v>
      </x:c>
      <x:c r="C114" s="12" t="n">
        <x:v>119471.9999999851</x:v>
      </x:c>
      <x:c r="D114" s="12" t="n">
        <x:v>79154.9999999702</x:v>
      </x:c>
      <x:c r="E114" s="12" t="n">
        <x:v>40100.666666671634</x:v>
      </x:c>
      <x:c r="F114" s="12" t="n">
        <x:v>36518.0000000149</x:v>
      </x:c>
      <x:c r="G114" s="12" t="n">
        <x:v>38429</x:v>
      </x:c>
      <x:c r="H114" s="12" t="n">
        <x:v>40317.0000000149</x:v>
      </x:c>
      <x:c r="I114" s="12" t="n">
        <x:v>4101.999999985099</x:v>
      </x:c>
      <x:c r="J114" s="12" t="n">
        <x:v>105.99999997019768</x:v>
      </x:c>
      <x:c r="K114" s="2" t="n">
        <x:v>436</x:v>
      </x:c>
      <x:c r="L114" s="2" t="n">
        <x:v>971</x:v>
      </x:c>
    </x:row>
    <x:row r="115" ht="24" customHeight="1">
      <x:c r="A115" s="2" t="n">
        <x:v>114</x:v>
      </x:c>
      <x:c r="B115" s="2" t="n">
        <x:v>2</x:v>
      </x:c>
      <x:c r="C115" s="12" t="n">
        <x:v>121366</x:v>
      </x:c>
      <x:c r="D115" s="12" t="n">
        <x:v>78279</x:v>
      </x:c>
      <x:c r="E115" s="12" t="n">
        <x:v>42872.666666671634</x:v>
      </x:c>
      <x:c r="F115" s="12" t="n">
        <x:v>45931</x:v>
      </x:c>
      <x:c r="G115" s="12" t="n">
        <x:v>26243.9999999851</x:v>
      </x:c>
      <x:c r="H115" s="12" t="n">
        <x:v>43087</x:v>
      </x:c>
      <x:c r="I115" s="12" t="n">
        <x:v>5998</x:v>
      </x:c>
      <x:c r="J115" s="12" t="n">
        <x:v>106.00000001490116</x:v>
      </x:c>
      <x:c r="K115" s="2" t="n">
        <x:v>436</x:v>
      </x:c>
      <x:c r="L115" s="2" t="n">
        <x:v>975</x:v>
      </x:c>
    </x:row>
    <x:row r="116" ht="24" customHeight="1">
      <x:c r="A116" s="2" t="n">
        <x:v>115</x:v>
      </x:c>
      <x:c r="B116" s="2" t="n">
        <x:v>2</x:v>
      </x:c>
      <x:c r="C116" s="12" t="n">
        <x:v>117576.0000000149</x:v>
      </x:c>
      <x:c r="D116" s="12" t="n">
        <x:v>87244.0000000149</x:v>
      </x:c>
      <x:c r="E116" s="12" t="n">
        <x:v>30117.666666671634</x:v>
      </x:c>
      <x:c r="F116" s="12" t="n">
        <x:v>44606.9999999851</x:v>
      </x:c>
      <x:c r="G116" s="12" t="n">
        <x:v>38429</x:v>
      </x:c>
      <x:c r="H116" s="12" t="n">
        <x:v>30332</x:v>
      </x:c>
      <x:c r="I116" s="12" t="n">
        <x:v>4101.999999985099</x:v>
      </x:c>
      <x:c r="J116" s="12" t="n">
        <x:v>106.00000004470348</x:v>
      </x:c>
      <x:c r="K116" s="2" t="n">
        <x:v>436</x:v>
      </x:c>
      <x:c r="L116" s="2" t="n">
        <x:v>979</x:v>
      </x:c>
    </x:row>
    <x:row r="117" ht="24" customHeight="1">
      <x:c r="A117" s="2" t="n">
        <x:v>116</x:v>
      </x:c>
      <x:c r="B117" s="2" t="n">
        <x:v>2</x:v>
      </x:c>
      <x:c r="C117" s="12" t="n">
        <x:v>121368.9999999851</x:v>
      </x:c>
      <x:c r="D117" s="12" t="n">
        <x:v>82662</x:v>
      </x:c>
      <x:c r="E117" s="12" t="n">
        <x:v>38491.666666671634</x:v>
      </x:c>
      <x:c r="F117" s="12" t="n">
        <x:v>50314.0000000149</x:v>
      </x:c>
      <x:c r="G117" s="12" t="n">
        <x:v>26244</x:v>
      </x:c>
      <x:c r="H117" s="12" t="n">
        <x:v>38706.9999999851</x:v>
      </x:c>
      <x:c r="I117" s="12" t="n">
        <x:v>5998.000000014901</x:v>
      </x:c>
      <x:c r="J117" s="12" t="n">
        <x:v>105.99999997019768</x:v>
      </x:c>
      <x:c r="K117" s="2" t="n">
        <x:v>436</x:v>
      </x:c>
      <x:c r="L117" s="2" t="n">
        <x:v>983</x:v>
      </x:c>
    </x:row>
    <x:row r="118" ht="24" customHeight="1">
      <x:c r="A118" s="2" t="n">
        <x:v>117</x:v>
      </x:c>
      <x:c r="B118" s="2" t="n">
        <x:v>2</x:v>
      </x:c>
      <x:c r="C118" s="12" t="n">
        <x:v>117574.0000000149</x:v>
      </x:c>
      <x:c r="D118" s="12" t="n">
        <x:v>91532</x:v>
      </x:c>
      <x:c r="E118" s="12" t="n">
        <x:v>25828.666666671634</x:v>
      </x:c>
      <x:c r="F118" s="12" t="n">
        <x:v>48047.9999999851</x:v>
      </x:c>
      <x:c r="G118" s="12" t="n">
        <x:v>39276</x:v>
      </x:c>
      <x:c r="H118" s="12" t="n">
        <x:v>26042.0000000149</x:v>
      </x:c>
      <x:c r="I118" s="12" t="n">
        <x:v>4101.999999985099</x:v>
      </x:c>
      <x:c r="J118" s="12" t="n">
        <x:v>106.00000002980232</x:v>
      </x:c>
      <x:c r="K118" s="2" t="n">
        <x:v>436</x:v>
      </x:c>
      <x:c r="L118" s="2" t="n">
        <x:v>987</x:v>
      </x:c>
    </x:row>
    <x:row r="119" ht="24" customHeight="1">
      <x:c r="A119" s="2" t="n">
        <x:v>118</x:v>
      </x:c>
      <x:c r="B119" s="2" t="n">
        <x:v>2</x:v>
      </x:c>
      <x:c r="C119" s="12" t="n">
        <x:v>119475</x:v>
      </x:c>
      <x:c r="D119" s="12" t="n">
        <x:v>91373.0000000298</x:v>
      </x:c>
      <x:c r="E119" s="12" t="n">
        <x:v>27885.666666671634</x:v>
      </x:c>
      <x:c r="F119" s="12" t="n">
        <x:v>42655.0000000149</x:v>
      </x:c>
      <x:c r="G119" s="12" t="n">
        <x:v>44510.0000000149</x:v>
      </x:c>
      <x:c r="H119" s="12" t="n">
        <x:v>28101.999999970198</x:v>
      </x:c>
      <x:c r="I119" s="12" t="n">
        <x:v>4102.000000014901</x:v>
      </x:c>
      <x:c r="J119" s="12" t="n">
        <x:v>105.99999998509884</x:v>
      </x:c>
      <x:c r="K119" s="2" t="n">
        <x:v>432</x:v>
      </x:c>
      <x:c r="L119" s="2" t="n">
        <x:v>988</x:v>
      </x:c>
    </x:row>
    <x:row r="120" ht="24" customHeight="1">
      <x:c r="A120" s="2" t="n">
        <x:v>119</x:v>
      </x:c>
      <x:c r="B120" s="2" t="n">
        <x:v>2</x:v>
      </x:c>
      <x:c r="C120" s="12" t="n">
        <x:v>117917</x:v>
      </x:c>
      <x:c r="D120" s="12" t="n">
        <x:v>111625.0000000149</x:v>
      </x:c>
      <x:c r="E120" s="12" t="n">
        <x:v>6078.666666671634</x:v>
      </x:c>
      <x:c r="F120" s="12" t="n">
        <x:v>41557</x:v>
      </x:c>
      <x:c r="G120" s="12" t="n">
        <x:v>67411.9999999851</x:v>
      </x:c>
      <x:c r="H120" s="12" t="n">
        <x:v>6291.999999985099</x:v>
      </x:c>
      <x:c r="I120" s="12" t="n">
        <x:v>2550.000000014901</x:v>
      </x:c>
      <x:c r="J120" s="12" t="n">
        <x:v>106.00000001490116</x:v>
      </x:c>
      <x:c r="K120" s="2" t="n">
        <x:v>428</x:v>
      </x:c>
      <x:c r="L120" s="2" t="n">
        <x:v>988</x:v>
      </x:c>
    </x:row>
    <x:row r="121" ht="24" customHeight="1">
      <x:c r="A121" s="2" t="n">
        <x:v>120</x:v>
      </x:c>
      <x:c r="B121" s="2" t="n">
        <x:v>2</x:v>
      </x:c>
      <x:c r="C121" s="12" t="n">
        <x:v>121024.9999999851</x:v>
      </x:c>
      <x:c r="D121" s="12" t="n">
        <x:v>93987.9999999702</x:v>
      </x:c>
      <x:c r="E121" s="12" t="n">
        <x:v>26822.666666671634</x:v>
      </x:c>
      <x:c r="F121" s="12" t="n">
        <x:v>42509</x:v>
      </x:c>
      <x:c r="G121" s="12" t="n">
        <x:v>47270.9999999851</x:v>
      </x:c>
      <x:c r="H121" s="12" t="n">
        <x:v>27037.0000000149</x:v>
      </x:c>
      <x:c r="I121" s="12" t="n">
        <x:v>4102.000000014901</x:v>
      </x:c>
      <x:c r="J121" s="12" t="n">
        <x:v>105.99999997019768</x:v>
      </x:c>
      <x:c r="K121" s="2" t="n">
        <x:v>424</x:v>
      </x:c>
      <x:c r="L121" s="2" t="n">
        <x:v>989</x:v>
      </x:c>
    </x:row>
    <x:row r="122" ht="24" customHeight="1">
      <x:c r="A122" s="2" t="n">
        <x:v>121</x:v>
      </x:c>
      <x:c r="B122" s="2" t="n">
        <x:v>2</x:v>
      </x:c>
      <x:c r="C122" s="12" t="n">
        <x:v>117918.0000000149</x:v>
      </x:c>
      <x:c r="D122" s="12" t="n">
        <x:v>111381.0000000298</x:v>
      </x:c>
      <x:c r="E122" s="12" t="n">
        <x:v>6324.666666671634</x:v>
      </x:c>
      <x:c r="F122" s="12" t="n">
        <x:v>40257</x:v>
      </x:c>
      <x:c r="G122" s="12" t="n">
        <x:v>68468.0000000149</x:v>
      </x:c>
      <x:c r="H122" s="12" t="n">
        <x:v>6536.999999985099</x:v>
      </x:c>
      <x:c r="I122" s="12" t="n">
        <x:v>2550.000000014901</x:v>
      </x:c>
      <x:c r="J122" s="12" t="n">
        <x:v>106</x:v>
      </x:c>
      <x:c r="K122" s="2" t="n">
        <x:v>420</x:v>
      </x:c>
      <x:c r="L122" s="2" t="n">
        <x:v>989</x:v>
      </x:c>
    </x:row>
    <x:row r="123" ht="24" customHeight="1">
      <x:c r="A123" s="2" t="n">
        <x:v>122</x:v>
      </x:c>
      <x:c r="B123" s="2" t="n">
        <x:v>2</x:v>
      </x:c>
      <x:c r="C123" s="12" t="n">
        <x:v>121026</x:v>
      </x:c>
      <x:c r="D123" s="12" t="n">
        <x:v>97694</x:v>
      </x:c>
      <x:c r="E123" s="12" t="n">
        <x:v>23117.666666671634</x:v>
      </x:c>
      <x:c r="F123" s="12" t="n">
        <x:v>44649</x:v>
      </x:c>
      <x:c r="G123" s="12" t="n">
        <x:v>48836.9999999851</x:v>
      </x:c>
      <x:c r="H123" s="12" t="n">
        <x:v>23332</x:v>
      </x:c>
      <x:c r="I123" s="12" t="n">
        <x:v>4101.999999985099</x:v>
      </x:c>
      <x:c r="J123" s="12" t="n">
        <x:v>106.00000002980232</x:v>
      </x:c>
      <x:c r="K123" s="2" t="n">
        <x:v>416</x:v>
      </x:c>
      <x:c r="L123" s="2" t="n">
        <x:v>990</x:v>
      </x:c>
    </x:row>
    <x:row r="124" ht="24" customHeight="1">
      <x:c r="A124" s="2" t="n">
        <x:v>123</x:v>
      </x:c>
      <x:c r="B124" s="2" t="n">
        <x:v>3</x:v>
      </x:c>
      <x:c r="C124" s="12" t="n">
        <x:v>182030.9999999851</x:v>
      </x:c>
      <x:c r="D124" s="12" t="n">
        <x:v>126823.9999999851</x:v>
      </x:c>
      <x:c r="E124" s="12" t="n">
        <x:v>-4745.333333328366</x:v>
      </x:c>
      <x:c r="F124" s="12" t="n">
        <x:v>48041.0000000149</x:v>
      </x:c>
      <x:c r="G124" s="12" t="n">
        <x:v>71754.0000000149</x:v>
      </x:c>
      <x:c r="H124" s="12" t="n">
        <x:v>55207</x:v>
      </x:c>
      <x:c r="I124" s="12" t="n">
        <x:v>6923.000000014901</x:v>
      </x:c>
      <x:c r="J124" s="12" t="n">
        <x:v>105.99999994039536</x:v>
      </x:c>
      <x:c r="K124" s="2" t="n">
        <x:v>412</x:v>
      </x:c>
      <x:c r="L124" s="2" t="n">
        <x:v>990</x:v>
      </x:c>
    </x:row>
    <x:row r="125" ht="24" customHeight="1">
      <x:c r="A125" s="2" t="n">
        <x:v>242</x:v>
      </x:c>
      <x:c r="B125" s="2" t="n">
        <x:v>3</x:v>
      </x:c>
      <x:c r="C125" s="12" t="n">
        <x:v>176385.9999999851</x:v>
      </x:c>
      <x:c r="D125" s="12" t="n">
        <x:v>127413.9999999851</x:v>
      </x:c>
      <x:c r="E125" s="12" t="n">
        <x:v>-10977.333333328366</x:v>
      </x:c>
      <x:c r="F125" s="12" t="n">
        <x:v>58755</x:v>
      </x:c>
      <x:c r="G125" s="12" t="n">
        <x:v>64451</x:v>
      </x:c>
      <x:c r="H125" s="12" t="n">
        <x:v>48972</x:v>
      </x:c>
      <x:c r="I125" s="12" t="n">
        <x:v>4102.000000014901</x:v>
      </x:c>
      <x:c r="J125" s="12" t="n">
        <x:v>105.99999997019768</x:v>
      </x:c>
      <x:c r="K125" s="2" t="n">
        <x:v>291</x:v>
      </x:c>
      <x:c r="L125" s="2" t="n">
        <x:v>1123</x:v>
      </x:c>
    </x:row>
    <x:row r="126" ht="24" customHeight="1">
      <x:c r="A126" s="2" t="n">
        <x:v>243</x:v>
      </x:c>
      <x:c r="B126" s="2" t="n">
        <x:v>2</x:v>
      </x:c>
      <x:c r="C126" s="12" t="n">
        <x:v>119474.0000000149</x:v>
      </x:c>
      <x:c r="D126" s="12" t="n">
        <x:v>108852.0000000149</x:v>
      </x:c>
      <x:c r="E126" s="12" t="n">
        <x:v>10406.666666671634</x:v>
      </x:c>
      <x:c r="F126" s="12" t="n">
        <x:v>40373.9999999851</x:v>
      </x:c>
      <x:c r="G126" s="12" t="n">
        <x:v>64270</x:v>
      </x:c>
      <x:c r="H126" s="12" t="n">
        <x:v>10622</x:v>
      </x:c>
      <x:c r="I126" s="12" t="n">
        <x:v>4102.000000014901</x:v>
      </x:c>
      <x:c r="J126" s="12" t="n">
        <x:v>106.00000001490116</x:v>
      </x:c>
      <x:c r="K126" s="2" t="n">
        <x:v>291</x:v>
      </x:c>
      <x:c r="L126" s="2" t="n">
        <x:v>1119</x:v>
      </x:c>
    </x:row>
    <x:row r="127" ht="24" customHeight="1">
      <x:c r="A127" s="2" t="n">
        <x:v>244</x:v>
      </x:c>
      <x:c r="B127" s="2" t="n">
        <x:v>2</x:v>
      </x:c>
      <x:c r="C127" s="12" t="n">
        <x:v>122291.9999999851</x:v>
      </x:c>
      <x:c r="D127" s="12" t="n">
        <x:v>110849.9999999702</x:v>
      </x:c>
      <x:c r="E127" s="12" t="n">
        <x:v>11227.666666671634</x:v>
      </x:c>
      <x:c r="F127" s="12" t="n">
        <x:v>41729</x:v>
      </x:c>
      <x:c r="G127" s="12" t="n">
        <x:v>62092.0000000149</x:v>
      </x:c>
      <x:c r="H127" s="12" t="n">
        <x:v>11442.000000014901</x:v>
      </x:c>
      <x:c r="I127" s="12" t="n">
        <x:v>6923</x:v>
      </x:c>
      <x:c r="J127" s="12" t="n">
        <x:v>105.99999995529652</x:v>
      </x:c>
      <x:c r="K127" s="2" t="n">
        <x:v>290</x:v>
      </x:c>
      <x:c r="L127" s="2" t="n">
        <x:v>1115</x:v>
      </x:c>
    </x:row>
    <x:row r="128" ht="24" customHeight="1">
      <x:c r="A128" s="2" t="n">
        <x:v>245</x:v>
      </x:c>
      <x:c r="B128" s="2" t="n">
        <x:v>2</x:v>
      </x:c>
      <x:c r="C128" s="12" t="n">
        <x:v>116651.0000000149</x:v>
      </x:c>
      <x:c r="D128" s="12" t="n">
        <x:v>115844.0000000298</x:v>
      </x:c>
      <x:c r="E128" s="12" t="n">
        <x:v>592.6666666716337</x:v>
      </x:c>
      <x:c r="F128" s="12" t="n">
        <x:v>38753</x:v>
      </x:c>
      <x:c r="G128" s="12" t="n">
        <x:v>72883</x:v>
      </x:c>
      <x:c r="H128" s="12" t="n">
        <x:v>806.9999999850988</x:v>
      </x:c>
      <x:c r="I128" s="12" t="n">
        <x:v>4102</x:v>
      </x:c>
      <x:c r="J128" s="12" t="n">
        <x:v>106.00000002980232</x:v>
      </x:c>
      <x:c r="K128" s="2" t="n">
        <x:v>290</x:v>
      </x:c>
      <x:c r="L128" s="2" t="n">
        <x:v>1111</x:v>
      </x:c>
    </x:row>
    <x:row r="129" ht="24" customHeight="1">
      <x:c r="A129" s="2" t="n">
        <x:v>246</x:v>
      </x:c>
      <x:c r="B129" s="2" t="n">
        <x:v>2</x:v>
      </x:c>
      <x:c r="C129" s="12" t="n">
        <x:v>119472.9999999851</x:v>
      </x:c>
      <x:c r="D129" s="12" t="n">
        <x:v>108495.9999999851</x:v>
      </x:c>
      <x:c r="E129" s="12" t="n">
        <x:v>10761.666666671634</x:v>
      </x:c>
      <x:c r="F129" s="12" t="n">
        <x:v>39939.9999999851</x:v>
      </x:c>
      <x:c r="G129" s="12" t="n">
        <x:v>64347.9999999851</x:v>
      </x:c>
      <x:c r="H129" s="12" t="n">
        <x:v>10977</x:v>
      </x:c>
      <x:c r="I129" s="12" t="n">
        <x:v>4102.000000014901</x:v>
      </x:c>
      <x:c r="J129" s="12" t="n">
        <x:v>106</x:v>
      </x:c>
      <x:c r="K129" s="2" t="n">
        <x:v>289</x:v>
      </x:c>
      <x:c r="L129" s="2" t="n">
        <x:v>1107</x:v>
      </x:c>
    </x:row>
    <x:row r="130" ht="24" customHeight="1">
      <x:c r="A130" s="2" t="n">
        <x:v>247</x:v>
      </x:c>
      <x:c r="B130" s="2" t="n">
        <x:v>2</x:v>
      </x:c>
      <x:c r="C130" s="12" t="n">
        <x:v>119473.0000000149</x:v>
      </x:c>
      <x:c r="D130" s="12" t="n">
        <x:v>116581</x:v>
      </x:c>
      <x:c r="E130" s="12" t="n">
        <x:v>2675.6666666716337</x:v>
      </x:c>
      <x:c r="F130" s="12" t="n">
        <x:v>37117</x:v>
      </x:c>
      <x:c r="G130" s="12" t="n">
        <x:v>75256</x:v>
      </x:c>
      <x:c r="H130" s="12" t="n">
        <x:v>2892.000000014901</x:v>
      </x:c>
      <x:c r="I130" s="12" t="n">
        <x:v>4101.999999985099</x:v>
      </x:c>
      <x:c r="J130" s="12" t="n">
        <x:v>106.00000001490116</x:v>
      </x:c>
      <x:c r="K130" s="2" t="n">
        <x:v>289</x:v>
      </x:c>
      <x:c r="L130" s="2" t="n">
        <x:v>1103</x:v>
      </x:c>
    </x:row>
    <x:row r="131" ht="24" customHeight="1">
      <x:c r="A131" s="2" t="n">
        <x:v>248</x:v>
      </x:c>
      <x:c r="B131" s="2" t="n">
        <x:v>2</x:v>
      </x:c>
      <x:c r="C131" s="12" t="n">
        <x:v>119468.9999999851</x:v>
      </x:c>
      <x:c r="D131" s="12" t="n">
        <x:v>74391.9999999702</x:v>
      </x:c>
      <x:c r="E131" s="12" t="n">
        <x:v>44863.666666671634</x:v>
      </x:c>
      <x:c r="F131" s="12" t="n">
        <x:v>40529</x:v>
      </x:c>
      <x:c r="G131" s="12" t="n">
        <x:v>29655</x:v>
      </x:c>
      <x:c r="H131" s="12" t="n">
        <x:v>45077.0000000149</x:v>
      </x:c>
      <x:c r="I131" s="12" t="n">
        <x:v>4101.999999985099</x:v>
      </x:c>
      <x:c r="J131" s="12" t="n">
        <x:v>105.99999998509884</x:v>
      </x:c>
      <x:c r="K131" s="2" t="n">
        <x:v>289</x:v>
      </x:c>
      <x:c r="L131" s="2" t="n">
        <x:v>1099</x:v>
      </x:c>
    </x:row>
    <x:row r="132" ht="24" customHeight="1">
      <x:c r="A132" s="2" t="n">
        <x:v>249</x:v>
      </x:c>
      <x:c r="B132" s="2" t="n">
        <x:v>2</x:v>
      </x:c>
      <x:c r="C132" s="12" t="n">
        <x:v>119474</x:v>
      </x:c>
      <x:c r="D132" s="12" t="n">
        <x:v>81777</x:v>
      </x:c>
      <x:c r="E132" s="12" t="n">
        <x:v>37481.666666671634</x:v>
      </x:c>
      <x:c r="F132" s="12" t="n">
        <x:v>36830.0000000149</x:v>
      </x:c>
      <x:c r="G132" s="12" t="n">
        <x:v>40739</x:v>
      </x:c>
      <x:c r="H132" s="12" t="n">
        <x:v>37697</x:v>
      </x:c>
      <x:c r="I132" s="12" t="n">
        <x:v>4101.999999985099</x:v>
      </x:c>
      <x:c r="J132" s="12" t="n">
        <x:v>106</x:v>
      </x:c>
      <x:c r="K132" s="2" t="n">
        <x:v>289</x:v>
      </x:c>
      <x:c r="L132" s="2" t="n">
        <x:v>1095</x:v>
      </x:c>
    </x:row>
    <x:row r="133" ht="24" customHeight="1">
      <x:c r="A133" s="2" t="n">
        <x:v>250</x:v>
      </x:c>
      <x:c r="B133" s="2" t="n">
        <x:v>2</x:v>
      </x:c>
      <x:c r="C133" s="12" t="n">
        <x:v>119471.0000000149</x:v>
      </x:c>
      <x:c r="D133" s="12" t="n">
        <x:v>72079.0000000149</x:v>
      </x:c>
      <x:c r="E133" s="12" t="n">
        <x:v>47177.666666671634</x:v>
      </x:c>
      <x:c r="F133" s="12" t="n">
        <x:v>38216.0000000149</x:v>
      </x:c>
      <x:c r="G133" s="12" t="n">
        <x:v>29654.9999999851</x:v>
      </x:c>
      <x:c r="H133" s="12" t="n">
        <x:v>47392</x:v>
      </x:c>
      <x:c r="I133" s="12" t="n">
        <x:v>4101.999999985099</x:v>
      </x:c>
      <x:c r="J133" s="12" t="n">
        <x:v>106.00000002980232</x:v>
      </x:c>
      <x:c r="K133" s="2" t="n">
        <x:v>289</x:v>
      </x:c>
      <x:c r="L133" s="2" t="n">
        <x:v>1091</x:v>
      </x:c>
    </x:row>
    <x:row r="134" ht="24" customHeight="1">
      <x:c r="A134" s="2" t="n">
        <x:v>251</x:v>
      </x:c>
      <x:c r="B134" s="2" t="n">
        <x:v>2</x:v>
      </x:c>
      <x:c r="C134" s="12" t="n">
        <x:v>119473</x:v>
      </x:c>
      <x:c r="D134" s="12" t="n">
        <x:v>83616.0000000149</x:v>
      </x:c>
      <x:c r="E134" s="12" t="n">
        <x:v>35641.666666671634</x:v>
      </x:c>
      <x:c r="F134" s="12" t="n">
        <x:v>38643.0000000149</x:v>
      </x:c>
      <x:c r="G134" s="12" t="n">
        <x:v>40764.9999999851</x:v>
      </x:c>
      <x:c r="H134" s="12" t="n">
        <x:v>35856.9999999851</x:v>
      </x:c>
      <x:c r="I134" s="12" t="n">
        <x:v>4102</x:v>
      </x:c>
      <x:c r="J134" s="12" t="n">
        <x:v>106.00000001490116</x:v>
      </x:c>
      <x:c r="K134" s="2" t="n">
        <x:v>289</x:v>
      </x:c>
      <x:c r="L134" s="2" t="n">
        <x:v>1087</x:v>
      </x:c>
    </x:row>
    <x:row r="135" ht="24" customHeight="1">
      <x:c r="A135" s="2" t="n">
        <x:v>252</x:v>
      </x:c>
      <x:c r="B135" s="2" t="n">
        <x:v>2</x:v>
      </x:c>
      <x:c r="C135" s="12" t="n">
        <x:v>119472.9999999851</x:v>
      </x:c>
      <x:c r="D135" s="12" t="n">
        <x:v>75320.9999999851</x:v>
      </x:c>
      <x:c r="E135" s="12" t="n">
        <x:v>43935.666666671634</x:v>
      </x:c>
      <x:c r="F135" s="12" t="n">
        <x:v>41458</x:v>
      </x:c>
      <x:c r="G135" s="12" t="n">
        <x:v>29654.9999999851</x:v>
      </x:c>
      <x:c r="H135" s="12" t="n">
        <x:v>44152</x:v>
      </x:c>
      <x:c r="I135" s="12" t="n">
        <x:v>4102.000000014901</x:v>
      </x:c>
      <x:c r="J135" s="12" t="n">
        <x:v>105.99999998509884</x:v>
      </x:c>
      <x:c r="K135" s="2" t="n">
        <x:v>289</x:v>
      </x:c>
      <x:c r="L135" s="2" t="n">
        <x:v>1083</x:v>
      </x:c>
    </x:row>
    <x:row r="136" ht="24" customHeight="1">
      <x:c r="A136" s="2" t="n">
        <x:v>253</x:v>
      </x:c>
      <x:c r="B136" s="2" t="n">
        <x:v>2</x:v>
      </x:c>
      <x:c r="C136" s="12" t="n">
        <x:v>119468</x:v>
      </x:c>
      <x:c r="D136" s="12" t="n">
        <x:v>110250.9999999851</x:v>
      </x:c>
      <x:c r="E136" s="12" t="n">
        <x:v>9004.666666671634</x:v>
      </x:c>
      <x:c r="F136" s="12" t="n">
        <x:v>64079.9999999851</x:v>
      </x:c>
      <x:c r="G136" s="12" t="n">
        <x:v>41963</x:v>
      </x:c>
      <x:c r="H136" s="12" t="n">
        <x:v>9217.000000014901</x:v>
      </x:c>
      <x:c r="I136" s="12" t="n">
        <x:v>4101.999999985099</x:v>
      </x:c>
      <x:c r="J136" s="12" t="n">
        <x:v>106.00000001490116</x:v>
      </x:c>
      <x:c r="K136" s="2" t="n">
        <x:v>289</x:v>
      </x:c>
      <x:c r="L136" s="2" t="n">
        <x:v>1079</x:v>
      </x:c>
    </x:row>
    <x:row r="137" ht="24" customHeight="1">
      <x:c r="A137" s="2" t="n">
        <x:v>254</x:v>
      </x:c>
      <x:c r="B137" s="2" t="n">
        <x:v>2</x:v>
      </x:c>
      <x:c r="C137" s="12" t="n">
        <x:v>119473.0000000149</x:v>
      </x:c>
      <x:c r="D137" s="12" t="n">
        <x:v>99786.0000000149</x:v>
      </x:c>
      <x:c r="E137" s="12" t="n">
        <x:v>19473.666666671634</x:v>
      </x:c>
      <x:c r="F137" s="12" t="n">
        <x:v>65588</x:v>
      </x:c>
      <x:c r="G137" s="12" t="n">
        <x:v>29990.0000000149</x:v>
      </x:c>
      <x:c r="H137" s="12" t="n">
        <x:v>19687</x:v>
      </x:c>
      <x:c r="I137" s="12" t="n">
        <x:v>4102</x:v>
      </x:c>
      <x:c r="J137" s="12" t="n">
        <x:v>106</x:v>
      </x:c>
      <x:c r="K137" s="2" t="n">
        <x:v>289</x:v>
      </x:c>
      <x:c r="L137" s="2" t="n">
        <x:v>1075</x:v>
      </x:c>
    </x:row>
    <x:row r="138" ht="24" customHeight="1">
      <x:c r="A138" s="2" t="n">
        <x:v>255</x:v>
      </x:c>
      <x:c r="B138" s="2" t="n">
        <x:v>2</x:v>
      </x:c>
      <x:c r="C138" s="12" t="n">
        <x:v>119474.9999999851</x:v>
      </x:c>
      <x:c r="D138" s="12" t="n">
        <x:v>108732.9999999702</x:v>
      </x:c>
      <x:c r="E138" s="12" t="n">
        <x:v>10525.666666671634</x:v>
      </x:c>
      <x:c r="F138" s="12" t="n">
        <x:v>63101</x:v>
      </x:c>
      <x:c r="G138" s="12" t="n">
        <x:v>41424</x:v>
      </x:c>
      <x:c r="H138" s="12" t="n">
        <x:v>10742.000000014901</x:v>
      </x:c>
      <x:c r="I138" s="12" t="n">
        <x:v>4102.000000014901</x:v>
      </x:c>
      <x:c r="J138" s="12" t="n">
        <x:v>105.99999995529652</x:v>
      </x:c>
      <x:c r="K138" s="2" t="n">
        <x:v>289</x:v>
      </x:c>
      <x:c r="L138" s="2" t="n">
        <x:v>1071</x:v>
      </x:c>
    </x:row>
    <x:row r="139" ht="24" customHeight="1">
      <x:c r="A139" s="2" t="n">
        <x:v>256</x:v>
      </x:c>
      <x:c r="B139" s="2" t="n">
        <x:v>2</x:v>
      </x:c>
      <x:c r="C139" s="12" t="n">
        <x:v>119469</x:v>
      </x:c>
      <x:c r="D139" s="12" t="n">
        <x:v>99626.9999999851</x:v>
      </x:c>
      <x:c r="E139" s="12" t="n">
        <x:v>19628.666666671634</x:v>
      </x:c>
      <x:c r="F139" s="12" t="n">
        <x:v>65968</x:v>
      </x:c>
      <x:c r="G139" s="12" t="n">
        <x:v>29451</x:v>
      </x:c>
      <x:c r="H139" s="12" t="n">
        <x:v>19842.0000000149</x:v>
      </x:c>
      <x:c r="I139" s="12" t="n">
        <x:v>4102.000000014901</x:v>
      </x:c>
      <x:c r="J139" s="12" t="n">
        <x:v>105.99999997019768</x:v>
      </x:c>
      <x:c r="K139" s="2" t="n">
        <x:v>289</x:v>
      </x:c>
      <x:c r="L139" s="2" t="n">
        <x:v>1067</x:v>
      </x:c>
    </x:row>
    <x:row r="140" ht="24" customHeight="1">
      <x:c r="A140" s="2" t="n">
        <x:v>257</x:v>
      </x:c>
      <x:c r="B140" s="2" t="n">
        <x:v>2</x:v>
      </x:c>
      <x:c r="C140" s="12" t="n">
        <x:v>119474</x:v>
      </x:c>
      <x:c r="D140" s="12" t="n">
        <x:v>80772</x:v>
      </x:c>
      <x:c r="E140" s="12" t="n">
        <x:v>38486.666666671634</x:v>
      </x:c>
      <x:c r="F140" s="12" t="n">
        <x:v>34938.9999999851</x:v>
      </x:c>
      <x:c r="G140" s="12" t="n">
        <x:v>41625.0000000149</x:v>
      </x:c>
      <x:c r="H140" s="12" t="n">
        <x:v>38702</x:v>
      </x:c>
      <x:c r="I140" s="12" t="n">
        <x:v>4102.000000014901</x:v>
      </x:c>
      <x:c r="J140" s="12" t="n">
        <x:v>105.99999998509884</x:v>
      </x:c>
      <x:c r="K140" s="2" t="n">
        <x:v>289</x:v>
      </x:c>
      <x:c r="L140" s="2" t="n">
        <x:v>1063</x:v>
      </x:c>
    </x:row>
    <x:row r="141" ht="24" customHeight="1">
      <x:c r="A141" s="2" t="n">
        <x:v>258</x:v>
      </x:c>
      <x:c r="B141" s="2" t="n">
        <x:v>2</x:v>
      </x:c>
      <x:c r="C141" s="12" t="n">
        <x:v>117917.0000000149</x:v>
      </x:c>
      <x:c r="D141" s="12" t="n">
        <x:v>91335.0000000149</x:v>
      </x:c>
      <x:c r="E141" s="12" t="n">
        <x:v>26369.666666671634</x:v>
      </x:c>
      <x:c r="F141" s="12" t="n">
        <x:v>37987</x:v>
      </x:c>
      <x:c r="G141" s="12" t="n">
        <x:v>50692</x:v>
      </x:c>
      <x:c r="H141" s="12" t="n">
        <x:v>26582</x:v>
      </x:c>
      <x:c r="I141" s="12" t="n">
        <x:v>2550.000000014901</x:v>
      </x:c>
      <x:c r="J141" s="12" t="n">
        <x:v>106</x:v>
      </x:c>
      <x:c r="K141" s="2" t="n">
        <x:v>285</x:v>
      </x:c>
      <x:c r="L141" s="2" t="n">
        <x:v>1063</x:v>
      </x:c>
    </x:row>
    <x:row r="142" ht="24" customHeight="1">
      <x:c r="A142" s="2" t="n">
        <x:v>259</x:v>
      </x:c>
      <x:c r="B142" s="2" t="n">
        <x:v>2</x:v>
      </x:c>
      <x:c r="C142" s="12" t="n">
        <x:v>121027</x:v>
      </x:c>
      <x:c r="D142" s="12" t="n">
        <x:v>97250</x:v>
      </x:c>
      <x:c r="E142" s="12" t="n">
        <x:v>23561.666666671634</x:v>
      </x:c>
      <x:c r="F142" s="12" t="n">
        <x:v>37439</x:v>
      </x:c>
      <x:c r="G142" s="12" t="n">
        <x:v>55603</x:v>
      </x:c>
      <x:c r="H142" s="12" t="n">
        <x:v>23777</x:v>
      </x:c>
      <x:c r="I142" s="12" t="n">
        <x:v>4101.999999985099</x:v>
      </x:c>
      <x:c r="J142" s="12" t="n">
        <x:v>106.00000001490116</x:v>
      </x:c>
      <x:c r="K142" s="2" t="n">
        <x:v>281</x:v>
      </x:c>
      <x:c r="L142" s="2" t="n">
        <x:v>1062</x:v>
      </x:c>
    </x:row>
    <x:row r="143" ht="24" customHeight="1">
      <x:c r="A143" s="2" t="n">
        <x:v>260</x:v>
      </x:c>
      <x:c r="B143" s="2" t="n">
        <x:v>2</x:v>
      </x:c>
      <x:c r="C143" s="12" t="n">
        <x:v>117916.9999999851</x:v>
      </x:c>
      <x:c r="D143" s="12" t="n">
        <x:v>111999.9999999702</x:v>
      </x:c>
      <x:c r="E143" s="12" t="n">
        <x:v>5704.666666671634</x:v>
      </x:c>
      <x:c r="F143" s="12" t="n">
        <x:v>37510.0000000149</x:v>
      </x:c>
      <x:c r="G143" s="12" t="n">
        <x:v>71834</x:v>
      </x:c>
      <x:c r="H143" s="12" t="n">
        <x:v>5917.000000014901</x:v>
      </x:c>
      <x:c r="I143" s="12" t="n">
        <x:v>2549.999999985099</x:v>
      </x:c>
      <x:c r="J143" s="12" t="n">
        <x:v>105.99999997019768</x:v>
      </x:c>
      <x:c r="K143" s="2" t="n">
        <x:v>277</x:v>
      </x:c>
      <x:c r="L143" s="2" t="n">
        <x:v>1062</x:v>
      </x:c>
    </x:row>
    <x:row r="144" ht="24" customHeight="1">
      <x:c r="A144" s="2" t="n">
        <x:v>261</x:v>
      </x:c>
      <x:c r="B144" s="2" t="n">
        <x:v>2</x:v>
      </x:c>
      <x:c r="C144" s="12" t="n">
        <x:v>119475.0000000149</x:v>
      </x:c>
      <x:c r="D144" s="12" t="n">
        <x:v>67563.0000000298</x:v>
      </x:c>
      <x:c r="E144" s="12" t="n">
        <x:v>51696.666666671634</x:v>
      </x:c>
      <x:c r="F144" s="12" t="n">
        <x:v>32010.0000000149</x:v>
      </x:c>
      <x:c r="G144" s="12" t="n">
        <x:v>32897</x:v>
      </x:c>
      <x:c r="H144" s="12" t="n">
        <x:v>51911.9999999851</x:v>
      </x:c>
      <x:c r="I144" s="12" t="n">
        <x:v>2550.000000014901</x:v>
      </x:c>
      <x:c r="J144" s="12" t="n">
        <x:v>106</x:v>
      </x:c>
      <x:c r="K144" s="2" t="n">
        <x:v>273</x:v>
      </x:c>
      <x:c r="L144" s="2" t="n">
        <x:v>1062</x:v>
      </x:c>
    </x:row>
    <x:row r="145" ht="24" customHeight="1">
      <x:c r="A145" s="2" t="n">
        <x:v>262</x:v>
      </x:c>
      <x:c r="B145" s="2" t="n">
        <x:v>2</x:v>
      </x:c>
      <x:c r="C145" s="12" t="n">
        <x:v>121022</x:v>
      </x:c>
      <x:c r="D145" s="12" t="n">
        <x:v>92239.9999999851</x:v>
      </x:c>
      <x:c r="E145" s="12" t="n">
        <x:v>28568.666666671634</x:v>
      </x:c>
      <x:c r="F145" s="12" t="n">
        <x:v>36919</x:v>
      </x:c>
      <x:c r="G145" s="12" t="n">
        <x:v>51113.0000000149</x:v>
      </x:c>
      <x:c r="H145" s="12" t="n">
        <x:v>28782.0000000149</x:v>
      </x:c>
      <x:c r="I145" s="12" t="n">
        <x:v>4101.999999985099</x:v>
      </x:c>
      <x:c r="J145" s="12" t="n">
        <x:v>105.99999998509884</x:v>
      </x:c>
      <x:c r="K145" s="2" t="n">
        <x:v>273</x:v>
      </x:c>
      <x:c r="L145" s="2" t="n">
        <x:v>1058</x:v>
      </x:c>
    </x:row>
    <x:row r="146" ht="24" customHeight="1">
      <x:c r="A146" s="2" t="n">
        <x:v>263</x:v>
      </x:c>
      <x:c r="B146" s="2" t="n">
        <x:v>2</x:v>
      </x:c>
      <x:c r="C146" s="12" t="n">
        <x:v>119471.9999999851</x:v>
      </x:c>
      <x:c r="D146" s="12" t="n">
        <x:v>111129.9999999702</x:v>
      </x:c>
      <x:c r="E146" s="12" t="n">
        <x:v>8128.666666671634</x:v>
      </x:c>
      <x:c r="F146" s="12" t="n">
        <x:v>38728.0000000149</x:v>
      </x:c>
      <x:c r="G146" s="12" t="n">
        <x:v>68194</x:v>
      </x:c>
      <x:c r="H146" s="12" t="n">
        <x:v>8342.000000014901</x:v>
      </x:c>
      <x:c r="I146" s="12" t="n">
        <x:v>4102.000000014901</x:v>
      </x:c>
      <x:c r="J146" s="12" t="n">
        <x:v>105.99999994039536</x:v>
      </x:c>
      <x:c r="K146" s="2" t="n">
        <x:v>269</x:v>
      </x:c>
      <x:c r="L146" s="2" t="n">
        <x:v>1057</x:v>
      </x:c>
    </x:row>
    <x:row r="147" ht="24" customHeight="1">
      <x:c r="A147" s="2" t="n">
        <x:v>264</x:v>
      </x:c>
      <x:c r="B147" s="2" t="n">
        <x:v>2</x:v>
      </x:c>
      <x:c r="C147" s="12" t="n">
        <x:v>117919</x:v>
      </x:c>
      <x:c r="D147" s="12" t="n">
        <x:v>93621.9999999851</x:v>
      </x:c>
      <x:c r="E147" s="12" t="n">
        <x:v>24084.666666671634</x:v>
      </x:c>
      <x:c r="F147" s="12" t="n">
        <x:v>37688.9999999851</x:v>
      </x:c>
      <x:c r="G147" s="12" t="n">
        <x:v>53277.0000000149</x:v>
      </x:c>
      <x:c r="H147" s="12" t="n">
        <x:v>24297.0000000149</x:v>
      </x:c>
      <x:c r="I147" s="12" t="n">
        <x:v>2549.999999985099</x:v>
      </x:c>
      <x:c r="J147" s="12" t="n">
        <x:v>106</x:v>
      </x:c>
      <x:c r="K147" s="2" t="n">
        <x:v>265</x:v>
      </x:c>
      <x:c r="L147" s="2" t="n">
        <x:v>1057</x:v>
      </x:c>
    </x:row>
    <x:row r="148" ht="24" customHeight="1">
      <x:c r="A148" s="2" t="n">
        <x:v>265</x:v>
      </x:c>
      <x:c r="B148" s="2" t="n">
        <x:v>2</x:v>
      </x:c>
      <x:c r="C148" s="12" t="n">
        <x:v>121025.0000000149</x:v>
      </x:c>
      <x:c r="D148" s="12" t="n">
        <x:v>109913.0000000298</x:v>
      </x:c>
      <x:c r="E148" s="12" t="n">
        <x:v>10898.666666671634</x:v>
      </x:c>
      <x:c r="F148" s="12" t="n">
        <x:v>39173.0000000149</x:v>
      </x:c>
      <x:c r="G148" s="12" t="n">
        <x:v>66532</x:v>
      </x:c>
      <x:c r="H148" s="12" t="n">
        <x:v>11111.999999985099</x:v>
      </x:c>
      <x:c r="I148" s="12" t="n">
        <x:v>4101.999999985099</x:v>
      </x:c>
      <x:c r="J148" s="12" t="n">
        <x:v>106.00000002980232</x:v>
      </x:c>
      <x:c r="K148" s="2" t="n">
        <x:v>261</x:v>
      </x:c>
      <x:c r="L148" s="2" t="n">
        <x:v>1056</x:v>
      </x:c>
    </x:row>
    <x:row r="149" ht="24" customHeight="1">
      <x:c r="A149" s="2" t="n">
        <x:v>266</x:v>
      </x:c>
      <x:c r="B149" s="2" t="n">
        <x:v>2</x:v>
      </x:c>
      <x:c r="C149" s="12" t="n">
        <x:v>117922.9999999851</x:v>
      </x:c>
      <x:c r="D149" s="12" t="n">
        <x:v>88515.9999999851</x:v>
      </x:c>
      <x:c r="E149" s="12" t="n">
        <x:v>29190.666666671634</x:v>
      </x:c>
      <x:c r="F149" s="12" t="n">
        <x:v>35101.0000000149</x:v>
      </x:c>
      <x:c r="G149" s="12" t="n">
        <x:v>50759</x:v>
      </x:c>
      <x:c r="H149" s="12" t="n">
        <x:v>29407</x:v>
      </x:c>
      <x:c r="I149" s="12" t="n">
        <x:v>2550.000000014901</x:v>
      </x:c>
      <x:c r="J149" s="12" t="n">
        <x:v>105.99999995529652</x:v>
      </x:c>
      <x:c r="K149" s="2" t="n">
        <x:v>257</x:v>
      </x:c>
      <x:c r="L149" s="2" t="n">
        <x:v>1056</x:v>
      </x:c>
    </x:row>
    <x:row r="150" ht="24" customHeight="1">
      <x:c r="A150" s="2" t="n">
        <x:v>267</x:v>
      </x:c>
      <x:c r="B150" s="2" t="n">
        <x:v>2</x:v>
      </x:c>
      <x:c r="C150" s="12" t="n">
        <x:v>119472.0000000149</x:v>
      </x:c>
      <x:c r="D150" s="12" t="n">
        <x:v>83710.0000000298</x:v>
      </x:c>
      <x:c r="E150" s="12" t="n">
        <x:v>35545.666666671634</x:v>
      </x:c>
      <x:c r="F150" s="12" t="n">
        <x:v>33259</x:v>
      </x:c>
      <x:c r="G150" s="12" t="n">
        <x:v>47794.9999999851</x:v>
      </x:c>
      <x:c r="H150" s="12" t="n">
        <x:v>35761.9999999851</x:v>
      </x:c>
      <x:c r="I150" s="12" t="n">
        <x:v>2550.000000014901</x:v>
      </x:c>
      <x:c r="J150" s="12" t="n">
        <x:v>106.00000002980232</x:v>
      </x:c>
      <x:c r="K150" s="2" t="n">
        <x:v>253</x:v>
      </x:c>
      <x:c r="L150" s="2" t="n">
        <x:v>1056</x:v>
      </x:c>
    </x:row>
    <x:row r="151" ht="24" customHeight="1">
      <x:c r="A151" s="2" t="n">
        <x:v>268</x:v>
      </x:c>
      <x:c r="B151" s="2" t="n">
        <x:v>2</x:v>
      </x:c>
      <x:c r="C151" s="12" t="n">
        <x:v>119469.9999999851</x:v>
      </x:c>
      <x:c r="D151" s="12" t="n">
        <x:v>69462.9999999851</x:v>
      </x:c>
      <x:c r="E151" s="12" t="n">
        <x:v>49792.666666671634</x:v>
      </x:c>
      <x:c r="F151" s="12" t="n">
        <x:v>36934</x:v>
      </x:c>
      <x:c r="G151" s="12" t="n">
        <x:v>29873.0000000149</x:v>
      </x:c>
      <x:c r="H151" s="12" t="n">
        <x:v>50007</x:v>
      </x:c>
      <x:c r="I151" s="12" t="n">
        <x:v>2549.999999985099</x:v>
      </x:c>
      <x:c r="J151" s="12" t="n">
        <x:v>105.99999998509884</x:v>
      </x:c>
      <x:c r="K151" s="2" t="n">
        <x:v>249</x:v>
      </x:c>
      <x:c r="L151" s="2" t="n">
        <x:v>1056</x:v>
      </x:c>
    </x:row>
    <x:row r="152" ht="24" customHeight="1">
      <x:c r="A152" s="2" t="n">
        <x:v>269</x:v>
      </x:c>
      <x:c r="B152" s="2" t="n">
        <x:v>2</x:v>
      </x:c>
      <x:c r="C152" s="12" t="n">
        <x:v>119474</x:v>
      </x:c>
      <x:c r="D152" s="12" t="n">
        <x:v>84082</x:v>
      </x:c>
      <x:c r="E152" s="12" t="n">
        <x:v>35175.666666671634</x:v>
      </x:c>
      <x:c r="F152" s="12" t="n">
        <x:v>34659.0000000149</x:v>
      </x:c>
      <x:c r="G152" s="12" t="n">
        <x:v>46767</x:v>
      </x:c>
      <x:c r="H152" s="12" t="n">
        <x:v>35392</x:v>
      </x:c>
      <x:c r="I152" s="12" t="n">
        <x:v>2549.999999985099</x:v>
      </x:c>
      <x:c r="J152" s="12" t="n">
        <x:v>106</x:v>
      </x:c>
      <x:c r="K152" s="2" t="n">
        <x:v>245</x:v>
      </x:c>
      <x:c r="L152" s="2" t="n">
        <x:v>1056</x:v>
      </x:c>
    </x:row>
    <x:row r="153" ht="24" customHeight="1">
      <x:c r="A153" s="2" t="n">
        <x:v>270</x:v>
      </x:c>
      <x:c r="B153" s="2" t="n">
        <x:v>2</x:v>
      </x:c>
      <x:c r="C153" s="12" t="n">
        <x:v>119469</x:v>
      </x:c>
      <x:c r="D153" s="12" t="n">
        <x:v>68941.9999999851</x:v>
      </x:c>
      <x:c r="E153" s="12" t="n">
        <x:v>50313.666666671634</x:v>
      </x:c>
      <x:c r="F153" s="12" t="n">
        <x:v>35877</x:v>
      </x:c>
      <x:c r="G153" s="12" t="n">
        <x:v>30408.9999999851</x:v>
      </x:c>
      <x:c r="H153" s="12" t="n">
        <x:v>50527.0000000149</x:v>
      </x:c>
      <x:c r="I153" s="12" t="n">
        <x:v>2550.000000014901</x:v>
      </x:c>
      <x:c r="J153" s="12" t="n">
        <x:v>105.99999998509884</x:v>
      </x:c>
      <x:c r="K153" s="2" t="n">
        <x:v>241</x:v>
      </x:c>
      <x:c r="L153" s="2" t="n">
        <x:v>1056</x:v>
      </x:c>
    </x:row>
    <x:row r="154" ht="24" customHeight="1">
      <x:c r="A154" s="2" t="n">
        <x:v>271</x:v>
      </x:c>
      <x:c r="B154" s="2" t="n">
        <x:v>2</x:v>
      </x:c>
      <x:c r="C154" s="12" t="n">
        <x:v>119471</x:v>
      </x:c>
      <x:c r="D154" s="12" t="n">
        <x:v>82749</x:v>
      </x:c>
      <x:c r="E154" s="12" t="n">
        <x:v>36509.666666671634</x:v>
      </x:c>
      <x:c r="F154" s="12" t="n">
        <x:v>33865</x:v>
      </x:c>
      <x:c r="G154" s="12" t="n">
        <x:v>46228.0000000149</x:v>
      </x:c>
      <x:c r="H154" s="12" t="n">
        <x:v>36722</x:v>
      </x:c>
      <x:c r="I154" s="12" t="n">
        <x:v>2549.999999985099</x:v>
      </x:c>
      <x:c r="J154" s="12" t="n">
        <x:v>106</x:v>
      </x:c>
      <x:c r="K154" s="2" t="n">
        <x:v>237</x:v>
      </x:c>
      <x:c r="L154" s="2" t="n">
        <x:v>1056</x:v>
      </x:c>
    </x:row>
    <x:row r="155" ht="24" customHeight="1">
      <x:c r="A155" s="2" t="n">
        <x:v>272</x:v>
      </x:c>
      <x:c r="B155" s="2" t="n">
        <x:v>2</x:v>
      </x:c>
      <x:c r="C155" s="12" t="n">
        <x:v>119475.0000000149</x:v>
      </x:c>
      <x:c r="D155" s="12" t="n">
        <x:v>69193.0000000298</x:v>
      </x:c>
      <x:c r="E155" s="12" t="n">
        <x:v>50066.666666671634</x:v>
      </x:c>
      <x:c r="F155" s="12" t="n">
        <x:v>36667.0000000149</x:v>
      </x:c>
      <x:c r="G155" s="12" t="n">
        <x:v>29870</x:v>
      </x:c>
      <x:c r="H155" s="12" t="n">
        <x:v>50281.9999999851</x:v>
      </x:c>
      <x:c r="I155" s="12" t="n">
        <x:v>2550.000000014901</x:v>
      </x:c>
      <x:c r="J155" s="12" t="n">
        <x:v>106</x:v>
      </x:c>
      <x:c r="K155" s="2" t="n">
        <x:v>233</x:v>
      </x:c>
      <x:c r="L155" s="2" t="n">
        <x:v>1056</x:v>
      </x:c>
    </x:row>
    <x:row r="156" ht="24" customHeight="1">
      <x:c r="A156" s="2" t="n">
        <x:v>273</x:v>
      </x:c>
      <x:c r="B156" s="2" t="n">
        <x:v>2</x:v>
      </x:c>
      <x:c r="C156" s="12" t="n">
        <x:v>119469.9999999851</x:v>
      </x:c>
      <x:c r="D156" s="12" t="n">
        <x:v>82002.9999999851</x:v>
      </x:c>
      <x:c r="E156" s="12" t="n">
        <x:v>37253.666666671634</x:v>
      </x:c>
      <x:c r="F156" s="12" t="n">
        <x:v>33118.9999999851</x:v>
      </x:c>
      <x:c r="G156" s="12" t="n">
        <x:v>46227.9999999851</x:v>
      </x:c>
      <x:c r="H156" s="12" t="n">
        <x:v>37467</x:v>
      </x:c>
      <x:c r="I156" s="12" t="n">
        <x:v>2549.999999985099</x:v>
      </x:c>
      <x:c r="J156" s="12" t="n">
        <x:v>106.00000002980232</x:v>
      </x:c>
      <x:c r="K156" s="2" t="n">
        <x:v>229</x:v>
      </x:c>
      <x:c r="L156" s="2" t="n">
        <x:v>1056</x:v>
      </x:c>
    </x:row>
    <x:row r="157" ht="24" customHeight="1">
      <x:c r="A157" s="2" t="n">
        <x:v>274</x:v>
      </x:c>
      <x:c r="B157" s="2" t="n">
        <x:v>2</x:v>
      </x:c>
      <x:c r="C157" s="12" t="n">
        <x:v>119472</x:v>
      </x:c>
      <x:c r="D157" s="12" t="n">
        <x:v>66434.9999999851</x:v>
      </x:c>
      <x:c r="E157" s="12" t="n">
        <x:v>52823.666666671634</x:v>
      </x:c>
      <x:c r="F157" s="12" t="n">
        <x:v>33909</x:v>
      </x:c>
      <x:c r="G157" s="12" t="n">
        <x:v>29870</x:v>
      </x:c>
      <x:c r="H157" s="12" t="n">
        <x:v>53037.0000000149</x:v>
      </x:c>
      <x:c r="I157" s="12" t="n">
        <x:v>2550.000000014901</x:v>
      </x:c>
      <x:c r="J157" s="12" t="n">
        <x:v>105.99999997019768</x:v>
      </x:c>
      <x:c r="K157" s="2" t="n">
        <x:v>225</x:v>
      </x:c>
      <x:c r="L157" s="2" t="n">
        <x:v>1056</x:v>
      </x:c>
    </x:row>
    <x:row r="158" ht="24" customHeight="1">
      <x:c r="A158" s="2" t="n">
        <x:v>275</x:v>
      </x:c>
      <x:c r="B158" s="2" t="n">
        <x:v>2</x:v>
      </x:c>
      <x:c r="C158" s="12" t="n">
        <x:v>119474</x:v>
      </x:c>
      <x:c r="D158" s="12" t="n">
        <x:v>83351.9999999851</x:v>
      </x:c>
      <x:c r="E158" s="12" t="n">
        <x:v>35906.666666671634</x:v>
      </x:c>
      <x:c r="F158" s="12" t="n">
        <x:v>34467.9999999851</x:v>
      </x:c>
      <x:c r="G158" s="12" t="n">
        <x:v>46228</x:v>
      </x:c>
      <x:c r="H158" s="12" t="n">
        <x:v>36122.0000000149</x:v>
      </x:c>
      <x:c r="I158" s="12" t="n">
        <x:v>2550.000000014901</x:v>
      </x:c>
      <x:c r="J158" s="12" t="n">
        <x:v>105.99999998509884</x:v>
      </x:c>
      <x:c r="K158" s="2" t="n">
        <x:v>221</x:v>
      </x:c>
      <x:c r="L158" s="2" t="n">
        <x:v>1056</x:v>
      </x:c>
    </x:row>
    <x:row r="159" ht="24" customHeight="1">
      <x:c r="A159" s="2" t="n">
        <x:v>276</x:v>
      </x:c>
      <x:c r="B159" s="2" t="n">
        <x:v>2</x:v>
      </x:c>
      <x:c r="C159" s="12" t="n">
        <x:v>119472.0000000149</x:v>
      </x:c>
      <x:c r="D159" s="12" t="n">
        <x:v>69135.0000000149</x:v>
      </x:c>
      <x:c r="E159" s="12" t="n">
        <x:v>50121.666666671634</x:v>
      </x:c>
      <x:c r="F159" s="12" t="n">
        <x:v>36609</x:v>
      </x:c>
      <x:c r="G159" s="12" t="n">
        <x:v>29869.9999999851</x:v>
      </x:c>
      <x:c r="H159" s="12" t="n">
        <x:v>50337</x:v>
      </x:c>
      <x:c r="I159" s="12" t="n">
        <x:v>2550</x:v>
      </x:c>
      <x:c r="J159" s="12" t="n">
        <x:v>106.00000002980232</x:v>
      </x:c>
      <x:c r="K159" s="2" t="n">
        <x:v>217</x:v>
      </x:c>
      <x:c r="L159" s="2" t="n">
        <x:v>1056</x:v>
      </x:c>
    </x:row>
    <x:row r="160" ht="24" customHeight="1">
      <x:c r="A160" s="2" t="n">
        <x:v>277</x:v>
      </x:c>
      <x:c r="B160" s="2" t="n">
        <x:v>2</x:v>
      </x:c>
      <x:c r="C160" s="12" t="n">
        <x:v>119469</x:v>
      </x:c>
      <x:c r="D160" s="12" t="n">
        <x:v>83072.0000000149</x:v>
      </x:c>
      <x:c r="E160" s="12" t="n">
        <x:v>36184.666666671634</x:v>
      </x:c>
      <x:c r="F160" s="12" t="n">
        <x:v>33653</x:v>
      </x:c>
      <x:c r="G160" s="12" t="n">
        <x:v>46763.0000000149</x:v>
      </x:c>
      <x:c r="H160" s="12" t="n">
        <x:v>36396.9999999851</x:v>
      </x:c>
      <x:c r="I160" s="12" t="n">
        <x:v>2549.999999985099</x:v>
      </x:c>
      <x:c r="J160" s="12" t="n">
        <x:v>106.00000001490116</x:v>
      </x:c>
      <x:c r="K160" s="2" t="n">
        <x:v>213</x:v>
      </x:c>
      <x:c r="L160" s="2" t="n">
        <x:v>1056</x:v>
      </x:c>
    </x:row>
    <x:row r="161" ht="24" customHeight="1">
      <x:c r="A161" s="2" t="n">
        <x:v>278</x:v>
      </x:c>
      <x:c r="B161" s="2" t="n">
        <x:v>2</x:v>
      </x:c>
      <x:c r="C161" s="12" t="n">
        <x:v>119476</x:v>
      </x:c>
      <x:c r="D161" s="12" t="n">
        <x:v>67804.0000000149</x:v>
      </x:c>
      <x:c r="E161" s="12" t="n">
        <x:v>51455.666666671634</x:v>
      </x:c>
      <x:c r="F161" s="12" t="n">
        <x:v>34743</x:v>
      </x:c>
      <x:c r="G161" s="12" t="n">
        <x:v>30405</x:v>
      </x:c>
      <x:c r="H161" s="12" t="n">
        <x:v>51671.9999999851</x:v>
      </x:c>
      <x:c r="I161" s="12" t="n">
        <x:v>2550</x:v>
      </x:c>
      <x:c r="J161" s="12" t="n">
        <x:v>106.00000001490116</x:v>
      </x:c>
      <x:c r="K161" s="2" t="n">
        <x:v>209</x:v>
      </x:c>
      <x:c r="L161" s="2" t="n">
        <x:v>1056</x:v>
      </x:c>
    </x:row>
    <x:row r="162" ht="24" customHeight="1">
      <x:c r="A162" s="2" t="n">
        <x:v>279</x:v>
      </x:c>
      <x:c r="B162" s="2" t="n">
        <x:v>2</x:v>
      </x:c>
      <x:c r="C162" s="12" t="n">
        <x:v>119471</x:v>
      </x:c>
      <x:c r="D162" s="12" t="n">
        <x:v>80564</x:v>
      </x:c>
      <x:c r="E162" s="12" t="n">
        <x:v>38691.666666671634</x:v>
      </x:c>
      <x:c r="F162" s="12" t="n">
        <x:v>31677</x:v>
      </x:c>
      <x:c r="G162" s="12" t="n">
        <x:v>46231.0000000149</x:v>
      </x:c>
      <x:c r="H162" s="12" t="n">
        <x:v>38907</x:v>
      </x:c>
      <x:c r="I162" s="12" t="n">
        <x:v>2550.000000014901</x:v>
      </x:c>
      <x:c r="J162" s="12" t="n">
        <x:v>105.99999997019768</x:v>
      </x:c>
      <x:c r="K162" s="2" t="n">
        <x:v>205</x:v>
      </x:c>
      <x:c r="L162" s="2" t="n">
        <x:v>1056</x:v>
      </x:c>
    </x:row>
    <x:row r="163" ht="24" customHeight="1">
      <x:c r="A163" s="2" t="n">
        <x:v>280</x:v>
      </x:c>
      <x:c r="B163" s="2" t="n">
        <x:v>2</x:v>
      </x:c>
      <x:c r="C163" s="12" t="n">
        <x:v>119470</x:v>
      </x:c>
      <x:c r="D163" s="12" t="n">
        <x:v>67318</x:v>
      </x:c>
      <x:c r="E163" s="12" t="n">
        <x:v>51938.666666671634</x:v>
      </x:c>
      <x:c r="F163" s="12" t="n">
        <x:v>34789</x:v>
      </x:c>
      <x:c r="G163" s="12" t="n">
        <x:v>29873</x:v>
      </x:c>
      <x:c r="H163" s="12" t="n">
        <x:v>52152</x:v>
      </x:c>
      <x:c r="I163" s="12" t="n">
        <x:v>2549.999999985099</x:v>
      </x:c>
      <x:c r="J163" s="12" t="n">
        <x:v>106.00000001490116</x:v>
      </x:c>
      <x:c r="K163" s="2" t="n">
        <x:v>201</x:v>
      </x:c>
      <x:c r="L163" s="2" t="n">
        <x:v>1056</x:v>
      </x:c>
    </x:row>
    <x:row r="164" ht="24" customHeight="1">
      <x:c r="A164" s="2" t="n">
        <x:v>281</x:v>
      </x:c>
      <x:c r="B164" s="2" t="n">
        <x:v>2</x:v>
      </x:c>
      <x:c r="C164" s="12" t="n">
        <x:v>121026</x:v>
      </x:c>
      <x:c r="D164" s="12" t="n">
        <x:v>78169</x:v>
      </x:c>
      <x:c r="E164" s="12" t="n">
        <x:v>42641.666666671634</x:v>
      </x:c>
      <x:c r="F164" s="12" t="n">
        <x:v>34422</x:v>
      </x:c>
      <x:c r="G164" s="12" t="n">
        <x:v>39538.9999999851</x:v>
      </x:c>
      <x:c r="H164" s="12" t="n">
        <x:v>42857</x:v>
      </x:c>
      <x:c r="I164" s="12" t="n">
        <x:v>4101.999999985099</x:v>
      </x:c>
      <x:c r="J164" s="12" t="n">
        <x:v>106.00000002980232</x:v>
      </x:c>
      <x:c r="K164" s="2" t="n">
        <x:v>200</x:v>
      </x:c>
      <x:c r="L164" s="2" t="n">
        <x:v>1052</x:v>
      </x:c>
    </x:row>
    <x:row r="165" ht="24" customHeight="1">
      <x:c r="A165" s="2" t="n">
        <x:v>282</x:v>
      </x:c>
      <x:c r="B165" s="2" t="n">
        <x:v>2</x:v>
      </x:c>
      <x:c r="C165" s="12" t="n">
        <x:v>119471.9999999851</x:v>
      </x:c>
      <x:c r="D165" s="12" t="n">
        <x:v>85334.9999999851</x:v>
      </x:c>
      <x:c r="E165" s="12" t="n">
        <x:v>33921.666666671634</x:v>
      </x:c>
      <x:c r="F165" s="12" t="n">
        <x:v>35472.0000000149</x:v>
      </x:c>
      <x:c r="G165" s="12" t="n">
        <x:v>45655.0000000149</x:v>
      </x:c>
      <x:c r="H165" s="12" t="n">
        <x:v>34137</x:v>
      </x:c>
      <x:c r="I165" s="12" t="n">
        <x:v>4102.000000014901</x:v>
      </x:c>
      <x:c r="J165" s="12" t="n">
        <x:v>105.99999994039536</x:v>
      </x:c>
      <x:c r="K165" s="2" t="n">
        <x:v>200</x:v>
      </x:c>
      <x:c r="L165" s="2" t="n">
        <x:v>1048</x:v>
      </x:c>
    </x:row>
    <x:row r="166" ht="24" customHeight="1">
      <x:c r="A166" s="2" t="n">
        <x:v>283</x:v>
      </x:c>
      <x:c r="B166" s="2" t="n">
        <x:v>3</x:v>
      </x:c>
      <x:c r="C166" s="12" t="n">
        <x:v>179207.0000000149</x:v>
      </x:c>
      <x:c r="D166" s="12" t="n">
        <x:v>123100.0000000149</x:v>
      </x:c>
      <x:c r="E166" s="12" t="n">
        <x:v>-3843.3333333283663</x:v>
      </x:c>
      <x:c r="F166" s="12" t="n">
        <x:v>34507.9999999851</x:v>
      </x:c>
      <x:c r="G166" s="12" t="n">
        <x:v>84383.9999999851</x:v>
      </x:c>
      <x:c r="H166" s="12" t="n">
        <x:v>56107</x:v>
      </x:c>
      <x:c r="I166" s="12" t="n">
        <x:v>4101.999999985099</x:v>
      </x:c>
      <x:c r="J166" s="12" t="n">
        <x:v>106.00000005960464</x:v>
      </x:c>
      <x:c r="K166" s="2" t="n">
        <x:v>199</x:v>
      </x:c>
      <x:c r="L166" s="2" t="n">
        <x:v>1044</x:v>
      </x:c>
    </x:row>
    <x:row r="167" ht="24" customHeight="1">
      <x:c r="A167" s="2" t="n">
        <x:v>284</x:v>
      </x:c>
      <x:c r="B167" s="2" t="n">
        <x:v>3</x:v>
      </x:c>
      <x:c r="C167" s="12" t="n">
        <x:v>182027</x:v>
      </x:c>
      <x:c r="D167" s="12" t="n">
        <x:v>138865</x:v>
      </x:c>
      <x:c r="E167" s="12" t="n">
        <x:v>-16786.333333328366</x:v>
      </x:c>
      <x:c r="F167" s="12" t="n">
        <x:v>54738.0000000149</x:v>
      </x:c>
      <x:c r="G167" s="12" t="n">
        <x:v>77098</x:v>
      </x:c>
      <x:c r="H167" s="12" t="n">
        <x:v>43162</x:v>
      </x:c>
      <x:c r="I167" s="12" t="n">
        <x:v>6923</x:v>
      </x:c>
      <x:c r="J167" s="12" t="n">
        <x:v>105.99999998509884</x:v>
      </x:c>
      <x:c r="K167" s="2" t="n">
        <x:v>198</x:v>
      </x:c>
      <x:c r="L167" s="2" t="n">
        <x:v>1036</x:v>
      </x:c>
    </x:row>
    <x:row r="168" ht="24" customHeight="1">
      <x:c r="A168" s="2" t="n">
        <x:v>285</x:v>
      </x:c>
      <x:c r="B168" s="2" t="n">
        <x:v>2</x:v>
      </x:c>
      <x:c r="C168" s="12" t="n">
        <x:v>116653.9999999851</x:v>
      </x:c>
      <x:c r="D168" s="12" t="n">
        <x:v>103541.9999999851</x:v>
      </x:c>
      <x:c r="E168" s="12" t="n">
        <x:v>12896.666666671634</x:v>
      </x:c>
      <x:c r="F168" s="12" t="n">
        <x:v>39184</x:v>
      </x:c>
      <x:c r="G168" s="12" t="n">
        <x:v>60150</x:v>
      </x:c>
      <x:c r="H168" s="12" t="n">
        <x:v>13112</x:v>
      </x:c>
      <x:c r="I168" s="12" t="n">
        <x:v>4102.000000014901</x:v>
      </x:c>
      <x:c r="J168" s="12" t="n">
        <x:v>105.99999997019768</x:v>
      </x:c>
      <x:c r="K168" s="2" t="n">
        <x:v>198</x:v>
      </x:c>
      <x:c r="L168" s="2" t="n">
        <x:v>1032</x:v>
      </x:c>
    </x:row>
    <x:row r="169" ht="24" customHeight="1">
      <x:c r="A169" s="2" t="n">
        <x:v>286</x:v>
      </x:c>
      <x:c r="B169" s="2" t="n">
        <x:v>2</x:v>
      </x:c>
      <x:c r="C169" s="12" t="n">
        <x:v>119473</x:v>
      </x:c>
      <x:c r="D169" s="12" t="n">
        <x:v>108531</x:v>
      </x:c>
      <x:c r="E169" s="12" t="n">
        <x:v>10725.666666671634</x:v>
      </x:c>
      <x:c r="F169" s="12" t="n">
        <x:v>34323</x:v>
      </x:c>
      <x:c r="G169" s="12" t="n">
        <x:v>70000</x:v>
      </x:c>
      <x:c r="H169" s="12" t="n">
        <x:v>10942</x:v>
      </x:c>
      <x:c r="I169" s="12" t="n">
        <x:v>4101.999999985099</x:v>
      </x:c>
      <x:c r="J169" s="12" t="n">
        <x:v>106.00000001490116</x:v>
      </x:c>
      <x:c r="K169" s="2" t="n">
        <x:v>197</x:v>
      </x:c>
      <x:c r="L169" s="2" t="n">
        <x:v>1028</x:v>
      </x:c>
    </x:row>
    <x:row r="170" ht="24" customHeight="1">
      <x:c r="A170" s="2" t="n">
        <x:v>287</x:v>
      </x:c>
      <x:c r="B170" s="2" t="n">
        <x:v>2</x:v>
      </x:c>
      <x:c r="C170" s="12" t="n">
        <x:v>119472</x:v>
      </x:c>
      <x:c r="D170" s="12" t="n">
        <x:v>100605</x:v>
      </x:c>
      <x:c r="E170" s="12" t="n">
        <x:v>18650.666666671634</x:v>
      </x:c>
      <x:c r="F170" s="12" t="n">
        <x:v>37089</x:v>
      </x:c>
      <x:c r="G170" s="12" t="n">
        <x:v>59308</x:v>
      </x:c>
      <x:c r="H170" s="12" t="n">
        <x:v>18867</x:v>
      </x:c>
      <x:c r="I170" s="12" t="n">
        <x:v>4102.000000014901</x:v>
      </x:c>
      <x:c r="J170" s="12" t="n">
        <x:v>105.99999998509884</x:v>
      </x:c>
      <x:c r="K170" s="2" t="n">
        <x:v>197</x:v>
      </x:c>
      <x:c r="L170" s="2" t="n">
        <x:v>1024</x:v>
      </x:c>
    </x:row>
    <x:row r="171" ht="24" customHeight="1">
      <x:c r="A171" s="2" t="n">
        <x:v>288</x:v>
      </x:c>
      <x:c r="B171" s="2" t="n">
        <x:v>2</x:v>
      </x:c>
      <x:c r="C171" s="12" t="n">
        <x:v>119469.0000000149</x:v>
      </x:c>
      <x:c r="D171" s="12" t="n">
        <x:v>108307.0000000298</x:v>
      </x:c>
      <x:c r="E171" s="12" t="n">
        <x:v>10948.666666686535</x:v>
      </x:c>
      <x:c r="F171" s="12" t="n">
        <x:v>34415</x:v>
      </x:c>
      <x:c r="G171" s="12" t="n">
        <x:v>69684.0000000149</x:v>
      </x:c>
      <x:c r="H171" s="12" t="n">
        <x:v>11161.999999985099</x:v>
      </x:c>
      <x:c r="I171" s="12" t="n">
        <x:v>4102</x:v>
      </x:c>
      <x:c r="J171" s="12" t="n">
        <x:v>106.00000001490116</x:v>
      </x:c>
      <x:c r="K171" s="2" t="n">
        <x:v>196</x:v>
      </x:c>
      <x:c r="L171" s="2" t="n">
        <x:v>1020</x:v>
      </x:c>
    </x:row>
    <x:row r="172" ht="24" customHeight="1">
      <x:c r="A172" s="2" t="n">
        <x:v>289</x:v>
      </x:c>
      <x:c r="B172" s="2" t="n">
        <x:v>2</x:v>
      </x:c>
      <x:c r="C172" s="12" t="n">
        <x:v>119471</x:v>
      </x:c>
      <x:c r="D172" s="12" t="n">
        <x:v>96229</x:v>
      </x:c>
      <x:c r="E172" s="12" t="n">
        <x:v>23029.666666656733</x:v>
      </x:c>
      <x:c r="F172" s="12" t="n">
        <x:v>33991</x:v>
      </x:c>
      <x:c r="G172" s="12" t="n">
        <x:v>58030.0000000298</x:v>
      </x:c>
      <x:c r="H172" s="12" t="n">
        <x:v>23242</x:v>
      </x:c>
      <x:c r="I172" s="12" t="n">
        <x:v>4102</x:v>
      </x:c>
      <x:c r="J172" s="12" t="n">
        <x:v>105.99999997019768</x:v>
      </x:c>
      <x:c r="K172" s="2" t="n">
        <x:v>196</x:v>
      </x:c>
      <x:c r="L172" s="2" t="n">
        <x:v>1016</x:v>
      </x:c>
    </x:row>
    <x:row r="173" ht="24" customHeight="1">
      <x:c r="A173" s="2" t="n">
        <x:v>290</x:v>
      </x:c>
      <x:c r="B173" s="2" t="n">
        <x:v>2</x:v>
      </x:c>
      <x:c r="C173" s="12" t="n">
        <x:v>119473</x:v>
      </x:c>
      <x:c r="D173" s="12" t="n">
        <x:v>74456</x:v>
      </x:c>
      <x:c r="E173" s="12" t="n">
        <x:v>44803.66666665673</x:v>
      </x:c>
      <x:c r="F173" s="12" t="n">
        <x:v>32035</x:v>
      </x:c>
      <x:c r="G173" s="12" t="n">
        <x:v>38213</x:v>
      </x:c>
      <x:c r="H173" s="12" t="n">
        <x:v>45017</x:v>
      </x:c>
      <x:c r="I173" s="12" t="n">
        <x:v>4102</x:v>
      </x:c>
      <x:c r="J173" s="12" t="n">
        <x:v>106</x:v>
      </x:c>
      <x:c r="K173" s="2" t="n">
        <x:v>196</x:v>
      </x:c>
      <x:c r="L173" s="2" t="n">
        <x:v>1012</x:v>
      </x:c>
    </x:row>
    <x:row r="174" ht="24" customHeight="1">
      <x:c r="A174" s="2" t="n">
        <x:v>291</x:v>
      </x:c>
      <x:c r="B174" s="2" t="n">
        <x:v>2</x:v>
      </x:c>
      <x:c r="C174" s="12" t="n">
        <x:v>119473</x:v>
      </x:c>
      <x:c r="D174" s="12" t="n">
        <x:v>64171</x:v>
      </x:c>
      <x:c r="E174" s="12" t="n">
        <x:v>55087.66666665673</x:v>
      </x:c>
      <x:c r="F174" s="12" t="n">
        <x:v>33805</x:v>
      </x:c>
      <x:c r="G174" s="12" t="n">
        <x:v>26158</x:v>
      </x:c>
      <x:c r="H174" s="12" t="n">
        <x:v>55302</x:v>
      </x:c>
      <x:c r="I174" s="12" t="n">
        <x:v>4102</x:v>
      </x:c>
      <x:c r="J174" s="12" t="n">
        <x:v>106</x:v>
      </x:c>
      <x:c r="K174" s="2" t="n">
        <x:v>196</x:v>
      </x:c>
      <x:c r="L174" s="2" t="n">
        <x:v>1008</x:v>
      </x:c>
    </x:row>
    <x:row r="175" ht="24" customHeight="1">
      <x:c r="A175" s="2" t="n">
        <x:v>292</x:v>
      </x:c>
      <x:c r="B175" s="2" t="n">
        <x:v>2</x:v>
      </x:c>
      <x:c r="C175" s="12" t="n">
        <x:v>119474</x:v>
      </x:c>
      <x:c r="D175" s="12" t="n">
        <x:v>75852</x:v>
      </x:c>
      <x:c r="E175" s="12" t="n">
        <x:v>43405.66666665673</x:v>
      </x:c>
      <x:c r="F175" s="12" t="n">
        <x:v>32896</x:v>
      </x:c>
      <x:c r="G175" s="12" t="n">
        <x:v>38748</x:v>
      </x:c>
      <x:c r="H175" s="12" t="n">
        <x:v>43622</x:v>
      </x:c>
      <x:c r="I175" s="12" t="n">
        <x:v>4101.999999970198</x:v>
      </x:c>
      <x:c r="J175" s="12" t="n">
        <x:v>106.00000002980232</x:v>
      </x:c>
      <x:c r="K175" s="2" t="n">
        <x:v>196</x:v>
      </x:c>
      <x:c r="L175" s="2" t="n">
        <x:v>1004</x:v>
      </x:c>
    </x:row>
    <x:row r="176" ht="24" customHeight="1">
      <x:c r="A176" s="2" t="n">
        <x:v>293</x:v>
      </x:c>
      <x:c r="B176" s="2" t="n">
        <x:v>2</x:v>
      </x:c>
      <x:c r="C176" s="12" t="n">
        <x:v>119471</x:v>
      </x:c>
      <x:c r="D176" s="12" t="n">
        <x:v>64874</x:v>
      </x:c>
      <x:c r="E176" s="12" t="n">
        <x:v>54381.66666665673</x:v>
      </x:c>
      <x:c r="F176" s="12" t="n">
        <x:v>33973</x:v>
      </x:c>
      <x:c r="G176" s="12" t="n">
        <x:v>26693</x:v>
      </x:c>
      <x:c r="H176" s="12" t="n">
        <x:v>54597</x:v>
      </x:c>
      <x:c r="I176" s="12" t="n">
        <x:v>4102</x:v>
      </x:c>
      <x:c r="J176" s="12" t="n">
        <x:v>106</x:v>
      </x:c>
      <x:c r="K176" s="2" t="n">
        <x:v>196</x:v>
      </x:c>
      <x:c r="L176" s="2" t="n">
        <x:v>1000</x:v>
      </x:c>
    </x:row>
    <x:row r="177" ht="24" customHeight="1">
      <x:c r="A177" s="2" t="n">
        <x:v>294</x:v>
      </x:c>
      <x:c r="B177" s="2" t="n">
        <x:v>2</x:v>
      </x:c>
      <x:c r="C177" s="12" t="n">
        <x:v>119471</x:v>
      </x:c>
      <x:c r="D177" s="12" t="n">
        <x:v>75344.0000000298</x:v>
      </x:c>
      <x:c r="E177" s="12" t="n">
        <x:v>43912.66666665673</x:v>
      </x:c>
      <x:c r="F177" s="12" t="n">
        <x:v>32919.9999999702</x:v>
      </x:c>
      <x:c r="G177" s="12" t="n">
        <x:v>38216</x:v>
      </x:c>
      <x:c r="H177" s="12" t="n">
        <x:v>44126.9999999702</x:v>
      </x:c>
      <x:c r="I177" s="12" t="n">
        <x:v>4102</x:v>
      </x:c>
      <x:c r="J177" s="12" t="n">
        <x:v>106.00000005960464</x:v>
      </x:c>
      <x:c r="K177" s="2" t="n">
        <x:v>196</x:v>
      </x:c>
      <x:c r="L177" s="2" t="n">
        <x:v>996</x:v>
      </x:c>
    </x:row>
    <x:row r="178" ht="24" customHeight="1">
      <x:c r="A178" s="2" t="n">
        <x:v>295</x:v>
      </x:c>
      <x:c r="B178" s="2" t="n">
        <x:v>2</x:v>
      </x:c>
      <x:c r="C178" s="12" t="n">
        <x:v>119472</x:v>
      </x:c>
      <x:c r="D178" s="12" t="n">
        <x:v>66055</x:v>
      </x:c>
      <x:c r="E178" s="12" t="n">
        <x:v>53202.66666665673</x:v>
      </x:c>
      <x:c r="F178" s="12" t="n">
        <x:v>35686</x:v>
      </x:c>
      <x:c r="G178" s="12" t="n">
        <x:v>26160.999999970198</x:v>
      </x:c>
      <x:c r="H178" s="12" t="n">
        <x:v>53417</x:v>
      </x:c>
      <x:c r="I178" s="12" t="n">
        <x:v>4101.999999970198</x:v>
      </x:c>
      <x:c r="J178" s="12" t="n">
        <x:v>106.00000005960464</x:v>
      </x:c>
      <x:c r="K178" s="2" t="n">
        <x:v>196</x:v>
      </x:c>
      <x:c r="L178" s="2" t="n">
        <x:v>992</x:v>
      </x:c>
    </x:row>
    <x:row r="179" ht="24" customHeight="1">
      <x:c r="A179" s="2" t="n">
        <x:v>296</x:v>
      </x:c>
      <x:c r="B179" s="2" t="n">
        <x:v>2</x:v>
      </x:c>
      <x:c r="C179" s="12" t="n">
        <x:v>119471</x:v>
      </x:c>
      <x:c r="D179" s="12" t="n">
        <x:v>73324</x:v>
      </x:c>
      <x:c r="E179" s="12" t="n">
        <x:v>45933.66666665673</x:v>
      </x:c>
      <x:c r="F179" s="12" t="n">
        <x:v>30926</x:v>
      </x:c>
      <x:c r="G179" s="12" t="n">
        <x:v>38189.9999999702</x:v>
      </x:c>
      <x:c r="H179" s="12" t="n">
        <x:v>46147</x:v>
      </x:c>
      <x:c r="I179" s="12" t="n">
        <x:v>4102</x:v>
      </x:c>
      <x:c r="J179" s="12" t="n">
        <x:v>106.00000002980232</x:v>
      </x:c>
      <x:c r="K179" s="2" t="n">
        <x:v>196</x:v>
      </x:c>
      <x:c r="L179" s="2" t="n">
        <x:v>988</x:v>
      </x:c>
    </x:row>
    <x:row r="180" ht="24" customHeight="1">
      <x:c r="A180" s="2" t="n">
        <x:v>297</x:v>
      </x:c>
      <x:c r="B180" s="2" t="n">
        <x:v>2</x:v>
      </x:c>
      <x:c r="C180" s="12" t="n">
        <x:v>119472</x:v>
      </x:c>
      <x:c r="D180" s="12" t="n">
        <x:v>62655</x:v>
      </x:c>
      <x:c r="E180" s="12" t="n">
        <x:v>56603.66666665673</x:v>
      </x:c>
      <x:c r="F180" s="12" t="n">
        <x:v>32286</x:v>
      </x:c>
      <x:c r="G180" s="12" t="n">
        <x:v>26161</x:v>
      </x:c>
      <x:c r="H180" s="12" t="n">
        <x:v>56817</x:v>
      </x:c>
      <x:c r="I180" s="12" t="n">
        <x:v>4102</x:v>
      </x:c>
      <x:c r="J180" s="12" t="n">
        <x:v>106</x:v>
      </x:c>
      <x:c r="K180" s="2" t="n">
        <x:v>196</x:v>
      </x:c>
      <x:c r="L180" s="2" t="n">
        <x:v>984</x:v>
      </x:c>
    </x:row>
    <x:row r="181" ht="24" customHeight="1">
      <x:c r="A181" s="2" t="n">
        <x:v>298</x:v>
      </x:c>
      <x:c r="B181" s="2" t="n">
        <x:v>2</x:v>
      </x:c>
      <x:c r="C181" s="12" t="n">
        <x:v>119475</x:v>
      </x:c>
      <x:c r="D181" s="12" t="n">
        <x:v>75198.0000000298</x:v>
      </x:c>
      <x:c r="E181" s="12" t="n">
        <x:v>44060.66666665673</x:v>
      </x:c>
      <x:c r="F181" s="12" t="n">
        <x:v>32799.9999999702</x:v>
      </x:c>
      <x:c r="G181" s="12" t="n">
        <x:v>38189.9999999702</x:v>
      </x:c>
      <x:c r="H181" s="12" t="n">
        <x:v>44276.9999999702</x:v>
      </x:c>
      <x:c r="I181" s="12" t="n">
        <x:v>4102</x:v>
      </x:c>
      <x:c r="J181" s="12" t="n">
        <x:v>106.00000008940697</x:v>
      </x:c>
      <x:c r="K181" s="2" t="n">
        <x:v>196</x:v>
      </x:c>
      <x:c r="L181" s="2" t="n">
        <x:v>980</x:v>
      </x:c>
    </x:row>
    <x:row r="182" ht="24" customHeight="1">
      <x:c r="A182" s="2" t="n">
        <x:v>299</x:v>
      </x:c>
      <x:c r="B182" s="2" t="n">
        <x:v>2</x:v>
      </x:c>
      <x:c r="C182" s="12" t="n">
        <x:v>119469</x:v>
      </x:c>
      <x:c r="D182" s="12" t="n">
        <x:v>70877</x:v>
      </x:c>
      <x:c r="E182" s="12" t="n">
        <x:v>48378.66666665673</x:v>
      </x:c>
      <x:c r="F182" s="12" t="n">
        <x:v>40508</x:v>
      </x:c>
      <x:c r="G182" s="12" t="n">
        <x:v>26161</x:v>
      </x:c>
      <x:c r="H182" s="12" t="n">
        <x:v>48592</x:v>
      </x:c>
      <x:c r="I182" s="12" t="n">
        <x:v>4102</x:v>
      </x:c>
      <x:c r="J182" s="12" t="n">
        <x:v>106</x:v>
      </x:c>
      <x:c r="K182" s="2" t="n">
        <x:v>196</x:v>
      </x:c>
      <x:c r="L182" s="2" t="n">
        <x:v>976</x:v>
      </x:c>
    </x:row>
    <x:row r="183" ht="24" customHeight="1">
      <x:c r="A183" s="2" t="n">
        <x:v>300</x:v>
      </x:c>
      <x:c r="B183" s="2" t="n">
        <x:v>2</x:v>
      </x:c>
      <x:c r="C183" s="12" t="n">
        <x:v>119472</x:v>
      </x:c>
      <x:c r="D183" s="12" t="n">
        <x:v>80545</x:v>
      </x:c>
      <x:c r="E183" s="12" t="n">
        <x:v>38713.66666665673</x:v>
      </x:c>
      <x:c r="F183" s="12" t="n">
        <x:v>37611</x:v>
      </x:c>
      <x:c r="G183" s="12" t="n">
        <x:v>38725.9999999702</x:v>
      </x:c>
      <x:c r="H183" s="12" t="n">
        <x:v>38927</x:v>
      </x:c>
      <x:c r="I183" s="12" t="n">
        <x:v>4101.999999970198</x:v>
      </x:c>
      <x:c r="J183" s="12" t="n">
        <x:v>106.00000005960464</x:v>
      </x:c>
      <x:c r="K183" s="2" t="n">
        <x:v>196</x:v>
      </x:c>
      <x:c r="L183" s="2" t="n">
        <x:v>972</x:v>
      </x:c>
    </x:row>
    <x:row r="184" ht="24" customHeight="1">
      <x:c r="A184" s="2" t="n">
        <x:v>301</x:v>
      </x:c>
      <x:c r="B184" s="2" t="n">
        <x:v>2</x:v>
      </x:c>
      <x:c r="C184" s="12" t="n">
        <x:v>119473</x:v>
      </x:c>
      <x:c r="D184" s="12" t="n">
        <x:v>67226.0000000298</x:v>
      </x:c>
      <x:c r="E184" s="12" t="n">
        <x:v>52032.66666665673</x:v>
      </x:c>
      <x:c r="F184" s="12" t="n">
        <x:v>36321</x:v>
      </x:c>
      <x:c r="G184" s="12" t="n">
        <x:v>26697</x:v>
      </x:c>
      <x:c r="H184" s="12" t="n">
        <x:v>52246.9999999702</x:v>
      </x:c>
      <x:c r="I184" s="12" t="n">
        <x:v>4102</x:v>
      </x:c>
      <x:c r="J184" s="12" t="n">
        <x:v>106.00000002980232</x:v>
      </x:c>
      <x:c r="K184" s="2" t="n">
        <x:v>196</x:v>
      </x:c>
      <x:c r="L184" s="2" t="n">
        <x:v>968</x:v>
      </x:c>
    </x:row>
    <x:row r="185" ht="24" customHeight="1">
      <x:c r="A185" s="2" t="n">
        <x:v>302</x:v>
      </x:c>
      <x:c r="B185" s="2" t="n">
        <x:v>2</x:v>
      </x:c>
      <x:c r="C185" s="12" t="n">
        <x:v>119471</x:v>
      </x:c>
      <x:c r="D185" s="12" t="n">
        <x:v>75629</x:v>
      </x:c>
      <x:c r="E185" s="12" t="n">
        <x:v>43628.66666665673</x:v>
      </x:c>
      <x:c r="F185" s="12" t="n">
        <x:v>33234</x:v>
      </x:c>
      <x:c r="G185" s="12" t="n">
        <x:v>38187</x:v>
      </x:c>
      <x:c r="H185" s="12" t="n">
        <x:v>43842</x:v>
      </x:c>
      <x:c r="I185" s="12" t="n">
        <x:v>4102</x:v>
      </x:c>
      <x:c r="J185" s="12" t="n">
        <x:v>106</x:v>
      </x:c>
      <x:c r="K185" s="2" t="n">
        <x:v>196</x:v>
      </x:c>
      <x:c r="L185" s="2" t="n">
        <x:v>964</x:v>
      </x:c>
    </x:row>
    <x:row r="186" ht="24" customHeight="1">
      <x:c r="A186" s="2" t="n">
        <x:v>303</x:v>
      </x:c>
      <x:c r="B186" s="2" t="n">
        <x:v>2</x:v>
      </x:c>
      <x:c r="C186" s="12" t="n">
        <x:v>119471</x:v>
      </x:c>
      <x:c r="D186" s="12" t="n">
        <x:v>68229</x:v>
      </x:c>
      <x:c r="E186" s="12" t="n">
        <x:v>51029.66666665673</x:v>
      </x:c>
      <x:c r="F186" s="12" t="n">
        <x:v>37584</x:v>
      </x:c>
      <x:c r="G186" s="12" t="n">
        <x:v>26437</x:v>
      </x:c>
      <x:c r="H186" s="12" t="n">
        <x:v>51242</x:v>
      </x:c>
      <x:c r="I186" s="12" t="n">
        <x:v>4102.000000029802</x:v>
      </x:c>
      <x:c r="J186" s="12" t="n">
        <x:v>105.99999997019768</x:v>
      </x:c>
      <x:c r="K186" s="2" t="n">
        <x:v>196</x:v>
      </x:c>
      <x:c r="L186" s="2" t="n">
        <x:v>960</x:v>
      </x:c>
    </x:row>
    <x:row r="187" ht="24" customHeight="1">
      <x:c r="A187" s="2" t="n">
        <x:v>304</x:v>
      </x:c>
      <x:c r="B187" s="2" t="n">
        <x:v>2</x:v>
      </x:c>
      <x:c r="C187" s="12" t="n">
        <x:v>119475.9999999702</x:v>
      </x:c>
      <x:c r="D187" s="12" t="n">
        <x:v>77648.9999999404</x:v>
      </x:c>
      <x:c r="E187" s="12" t="n">
        <x:v>41610.66666665673</x:v>
      </x:c>
      <x:c r="F187" s="12" t="n">
        <x:v>35228</x:v>
      </x:c>
      <x:c r="G187" s="12" t="n">
        <x:v>38213</x:v>
      </x:c>
      <x:c r="H187" s="12" t="n">
        <x:v>41827.0000000298</x:v>
      </x:c>
      <x:c r="I187" s="12" t="n">
        <x:v>4102</x:v>
      </x:c>
      <x:c r="J187" s="12" t="n">
        <x:v>105.99999994039536</x:v>
      </x:c>
      <x:c r="K187" s="2" t="n">
        <x:v>196</x:v>
      </x:c>
      <x:c r="L187" s="2" t="n">
        <x:v>956</x:v>
      </x:c>
    </x:row>
    <x:row r="188" ht="24" customHeight="1">
      <x:c r="A188" s="2" t="n">
        <x:v>305</x:v>
      </x:c>
      <x:c r="B188" s="2" t="n">
        <x:v>2</x:v>
      </x:c>
      <x:c r="C188" s="12" t="n">
        <x:v>119468.0000000298</x:v>
      </x:c>
      <x:c r="D188" s="12" t="n">
        <x:v>67006.0000000298</x:v>
      </x:c>
      <x:c r="E188" s="12" t="n">
        <x:v>52249.66666665673</x:v>
      </x:c>
      <x:c r="F188" s="12" t="n">
        <x:v>36361</x:v>
      </x:c>
      <x:c r="G188" s="12" t="n">
        <x:v>26437</x:v>
      </x:c>
      <x:c r="H188" s="12" t="n">
        <x:v>52462</x:v>
      </x:c>
      <x:c r="I188" s="12" t="n">
        <x:v>4101.999999970198</x:v>
      </x:c>
      <x:c r="J188" s="12" t="n">
        <x:v>106.00000005960464</x:v>
      </x:c>
      <x:c r="K188" s="2" t="n">
        <x:v>196</x:v>
      </x:c>
      <x:c r="L188" s="2" t="n">
        <x:v>952</x:v>
      </x:c>
    </x:row>
    <x:row r="189" ht="24" customHeight="1">
      <x:c r="A189" s="2" t="n">
        <x:v>306</x:v>
      </x:c>
      <x:c r="B189" s="2" t="n">
        <x:v>2</x:v>
      </x:c>
      <x:c r="C189" s="12" t="n">
        <x:v>119473</x:v>
      </x:c>
      <x:c r="D189" s="12" t="n">
        <x:v>82346</x:v>
      </x:c>
      <x:c r="E189" s="12" t="n">
        <x:v>36913.66666665673</x:v>
      </x:c>
      <x:c r="F189" s="12" t="n">
        <x:v>39925</x:v>
      </x:c>
      <x:c r="G189" s="12" t="n">
        <x:v>38213</x:v>
      </x:c>
      <x:c r="H189" s="12" t="n">
        <x:v>37127</x:v>
      </x:c>
      <x:c r="I189" s="12" t="n">
        <x:v>4102</x:v>
      </x:c>
      <x:c r="J189" s="12" t="n">
        <x:v>106</x:v>
      </x:c>
      <x:c r="K189" s="2" t="n">
        <x:v>196</x:v>
      </x:c>
      <x:c r="L189" s="2" t="n">
        <x:v>948</x:v>
      </x:c>
    </x:row>
    <x:row r="190" ht="24" customHeight="1">
      <x:c r="A190" s="2" t="n">
        <x:v>307</x:v>
      </x:c>
      <x:c r="B190" s="2" t="n">
        <x:v>2</x:v>
      </x:c>
      <x:c r="C190" s="12" t="n">
        <x:v>119471</x:v>
      </x:c>
      <x:c r="D190" s="12" t="n">
        <x:v>68639</x:v>
      </x:c>
      <x:c r="E190" s="12" t="n">
        <x:v>50619.66666665673</x:v>
      </x:c>
      <x:c r="F190" s="12" t="n">
        <x:v>37994</x:v>
      </x:c>
      <x:c r="G190" s="12" t="n">
        <x:v>26437</x:v>
      </x:c>
      <x:c r="H190" s="12" t="n">
        <x:v>50832</x:v>
      </x:c>
      <x:c r="I190" s="12" t="n">
        <x:v>4102</x:v>
      </x:c>
      <x:c r="J190" s="12" t="n">
        <x:v>106</x:v>
      </x:c>
      <x:c r="K190" s="2" t="n">
        <x:v>196</x:v>
      </x:c>
      <x:c r="L190" s="2" t="n">
        <x:v>944</x:v>
      </x:c>
    </x:row>
    <x:row r="191" ht="24" customHeight="1">
      <x:c r="A191" s="2" t="n">
        <x:v>308</x:v>
      </x:c>
      <x:c r="B191" s="2" t="n">
        <x:v>2</x:v>
      </x:c>
      <x:c r="C191" s="12" t="n">
        <x:v>119474</x:v>
      </x:c>
      <x:c r="D191" s="12" t="n">
        <x:v>77427</x:v>
      </x:c>
      <x:c r="E191" s="12" t="n">
        <x:v>41832.66666665673</x:v>
      </x:c>
      <x:c r="F191" s="12" t="n">
        <x:v>34471</x:v>
      </x:c>
      <x:c r="G191" s="12" t="n">
        <x:v>38748</x:v>
      </x:c>
      <x:c r="H191" s="12" t="n">
        <x:v>42047</x:v>
      </x:c>
      <x:c r="I191" s="12" t="n">
        <x:v>4102</x:v>
      </x:c>
      <x:c r="J191" s="12" t="n">
        <x:v>106</x:v>
      </x:c>
      <x:c r="K191" s="2" t="n">
        <x:v>196</x:v>
      </x:c>
      <x:c r="L191" s="2" t="n">
        <x:v>940</x:v>
      </x:c>
    </x:row>
    <x:row r="192" ht="24" customHeight="1">
      <x:c r="A192" s="2" t="n">
        <x:v>309</x:v>
      </x:c>
      <x:c r="B192" s="2" t="n">
        <x:v>2</x:v>
      </x:c>
      <x:c r="C192" s="12" t="n">
        <x:v>119474</x:v>
      </x:c>
      <x:c r="D192" s="12" t="n">
        <x:v>65912.0000000298</x:v>
      </x:c>
      <x:c r="E192" s="12" t="n">
        <x:v>53345.66666665673</x:v>
      </x:c>
      <x:c r="F192" s="12" t="n">
        <x:v>34732</x:v>
      </x:c>
      <x:c r="G192" s="12" t="n">
        <x:v>26972</x:v>
      </x:c>
      <x:c r="H192" s="12" t="n">
        <x:v>53561.9999999702</x:v>
      </x:c>
      <x:c r="I192" s="12" t="n">
        <x:v>4102</x:v>
      </x:c>
      <x:c r="J192" s="12" t="n">
        <x:v>106.00000002980232</x:v>
      </x:c>
      <x:c r="K192" s="2" t="n">
        <x:v>196</x:v>
      </x:c>
      <x:c r="L192" s="2" t="n">
        <x:v>936</x:v>
      </x:c>
    </x:row>
    <x:row r="193" ht="24" customHeight="1">
      <x:c r="A193" s="2" t="n">
        <x:v>310</x:v>
      </x:c>
      <x:c r="B193" s="2" t="n">
        <x:v>2</x:v>
      </x:c>
      <x:c r="C193" s="12" t="n">
        <x:v>119469</x:v>
      </x:c>
      <x:c r="D193" s="12" t="n">
        <x:v>77577.0000000298</x:v>
      </x:c>
      <x:c r="E193" s="12" t="n">
        <x:v>41678.66666665673</x:v>
      </x:c>
      <x:c r="F193" s="12" t="n">
        <x:v>35153</x:v>
      </x:c>
      <x:c r="G193" s="12" t="n">
        <x:v>38215.9999999702</x:v>
      </x:c>
      <x:c r="H193" s="12" t="n">
        <x:v>41891.9999999702</x:v>
      </x:c>
      <x:c r="I193" s="12" t="n">
        <x:v>4102</x:v>
      </x:c>
      <x:c r="J193" s="12" t="n">
        <x:v>106.00000005960464</x:v>
      </x:c>
      <x:c r="K193" s="2" t="n">
        <x:v>196</x:v>
      </x:c>
      <x:c r="L193" s="2" t="n">
        <x:v>932</x:v>
      </x:c>
    </x:row>
    <x:row r="194" ht="24" customHeight="1">
      <x:c r="A194" s="2" t="n">
        <x:v>311</x:v>
      </x:c>
      <x:c r="B194" s="2" t="n">
        <x:v>2</x:v>
      </x:c>
      <x:c r="C194" s="12" t="n">
        <x:v>124532</x:v>
      </x:c>
      <x:c r="D194" s="12" t="n">
        <x:v>81135</x:v>
      </x:c>
      <x:c r="E194" s="12" t="n">
        <x:v>43180.66666665673</x:v>
      </x:c>
      <x:c r="F194" s="12" t="n">
        <x:v>45430</x:v>
      </x:c>
      <x:c r="G194" s="12" t="n">
        <x:v>26440</x:v>
      </x:c>
      <x:c r="H194" s="12" t="n">
        <x:v>43397</x:v>
      </x:c>
      <x:c r="I194" s="12" t="n">
        <x:v>9159</x:v>
      </x:c>
      <x:c r="J194" s="12" t="n">
        <x:v>106</x:v>
      </x:c>
      <x:c r="K194" s="2" t="n">
        <x:v>196</x:v>
      </x:c>
      <x:c r="L194" s="2" t="n">
        <x:v>928</x:v>
      </x:c>
    </x:row>
    <x:row r="195" ht="24" customHeight="1">
      <x:c r="A195" s="2" t="n">
        <x:v>312</x:v>
      </x:c>
      <x:c r="B195" s="2" t="n">
        <x:v>2</x:v>
      </x:c>
      <x:c r="C195" s="12" t="n">
        <x:v>119468</x:v>
      </x:c>
      <x:c r="D195" s="12" t="n">
        <x:v>94861</x:v>
      </x:c>
      <x:c r="E195" s="12" t="n">
        <x:v>24394.666666656733</x:v>
      </x:c>
      <x:c r="F195" s="12" t="n">
        <x:v>47406</x:v>
      </x:c>
      <x:c r="G195" s="12" t="n">
        <x:v>38190</x:v>
      </x:c>
      <x:c r="H195" s="12" t="n">
        <x:v>24607</x:v>
      </x:c>
      <x:c r="I195" s="12" t="n">
        <x:v>9159</x:v>
      </x:c>
      <x:c r="J195" s="12" t="n">
        <x:v>106</x:v>
      </x:c>
      <x:c r="K195" s="2" t="n">
        <x:v>196</x:v>
      </x:c>
      <x:c r="L195" s="2" t="n">
        <x:v>924</x:v>
      </x:c>
    </x:row>
    <x:row r="196" ht="24" customHeight="1">
      <x:c r="A196" s="2" t="n">
        <x:v>313</x:v>
      </x:c>
      <x:c r="B196" s="2" t="n">
        <x:v>2</x:v>
      </x:c>
      <x:c r="C196" s="12" t="n">
        <x:v>114418</x:v>
      </x:c>
      <x:c r="D196" s="12" t="n">
        <x:v>69411</x:v>
      </x:c>
      <x:c r="E196" s="12" t="n">
        <x:v>44791.66666665673</x:v>
      </x:c>
      <x:c r="F196" s="12" t="n">
        <x:v>38763</x:v>
      </x:c>
      <x:c r="G196" s="12" t="n">
        <x:v>26440</x:v>
      </x:c>
      <x:c r="H196" s="12" t="n">
        <x:v>45007</x:v>
      </x:c>
      <x:c r="I196" s="12" t="n">
        <x:v>4102.000000029802</x:v>
      </x:c>
      <x:c r="J196" s="12" t="n">
        <x:v>105.99999997019768</x:v>
      </x:c>
      <x:c r="K196" s="2" t="n">
        <x:v>196</x:v>
      </x:c>
      <x:c r="L196" s="2" t="n">
        <x:v>920</x:v>
      </x:c>
    </x:row>
    <x:row r="197" ht="24" customHeight="1">
      <x:c r="A197" s="2" t="n">
        <x:v>314</x:v>
      </x:c>
      <x:c r="B197" s="2" t="n">
        <x:v>2</x:v>
      </x:c>
      <x:c r="C197" s="12" t="n">
        <x:v>119472</x:v>
      </x:c>
      <x:c r="D197" s="12" t="n">
        <x:v>75650.0000000298</x:v>
      </x:c>
      <x:c r="E197" s="12" t="n">
        <x:v>43606.66666665673</x:v>
      </x:c>
      <x:c r="F197" s="12" t="n">
        <x:v>33252</x:v>
      </x:c>
      <x:c r="G197" s="12" t="n">
        <x:v>38190</x:v>
      </x:c>
      <x:c r="H197" s="12" t="n">
        <x:v>43821.9999999702</x:v>
      </x:c>
      <x:c r="I197" s="12" t="n">
        <x:v>4102</x:v>
      </x:c>
      <x:c r="J197" s="12" t="n">
        <x:v>106.00000002980232</x:v>
      </x:c>
      <x:c r="K197" s="2" t="n">
        <x:v>196</x:v>
      </x:c>
      <x:c r="L197" s="2" t="n">
        <x:v>916</x:v>
      </x:c>
    </x:row>
    <x:row r="198" ht="24" customHeight="1">
      <x:c r="A198" s="2" t="n">
        <x:v>315</x:v>
      </x:c>
      <x:c r="B198" s="2" t="n">
        <x:v>2</x:v>
      </x:c>
      <x:c r="C198" s="12" t="n">
        <x:v>119472</x:v>
      </x:c>
      <x:c r="D198" s="12" t="n">
        <x:v>66860</x:v>
      </x:c>
      <x:c r="E198" s="12" t="n">
        <x:v>52396.66666665673</x:v>
      </x:c>
      <x:c r="F198" s="12" t="n">
        <x:v>36227.9999999702</x:v>
      </x:c>
      <x:c r="G198" s="12" t="n">
        <x:v>26424</x:v>
      </x:c>
      <x:c r="H198" s="12" t="n">
        <x:v>52612</x:v>
      </x:c>
      <x:c r="I198" s="12" t="n">
        <x:v>4102</x:v>
      </x:c>
      <x:c r="J198" s="12" t="n">
        <x:v>106.00000002980232</x:v>
      </x:c>
      <x:c r="K198" s="2" t="n">
        <x:v>196</x:v>
      </x:c>
      <x:c r="L198" s="2" t="n">
        <x:v>912</x:v>
      </x:c>
    </x:row>
    <x:row r="199" ht="24" customHeight="1">
      <x:c r="A199" s="2" t="n">
        <x:v>316</x:v>
      </x:c>
      <x:c r="B199" s="2" t="n">
        <x:v>2</x:v>
      </x:c>
      <x:c r="C199" s="12" t="n">
        <x:v>119470</x:v>
      </x:c>
      <x:c r="D199" s="12" t="n">
        <x:v>78438</x:v>
      </x:c>
      <x:c r="E199" s="12" t="n">
        <x:v>40818.66666665673</x:v>
      </x:c>
      <x:c r="F199" s="12" t="n">
        <x:v>35241</x:v>
      </x:c>
      <x:c r="G199" s="12" t="n">
        <x:v>38989</x:v>
      </x:c>
      <x:c r="H199" s="12" t="n">
        <x:v>41032</x:v>
      </x:c>
      <x:c r="I199" s="12" t="n">
        <x:v>4102.000000029802</x:v>
      </x:c>
      <x:c r="J199" s="12" t="n">
        <x:v>105.99999997019768</x:v>
      </x:c>
      <x:c r="K199" s="2" t="n">
        <x:v>196</x:v>
      </x:c>
      <x:c r="L199" s="2" t="n">
        <x:v>908</x:v>
      </x:c>
    </x:row>
    <x:row r="200" ht="24" customHeight="1">
      <x:c r="A200" s="2" t="n">
        <x:v>317</x:v>
      </x:c>
      <x:c r="B200" s="2" t="n">
        <x:v>2</x:v>
      </x:c>
      <x:c r="C200" s="12" t="n">
        <x:v>119470.9999999702</x:v>
      </x:c>
      <x:c r="D200" s="12" t="n">
        <x:v>67603.9999999702</x:v>
      </x:c>
      <x:c r="E200" s="12" t="n">
        <x:v>51654.66666665673</x:v>
      </x:c>
      <x:c r="F200" s="12" t="n">
        <x:v>36436</x:v>
      </x:c>
      <x:c r="G200" s="12" t="n">
        <x:v>26960.000000029802</x:v>
      </x:c>
      <x:c r="H200" s="12" t="n">
        <x:v>51867</x:v>
      </x:c>
      <x:c r="I200" s="12" t="n">
        <x:v>4102</x:v>
      </x:c>
      <x:c r="J200" s="12" t="n">
        <x:v>105.99999994039536</x:v>
      </x:c>
      <x:c r="K200" s="2" t="n">
        <x:v>196</x:v>
      </x:c>
      <x:c r="L200" s="2" t="n">
        <x:v>904</x:v>
      </x:c>
    </x:row>
    <x:row r="201" ht="24" customHeight="1">
      <x:c r="A201" s="2" t="n">
        <x:v>318</x:v>
      </x:c>
      <x:c r="B201" s="2" t="n">
        <x:v>2</x:v>
      </x:c>
      <x:c r="C201" s="12" t="n">
        <x:v>119473.0000000298</x:v>
      </x:c>
      <x:c r="D201" s="12" t="n">
        <x:v>77931.0000000298</x:v>
      </x:c>
      <x:c r="E201" s="12" t="n">
        <x:v>41328.66666665673</x:v>
      </x:c>
      <x:c r="F201" s="12" t="n">
        <x:v>35273</x:v>
      </x:c>
      <x:c r="G201" s="12" t="n">
        <x:v>38450</x:v>
      </x:c>
      <x:c r="H201" s="12" t="n">
        <x:v>41542</x:v>
      </x:c>
      <x:c r="I201" s="12" t="n">
        <x:v>4101.999999970198</x:v>
      </x:c>
      <x:c r="J201" s="12" t="n">
        <x:v>106.00000005960464</x:v>
      </x:c>
      <x:c r="K201" s="2" t="n">
        <x:v>196</x:v>
      </x:c>
      <x:c r="L201" s="2" t="n">
        <x:v>900</x:v>
      </x:c>
    </x:row>
    <x:row r="202" ht="24" customHeight="1">
      <x:c r="A202" s="2" t="n">
        <x:v>319</x:v>
      </x:c>
      <x:c r="B202" s="2" t="n">
        <x:v>2</x:v>
      </x:c>
      <x:c r="C202" s="12" t="n">
        <x:v>119475</x:v>
      </x:c>
      <x:c r="D202" s="12" t="n">
        <x:v>73298</x:v>
      </x:c>
      <x:c r="E202" s="12" t="n">
        <x:v>45960.66666665673</x:v>
      </x:c>
      <x:c r="F202" s="12" t="n">
        <x:v>42669</x:v>
      </x:c>
      <x:c r="G202" s="12" t="n">
        <x:v>26421</x:v>
      </x:c>
      <x:c r="H202" s="12" t="n">
        <x:v>46177</x:v>
      </x:c>
      <x:c r="I202" s="12" t="n">
        <x:v>4102.000000029802</x:v>
      </x:c>
      <x:c r="J202" s="12" t="n">
        <x:v>105.99999997019768</x:v>
      </x:c>
      <x:c r="K202" s="2" t="n">
        <x:v>196</x:v>
      </x:c>
      <x:c r="L202" s="2" t="n">
        <x:v>896</x:v>
      </x:c>
    </x:row>
    <x:row r="203" ht="24" customHeight="1">
      <x:c r="A203" s="2" t="n">
        <x:v>320</x:v>
      </x:c>
      <x:c r="B203" s="2" t="n">
        <x:v>2</x:v>
      </x:c>
      <x:c r="C203" s="12" t="n">
        <x:v>119470</x:v>
      </x:c>
      <x:c r="D203" s="12" t="n">
        <x:v>75937.9999999702</x:v>
      </x:c>
      <x:c r="E203" s="12" t="n">
        <x:v>43317.66666665673</x:v>
      </x:c>
      <x:c r="F203" s="12" t="n">
        <x:v>33254</x:v>
      </x:c>
      <x:c r="G203" s="12" t="n">
        <x:v>38476</x:v>
      </x:c>
      <x:c r="H203" s="12" t="n">
        <x:v>43532.0000000298</x:v>
      </x:c>
      <x:c r="I203" s="12" t="n">
        <x:v>4102</x:v>
      </x:c>
      <x:c r="J203" s="12" t="n">
        <x:v>105.99999997019768</x:v>
      </x:c>
      <x:c r="K203" s="2" t="n">
        <x:v>196</x:v>
      </x:c>
      <x:c r="L203" s="2" t="n">
        <x:v>892</x:v>
      </x:c>
    </x:row>
    <x:row r="204" ht="24" customHeight="1">
      <x:c r="A204" s="2" t="n">
        <x:v>321</x:v>
      </x:c>
      <x:c r="B204" s="2" t="n">
        <x:v>2</x:v>
      </x:c>
      <x:c r="C204" s="12" t="n">
        <x:v>122342</x:v>
      </x:c>
      <x:c r="D204" s="12" t="n">
        <x:v>86400</x:v>
      </x:c>
      <x:c r="E204" s="12" t="n">
        <x:v>35725.66666665673</x:v>
      </x:c>
      <x:c r="F204" s="12" t="n">
        <x:v>52887</x:v>
      </x:c>
      <x:c r="G204" s="12" t="n">
        <x:v>26436.999999970198</x:v>
      </x:c>
      <x:c r="H204" s="12" t="n">
        <x:v>35942</x:v>
      </x:c>
      <x:c r="I204" s="12" t="n">
        <x:v>6970</x:v>
      </x:c>
      <x:c r="J204" s="12" t="n">
        <x:v>106.00000002980232</x:v>
      </x:c>
      <x:c r="K204" s="2" t="n">
        <x:v>196</x:v>
      </x:c>
      <x:c r="L204" s="2" t="n">
        <x:v>888</x:v>
      </x:c>
    </x:row>
    <x:row r="205" ht="24" customHeight="1">
      <x:c r="A205" s="2" t="n">
        <x:v>322</x:v>
      </x:c>
      <x:c r="B205" s="2" t="n">
        <x:v>2</x:v>
      </x:c>
      <x:c r="C205" s="12" t="n">
        <x:v>116603</x:v>
      </x:c>
      <x:c r="D205" s="12" t="n">
        <x:v>77946</x:v>
      </x:c>
      <x:c r="E205" s="12" t="n">
        <x:v>38441.66666665673</x:v>
      </x:c>
      <x:c r="F205" s="12" t="n">
        <x:v>35245.9999999702</x:v>
      </x:c>
      <x:c r="G205" s="12" t="n">
        <x:v>38492</x:v>
      </x:c>
      <x:c r="H205" s="12" t="n">
        <x:v>38657</x:v>
      </x:c>
      <x:c r="I205" s="12" t="n">
        <x:v>4102</x:v>
      </x:c>
      <x:c r="J205" s="12" t="n">
        <x:v>106.00000002980232</x:v>
      </x:c>
      <x:c r="K205" s="2" t="n">
        <x:v>196</x:v>
      </x:c>
      <x:c r="L205" s="2" t="n">
        <x:v>884</x:v>
      </x:c>
    </x:row>
    <x:row r="206" ht="24" customHeight="1">
      <x:c r="A206" s="2" t="n">
        <x:v>323</x:v>
      </x:c>
      <x:c r="B206" s="2" t="n">
        <x:v>2</x:v>
      </x:c>
      <x:c r="C206" s="12" t="n">
        <x:v>122291</x:v>
      </x:c>
      <x:c r="D206" s="12" t="n">
        <x:v>73198.9999999702</x:v>
      </x:c>
      <x:c r="E206" s="12" t="n">
        <x:v>48878.66666665673</x:v>
      </x:c>
      <x:c r="F206" s="12" t="n">
        <x:v>39733</x:v>
      </x:c>
      <x:c r="G206" s="12" t="n">
        <x:v>26437</x:v>
      </x:c>
      <x:c r="H206" s="12" t="n">
        <x:v>49092.0000000298</x:v>
      </x:c>
      <x:c r="I206" s="12" t="n">
        <x:v>6923</x:v>
      </x:c>
      <x:c r="J206" s="12" t="n">
        <x:v>105.99999997019768</x:v>
      </x:c>
      <x:c r="K206" s="2" t="n">
        <x:v>196</x:v>
      </x:c>
      <x:c r="L206" s="2" t="n">
        <x:v>880</x:v>
      </x:c>
    </x:row>
    <x:row r="207" ht="24" customHeight="1">
      <x:c r="A207" s="2" t="n">
        <x:v>324</x:v>
      </x:c>
      <x:c r="B207" s="2" t="n">
        <x:v>2</x:v>
      </x:c>
      <x:c r="C207" s="12" t="n">
        <x:v>116651</x:v>
      </x:c>
      <x:c r="D207" s="12" t="n">
        <x:v>78579.0000000298</x:v>
      </x:c>
      <x:c r="E207" s="12" t="n">
        <x:v>37858.66666665673</x:v>
      </x:c>
      <x:c r="F207" s="12" t="n">
        <x:v>35344</x:v>
      </x:c>
      <x:c r="G207" s="12" t="n">
        <x:v>39027</x:v>
      </x:c>
      <x:c r="H207" s="12" t="n">
        <x:v>38071.9999999702</x:v>
      </x:c>
      <x:c r="I207" s="12" t="n">
        <x:v>4102</x:v>
      </x:c>
      <x:c r="J207" s="12" t="n">
        <x:v>106.00000002980232</x:v>
      </x:c>
      <x:c r="K207" s="2" t="n">
        <x:v>196</x:v>
      </x:c>
      <x:c r="L207" s="2" t="n">
        <x:v>876</x:v>
      </x:c>
    </x:row>
    <x:row r="208" ht="24" customHeight="1">
      <x:c r="A208" s="2" t="n">
        <x:v>325</x:v>
      </x:c>
      <x:c r="B208" s="2" t="n">
        <x:v>2</x:v>
      </x:c>
      <x:c r="C208" s="12" t="n">
        <x:v>119475</x:v>
      </x:c>
      <x:c r="D208" s="12" t="n">
        <x:v>72272.9999999702</x:v>
      </x:c>
      <x:c r="E208" s="12" t="n">
        <x:v>46985.66666665673</x:v>
      </x:c>
      <x:c r="F208" s="12" t="n">
        <x:v>41093</x:v>
      </x:c>
      <x:c r="G208" s="12" t="n">
        <x:v>26972</x:v>
      </x:c>
      <x:c r="H208" s="12" t="n">
        <x:v>47202.0000000298</x:v>
      </x:c>
      <x:c r="I208" s="12" t="n">
        <x:v>4102</x:v>
      </x:c>
      <x:c r="J208" s="12" t="n">
        <x:v>105.99999997019768</x:v>
      </x:c>
      <x:c r="K208" s="2" t="n">
        <x:v>196</x:v>
      </x:c>
      <x:c r="L208" s="2" t="n">
        <x:v>872</x:v>
      </x:c>
    </x:row>
    <x:row r="209" ht="24" customHeight="1">
      <x:c r="A209" s="2" t="n">
        <x:v>326</x:v>
      </x:c>
      <x:c r="B209" s="2" t="n">
        <x:v>2</x:v>
      </x:c>
      <x:c r="C209" s="12" t="n">
        <x:v>119470</x:v>
      </x:c>
      <x:c r="D209" s="12" t="n">
        <x:v>79528</x:v>
      </x:c>
      <x:c r="E209" s="12" t="n">
        <x:v>39727.66666665673</x:v>
      </x:c>
      <x:c r="F209" s="12" t="n">
        <x:v>36825</x:v>
      </x:c>
      <x:c r="G209" s="12" t="n">
        <x:v>38495</x:v>
      </x:c>
      <x:c r="H209" s="12" t="n">
        <x:v>39942</x:v>
      </x:c>
      <x:c r="I209" s="12" t="n">
        <x:v>4102</x:v>
      </x:c>
      <x:c r="J209" s="12" t="n">
        <x:v>106</x:v>
      </x:c>
      <x:c r="K209" s="2" t="n">
        <x:v>196</x:v>
      </x:c>
      <x:c r="L209" s="2" t="n">
        <x:v>868</x:v>
      </x:c>
    </x:row>
    <x:row r="210" ht="24" customHeight="1">
      <x:c r="A210" s="2" t="n">
        <x:v>327</x:v>
      </x:c>
      <x:c r="B210" s="2" t="n">
        <x:v>2</x:v>
      </x:c>
      <x:c r="C210" s="12" t="n">
        <x:v>119471</x:v>
      </x:c>
      <x:c r="D210" s="12" t="n">
        <x:v>68064</x:v>
      </x:c>
      <x:c r="E210" s="12" t="n">
        <x:v>51193.66666665673</x:v>
      </x:c>
      <x:c r="F210" s="12" t="n">
        <x:v>37416</x:v>
      </x:c>
      <x:c r="G210" s="12" t="n">
        <x:v>26440</x:v>
      </x:c>
      <x:c r="H210" s="12" t="n">
        <x:v>51407</x:v>
      </x:c>
      <x:c r="I210" s="12" t="n">
        <x:v>4102.000000029802</x:v>
      </x:c>
      <x:c r="J210" s="12" t="n">
        <x:v>105.99999997019768</x:v>
      </x:c>
      <x:c r="K210" s="2" t="n">
        <x:v>196</x:v>
      </x:c>
      <x:c r="L210" s="2" t="n">
        <x:v>864</x:v>
      </x:c>
    </x:row>
    <x:row r="211" ht="24" customHeight="1">
      <x:c r="A211" s="2" t="n">
        <x:v>328</x:v>
      </x:c>
      <x:c r="B211" s="2" t="n">
        <x:v>2</x:v>
      </x:c>
      <x:c r="C211" s="12" t="n">
        <x:v>119475</x:v>
      </x:c>
      <x:c r="D211" s="12" t="n">
        <x:v>77728</x:v>
      </x:c>
      <x:c r="E211" s="12" t="n">
        <x:v>41530.66666665673</x:v>
      </x:c>
      <x:c r="F211" s="12" t="n">
        <x:v>35051</x:v>
      </x:c>
      <x:c r="G211" s="12" t="n">
        <x:v>38469</x:v>
      </x:c>
      <x:c r="H211" s="12" t="n">
        <x:v>41747</x:v>
      </x:c>
      <x:c r="I211" s="12" t="n">
        <x:v>4102</x:v>
      </x:c>
      <x:c r="J211" s="12" t="n">
        <x:v>106</x:v>
      </x:c>
      <x:c r="K211" s="2" t="n">
        <x:v>196</x:v>
      </x:c>
      <x:c r="L211" s="2" t="n">
        <x:v>860</x:v>
      </x:c>
    </x:row>
    <x:row r="212" ht="24" customHeight="1">
      <x:c r="A212" s="2" t="n">
        <x:v>329</x:v>
      </x:c>
      <x:c r="B212" s="2" t="n">
        <x:v>2</x:v>
      </x:c>
      <x:c r="C212" s="12" t="n">
        <x:v>119470</x:v>
      </x:c>
      <x:c r="D212" s="12" t="n">
        <x:v>65267.9999999702</x:v>
      </x:c>
      <x:c r="E212" s="12" t="n">
        <x:v>53987.66666665673</x:v>
      </x:c>
      <x:c r="F212" s="12" t="n">
        <x:v>34620</x:v>
      </x:c>
      <x:c r="G212" s="12" t="n">
        <x:v>26440.000000029802</x:v>
      </x:c>
      <x:c r="H212" s="12" t="n">
        <x:v>54202.0000000298</x:v>
      </x:c>
      <x:c r="I212" s="12" t="n">
        <x:v>4102.000000029802</x:v>
      </x:c>
      <x:c r="J212" s="12" t="n">
        <x:v>105.99999991059303</x:v>
      </x:c>
      <x:c r="K212" s="2" t="n">
        <x:v>196</x:v>
      </x:c>
      <x:c r="L212" s="2" t="n">
        <x:v>856</x:v>
      </x:c>
    </x:row>
    <x:row r="213" ht="24" customHeight="1">
      <x:c r="A213" s="2" t="n">
        <x:v>330</x:v>
      </x:c>
      <x:c r="B213" s="2" t="n">
        <x:v>2</x:v>
      </x:c>
      <x:c r="C213" s="12" t="n">
        <x:v>119472</x:v>
      </x:c>
      <x:c r="D213" s="12" t="n">
        <x:v>77945.0000000298</x:v>
      </x:c>
      <x:c r="E213" s="12" t="n">
        <x:v>41312.66666665673</x:v>
      </x:c>
      <x:c r="F213" s="12" t="n">
        <x:v>35268</x:v>
      </x:c>
      <x:c r="G213" s="12" t="n">
        <x:v>38469</x:v>
      </x:c>
      <x:c r="H213" s="12" t="n">
        <x:v>41526.9999999702</x:v>
      </x:c>
      <x:c r="I213" s="12" t="n">
        <x:v>4102</x:v>
      </x:c>
      <x:c r="J213" s="12" t="n">
        <x:v>106.00000002980232</x:v>
      </x:c>
      <x:c r="K213" s="2" t="n">
        <x:v>196</x:v>
      </x:c>
      <x:c r="L213" s="2" t="n">
        <x:v>852</x:v>
      </x:c>
    </x:row>
    <x:row r="214" ht="24" customHeight="1">
      <x:c r="A214" s="2" t="n">
        <x:v>331</x:v>
      </x:c>
      <x:c r="B214" s="2" t="n">
        <x:v>2</x:v>
      </x:c>
      <x:c r="C214" s="12" t="n">
        <x:v>119470</x:v>
      </x:c>
      <x:c r="D214" s="12" t="n">
        <x:v>73643</x:v>
      </x:c>
      <x:c r="E214" s="12" t="n">
        <x:v>45614.66666665673</x:v>
      </x:c>
      <x:c r="F214" s="12" t="n">
        <x:v>42995</x:v>
      </x:c>
      <x:c r="G214" s="12" t="n">
        <x:v>26440</x:v>
      </x:c>
      <x:c r="H214" s="12" t="n">
        <x:v>45827</x:v>
      </x:c>
      <x:c r="I214" s="12" t="n">
        <x:v>4102</x:v>
      </x:c>
      <x:c r="J214" s="12" t="n">
        <x:v>106</x:v>
      </x:c>
      <x:c r="K214" s="2" t="n">
        <x:v>196</x:v>
      </x:c>
      <x:c r="L214" s="2" t="n">
        <x:v>848</x:v>
      </x:c>
    </x:row>
    <x:row r="215" ht="24" customHeight="1">
      <x:c r="A215" s="2" t="n">
        <x:v>332</x:v>
      </x:c>
      <x:c r="B215" s="2" t="n">
        <x:v>2</x:v>
      </x:c>
      <x:c r="C215" s="12" t="n">
        <x:v>119476</x:v>
      </x:c>
      <x:c r="D215" s="12" t="n">
        <x:v>79049</x:v>
      </x:c>
      <x:c r="E215" s="12" t="n">
        <x:v>40210.66666665673</x:v>
      </x:c>
      <x:c r="F215" s="12" t="n">
        <x:v>35836</x:v>
      </x:c>
      <x:c r="G215" s="12" t="n">
        <x:v>39005</x:v>
      </x:c>
      <x:c r="H215" s="12" t="n">
        <x:v>40427</x:v>
      </x:c>
      <x:c r="I215" s="12" t="n">
        <x:v>4101.999999970198</x:v>
      </x:c>
      <x:c r="J215" s="12" t="n">
        <x:v>106.00000002980232</x:v>
      </x:c>
      <x:c r="K215" s="2" t="n">
        <x:v>196</x:v>
      </x:c>
      <x:c r="L215" s="2" t="n">
        <x:v>844</x:v>
      </x:c>
    </x:row>
    <x:row r="216" ht="24" customHeight="1">
      <x:c r="A216" s="2" t="n">
        <x:v>333</x:v>
      </x:c>
      <x:c r="B216" s="2" t="n">
        <x:v>2</x:v>
      </x:c>
      <x:c r="C216" s="12" t="n">
        <x:v>119468</x:v>
      </x:c>
      <x:c r="D216" s="12" t="n">
        <x:v>67151.0000000298</x:v>
      </x:c>
      <x:c r="E216" s="12" t="n">
        <x:v>52104.66666665673</x:v>
      </x:c>
      <x:c r="F216" s="12" t="n">
        <x:v>35983.0000000298</x:v>
      </x:c>
      <x:c r="G216" s="12" t="n">
        <x:v>26960</x:v>
      </x:c>
      <x:c r="H216" s="12" t="n">
        <x:v>52316.9999999702</x:v>
      </x:c>
      <x:c r="I216" s="12" t="n">
        <x:v>4102</x:v>
      </x:c>
      <x:c r="J216" s="12" t="n">
        <x:v>106</x:v>
      </x:c>
      <x:c r="K216" s="2" t="n">
        <x:v>196</x:v>
      </x:c>
      <x:c r="L216" s="2" t="n">
        <x:v>840</x:v>
      </x:c>
    </x:row>
    <x:row r="217" ht="24" customHeight="1">
      <x:c r="A217" s="2" t="n">
        <x:v>334</x:v>
      </x:c>
      <x:c r="B217" s="2" t="n">
        <x:v>2</x:v>
      </x:c>
      <x:c r="C217" s="12" t="n">
        <x:v>119475</x:v>
      </x:c>
      <x:c r="D217" s="12" t="n">
        <x:v>77718</x:v>
      </x:c>
      <x:c r="E217" s="12" t="n">
        <x:v>41541.66666665673</x:v>
      </x:c>
      <x:c r="F217" s="12" t="n">
        <x:v>35059.9999999702</x:v>
      </x:c>
      <x:c r="G217" s="12" t="n">
        <x:v>38450</x:v>
      </x:c>
      <x:c r="H217" s="12" t="n">
        <x:v>41757</x:v>
      </x:c>
      <x:c r="I217" s="12" t="n">
        <x:v>4102</x:v>
      </x:c>
      <x:c r="J217" s="12" t="n">
        <x:v>106.00000002980232</x:v>
      </x:c>
      <x:c r="K217" s="2" t="n">
        <x:v>196</x:v>
      </x:c>
      <x:c r="L217" s="2" t="n">
        <x:v>836</x:v>
      </x:c>
    </x:row>
    <x:row r="218" ht="24" customHeight="1">
      <x:c r="A218" s="2" t="n">
        <x:v>335</x:v>
      </x:c>
      <x:c r="B218" s="2" t="n">
        <x:v>2</x:v>
      </x:c>
      <x:c r="C218" s="12" t="n">
        <x:v>119473</x:v>
      </x:c>
      <x:c r="D218" s="12" t="n">
        <x:v>70031</x:v>
      </x:c>
      <x:c r="E218" s="12" t="n">
        <x:v>49225.66666665673</x:v>
      </x:c>
      <x:c r="F218" s="12" t="n">
        <x:v>39402</x:v>
      </x:c>
      <x:c r="G218" s="12" t="n">
        <x:v>26421</x:v>
      </x:c>
      <x:c r="H218" s="12" t="n">
        <x:v>49442</x:v>
      </x:c>
      <x:c r="I218" s="12" t="n">
        <x:v>4102</x:v>
      </x:c>
      <x:c r="J218" s="12" t="n">
        <x:v>106</x:v>
      </x:c>
      <x:c r="K218" s="2" t="n">
        <x:v>196</x:v>
      </x:c>
      <x:c r="L218" s="2" t="n">
        <x:v>832</x:v>
      </x:c>
    </x:row>
    <x:row r="219" ht="24" customHeight="1">
      <x:c r="A219" s="2" t="n">
        <x:v>336</x:v>
      </x:c>
      <x:c r="B219" s="2" t="n">
        <x:v>2</x:v>
      </x:c>
      <x:c r="C219" s="12" t="n">
        <x:v>119469</x:v>
      </x:c>
      <x:c r="D219" s="12" t="n">
        <x:v>78147</x:v>
      </x:c>
      <x:c r="E219" s="12" t="n">
        <x:v>41108.66666665673</x:v>
      </x:c>
      <x:c r="F219" s="12" t="n">
        <x:v>35463</x:v>
      </x:c>
      <x:c r="G219" s="12" t="n">
        <x:v>38476.0000000298</x:v>
      </x:c>
      <x:c r="H219" s="12" t="n">
        <x:v>41322</x:v>
      </x:c>
      <x:c r="I219" s="12" t="n">
        <x:v>4101.999999970198</x:v>
      </x:c>
      <x:c r="J219" s="12" t="n">
        <x:v>106</x:v>
      </x:c>
      <x:c r="K219" s="2" t="n">
        <x:v>196</x:v>
      </x:c>
      <x:c r="L219" s="2" t="n">
        <x:v>828</x:v>
      </x:c>
    </x:row>
    <x:row r="220" ht="24" customHeight="1">
      <x:c r="A220" s="2" t="n">
        <x:v>337</x:v>
      </x:c>
      <x:c r="B220" s="2" t="n">
        <x:v>2</x:v>
      </x:c>
      <x:c r="C220" s="12" t="n">
        <x:v>119471</x:v>
      </x:c>
      <x:c r="D220" s="12" t="n">
        <x:v>68409</x:v>
      </x:c>
      <x:c r="E220" s="12" t="n">
        <x:v>50849.66666665673</x:v>
      </x:c>
      <x:c r="F220" s="12" t="n">
        <x:v>37780</x:v>
      </x:c>
      <x:c r="G220" s="12" t="n">
        <x:v>26421</x:v>
      </x:c>
      <x:c r="H220" s="12" t="n">
        <x:v>51062</x:v>
      </x:c>
      <x:c r="I220" s="12" t="n">
        <x:v>4102</x:v>
      </x:c>
      <x:c r="J220" s="12" t="n">
        <x:v>106</x:v>
      </x:c>
      <x:c r="K220" s="2" t="n">
        <x:v>196</x:v>
      </x:c>
      <x:c r="L220" s="2" t="n">
        <x:v>824</x:v>
      </x:c>
    </x:row>
    <x:row r="221" ht="24" customHeight="1">
      <x:c r="A221" s="2" t="n">
        <x:v>338</x:v>
      </x:c>
      <x:c r="B221" s="2" t="n">
        <x:v>2</x:v>
      </x:c>
      <x:c r="C221" s="12" t="n">
        <x:v>119476</x:v>
      </x:c>
      <x:c r="D221" s="12" t="n">
        <x:v>80899.0000000298</x:v>
      </x:c>
      <x:c r="E221" s="12" t="n">
        <x:v>38360.66666665673</x:v>
      </x:c>
      <x:c r="F221" s="12" t="n">
        <x:v>38215</x:v>
      </x:c>
      <x:c r="G221" s="12" t="n">
        <x:v>38475.9999999702</x:v>
      </x:c>
      <x:c r="H221" s="12" t="n">
        <x:v>38576.9999999702</x:v>
      </x:c>
      <x:c r="I221" s="12" t="n">
        <x:v>4102</x:v>
      </x:c>
      <x:c r="J221" s="12" t="n">
        <x:v>106.00000005960464</x:v>
      </x:c>
      <x:c r="K221" s="2" t="n">
        <x:v>196</x:v>
      </x:c>
      <x:c r="L221" s="2" t="n">
        <x:v>820</x:v>
      </x:c>
    </x:row>
    <x:row r="222" ht="24" customHeight="1">
      <x:c r="A222" s="2" t="n">
        <x:v>339</x:v>
      </x:c>
      <x:c r="B222" s="2" t="n">
        <x:v>2</x:v>
      </x:c>
      <x:c r="C222" s="12" t="n">
        <x:v>119470</x:v>
      </x:c>
      <x:c r="D222" s="12" t="n">
        <x:v>67727.9999999702</x:v>
      </x:c>
      <x:c r="E222" s="12" t="n">
        <x:v>51527.66666665673</x:v>
      </x:c>
      <x:c r="F222" s="12" t="n">
        <x:v>37082.9999999702</x:v>
      </x:c>
      <x:c r="G222" s="12" t="n">
        <x:v>26437</x:v>
      </x:c>
      <x:c r="H222" s="12" t="n">
        <x:v>51742.0000000298</x:v>
      </x:c>
      <x:c r="I222" s="12" t="n">
        <x:v>4102</x:v>
      </x:c>
      <x:c r="J222" s="12" t="n">
        <x:v>106</x:v>
      </x:c>
      <x:c r="K222" s="2" t="n">
        <x:v>196</x:v>
      </x:c>
      <x:c r="L222" s="2" t="n">
        <x:v>816</x:v>
      </x:c>
    </x:row>
    <x:row r="223" ht="24" customHeight="1">
      <x:c r="A223" s="2" t="n">
        <x:v>340</x:v>
      </x:c>
      <x:c r="B223" s="2" t="n">
        <x:v>2</x:v>
      </x:c>
      <x:c r="C223" s="12" t="n">
        <x:v>119473.9999999702</x:v>
      </x:c>
      <x:c r="D223" s="12" t="n">
        <x:v>78086.9999999702</x:v>
      </x:c>
      <x:c r="E223" s="12" t="n">
        <x:v>41170.66666665673</x:v>
      </x:c>
      <x:c r="F223" s="12" t="n">
        <x:v>34852</x:v>
      </x:c>
      <x:c r="G223" s="12" t="n">
        <x:v>39027</x:v>
      </x:c>
      <x:c r="H223" s="12" t="n">
        <x:v>41387</x:v>
      </x:c>
      <x:c r="I223" s="12" t="n">
        <x:v>4102</x:v>
      </x:c>
      <x:c r="J223" s="12" t="n">
        <x:v>105.99999997019768</x:v>
      </x:c>
      <x:c r="K223" s="2" t="n">
        <x:v>196</x:v>
      </x:c>
      <x:c r="L223" s="2" t="n">
        <x:v>812</x:v>
      </x:c>
    </x:row>
    <x:row r="224" ht="24" customHeight="1">
      <x:c r="A224" s="2" t="n">
        <x:v>341</x:v>
      </x:c>
      <x:c r="B224" s="2" t="n">
        <x:v>2</x:v>
      </x:c>
      <x:c r="C224" s="12" t="n">
        <x:v>119470.0000000298</x:v>
      </x:c>
      <x:c r="D224" s="12" t="n">
        <x:v>67378.0000000596</x:v>
      </x:c>
      <x:c r="E224" s="12" t="n">
        <x:v>51877.66666665673</x:v>
      </x:c>
      <x:c r="F224" s="12" t="n">
        <x:v>36198</x:v>
      </x:c>
      <x:c r="G224" s="12" t="n">
        <x:v>26972</x:v>
      </x:c>
      <x:c r="H224" s="12" t="n">
        <x:v>52091.9999999702</x:v>
      </x:c>
      <x:c r="I224" s="12" t="n">
        <x:v>4102</x:v>
      </x:c>
      <x:c r="J224" s="12" t="n">
        <x:v>106.00000005960464</x:v>
      </x:c>
      <x:c r="K224" s="2" t="n">
        <x:v>196</x:v>
      </x:c>
      <x:c r="L224" s="2" t="n">
        <x:v>808</x:v>
      </x:c>
    </x:row>
    <x:row r="225" ht="24" customHeight="1">
      <x:c r="A225" s="2" t="n">
        <x:v>342</x:v>
      </x:c>
      <x:c r="B225" s="2" t="n">
        <x:v>2</x:v>
      </x:c>
      <x:c r="C225" s="12" t="n">
        <x:v>119470</x:v>
      </x:c>
      <x:c r="D225" s="12" t="n">
        <x:v>77848</x:v>
      </x:c>
      <x:c r="E225" s="12" t="n">
        <x:v>41409.66666665673</x:v>
      </x:c>
      <x:c r="F225" s="12" t="n">
        <x:v>35145</x:v>
      </x:c>
      <x:c r="G225" s="12" t="n">
        <x:v>38495</x:v>
      </x:c>
      <x:c r="H225" s="12" t="n">
        <x:v>41622</x:v>
      </x:c>
      <x:c r="I225" s="12" t="n">
        <x:v>4102</x:v>
      </x:c>
      <x:c r="J225" s="12" t="n">
        <x:v>106</x:v>
      </x:c>
      <x:c r="K225" s="2" t="n">
        <x:v>196</x:v>
      </x:c>
      <x:c r="L225" s="2" t="n">
        <x:v>804</x:v>
      </x:c>
    </x:row>
    <x:row r="226" ht="24" customHeight="1">
      <x:c r="A226" s="2" t="n">
        <x:v>343</x:v>
      </x:c>
      <x:c r="B226" s="2" t="n">
        <x:v>2</x:v>
      </x:c>
      <x:c r="C226" s="12" t="n">
        <x:v>119473.9999999702</x:v>
      </x:c>
      <x:c r="D226" s="12" t="n">
        <x:v>68516.9999999702</x:v>
      </x:c>
      <x:c r="E226" s="12" t="n">
        <x:v>50742.66666665673</x:v>
      </x:c>
      <x:c r="F226" s="12" t="n">
        <x:v>37869</x:v>
      </x:c>
      <x:c r="G226" s="12" t="n">
        <x:v>26440</x:v>
      </x:c>
      <x:c r="H226" s="12" t="n">
        <x:v>50957</x:v>
      </x:c>
      <x:c r="I226" s="12" t="n">
        <x:v>4102</x:v>
      </x:c>
      <x:c r="J226" s="12" t="n">
        <x:v>105.99999997019768</x:v>
      </x:c>
      <x:c r="K226" s="2" t="n">
        <x:v>196</x:v>
      </x:c>
      <x:c r="L226" s="2" t="n">
        <x:v>800</x:v>
      </x:c>
    </x:row>
    <x:row r="227" ht="24" customHeight="1">
      <x:c r="A227" s="2" t="n">
        <x:v>344</x:v>
      </x:c>
      <x:c r="B227" s="2" t="n">
        <x:v>2</x:v>
      </x:c>
      <x:c r="C227" s="12" t="n">
        <x:v>119472.0000000298</x:v>
      </x:c>
      <x:c r="D227" s="12" t="n">
        <x:v>82540.0000000298</x:v>
      </x:c>
      <x:c r="E227" s="12" t="n">
        <x:v>36717.66666665673</x:v>
      </x:c>
      <x:c r="F227" s="12" t="n">
        <x:v>38984</x:v>
      </x:c>
      <x:c r="G227" s="12" t="n">
        <x:v>39348</x:v>
      </x:c>
      <x:c r="H227" s="12" t="n">
        <x:v>36932</x:v>
      </x:c>
      <x:c r="I227" s="12" t="n">
        <x:v>4102</x:v>
      </x:c>
      <x:c r="J227" s="12" t="n">
        <x:v>106.00000002980232</x:v>
      </x:c>
      <x:c r="K227" s="2" t="n">
        <x:v>196</x:v>
      </x:c>
      <x:c r="L227" s="2" t="n">
        <x:v>796</x:v>
      </x:c>
    </x:row>
    <x:row r="228" ht="24" customHeight="1">
      <x:c r="A228" s="2" t="n">
        <x:v>345</x:v>
      </x:c>
      <x:c r="B228" s="2" t="n">
        <x:v>2</x:v>
      </x:c>
      <x:c r="C228" s="12" t="n">
        <x:v>119474</x:v>
      </x:c>
      <x:c r="D228" s="12" t="n">
        <x:v>72462.0000000298</x:v>
      </x:c>
      <x:c r="E228" s="12" t="n">
        <x:v>46795.66666665673</x:v>
      </x:c>
      <x:c r="F228" s="12" t="n">
        <x:v>40935</x:v>
      </x:c>
      <x:c r="G228" s="12" t="n">
        <x:v>27319</x:v>
      </x:c>
      <x:c r="H228" s="12" t="n">
        <x:v>47011.9999999702</x:v>
      </x:c>
      <x:c r="I228" s="12" t="n">
        <x:v>4102</x:v>
      </x:c>
      <x:c r="J228" s="12" t="n">
        <x:v>106.00000002980232</x:v>
      </x:c>
      <x:c r="K228" s="2" t="n">
        <x:v>196</x:v>
      </x:c>
      <x:c r="L228" s="2" t="n">
        <x:v>792</x:v>
      </x:c>
    </x:row>
    <x:row r="229" ht="24" customHeight="1">
      <x:c r="A229" s="2" t="n">
        <x:v>346</x:v>
      </x:c>
      <x:c r="B229" s="2" t="n">
        <x:v>2</x:v>
      </x:c>
      <x:c r="C229" s="12" t="n">
        <x:v>119467.9999999702</x:v>
      </x:c>
      <x:c r="D229" s="12" t="n">
        <x:v>105350.9999999404</x:v>
      </x:c>
      <x:c r="E229" s="12" t="n">
        <x:v>13904.666666656733</x:v>
      </x:c>
      <x:c r="F229" s="12" t="n">
        <x:v>35594</x:v>
      </x:c>
      <x:c r="G229" s="12" t="n">
        <x:v>65549</x:v>
      </x:c>
      <x:c r="H229" s="12" t="n">
        <x:v>14117.000000029802</x:v>
      </x:c>
      <x:c r="I229" s="12" t="n">
        <x:v>4102</x:v>
      </x:c>
      <x:c r="J229" s="12" t="n">
        <x:v>105.99999994039536</x:v>
      </x:c>
      <x:c r="K229" s="2" t="n">
        <x:v>200</x:v>
      </x:c>
      <x:c r="L229" s="2" t="n">
        <x:v>793</x:v>
      </x:c>
    </x:row>
    <x:row r="230" ht="24" customHeight="1">
      <x:c r="A230" s="2" t="n">
        <x:v>347</x:v>
      </x:c>
      <x:c r="B230" s="2" t="n">
        <x:v>2</x:v>
      </x:c>
      <x:c r="C230" s="12" t="n">
        <x:v>117923.0000000298</x:v>
      </x:c>
      <x:c r="D230" s="12" t="n">
        <x:v>93386.0000000298</x:v>
      </x:c>
      <x:c r="E230" s="12" t="n">
        <x:v>24321.666666656733</x:v>
      </x:c>
      <x:c r="F230" s="12" t="n">
        <x:v>40048</x:v>
      </x:c>
      <x:c r="G230" s="12" t="n">
        <x:v>50682</x:v>
      </x:c>
      <x:c r="H230" s="12" t="n">
        <x:v>24537</x:v>
      </x:c>
      <x:c r="I230" s="12" t="n">
        <x:v>2550</x:v>
      </x:c>
      <x:c r="J230" s="12" t="n">
        <x:v>106.00000002980232</x:v>
      </x:c>
      <x:c r="K230" s="2" t="n">
        <x:v>204</x:v>
      </x:c>
      <x:c r="L230" s="2" t="n">
        <x:v>793</x:v>
      </x:c>
    </x:row>
    <x:row r="231" ht="24" customHeight="1">
      <x:c r="A231" s="2" t="n">
        <x:v>348</x:v>
      </x:c>
      <x:c r="B231" s="2" t="n">
        <x:v>2</x:v>
      </x:c>
      <x:c r="C231" s="12" t="n">
        <x:v>121021</x:v>
      </x:c>
      <x:c r="D231" s="12" t="n">
        <x:v>108664</x:v>
      </x:c>
      <x:c r="E231" s="12" t="n">
        <x:v>12144.666666656733</x:v>
      </x:c>
      <x:c r="F231" s="12" t="n">
        <x:v>37411</x:v>
      </x:c>
      <x:c r="G231" s="12" t="n">
        <x:v>67045</x:v>
      </x:c>
      <x:c r="H231" s="12" t="n">
        <x:v>12357</x:v>
      </x:c>
      <x:c r="I231" s="12" t="n">
        <x:v>4102</x:v>
      </x:c>
      <x:c r="J231" s="12" t="n">
        <x:v>106</x:v>
      </x:c>
      <x:c r="K231" s="2" t="n">
        <x:v>208</x:v>
      </x:c>
      <x:c r="L231" s="2" t="n">
        <x:v>794</x:v>
      </x:c>
    </x:row>
    <x:row r="232" ht="24" customHeight="1">
      <x:c r="A232" s="2" t="n">
        <x:v>349</x:v>
      </x:c>
      <x:c r="B232" s="2" t="n">
        <x:v>2</x:v>
      </x:c>
      <x:c r="C232" s="12" t="n">
        <x:v>117922</x:v>
      </x:c>
      <x:c r="D232" s="12" t="n">
        <x:v>92325</x:v>
      </x:c>
      <x:c r="E232" s="12" t="n">
        <x:v>25382.666666656733</x:v>
      </x:c>
      <x:c r="F232" s="12" t="n">
        <x:v>37404.9999999702</x:v>
      </x:c>
      <x:c r="G232" s="12" t="n">
        <x:v>52264</x:v>
      </x:c>
      <x:c r="H232" s="12" t="n">
        <x:v>25597</x:v>
      </x:c>
      <x:c r="I232" s="12" t="n">
        <x:v>2549.9999999701977</x:v>
      </x:c>
      <x:c r="J232" s="12" t="n">
        <x:v>106.00000005960464</x:v>
      </x:c>
      <x:c r="K232" s="2" t="n">
        <x:v>212</x:v>
      </x:c>
      <x:c r="L232" s="2" t="n">
        <x:v>794</x:v>
      </x:c>
    </x:row>
    <x:row r="233" ht="24" customHeight="1">
      <x:c r="A233" s="2" t="n">
        <x:v>350</x:v>
      </x:c>
      <x:c r="B233" s="2" t="n">
        <x:v>2</x:v>
      </x:c>
      <x:c r="C233" s="12" t="n">
        <x:v>121023.9999999702</x:v>
      </x:c>
      <x:c r="D233" s="12" t="n">
        <x:v>105766.9999999702</x:v>
      </x:c>
      <x:c r="E233" s="12" t="n">
        <x:v>15042.666666656733</x:v>
      </x:c>
      <x:c r="F233" s="12" t="n">
        <x:v>35376.0000000298</x:v>
      </x:c>
      <x:c r="G233" s="12" t="n">
        <x:v>66183.0000000298</x:v>
      </x:c>
      <x:c r="H233" s="12" t="n">
        <x:v>15257</x:v>
      </x:c>
      <x:c r="I233" s="12" t="n">
        <x:v>4102</x:v>
      </x:c>
      <x:c r="J233" s="12" t="n">
        <x:v>105.99999991059303</x:v>
      </x:c>
      <x:c r="K233" s="2" t="n">
        <x:v>216</x:v>
      </x:c>
      <x:c r="L233" s="2" t="n">
        <x:v>795</x:v>
      </x:c>
    </x:row>
    <x:row r="234" ht="24" customHeight="1">
      <x:c r="A234" s="2" t="n">
        <x:v>351</x:v>
      </x:c>
      <x:c r="B234" s="2" t="n">
        <x:v>2</x:v>
      </x:c>
      <x:c r="C234" s="12" t="n">
        <x:v>117920.0000000298</x:v>
      </x:c>
      <x:c r="D234" s="12" t="n">
        <x:v>94333.0000000298</x:v>
      </x:c>
      <x:c r="E234" s="12" t="n">
        <x:v>23372.666666656733</x:v>
      </x:c>
      <x:c r="F234" s="12" t="n">
        <x:v>39531</x:v>
      </x:c>
      <x:c r="G234" s="12" t="n">
        <x:v>52146.0000000298</x:v>
      </x:c>
      <x:c r="H234" s="12" t="n">
        <x:v>23587</x:v>
      </x:c>
      <x:c r="I234" s="12" t="n">
        <x:v>2550</x:v>
      </x:c>
      <x:c r="J234" s="12" t="n">
        <x:v>106</x:v>
      </x:c>
      <x:c r="K234" s="2" t="n">
        <x:v>220</x:v>
      </x:c>
      <x:c r="L234" s="2" t="n">
        <x:v>795</x:v>
      </x:c>
    </x:row>
    <x:row r="235" ht="24" customHeight="1">
      <x:c r="A235" s="2" t="n">
        <x:v>352</x:v>
      </x:c>
      <x:c r="B235" s="2" t="n">
        <x:v>2</x:v>
      </x:c>
      <x:c r="C235" s="12" t="n">
        <x:v>119474</x:v>
      </x:c>
      <x:c r="D235" s="12" t="n">
        <x:v>84186.9999999702</x:v>
      </x:c>
      <x:c r="E235" s="12" t="n">
        <x:v>35070.66666665673</x:v>
      </x:c>
      <x:c r="F235" s="12" t="n">
        <x:v>34404</x:v>
      </x:c>
      <x:c r="G235" s="12" t="n">
        <x:v>47127</x:v>
      </x:c>
      <x:c r="H235" s="12" t="n">
        <x:v>35287.0000000298</x:v>
      </x:c>
      <x:c r="I235" s="12" t="n">
        <x:v>2550</x:v>
      </x:c>
      <x:c r="J235" s="12" t="n">
        <x:v>105.99999997019768</x:v>
      </x:c>
      <x:c r="K235" s="2" t="n">
        <x:v>224</x:v>
      </x:c>
      <x:c r="L235" s="2" t="n">
        <x:v>795</x:v>
      </x:c>
    </x:row>
    <x:row r="236" ht="24" customHeight="1">
      <x:c r="A236" s="2" t="n">
        <x:v>353</x:v>
      </x:c>
      <x:c r="B236" s="2" t="n">
        <x:v>2</x:v>
      </x:c>
      <x:c r="C236" s="12" t="n">
        <x:v>119472</x:v>
      </x:c>
      <x:c r="D236" s="12" t="n">
        <x:v>68245</x:v>
      </x:c>
      <x:c r="E236" s="12" t="n">
        <x:v>51010.66666665673</x:v>
      </x:c>
      <x:c r="F236" s="12" t="n">
        <x:v>35773</x:v>
      </x:c>
      <x:c r="G236" s="12" t="n">
        <x:v>29816</x:v>
      </x:c>
      <x:c r="H236" s="12" t="n">
        <x:v>51227</x:v>
      </x:c>
      <x:c r="I236" s="12" t="n">
        <x:v>2550</x:v>
      </x:c>
      <x:c r="J236" s="12" t="n">
        <x:v>106</x:v>
      </x:c>
      <x:c r="K236" s="2" t="n">
        <x:v>228</x:v>
      </x:c>
      <x:c r="L236" s="2" t="n">
        <x:v>795</x:v>
      </x:c>
    </x:row>
    <x:row r="237" ht="24" customHeight="1">
      <x:c r="A237" s="2" t="n">
        <x:v>354</x:v>
      </x:c>
      <x:c r="B237" s="2" t="n">
        <x:v>2</x:v>
      </x:c>
      <x:c r="C237" s="12" t="n">
        <x:v>119471</x:v>
      </x:c>
      <x:c r="D237" s="12" t="n">
        <x:v>84504.0000000298</x:v>
      </x:c>
      <x:c r="E237" s="12" t="n">
        <x:v>34751.66666665673</x:v>
      </x:c>
      <x:c r="F237" s="12" t="n">
        <x:v>34721</x:v>
      </x:c>
      <x:c r="G237" s="12" t="n">
        <x:v>47126.9999999702</x:v>
      </x:c>
      <x:c r="H237" s="12" t="n">
        <x:v>34966.9999999702</x:v>
      </x:c>
      <x:c r="I237" s="12" t="n">
        <x:v>2550</x:v>
      </x:c>
      <x:c r="J237" s="12" t="n">
        <x:v>106.00000005960464</x:v>
      </x:c>
      <x:c r="K237" s="2" t="n">
        <x:v>232</x:v>
      </x:c>
      <x:c r="L237" s="2" t="n">
        <x:v>795</x:v>
      </x:c>
    </x:row>
    <x:row r="238" ht="24" customHeight="1">
      <x:c r="A238" s="2" t="n">
        <x:v>355</x:v>
      </x:c>
      <x:c r="B238" s="2" t="n">
        <x:v>2</x:v>
      </x:c>
      <x:c r="C238" s="12" t="n">
        <x:v>119473</x:v>
      </x:c>
      <x:c r="D238" s="12" t="n">
        <x:v>69896</x:v>
      </x:c>
      <x:c r="E238" s="12" t="n">
        <x:v>49360.66666665673</x:v>
      </x:c>
      <x:c r="F238" s="12" t="n">
        <x:v>37424</x:v>
      </x:c>
      <x:c r="G238" s="12" t="n">
        <x:v>29816</x:v>
      </x:c>
      <x:c r="H238" s="12" t="n">
        <x:v>49577</x:v>
      </x:c>
      <x:c r="I238" s="12" t="n">
        <x:v>2550.0000000298023</x:v>
      </x:c>
      <x:c r="J238" s="12" t="n">
        <x:v>105.99999997019768</x:v>
      </x:c>
      <x:c r="K238" s="2" t="n">
        <x:v>236</x:v>
      </x:c>
      <x:c r="L238" s="2" t="n">
        <x:v>795</x:v>
      </x:c>
    </x:row>
    <x:row r="239" ht="24" customHeight="1">
      <x:c r="A239" s="2" t="n">
        <x:v>356</x:v>
      </x:c>
      <x:c r="B239" s="2" t="n">
        <x:v>2</x:v>
      </x:c>
      <x:c r="C239" s="12" t="n">
        <x:v>119468</x:v>
      </x:c>
      <x:c r="D239" s="12" t="n">
        <x:v>83091</x:v>
      </x:c>
      <x:c r="E239" s="12" t="n">
        <x:v>36164.66666665673</x:v>
      </x:c>
      <x:c r="F239" s="12" t="n">
        <x:v>32773</x:v>
      </x:c>
      <x:c r="G239" s="12" t="n">
        <x:v>47662</x:v>
      </x:c>
      <x:c r="H239" s="12" t="n">
        <x:v>36377</x:v>
      </x:c>
      <x:c r="I239" s="12" t="n">
        <x:v>2550</x:v>
      </x:c>
      <x:c r="J239" s="12" t="n">
        <x:v>106</x:v>
      </x:c>
      <x:c r="K239" s="2" t="n">
        <x:v>240</x:v>
      </x:c>
      <x:c r="L239" s="2" t="n">
        <x:v>795</x:v>
      </x:c>
    </x:row>
    <x:row r="240" ht="24" customHeight="1">
      <x:c r="A240" s="2" t="n">
        <x:v>357</x:v>
      </x:c>
      <x:c r="B240" s="2" t="n">
        <x:v>2</x:v>
      </x:c>
      <x:c r="C240" s="12" t="n">
        <x:v>119475</x:v>
      </x:c>
      <x:c r="D240" s="12" t="n">
        <x:v>72608</x:v>
      </x:c>
      <x:c r="E240" s="12" t="n">
        <x:v>46651.66666665673</x:v>
      </x:c>
      <x:c r="F240" s="12" t="n">
        <x:v>38738</x:v>
      </x:c>
      <x:c r="G240" s="12" t="n">
        <x:v>31214</x:v>
      </x:c>
      <x:c r="H240" s="12" t="n">
        <x:v>46867</x:v>
      </x:c>
      <x:c r="I240" s="12" t="n">
        <x:v>2550</x:v>
      </x:c>
      <x:c r="J240" s="12" t="n">
        <x:v>106</x:v>
      </x:c>
      <x:c r="K240" s="2" t="n">
        <x:v>244</x:v>
      </x:c>
      <x:c r="L240" s="2" t="n">
        <x:v>795</x:v>
      </x:c>
    </x:row>
    <x:row r="241" ht="24" customHeight="1">
      <x:c r="A241" s="2" t="n">
        <x:v>358</x:v>
      </x:c>
      <x:c r="B241" s="2" t="n">
        <x:v>2</x:v>
      </x:c>
      <x:c r="C241" s="12" t="n">
        <x:v>119470</x:v>
      </x:c>
      <x:c r="D241" s="12" t="n">
        <x:v>87533</x:v>
      </x:c>
      <x:c r="E241" s="12" t="n">
        <x:v>31723.666666656733</x:v>
      </x:c>
      <x:c r="F241" s="12" t="n">
        <x:v>36884</x:v>
      </x:c>
      <x:c r="G241" s="12" t="n">
        <x:v>47993</x:v>
      </x:c>
      <x:c r="H241" s="12" t="n">
        <x:v>31937</x:v>
      </x:c>
      <x:c r="I241" s="12" t="n">
        <x:v>2550</x:v>
      </x:c>
      <x:c r="J241" s="12" t="n">
        <x:v>106</x:v>
      </x:c>
      <x:c r="K241" s="2" t="n">
        <x:v>248</x:v>
      </x:c>
      <x:c r="L241" s="2" t="n">
        <x:v>795</x:v>
      </x:c>
    </x:row>
    <x:row r="242" ht="24" customHeight="1">
      <x:c r="A242" s="2" t="n">
        <x:v>359</x:v>
      </x:c>
      <x:c r="B242" s="2" t="n">
        <x:v>2</x:v>
      </x:c>
      <x:c r="C242" s="12" t="n">
        <x:v>119471</x:v>
      </x:c>
      <x:c r="D242" s="12" t="n">
        <x:v>71164</x:v>
      </x:c>
      <x:c r="E242" s="12" t="n">
        <x:v>48094.66666665673</x:v>
      </x:c>
      <x:c r="F242" s="12" t="n">
        <x:v>37826</x:v>
      </x:c>
      <x:c r="G242" s="12" t="n">
        <x:v>30682</x:v>
      </x:c>
      <x:c r="H242" s="12" t="n">
        <x:v>48307</x:v>
      </x:c>
      <x:c r="I242" s="12" t="n">
        <x:v>2549.9999999701977</x:v>
      </x:c>
      <x:c r="J242" s="12" t="n">
        <x:v>106.00000002980232</x:v>
      </x:c>
      <x:c r="K242" s="2" t="n">
        <x:v>252</x:v>
      </x:c>
      <x:c r="L242" s="2" t="n">
        <x:v>795</x:v>
      </x:c>
    </x:row>
    <x:row r="243" ht="24" customHeight="1">
      <x:c r="A243" s="2" t="n">
        <x:v>360</x:v>
      </x:c>
      <x:c r="B243" s="2" t="n">
        <x:v>2</x:v>
      </x:c>
      <x:c r="C243" s="12" t="n">
        <x:v>119474</x:v>
      </x:c>
      <x:c r="D243" s="12" t="n">
        <x:v>85261.9999999702</x:v>
      </x:c>
      <x:c r="E243" s="12" t="n">
        <x:v>33997.66666665673</x:v>
      </x:c>
      <x:c r="F243" s="12" t="n">
        <x:v>34616.0000000298</x:v>
      </x:c>
      <x:c r="G243" s="12" t="n">
        <x:v>47990</x:v>
      </x:c>
      <x:c r="H243" s="12" t="n">
        <x:v>34212.0000000298</x:v>
      </x:c>
      <x:c r="I243" s="12" t="n">
        <x:v>2549.9999999701977</x:v>
      </x:c>
      <x:c r="J243" s="12" t="n">
        <x:v>105.99999997019768</x:v>
      </x:c>
      <x:c r="K243" s="2" t="n">
        <x:v>256</x:v>
      </x:c>
      <x:c r="L243" s="2" t="n">
        <x:v>795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2644.9999999973115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0.7389207287510875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2644.9999999973115</x:v>
      </x:c>
      <x:c r="J6" s="8" t="n">
        <x:f>I6/'Summary'!$B$20*1000</x:f>
        <x:v>0.7389207287510875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1004.554404145144</x:v>
      </x:c>
      <x:c r="D7" s="12" t="n">
        <x:v>4940.000000010015</x:v>
      </x:c>
      <x:c r="E7" s="12" t="n">
        <x:v>18636.000000006232</x:v>
      </x:c>
      <x:c r="F7" s="8" t="n">
        <x:f>C7/'Summary'!$B$20*1000</x:f>
        <x:v>0.2806374564770506</x:v>
      </x:c>
      <x:c r="G7" s="8" t="n">
        <x:f>D7/'Summary'!$B$20*1000</x:f>
        <x:v>1.38006366731247</x:v>
      </x:c>
      <x:c r="H7" s="8" t="n">
        <x:f>E7/'Summary'!$B$20*1000</x:f>
        <x:v>5.206248280160253</x:v>
      </x:c>
      <x:c r="I7" s="12" t="n">
        <x:v>1004.554404145144</x:v>
      </x:c>
      <x:c r="J7" s="8" t="n">
        <x:f>I7/'Summary'!$B$20*1000</x:f>
        <x:v>0.2806374564770506</x:v>
      </x:c>
      <x:c r="K7" s="12" t="n">
        <x:v>4940.000000010015</x:v>
      </x:c>
      <x:c r="L7" s="12" t="n">
        <x:v>18636.000000006232</x:v>
      </x:c>
      <x:c r="M7" s="8" t="n">
        <x:f>K7/'Summary'!$B$20*1000</x:f>
        <x:v>1.38006366731247</x:v>
      </x:c>
      <x:c r="N7" s="8" t="n">
        <x:f>L7/'Summary'!$B$20*1000</x:f>
        <x:v>5.206248280160253</x:v>
      </x:c>
    </x:row>
    <x:row r="8" ht="24" customHeight="1">
      <x:c r="A8" s="2" t="str">
        <x:v>GameSession_ColdLoad</x:v>
      </x:c>
      <x:c r="B8" s="2" t="n">
        <x:v>13</x:v>
      </x:c>
      <x:c r="C8" s="12" t="n">
        <x:v>5265713.230769234</x:v>
      </x:c>
      <x:c r="D8" s="12" t="n">
        <x:v>5335788.000000011</x:v>
      </x:c>
      <x:c r="E8" s="12" t="n">
        <x:v>5335788.000000011</x:v>
      </x:c>
      <x:c r="F8" s="8" t="n">
        <x:f>C8/'Summary'!$B$20*1000</x:f>
        <x:v>1471.0565814284312</x:v>
      </x:c>
      <x:c r="G8" s="8" t="n">
        <x:f>D8/'Summary'!$B$20*1000</x:f>
        <x:v>1490.633027381975</x:v>
      </x:c>
      <x:c r="H8" s="8" t="n">
        <x:f>E8/'Summary'!$B$20*1000</x:f>
        <x:v>1490.633027381975</x:v>
      </x:c>
      <x:c r="I8" s="12" t="n">
        <x:v>1013022.5384615434</x:v>
      </x:c>
      <x:c r="J8" s="8" t="n">
        <x:f>I8/'Summary'!$B$20*1000</x:f>
        <x:v>283.00315779283216</x:v>
      </x:c>
      <x:c r="K8" s="12" t="n">
        <x:v>1065028.0000000019</x:v>
      </x:c>
      <x:c r="L8" s="12" t="n">
        <x:v>1065028.0000000019</x:v>
      </x:c>
      <x:c r="M8" s="8" t="n">
        <x:f>K8/'Summary'!$B$20*1000</x:f>
        <x:v>297.5316695278316</x:v>
      </x:c>
      <x:c r="N8" s="8" t="n">
        <x:f>L8/'Summary'!$B$20*1000</x:f>
        <x:v>297.5316695278316</x:v>
      </x:c>
    </x:row>
    <x:row r="9" ht="24" customHeight="1">
      <x:c r="A9" s="2" t="str">
        <x:v>GameSession_Prewarm</x:v>
      </x:c>
      <x:c r="B9" s="2" t="n">
        <x:v>14</x:v>
      </x:c>
      <x:c r="C9" s="12" t="n">
        <x:v>474633.2857142837</x:v>
      </x:c>
      <x:c r="D9" s="12" t="n">
        <x:v>478390.9999999994</x:v>
      </x:c>
      <x:c r="E9" s="12" t="n">
        <x:v>478390.9999999994</x:v>
      </x:c>
      <x:c r="F9" s="8" t="n">
        <x:f>C9/'Summary'!$B$20*1000</x:f>
        <x:v>132.59598237046433</x:v>
      </x:c>
      <x:c r="G9" s="8" t="n">
        <x:f>D9/'Summary'!$B$20*1000</x:f>
        <x:v>133.64575665342926</x:v>
      </x:c>
      <x:c r="H9" s="8" t="n">
        <x:f>E9/'Summary'!$B$20*1000</x:f>
        <x:v>133.64575665342926</x:v>
      </x:c>
      <x:c r="I9" s="12" t="n">
        <x:v>474633.2857142837</x:v>
      </x:c>
      <x:c r="J9" s="8" t="n">
        <x:f>I9/'Summary'!$B$20*1000</x:f>
        <x:v>132.59598237046433</x:v>
      </x:c>
      <x:c r="K9" s="12" t="n">
        <x:v>478390.9999999994</x:v>
      </x:c>
      <x:c r="L9" s="12" t="n">
        <x:v>478390.9999999994</x:v>
      </x:c>
      <x:c r="M9" s="8" t="n">
        <x:f>K9/'Summary'!$B$20*1000</x:f>
        <x:v>133.64575665342926</x:v>
      </x:c>
      <x:c r="N9" s="8" t="n">
        <x:f>L9/'Summary'!$B$20*1000</x:f>
        <x:v>133.64575665342926</x:v>
      </x:c>
    </x:row>
    <x:row r="10" ht="24" customHeight="1">
      <x:c r="A10" s="2" t="str">
        <x:v>GameSession_Video</x:v>
      </x:c>
      <x:c r="B10" s="2" t="n">
        <x:v>14</x:v>
      </x:c>
      <x:c r="C10" s="12" t="n">
        <x:v>4251069.642857146</x:v>
      </x:c>
      <x:c r="D10" s="12" t="n">
        <x:v>4281921.000000007</x:v>
      </x:c>
      <x:c r="E10" s="12" t="n">
        <x:v>4281921.000000007</x:v>
      </x:c>
      <x:c r="F10" s="8" t="n">
        <x:f>C10/'Summary'!$B$20*1000</x:f>
        <x:v>1187.6005589696865</x:v>
      </x:c>
      <x:c r="G10" s="8" t="n">
        <x:f>D10/'Summary'!$B$20*1000</x:f>
        <x:v>1196.2193519008722</x:v>
      </x:c>
      <x:c r="H10" s="8" t="n">
        <x:f>E10/'Summary'!$B$20*1000</x:f>
        <x:v>1196.2193519008722</x:v>
      </x:c>
      <x:c r="I10" s="12" t="n">
        <x:v>3773791.357142865</x:v>
      </x:c>
      <x:c r="J10" s="8" t="n">
        <x:f>I10/'Summary'!$B$20*1000</x:f>
        <x:v>1054.2656558704712</x:v>
      </x:c>
      <x:c r="K10" s="12" t="n">
        <x:v>3807125.000000006</x:v>
      </x:c>
      <x:c r="L10" s="12" t="n">
        <x:v>3807125.000000006</x:v>
      </x:c>
      <x:c r="M10" s="8" t="n">
        <x:f>K10/'Summary'!$B$20*1000</x:f>
        <x:v>1063.5779128352922</x:v>
      </x:c>
      <x:c r="N10" s="8" t="n">
        <x:f>L10/'Summary'!$B$20*1000</x:f>
        <x:v>1063.5779128352922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1752.0000000016316</x:v>
      </x:c>
      <x:c r="D11" s="12" t="n">
        <x:v>1752.0000000156203</x:v>
      </x:c>
      <x:c r="E11" s="12" t="n">
        <x:v>1752.0000000156203</x:v>
      </x:c>
      <x:c r="F11" s="8" t="n">
        <x:f>C11/'Summary'!$B$20*1000</x:f>
        <x:v>0.48944768120016136</x:v>
      </x:c>
      <x:c r="G11" s="8" t="n">
        <x:f>D11/'Summary'!$B$20*1000</x:f>
        <x:v>0.48944768120406934</x:v>
      </x:c>
      <x:c r="H11" s="8" t="n">
        <x:f>E11/'Summary'!$B$20*1000</x:f>
        <x:v>0.48944768120406934</x:v>
      </x:c>
      <x:c r="I11" s="12" t="n">
        <x:v>1752.0000000016316</x:v>
      </x:c>
      <x:c r="J11" s="8" t="n">
        <x:f>I11/'Summary'!$B$20*1000</x:f>
        <x:v>0.48944768120016136</x:v>
      </x:c>
      <x:c r="K11" s="12" t="n">
        <x:v>1752.0000000156203</x:v>
      </x:c>
      <x:c r="L11" s="12" t="n">
        <x:v>1752.0000000156203</x:v>
      </x:c>
      <x:c r="M11" s="8" t="n">
        <x:f>K11/'Summary'!$B$20*1000</x:f>
        <x:v>0.48944768120406934</x:v>
      </x:c>
      <x:c r="N11" s="8" t="n">
        <x:f>L11/'Summary'!$B$20*1000</x:f>
        <x:v>0.48944768120406934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2275.3111111112585</x:v>
      </x:c>
      <x:c r="D12" s="12" t="n">
        <x:v>2994.0000000009113</x:v>
      </x:c>
      <x:c r="E12" s="12" t="n">
        <x:v>3909.9999999993806</x:v>
      </x:c>
      <x:c r="F12" s="8" t="n">
        <x:f>C12/'Summary'!$B$20*1000</x:f>
        <x:v>0.6356425498523579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3786.5000000010377</x:v>
      </x:c>
      <x:c r="D13" s="12" t="n">
        <x:v>4266.000000001452</x:v>
      </x:c>
      <x:c r="E13" s="12" t="n">
        <x:v>4266.000000001452</x:v>
      </x:c>
      <x:c r="F13" s="8" t="n">
        <x:f>C13/'Summary'!$B$20*1000</x:f>
        <x:v>1.057816007342005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2197.0624999997744</x:v>
      </x:c>
      <x:c r="D14" s="12" t="n">
        <x:v>3749.000000001052</x:v>
      </x:c>
      <x:c r="E14" s="12" t="n">
        <x:v>3749.000000001052</x:v>
      </x:c>
      <x:c r="F14" s="8" t="n">
        <x:f>C14/'Summary'!$B$20*1000</x:f>
        <x:v>0.6137826176231266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2618.7916666645215</x:v>
      </x:c>
      <x:c r="D15" s="12" t="n">
        <x:v>3418.999999998632</x:v>
      </x:c>
      <x:c r="E15" s="12" t="n">
        <x:v>4213.0000000046075</x:v>
      </x:c>
      <x:c r="F15" s="8" t="n">
        <x:f>C15/'Summary'!$B$20*1000</x:f>
        <x:v>0.7315990346998072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2" t="n">
        <x:v>3298.6111111102264</x:v>
      </x:c>
      <x:c r="D16" s="12" t="n">
        <x:v>3591.999999992887</x:v>
      </x:c>
      <x:c r="E16" s="12" t="n">
        <x:v>3620.999999985161</x:v>
      </x:c>
      <x:c r="F16" s="8" t="n">
        <x:f>C16/'Summary'!$B$20*1000</x:f>
        <x:v>0.9215168718678565</x:v>
      </x:c>
      <x:c r="G16" s="8" t="n">
        <x:f>D16/'Summary'!$B$20*1000</x:f>
        <x:v>1.0034794925033452</x:v>
      </x:c>
      <x:c r="H16" s="8" t="n">
        <x:f>E16/'Summary'!$B$20*1000</x:f>
        <x:v>1.0115810808315473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2" t="n">
        <x:v>2439.166666664833</x:v>
      </x:c>
      <x:c r="D17" s="12" t="n">
        <x:v>3733.999999999786</x:v>
      </x:c>
      <x:c r="E17" s="12" t="n">
        <x:v>3733.999999999786</x:v>
      </x:c>
      <x:c r="F17" s="8" t="n">
        <x:f>C17/'Summary'!$B$20*1000</x:f>
        <x:v>0.6814180759467566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2" t="n">
        <x:v>2656.0000000054465</x:v>
      </x:c>
      <x:c r="D18" s="12" t="n">
        <x:v>2656.0000000054465</x:v>
      </x:c>
      <x:c r="E18" s="12" t="n">
        <x:v>2656.0000000054465</x:v>
      </x:c>
      <x:c r="F18" s="8" t="n">
        <x:f>C18/'Summary'!$B$20*1000</x:f>
        <x:v>0.7419937450166003</x:v>
      </x:c>
      <x:c r="G18" s="8" t="n">
        <x:f>D18/'Summary'!$B$20*1000</x:f>
        <x:v>0.7419937450166003</x:v>
      </x:c>
      <x:c r="H18" s="8" t="n">
        <x:f>E18/'Summary'!$B$20*1000</x:f>
        <x:v>0.7419937450166003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2" t="n">
        <x:v>2661.3293172689255</x:v>
      </x:c>
      <x:c r="D19" s="12" t="n">
        <x:v>3598.000000003567</x:v>
      </x:c>
      <x:c r="E19" s="12" t="n">
        <x:v>6524.999999991192</x:v>
      </x:c>
      <x:c r="F19" s="8" t="n">
        <x:f>C19/'Summary'!$B$20*1000</x:f>
        <x:v>0.7434825703459309</x:v>
      </x:c>
      <x:c r="G19" s="8" t="n">
        <x:f>D19/'Summary'!$B$20*1000</x:f>
        <x:v>1.005155683195369</x:v>
      </x:c>
      <x:c r="H19" s="8" t="n">
        <x:f>E19/'Summary'!$B$20*1000</x:f>
        <x:v>1.8228573743286347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2" t="n">
        <x:v>2182.1968911920085</x:v>
      </x:c>
      <x:c r="D20" s="12" t="n">
        <x:v>3455.0000000118443</x:v>
      </x:c>
      <x:c r="E20" s="12" t="n">
        <x:v>6502.000000009599</x:v>
      </x:c>
      <x:c r="F20" s="8" t="n">
        <x:f>C20/'Summary'!$B$20*1000</x:f>
        <x:v>0.6096296851113782</x:v>
      </x:c>
      <x:c r="G20" s="8" t="n">
        <x:f>D20/'Summary'!$B$20*1000</x:f>
        <x:v>0.9652064717755593</x:v>
      </x:c>
      <x:c r="H20" s="8" t="n">
        <x:f>E20/'Summary'!$B$20*1000</x:f>
        <x:v>1.8164319766924564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2" t="n">
        <x:v>2999.516129031912</x:v>
      </x:c>
      <x:c r="D21" s="12" t="n">
        <x:v>3795.000000015108</x:v>
      </x:c>
      <x:c r="E21" s="12" t="n">
        <x:v>7141.000000002492</x:v>
      </x:c>
      <x:c r="F21" s="8" t="n">
        <x:f>C21/'Summary'!$B$20*1000</x:f>
        <x:v>0.8379601678514761</x:v>
      </x:c>
      <x:c r="G21" s="8" t="n">
        <x:f>D21/'Summary'!$B$20*1000</x:f>
        <x:v>1.060190610822076</x:v>
      </x:c>
      <x:c r="H21" s="8" t="n">
        <x:f>E21/'Summary'!$B$20*1000</x:f>
        <x:v>1.9949462850732402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GameSession_CompletionWait (minimum)</x:v>
      </x:c>
      <x:c r="B22" s="2" t="n">
        <x:v>244</x:v>
      </x:c>
      <x:c r="C22" s="12" t="n">
        <x:v>75.93442622937128</x:v>
      </x:c>
      <x:c r="D22" s="12" t="n">
        <x:v>75.0000000063304</x:v>
      </x:c>
      <x:c r="E22" s="12" t="n">
        <x:v>132.00000000605468</x:v>
      </x:c>
      <x:c r="F22" s="8" t="n">
        <x:f>C22/'Summary'!$B$20*1000</x:f>
        <x:v>0.021213429703878923</x:v>
      </x:c>
      <x:c r="G22" s="8" t="n">
        <x:f>D22/'Summary'!$B$20*1000</x:f>
        <x:v>0.020952383614769584</x:v>
      </x:c>
      <x:c r="H22" s="8" t="n">
        <x:f>E22/'Summary'!$B$20*1000</x:f>
        <x:v>0.03687619516057339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 t="str">
        <x:v>GameSession_CompletionWait (music_wait)</x:v>
      </x:c>
      <x:c r="B23" s="2" t="n">
        <x:v>183</x:v>
      </x:c>
      <x:c r="C23" s="12" t="n">
        <x:v>102.99999999849227</x:v>
      </x:c>
      <x:c r="D23" s="12" t="n">
        <x:v>103.00000001378059</x:v>
      </x:c>
      <x:c r="E23" s="12" t="n">
        <x:v>103.00000001378059</x:v>
      </x:c>
      <x:c r="F23" s="8" t="n">
        <x:f>C23/'Summary'!$B$20*1000</x:f>
        <x:v>0.028774606828100294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3" t="str">
        <x:v>n.a.</x:v>
      </x:c>
      <x:c r="J23" s="14" t="str">
        <x:v>n.a.</x:v>
      </x:c>
      <x:c r="K23" s="13" t="str">
        <x:v>n.a.</x:v>
      </x:c>
      <x:c r="L23" s="13" t="str">
        <x:v>n.a.</x:v>
      </x:c>
      <x:c r="M23" s="14" t="str">
        <x:v>n.a.</x:v>
      </x:c>
      <x:c r="N23" s="14" t="str">
        <x:v>n.a.</x:v>
      </x:c>
    </x:row>
    <x:row r="24" ht="24" customHeight="1">
      <x:c r="A24" s="2" t="str">
        <x:v>GameSession_CompletionWait (begin_bonus)</x:v>
      </x:c>
      <x:c r="B24" s="2" t="n">
        <x:v>4</x:v>
      </x:c>
      <x:c r="C24" s="12" t="n">
        <x:v>4470.999999999678</x:v>
      </x:c>
      <x:c r="D24" s="12" t="n">
        <x:v>4476.999999991283</x:v>
      </x:c>
      <x:c r="E24" s="12" t="n">
        <x:v>4476.999999991283</x:v>
      </x:c>
      <x:c r="F24" s="8" t="n">
        <x:f>C24/'Summary'!$B$20*1000</x:f>
        <x:v>1.2490414284496152</x:v>
      </x:c>
      <x:c r="G24" s="8" t="n">
        <x:f>D24/'Summary'!$B$20*1000</x:f>
        <x:v>1.25071761913631</x:v>
      </x:c>
      <x:c r="H24" s="8" t="n">
        <x:f>E24/'Summary'!$B$20*1000</x:f>
        <x:v>1.25071761913631</x:v>
      </x:c>
      <x:c r="I24" s="13" t="str">
        <x:v>n.a.</x:v>
      </x:c>
      <x:c r="J24" s="14" t="str">
        <x:v>n.a.</x:v>
      </x:c>
      <x:c r="K24" s="13" t="str">
        <x:v>n.a.</x:v>
      </x:c>
      <x:c r="L24" s="13" t="str">
        <x:v>n.a.</x:v>
      </x:c>
      <x:c r="M24" s="14" t="str">
        <x:v>n.a.</x:v>
      </x:c>
      <x:c r="N24" s="14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2" t="n">
        <x:v>281.0833333346974</x:v>
      </x:c>
      <x:c r="D25" s="12" t="n">
        <x:v>339.99999999054654</x:v>
      </x:c>
      <x:c r="E25" s="12" t="n">
        <x:v>340.0000000032636</x:v>
      </x:c>
      <x:c r="F25" s="8" t="n">
        <x:f>C25/'Summary'!$B$20*1000</x:f>
        <x:v>0.07852487769666183</x:v>
      </x:c>
      <x:c r="G25" s="8" t="n">
        <x:f>D25/'Summary'!$B$20*1000</x:f>
        <x:v>0.09498413904296399</x:v>
      </x:c>
      <x:c r="H25" s="8" t="n">
        <x:f>E25/'Summary'!$B$20*1000</x:f>
        <x:v>0.0949841390465167</x:v>
      </x:c>
      <x:c r="I25" s="13" t="str">
        <x:v>n.a.</x:v>
      </x:c>
      <x:c r="J25" s="14" t="str">
        <x:v>n.a.</x:v>
      </x:c>
      <x:c r="K25" s="13" t="str">
        <x:v>n.a.</x:v>
      </x:c>
      <x:c r="L25" s="13" t="str">
        <x:v>n.a.</x:v>
      </x:c>
      <x:c r="M25" s="14" t="str">
        <x:v>n.a.</x:v>
      </x:c>
      <x:c r="N25" s="14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2" t="n">
        <x:v>70.99999999963423</x:v>
      </x:c>
      <x:c r="D26" s="12" t="n">
        <x:v>71.00000000344936</x:v>
      </x:c>
      <x:c r="E26" s="12" t="n">
        <x:v>71.00000000344936</x:v>
      </x:c>
      <x:c r="F26" s="8" t="n">
        <x:f>C26/'Summary'!$B$20*1000</x:f>
        <x:v>0.019834923153538853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3" t="str">
        <x:v>n.a.</x:v>
      </x:c>
      <x:c r="J26" s="14" t="str">
        <x:v>n.a.</x:v>
      </x:c>
      <x:c r="K26" s="13" t="str">
        <x:v>n.a.</x:v>
      </x:c>
      <x:c r="L26" s="13" t="str">
        <x:v>n.a.</x:v>
      </x:c>
      <x:c r="M26" s="14" t="str">
        <x:v>n.a.</x:v>
      </x:c>
      <x:c r="N26" s="14" t="str">
        <x:v>n.a.</x:v>
      </x:c>
    </x:row>
    <x:row r="27" ht="24" customHeight="1">
      <x:c r="A27" s="2" t="str">
        <x:v>UI_MSXLogo_Draw</x:v>
      </x:c>
      <x:c r="B27" s="2" t="n">
        <x:v>1</x:v>
      </x:c>
      <x:c r="C27" s="12" t="n">
        <x:v>23039.000000001444</x:v>
      </x:c>
      <x:c r="D27" s="12" t="n">
        <x:v>23039.000000001444</x:v>
      </x:c>
      <x:c r="E27" s="12" t="n">
        <x:v>23039.000000001444</x:v>
      </x:c>
      <x:c r="F27" s="8" t="n">
        <x:f>C27/'Summary'!$B$20*1000</x:f>
        <x:v>6.4362928807995</x:v>
      </x:c>
      <x:c r="G27" s="8" t="n">
        <x:f>D27/'Summary'!$B$20*1000</x:f>
        <x:v>6.4362928807995</x:v>
      </x:c>
      <x:c r="H27" s="8" t="n">
        <x:f>E27/'Summary'!$B$20*1000</x:f>
        <x:v>6.4362928807995</x:v>
      </x:c>
      <x:c r="I27" s="13" t="str">
        <x:v>n.a.</x:v>
      </x:c>
      <x:c r="J27" s="14" t="str">
        <x:v>n.a.</x:v>
      </x:c>
      <x:c r="K27" s="13" t="str">
        <x:v>n.a.</x:v>
      </x:c>
      <x:c r="L27" s="13" t="str">
        <x:v>n.a.</x:v>
      </x:c>
      <x:c r="M27" s="14" t="str">
        <x:v>n.a.</x:v>
      </x:c>
      <x:c r="N27" s="14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2" t="n">
        <x:v>419.68315018316144</x:v>
      </x:c>
      <x:c r="D28" s="12" t="n">
        <x:v>53.000000009560324</x:v>
      </x:c>
      <x:c r="E28" s="12" t="n">
        <x:v>10596.000000001619</x:v>
      </x:c>
      <x:c r="F28" s="8" t="n">
        <x:f>C28/'Summary'!$B$20*1000</x:f>
        <x:v>0.11724483144733798</x:v>
      </x:c>
      <x:c r="G28" s="8" t="n">
        <x:f>D28/'Summary'!$B$20*1000</x:f>
        <x:v>0.014806351089191594</x:v>
      </x:c>
      <x:c r="H28" s="8" t="n">
        <x:f>E28/'Summary'!$B$20*1000</x:f>
        <x:v>2.960152756845247</x:v>
      </x:c>
      <x:c r="I28" s="13" t="str">
        <x:v>n.a.</x:v>
      </x:c>
      <x:c r="J28" s="14" t="str">
        <x:v>n.a.</x:v>
      </x:c>
      <x:c r="K28" s="13" t="str">
        <x:v>n.a.</x:v>
      </x:c>
      <x:c r="L28" s="13" t="str">
        <x:v>n.a.</x:v>
      </x:c>
      <x:c r="M28" s="14" t="str">
        <x:v>n.a.</x:v>
      </x:c>
      <x:c r="N28" s="14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2" t="n">
        <x:v>5472.50000000056</x:v>
      </x:c>
      <x:c r="D29" s="12" t="n">
        <x:v>5699.999999997861</x:v>
      </x:c>
      <x:c r="E29" s="12" t="n">
        <x:v>5700.000000010578</x:v>
      </x:c>
      <x:c r="F29" s="8" t="n">
        <x:f>C29/'Summary'!$B$20*1000</x:f>
        <x:v>1.5288255909621364</x:v>
      </x:c>
      <x:c r="G29" s="8" t="n">
        <x:f>D29/'Summary'!$B$20*1000</x:f>
        <x:v>1.5923811545874855</x:v>
      </x:c>
      <x:c r="H29" s="8" t="n">
        <x:f>E29/'Summary'!$B$20*1000</x:f>
        <x:v>1.5923811545910382</x:v>
      </x:c>
      <x:c r="I29" s="13" t="str">
        <x:v>n.a.</x:v>
      </x:c>
      <x:c r="J29" s="14" t="str">
        <x:v>n.a.</x:v>
      </x:c>
      <x:c r="K29" s="13" t="str">
        <x:v>n.a.</x:v>
      </x:c>
      <x:c r="L29" s="13" t="str">
        <x:v>n.a.</x:v>
      </x:c>
      <x:c r="M29" s="14" t="str">
        <x:v>n.a.</x:v>
      </x:c>
      <x:c r="N29" s="14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2" t="n">
        <x:v>285.6292134829708</x:v>
      </x:c>
      <x:c r="D30" s="12" t="n">
        <x:v>325.00000000199753</x:v>
      </x:c>
      <x:c r="E30" s="12" t="n">
        <x:v>325.00000000199753</x:v>
      </x:c>
      <x:c r="F30" s="8" t="n">
        <x:f>C30/'Summary'!$B$20*1000</x:f>
        <x:v>0.07979483802633316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3" t="str">
        <x:v>n.a.</x:v>
      </x:c>
      <x:c r="J30" s="14" t="str">
        <x:v>n.a.</x:v>
      </x:c>
      <x:c r="K30" s="13" t="str">
        <x:v>n.a.</x:v>
      </x:c>
      <x:c r="L30" s="13" t="str">
        <x:v>n.a.</x:v>
      </x:c>
      <x:c r="M30" s="14" t="str">
        <x:v>n.a.</x:v>
      </x:c>
      <x:c r="N30" s="14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2" t="n">
        <x:v>37.999999999816175</x:v>
      </x:c>
      <x:c r="D31" s="12" t="n">
        <x:v>38.00000000829424</x:v>
      </x:c>
      <x:c r="E31" s="12" t="n">
        <x:v>38.00000000829424</x:v>
      </x:c>
      <x:c r="F31" s="8" t="n">
        <x:f>C31/'Summary'!$B$20*1000</x:f>
        <x:v>0.0106158743638692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3" t="str">
        <x:v>n.a.</x:v>
      </x:c>
      <x:c r="J31" s="14" t="str">
        <x:v>n.a.</x:v>
      </x:c>
      <x:c r="K31" s="13" t="str">
        <x:v>n.a.</x:v>
      </x:c>
      <x:c r="L31" s="13" t="str">
        <x:v>n.a.</x:v>
      </x:c>
      <x:c r="M31" s="14" t="str">
        <x:v>n.a.</x:v>
      </x:c>
      <x:c r="N31" s="14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/Users/sandersouza/Developer/msx-gamePorts/newrallyx/references/experiments/full-session-64k/session-start-mho7ycpl/cold-hooks.tsv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661c41bd7332fee8b06bef03a20555a44863435fc13747e8150f738c32cc13a5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2" t="n">
        <x:v>1859.5379802147925</x:v>
      </x:c>
      <x:c r="C46" s="12" t="n">
        <x:v>1593.569353647582</x:v>
      </x:c>
      <x:c r="D46" s="15" t="n">
        <x:f>C46/B46</x:f>
        <x:v>0.8569705865666218</x:v>
      </x:c>
      <x:c r="E46" s="15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2" t="n">
        <x:v>1864.2795080726773</x:v>
      </x:c>
      <x:c r="C47" s="12" t="n">
        <x:v>1583.8741024187566</x:v>
      </x:c>
      <x:c r="D47" s="15" t="n">
        <x:f>C47/B47</x:f>
        <x:v>0.8495904694335195</x:v>
      </x:c>
      <x:c r="E47" s="15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2" t="n">
        <x:v>1848.802028607675</x:v>
      </x:c>
      <x:c r="C48" s="12" t="n">
        <x:v>1540.4137141910608</x:v>
      </x:c>
      <x:c r="D48" s="15" t="n">
        <x:f>C48/B48</x:f>
        <x:v>0.8331955992882265</x:v>
      </x:c>
      <x:c r="E48" s="15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2" t="n">
        <x:v>467.3932640588231</x:v>
      </x:c>
      <x:c r="C51" s="12" t="n">
        <x:v>2221.6631944433875</x:v>
      </x:c>
      <x:c r="D51" s="16" t="n">
        <x:f>C51/B51</x:f>
        <x:v>4.753305974396292</x:v>
      </x:c>
      <x:c r="E51" s="17" t="n">
        <x:f>20*LOG10(D51)</x:f>
        <x:v>13.53991542208252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2" t="n">
        <x:v>457.35800657544866</x:v>
      </x:c>
      <x:c r="C52" s="12" t="n">
        <x:v>2363.069028599581</x:v>
      </x:c>
      <x:c r="D52" s="16" t="n">
        <x:f>C52/B52</x:f>
        <x:v>5.166781809054773</x:v>
      </x:c>
      <x:c r="E52" s="17" t="n">
        <x:f>20*LOG10(D52)</x:f>
        <x:v>14.264402437321959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19" t="n">
        <x:v>2.625</x:v>
      </x:c>
      <x:c r="C60" s="19" t="n">
        <x:v>2</x:v>
      </x:c>
      <x:c r="D60" s="20" t="n">
        <x:f>B60/C60</x:f>
        <x:v>1.3125</x:v>
      </x:c>
      <x:c r="E60" s="18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19" t="n">
        <x:v>2.6875</x:v>
      </x:c>
      <x:c r="C61" s="19" t="n">
        <x:v>2</x:v>
      </x:c>
      <x:c r="D61" s="20" t="n">
        <x:f>B61/C61</x:f>
        <x:v>1.34375</x:v>
      </x:c>
      <x:c r="E61" s="18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19" t="n">
        <x:v>2.75</x:v>
      </x:c>
      <x:c r="C62" s="19" t="n">
        <x:v>2</x:v>
      </x:c>
      <x:c r="D62" s="20" t="n">
        <x:f>B62/C62</x:f>
        <x:v>1.375</x:v>
      </x:c>
      <x:c r="E62" s="18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19" t="n">
        <x:v>2.75</x:v>
      </x:c>
      <x:c r="C63" s="19" t="n">
        <x:v>2</x:v>
      </x:c>
      <x:c r="D63" s="20" t="n">
        <x:f>B63/C63</x:f>
        <x:v>1.375</x:v>
      </x:c>
      <x:c r="E63" s="18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1933.420168066726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1337.6428571419806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12.510949017263368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44783505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Assembly module contracts</x:v>
      </x:c>
      <x:c r="B22" s="2" t="n">
        <x:v>20</x:v>
      </x:c>
      <x:c r="C22" s="2" t="str">
        <x:v>contracts</x:v>
      </x:c>
      <x:c r="D22" s="2" t="str">
        <x:v>Frozen128 KiB ROM/symbol gate; functional64 KiB adapter is validated separately.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661c41bd7332fee8b06bef03a20555a44863435fc13747e8150f738c32cc13a5</x:v>
      </x:c>
      <x:c r="E26" s="2" t="n">
        <x:v>0</x:v>
      </x:c>
      <x:c r="F26" s="2" t="str">
        <x:v>/Users/sandersouza/Developer/msx-gamePorts/newrallyx/references/experiments/full-session-64k/session-start-uofka15e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cc39cb6b5eec55b8db183dadb4f1afaa308d9e6e27a2e578497504c3357518d7</x:v>
      </x:c>
      <x:c r="E27" s="2" t="n">
        <x:v>1</x:v>
      </x:c>
      <x:c r="F27" s="2" t="str">
        <x:v>/Users/sandersouza/Developer/msx-gamePorts/newrallyx/references/experiments/full-session-test-64k/session-start-4vg8a36w</x:v>
      </x:c>
    </x:row>
    <x:row r="28" ht="24" customHeight="1">
      <x:c r="A28" s="2" t="str">
        <x:v>classic</x:v>
      </x:c>
      <x:c r="B28" s="21" t="b">
        <x:v>1</x:v>
      </x:c>
      <x:c r="C28" s="2" t="str">
        <x:v>controls</x:v>
      </x:c>
      <x:c r="D28" s="2" t="str">
        <x:v>3b38e56f107378f922344e0f8d6416303178088e7b328fc89093a6571fd6a7b5</x:v>
      </x:c>
      <x:c r="E28" s="2" t="n">
        <x:v>0</x:v>
      </x:c>
      <x:c r="F28" s="2" t="str">
        <x:v>/Users/sandersouza/Developer/msx-gamePorts/newrallyx/references/experiments/full-session-hud-classic-64k/session-start-uwc401ne</x:v>
      </x:c>
    </x:row>
    <x:row r="29" ht="24" customHeight="1">
      <x:c r="A29" s="2" t="str">
        <x:v>classic</x:v>
      </x:c>
      <x:c r="B29" s="21" t="b">
        <x:v>1</x:v>
      </x:c>
      <x:c r="C29" s="2" t="str">
        <x:v>start</x:v>
      </x:c>
      <x:c r="D29" s="2" t="str">
        <x:v>3b38e56f107378f922344e0f8d6416303178088e7b328fc89093a6571fd6a7b5</x:v>
      </x:c>
      <x:c r="E29" s="2" t="n">
        <x:v>0</x:v>
      </x:c>
      <x:c r="F29" s="2" t="str">
        <x:v>/Users/sandersouza/Developer/msx-gamePorts/newrallyx/references/experiments/full-session-hud-classic-64k/session-start-zkrn0j7g</x:v>
      </x:c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852094135781096.4</x:v>
      </x:c>
      <x:c r="D32" s="22" t="n">
        <x:f>C32/B32</x:f>
        <x:v>2.9290042127640867</x:v>
      </x:c>
      <x:c r="E32" s="22" t="n">
        <x:f>10*LOG10(D32)</x:f>
        <x:v>4.66719996324439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673586976110587.5</x:v>
      </x:c>
      <x:c r="D33" s="22" t="n">
        <x:f>C33/B33</x:f>
        <x:v>2.0675470514370566</x:v>
      </x:c>
      <x:c r="E33" s="22" t="n">
        <x:f>10*LOG10(D33)</x:f>
        <x:v>3.15455401633032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/Users/sandersouza/Developer/msx-gamePorts/newrallyx/references/experiments/full-session-64k/boot-proof-a1_vx4vl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3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3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200</x:v>
      </x:c>
      <x:c r="C43" s="2" t="str">
        <x:v>y px</x:v>
      </x:c>
      <x:c r="D43" s="23" t="str">
        <x:v>Supplied artwork on the full screen grid: 56x8 at100,200;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3" t="str">
        <x:v>Uniform3:1 sample of black label; exact8px top/right margins.</x:v>
      </x:c>
      <x:c r="E44" s="2"/>
      <x:c r="F44" s="2"/>
    </x:row>
    <x:row r="45" ht="42" customHeight="1">
      <x:c r="A45" s="2" t="str">
        <x:v>Optional logo include</x:v>
      </x:c>
      <x:c r="B45" s="21" t="b">
        <x:v>1</x:v>
      </x:c>
      <x:c r="C45" s="2" t="str">
        <x:v>selected RAM profile</x:v>
      </x:c>
      <x:c r="D45" s="23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3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3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3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12.144560272332683</x:v>
      </x:c>
      <x:c r="C58" s="2" t="str">
        <x:v>ms max</x:v>
      </x:c>
      <x:c r="D58" s="23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0.0008380953457343132</x:v>
      </x:c>
      <x:c r="C59" s="2" t="str">
        <x:v>ms max</x:v>
      </x:c>
      <x:c r="D59" s="23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1" t="b">
        <x:v>1</x:v>
      </x:c>
      <x:c r="C60" s="2" t="str">
        <x:v>16000 refreshes</x:v>
      </x:c>
      <x:c r="D60" s="23" t="str">
        <x:v>Current route: 3373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3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3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3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3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3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3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3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3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 + pause</x:v>
      </x:c>
      <x:c r="B16" s="8" t="n">
        <x:v>2.040153986051301</x:v>
      </x:c>
      <x:c r="C16" s="8" t="n">
        <x:v>0.28001715301805064</x:v>
      </x:c>
      <x:c r="D16" s="21" t="b">
        <x:v>1</x:v>
      </x:c>
      <x:c r="E16" s="23" t="str">
        <x:v>/Users/sandersouza/Developer/msx-gamePorts/newrallyx/references/experiments/full-session-64k/session-start-_9u29lqc</x:v>
      </x:c>
    </x:row>
    <x:row r="17" ht="48" customHeight="1">
      <x:c r="A17" s="2" t="str">
        <x:v>S</x:v>
      </x:c>
      <x:c r="B17" s="8" t="n">
        <x:v>1.7401267479526084</x:v>
      </x:c>
      <x:c r="C17" s="8" t="n">
        <x:v>0</x:v>
      </x:c>
      <x:c r="D17" s="21" t="b">
        <x:v>1</x:v>
      </x:c>
      <x:c r="E17" s="23" t="str">
        <x:v>/Users/sandersouza/Developer/msx-gamePorts/newrallyx/references/experiments/full-session-64k/session-start-7855bney</x:v>
      </x:c>
    </x:row>
    <x:row r="18" ht="48" customHeight="1">
      <x:c r="A18" s="2" t="str">
        <x:v>ordinary</x:v>
      </x:c>
      <x:c r="B18" s="8" t="n">
        <x:v>1.760123982237964</x:v>
      </x:c>
      <x:c r="C18" s="8" t="n">
        <x:v>0</x:v>
      </x:c>
      <x:c r="D18" s="21" t="b">
        <x:v>1</x:v>
      </x:c>
      <x:c r="E18" s="23" t="str">
        <x:v>/Users/sandersouza/Developer/msx-gamePorts/newrallyx/references/experiments/full-session-64k/session-start-0_l4pi03</x:v>
      </x:c>
    </x:row>
    <x:row r="19" ht="48" customHeight="1">
      <x:c r="A19" s="2" t="str">
        <x:v>L</x:v>
      </x:c>
      <x:c r="B19" s="8" t="n">
        <x:v>1.76011727747521</x:v>
      </x:c>
      <x:c r="C19" s="8" t="n">
        <x:v>0</x:v>
      </x:c>
      <x:c r="D19" s="21" t="b">
        <x:v>1</x:v>
      </x:c>
      <x:c r="E19" s="23" t="str">
        <x:v>/Users/sandersouza/Developer/msx-gamePorts/newrallyx/references/experiments/full-session-64k/session-start-nyfnn1du</x:v>
      </x:c>
    </x:row>
    <x:row r="20" ht="48" customHeight="1">
      <x:c r="A20" s="2"/>
      <x:c r="B20" s="8"/>
      <x:c r="C20" s="8"/>
      <x:c r="D20" s="2"/>
      <x:c r="E20" s="2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661c41bd7332fee8b06bef03a20555a44863435fc13747e8150f738c32cc13a5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4" hidden="0" customWidth="1"/>
    <x:col min="4" max="4" width="14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7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RAM profiles: retained before / after / mapper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Same scripted inputs and native populations; trajectories and active/death partitions differ. No matched-frame speedup claim.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7" t="str">
        <x:v>Profile</x:v>
      </x:c>
      <x:c r="B5" s="7" t="str">
        <x:v>Native enemies</x:v>
      </x:c>
      <x:c r="C5" s="7" t="str">
        <x:v>Active frames</x:v>
      </x:c>
      <x:c r="D5" s="7" t="str">
        <x:v>Presented FPS</x:v>
      </x:c>
      <x:c r="E5" s="7" t="str">
        <x:v>Late frames</x:v>
      </x:c>
      <x:c r="F5" s="7" t="str">
        <x:v>Mean work ms</x:v>
      </x:c>
      <x:c r="G5" s="7" t="str">
        <x:v>P95 work ms</x:v>
      </x:c>
      <x:c r="H5" s="7" t="str">
        <x:v>Max work ms</x:v>
      </x:c>
      <x:c r="I5" s="7" t="str">
        <x:v>ROM bytes</x:v>
      </x:c>
      <x:c r="J5" s="7" t="str">
        <x:v>Measured ROM SHA256</x:v>
      </x:c>
    </x:row>
    <x:row r="6" ht="24" customHeight="1">
      <x:c r="A6" s="2" t="str">
        <x:v>64 KiB before</x:v>
      </x:c>
      <x:c r="B6" s="2" t="n">
        <x:v>3</x:v>
      </x:c>
      <x:c r="C6" s="2" t="n">
        <x:v>238</x:v>
      </x:c>
      <x:c r="D6" s="19" t="n">
        <x:v>29.10252671856848</x:v>
      </x:c>
      <x:c r="E6" s="2" t="n">
        <x:v>14</x:v>
      </x:c>
      <x:c r="F6" s="8" t="n">
        <x:f>84939.85714285827/3579545*1000</x:f>
        <x:v>23.72923294520903</x:v>
      </x:c>
      <x:c r="G6" s="8" t="n">
        <x:f>121446.0000000149/3579545*1000</x:f>
        <x:v>33.927775736864575</x:v>
      </x:c>
      <x:c r="H6" s="8" t="n">
        <x:f>151219.9999999851/3579545*1000</x:f>
        <x:v>42.245592666102844</x:v>
      </x:c>
      <x:c r="I6" s="10" t="n">
        <x:v>2048000</x:v>
      </x:c>
      <x:c r="J6" s="2" t="str">
        <x:v>428a775d5edf04dc2b197eb928069c0c11ee6fe64f6017969489fe59fd692235</x:v>
      </x:c>
    </x:row>
    <x:row r="7" ht="24" customHeight="1">
      <x:c r="A7" s="2" t="str">
        <x:v>64 KiB current</x:v>
      </x:c>
      <x:c r="B7" s="2" t="n">
        <x:v>3</x:v>
      </x:c>
      <x:c r="C7" s="2" t="n">
        <x:v>238</x:v>
      </x:c>
      <x:c r="D7" s="19" t="n">
        <x:v>29.46772117911465</x:v>
      </x:c>
      <x:c r="E7" s="2" t="n">
        <x:v>8</x:v>
      </x:c>
      <x:c r="F7" s="8" t="n">
        <x:f>83783.00000000095/3579545*1000</x:f>
        <x:v>23.406047416641208</x:v>
      </x:c>
      <x:c r="G7" s="8" t="n">
        <x:f>115844.0000000298/3579545*1000</x:f>
        <x:v>32.36277236353498</x:v>
      </x:c>
      <x:c r="H7" s="8" t="n">
        <x:f>149316/3579545*1000</x:f>
        <x:v>41.713681487451616</x:v>
      </x:c>
      <x:c r="I7" s="10" t="n">
        <x:v>2048000</x:v>
      </x:c>
      <x:c r="J7" s="2" t="str">
        <x:v>661c41bd7332fee8b06bef03a20555a44863435fc13747e8150f738c32cc13a5</x:v>
      </x:c>
    </x:row>
    <x:row r="8" ht="24" customHeight="1">
      <x:c r="A8" s="2" t="str">
        <x:v>MAPPER=1</x:v>
      </x:c>
      <x:c r="B8" s="2" t="n">
        <x:v>3</x:v>
      </x:c>
      <x:c r="C8" s="2" t="n">
        <x:v>238</x:v>
      </x:c>
      <x:c r="D8" s="19" t="n">
        <x:v>29.903148853906842</x:v>
      </x:c>
      <x:c r="E8" s="2" t="n">
        <x:v>1</x:v>
      </x:c>
      <x:c r="F8" s="8" t="n">
        <x:f>81013.56302520927/3579545*1000</x:f>
        <x:v>22.632363338136344</x:v>
      </x:c>
      <x:c r="G8" s="8" t="n">
        <x:f>109982.9999999851/3579545*1000</x:f>
        <x:v>30.72541342544516</x:v>
      </x:c>
      <x:c r="H8" s="8" t="n">
        <x:f>127374.9999999851/3579545*1000</x:f>
        <x:v>35.58413150274269</x:v>
      </x:c>
      <x:c r="I8" s="10" t="n">
        <x:v>2048000</x:v>
      </x:c>
      <x:c r="J8" s="2" t="str">
        <x:v>b80c7b72ace0ee0e9686127a156249d3cceaa3292ddea767ad1497950badbfb1</x:v>
      </x:c>
    </x:row>
    <x:row r="9" ht="24" customHeight="1">
      <x:c r="A9" s="2" t="str">
        <x:v>64 KiB before</x:v>
      </x:c>
      <x:c r="B9" s="2" t="n">
        <x:v>5</x:v>
      </x:c>
      <x:c r="C9" s="2" t="n">
        <x:v>236</x:v>
      </x:c>
      <x:c r="D9" s="19" t="n">
        <x:v>27.67724676382278</x:v>
      </x:c>
      <x:c r="E9" s="2" t="n">
        <x:v>39</x:v>
      </x:c>
      <x:c r="F9" s="8" t="n">
        <x:f>99123.16101694877/3579545*1000</x:f>
        <x:v>27.69155326080515</x:v>
      </x:c>
      <x:c r="G9" s="8" t="n">
        <x:f>144601/3579545*1000</x:f>
        <x:v>40.39647497098095</x:v>
      </x:c>
      <x:c r="H9" s="8" t="n">
        <x:f>176219/3579545*1000</x:f>
        <x:v>49.229441171992534</x:v>
      </x:c>
      <x:c r="I9" s="10" t="n">
        <x:v>2048000</x:v>
      </x:c>
      <x:c r="J9" s="2" t="str">
        <x:v>428a775d5edf04dc2b197eb928069c0c11ee6fe64f6017969489fe59fd692235</x:v>
      </x:c>
    </x:row>
    <x:row r="10" ht="24" customHeight="1">
      <x:c r="A10" s="2" t="str">
        <x:v>64 KiB current</x:v>
      </x:c>
      <x:c r="B10" s="2" t="n">
        <x:v>5</x:v>
      </x:c>
      <x:c r="C10" s="2" t="n">
        <x:v>236</x:v>
      </x:c>
      <x:c r="D10" s="19" t="n">
        <x:v>27.84071025113807</x:v>
      </x:c>
      <x:c r="E10" s="2" t="n">
        <x:v>36</x:v>
      </x:c>
      <x:c r="F10" s="8" t="n">
        <x:f>98015.96610169517/3579545*1000</x:f>
        <x:v>27.38224162615505</x:v>
      </x:c>
      <x:c r="G10" s="8" t="n">
        <x:f>141104.9999999702/3579545*1000</x:f>
        <x:v>39.41981452949194</x:v>
      </x:c>
      <x:c r="H10" s="8" t="n">
        <x:f>173073/3579545*1000</x:f>
        <x:v>48.35055852070584</x:v>
      </x:c>
      <x:c r="I10" s="10" t="n">
        <x:v>2048000</x:v>
      </x:c>
      <x:c r="J10" s="2" t="str">
        <x:v>661c41bd7332fee8b06bef03a20555a44863435fc13747e8150f738c32cc13a5</x:v>
      </x:c>
    </x:row>
    <x:row r="11" ht="24" customHeight="1">
      <x:c r="A11" s="2" t="str">
        <x:v>MAPPER=1</x:v>
      </x:c>
      <x:c r="B11" s="2" t="n">
        <x:v>5</x:v>
      </x:c>
      <x:c r="C11" s="2" t="n">
        <x:v>175</x:v>
      </x:c>
      <x:c r="D11" s="19" t="n">
        <x:v>28.49952709339256</x:v>
      </x:c>
      <x:c r="E11" s="2" t="n">
        <x:v>18</x:v>
      </x:c>
      <x:c r="F11" s="8" t="n">
        <x:f>97408.3828571437/3579545*1000</x:f>
        <x:v>27.212504063266056</x:v>
      </x:c>
      <x:c r="G11" s="8" t="n">
        <x:f>136726.0000000298/3579545*1000</x:f>
        <x:v>38.19647469162416</x:v>
      </x:c>
      <x:c r="H11" s="8" t="n">
        <x:f>176782/3579545*1000</x:f>
        <x:v>49.38672373164746</x:v>
      </x:c>
      <x:c r="I11" s="10" t="n">
        <x:v>2048000</x:v>
      </x:c>
      <x:c r="J11" s="2" t="str">
        <x:v>b80c7b72ace0ee0e9686127a156249d3cceaa3292ddea767ad1497950badbfb1</x:v>
      </x:c>
    </x:row>
    <x:row r="12" ht="24" customHeight="1">
      <x:c r="A12" s="2" t="str">
        <x:v>64 KiB before</x:v>
      </x:c>
      <x:c r="B12" s="2" t="n">
        <x:v>6</x:v>
      </x:c>
      <x:c r="C12" s="2" t="n">
        <x:v>150</x:v>
      </x:c>
      <x:c r="D12" s="19" t="n">
        <x:v>26.592934780536073</x:v>
      </x:c>
      <x:c r="E12" s="2" t="n">
        <x:v>38</x:v>
      </x:c>
      <x:c r="F12" s="8" t="n">
        <x:f>105321.71333333134/3579545*1000</x:f>
        <x:v>29.423212540513205</x:v>
      </x:c>
      <x:c r="G12" s="8" t="n">
        <x:f>159772.9999999702/3579545*1000</x:f>
        <x:v>44.635002493325324</x:v>
      </x:c>
      <x:c r="H12" s="8" t="n">
        <x:f>172666.9999999404/3579545*1000</x:f>
        <x:v>48.23713628406415</x:v>
      </x:c>
      <x:c r="I12" s="10" t="n">
        <x:v>2048000</x:v>
      </x:c>
      <x:c r="J12" s="2" t="str">
        <x:v>428a775d5edf04dc2b197eb928069c0c11ee6fe64f6017969489fe59fd692235</x:v>
      </x:c>
    </x:row>
    <x:row r="13" ht="24" customHeight="1">
      <x:c r="A13" s="2" t="str">
        <x:v>64 KiB current</x:v>
      </x:c>
      <x:c r="B13" s="2" t="n">
        <x:v>6</x:v>
      </x:c>
      <x:c r="C13" s="2" t="n">
        <x:v>152</x:v>
      </x:c>
      <x:c r="D13" s="19" t="n">
        <x:v>26.79271123559763</x:v>
      </x:c>
      <x:c r="E13" s="2" t="n">
        <x:v>36</x:v>
      </x:c>
      <x:c r="F13" s="8" t="n">
        <x:f>103945.8947368425/3579545*1000</x:f>
        <x:v>29.038856820306073</x:v>
      </x:c>
      <x:c r="G13" s="8" t="n">
        <x:f>154961/3579545*1000</x:f>
        <x:v>43.2906975607235</x:v>
      </x:c>
      <x:c r="H13" s="8" t="n">
        <x:f>178813.0000000298/3579545*1000</x:f>
        <x:v>49.95411427989585</x:v>
      </x:c>
      <x:c r="I13" s="10" t="n">
        <x:v>2048000</x:v>
      </x:c>
      <x:c r="J13" s="2" t="str">
        <x:v>661c41bd7332fee8b06bef03a20555a44863435fc13747e8150f738c32cc13a5</x:v>
      </x:c>
    </x:row>
    <x:row r="14" ht="24" customHeight="1">
      <x:c r="A14" s="2" t="str">
        <x:v>MAPPER=1</x:v>
      </x:c>
      <x:c r="B14" s="2" t="n">
        <x:v>6</x:v>
      </x:c>
      <x:c r="C14" s="2" t="n">
        <x:v>156</x:v>
      </x:c>
      <x:c r="D14" s="19" t="n">
        <x:v>27.66051271478841</x:v>
      </x:c>
      <x:c r="E14" s="2" t="n">
        <x:v>26</x:v>
      </x:c>
      <x:c r="F14" s="8" t="n">
        <x:f>101234.69230769403/3579545*1000</x:f>
        <x:v>28.281441442332483</x:v>
      </x:c>
      <x:c r="G14" s="8" t="n">
        <x:f>151450/3579545*1000</x:f>
        <x:v>42.309846642520206</x:v>
      </x:c>
      <x:c r="H14" s="8" t="n">
        <x:f>174410/3579545*1000</x:f>
        <x:v>48.724069679246945</x:v>
      </x:c>
      <x:c r="I14" s="10" t="n">
        <x:v>2048000</x:v>
      </x:c>
      <x:c r="J14" s="2" t="str">
        <x:v>b80c7b72ace0ee0e9686127a156249d3cceaa3292ddea767ad1497950badbfb1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36" customHeight="1">
      <x:c r="A17" s="7" t="str">
        <x:v>Controlled component</x:v>
      </x:c>
      <x:c r="B17" s="7" t="str">
        <x:v>Before cycles</x:v>
      </x:c>
      <x:c r="C17" s="7" t="str">
        <x:v>After cycles</x:v>
      </x:c>
      <x:c r="D17" s="7" t="str">
        <x:v>Saved cycles</x:v>
      </x:c>
      <x:c r="E17" s="7" t="str">
        <x:v>Saved us</x:v>
      </x:c>
      <x:c r="F17" s="7" t="str">
        <x:v>Scope</x:v>
      </x:c>
      <x:c r="G17" s="2"/>
      <x:c r="H17" s="2"/>
      <x:c r="I17" s="2"/>
      <x:c r="J17" s="2"/>
    </x:row>
    <x:row r="18" ht="44" customHeight="1">
      <x:c r="A18" s="2" t="str">
        <x:v>Cache cold path</x:v>
      </x:c>
      <x:c r="B18" s="24" t="n">
        <x:v>11727.93263244623</x:v>
      </x:c>
      <x:c r="C18" s="24" t="n">
        <x:v>10272.461242675561</x:v>
      </x:c>
      <x:c r="D18" s="24" t="n">
        <x:f>B18-C18</x:f>
        <x:v>1455.4713897706697</x:v>
      </x:c>
      <x:c r="E18" s="24" t="n">
        <x:f>D18/3579545*1000000</x:f>
        <x:v>406.6079319496388</x:v>
      </x:c>
      <x:c r="F18" s="23" t="str">
        <x:v>Mean non-overlapping fixture stub; CALL/RET, IRQ and common setup included. Not active-frame cost.</x:v>
      </x:c>
      <x:c r="G18" s="23"/>
      <x:c r="H18" s="23"/>
      <x:c r="I18" s="23"/>
      <x:c r="J18" s="2"/>
    </x:row>
    <x:row r="19" ht="44" customHeight="1">
      <x:c r="A19" s="2" t="str">
        <x:v>Cache reload</x:v>
      </x:c>
      <x:c r="B19" s="24" t="n">
        <x:v>8576.411231994844</x:v>
      </x:c>
      <x:c r="C19" s="24" t="n">
        <x:v>6480.798820495753</x:v>
      </x:c>
      <x:c r="D19" s="24" t="n">
        <x:f>B19-C19</x:f>
        <x:v>2095.6124114990907</x:v>
      </x:c>
      <x:c r="E19" s="24" t="n">
        <x:f>D19/3579545*1000000</x:f>
        <x:v>585.4410019986034</x:v>
      </x:c>
      <x:c r="F19" s="23" t="str">
        <x:v>Mean non-overlapping fixture stub; CALL/RET, IRQ and common setup included. Not active-frame cost.</x:v>
      </x:c>
      <x:c r="G19" s="23"/>
      <x:c r="H19" s="23"/>
      <x:c r="I19" s="23"/>
      <x:c r="J19" s="2"/>
    </x:row>
    <x:row r="20" ht="44" customHeight="1">
      <x:c r="A20" s="2" t="str">
        <x:v>Cache warm path</x:v>
      </x:c>
      <x:c r="B20" s="24" t="n">
        <x:v>4242.7524261473045</x:v>
      </x:c>
      <x:c r="C20" s="24" t="n">
        <x:v>4151.531600952221</x:v>
      </x:c>
      <x:c r="D20" s="24" t="n">
        <x:f>B20-C20</x:f>
        <x:v>91.22082519508331</x:v>
      </x:c>
      <x:c r="E20" s="24" t="n">
        <x:f>D20/3579545*1000000</x:f>
        <x:v>25.483916306425346</x:v>
      </x:c>
      <x:c r="F20" s="23" t="str">
        <x:v>Mean non-overlapping fixture stub; CALL/RET, IRQ and common setup included. Not active-frame cost.</x:v>
      </x:c>
      <x:c r="G20" s="23"/>
      <x:c r="H20" s="23"/>
      <x:c r="I20" s="23"/>
      <x:c r="J20" s="2"/>
    </x:row>
    <x:row r="21" ht="44" customHeight="1">
      <x:c r="A21" s="2" t="str">
        <x:v>Cache cold prewarm</x:v>
      </x:c>
      <x:c r="B21" s="24" t="n">
        <x:v>2730364.999999998</x:v>
      </x:c>
      <x:c r="C21" s="24" t="n">
        <x:v>2730813.000000003</x:v>
      </x:c>
      <x:c r="D21" s="24" t="n">
        <x:f>B21-C21</x:f>
        <x:v>-448.0000000046566</x:v>
      </x:c>
      <x:c r="E21" s="24" t="n">
        <x:f>D21/3579545*1000000</x:f>
        <x:v>-125.15557144962742</x:v>
      </x:c>
      <x:c r="F21" s="23" t="str">
        <x:v>Mean non-overlapping fixture stub; CALL/RET, IRQ and common setup included. Not active-frame cost.</x:v>
      </x:c>
      <x:c r="G21" s="23"/>
      <x:c r="H21" s="23"/>
      <x:c r="I21" s="23"/>
      <x:c r="J21" s="2"/>
    </x:row>
    <x:row r="22" ht="44" customHeight="1">
      <x:c r="A22" s="2" t="str">
        <x:v>Motion snapshot (risk=8)</x:v>
      </x:c>
      <x:c r="B22" s="24" t="n">
        <x:v>1141.000000000003</x:v>
      </x:c>
      <x:c r="C22" s="24" t="n">
        <x:v>919.9999999999944</x:v>
      </x:c>
      <x:c r="D22" s="24" t="n">
        <x:f>B22-C22</x:f>
        <x:v>221.00000000000853</x:v>
      </x:c>
      <x:c r="E22" s="24" t="n">
        <x:f>D22/3579545*1000000</x:f>
        <x:v>61.73969037964561</x:v>
      </x:c>
      <x:c r="F22" s="23" t="str">
        <x:v>Common risk=8 path, actual entry-through-RET, IRQ disabled; exact44 bytes and ABI checked.</x:v>
      </x:c>
      <x:c r="G22" s="23"/>
      <x:c r="H22" s="23"/>
      <x:c r="I22" s="23"/>
      <x:c r="J22" s="2"/>
    </x:row>
    <x:row r="23" ht="44" customHeight="1">
      <x:c r="A23" s="2" t="str">
        <x:v>Motion restore (risk=8)</x:v>
      </x:c>
      <x:c r="B23" s="24" t="n">
        <x:v>1269.000000000004</x:v>
      </x:c>
      <x:c r="C23" s="24" t="n">
        <x:v>1047.9999999999955</x:v>
      </x:c>
      <x:c r="D23" s="24" t="n">
        <x:f>B23-C23</x:f>
        <x:v>221.00000000000864</x:v>
      </x:c>
      <x:c r="E23" s="24" t="n">
        <x:f>D23/3579545*1000000</x:f>
        <x:v>61.73969037964564</x:v>
      </x:c>
      <x:c r="F23" s="23" t="str">
        <x:v>Common risk=8 path, actual entry-through-RET, IRQ disabled; exact44 bytes and ABI checked.</x:v>
      </x:c>
      <x:c r="G23" s="23"/>
      <x:c r="H23" s="23"/>
      <x:c r="I23" s="23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3" t="str">
        <x:v>Emulator workload comparison; timing changes trajectories and active/death partitions. Native population asserted, never overridden; real sprite limits, HUD and audio enabled. Inclusive costs overlap; components are separate synthetic fixtures. No physical hardware, full-course or human-audio acceptance.</x:v>
      </x:c>
      <x:c r="B26" s="23"/>
      <x:c r="C26" s="23"/>
      <x:c r="D26" s="23"/>
      <x:c r="E26" s="23"/>
      <x:c r="F26" s="23"/>
      <x:c r="G26" s="23"/>
      <x:c r="H26" s="23"/>
      <x:c r="I26" s="23"/>
      <x:c r="J26" s="2"/>
    </x:row>
    <x:row r="27" ht="24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"/>
    </x:row>
    <x:row r="28" ht="24" customHeight="1">
      <x:c r="A28" s="2" t="str">
        <x:v>Cold cache prewarm increased448 cycles (0.125 ms); it runs with display disabled, outside active FPS.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36" customHeight="1">
      <x:c r="A31" s="7" t="str">
        <x:v>Evidence</x:v>
      </x:c>
      <x:c r="B31" s="7" t="str">
        <x:v>ROM SHA256</x:v>
      </x:c>
      <x:c r="C31" s="7" t="str"/>
      <x:c r="D31" s="7" t="str"/>
      <x:c r="E31" s="7" t="str"/>
      <x:c r="F31" s="7" t="str">
        <x:v>Retained profile directory</x:v>
      </x:c>
      <x:c r="G31" s="7" t="str"/>
      <x:c r="H31" s="7" t="str"/>
      <x:c r="I31" s="7" t="str"/>
      <x:c r="J31" s="7" t="str"/>
    </x:row>
    <x:row r="32" ht="44" customHeight="1">
      <x:c r="A32" s="2" t="str">
        <x:v>64 KiB before / 3</x:v>
      </x:c>
      <x:c r="B32" s="23" t="str">
        <x:v>428a775d5edf04dc2b197eb928069c0c11ee6fe64f6017969489fe59fd692235</x:v>
      </x:c>
      <x:c r="C32" s="23"/>
      <x:c r="D32" s="23"/>
      <x:c r="E32" s="23"/>
      <x:c r="F32" s="23" t="str">
        <x:v>references/issue36/ram-optimization/baseline-64/profile-_x4pjvu7</x:v>
      </x:c>
      <x:c r="G32" s="23"/>
      <x:c r="H32" s="23"/>
      <x:c r="I32" s="23"/>
      <x:c r="J32" s="23"/>
    </x:row>
    <x:row r="33" ht="44" customHeight="1">
      <x:c r="A33" s="2" t="str">
        <x:v>64 KiB current / 3</x:v>
      </x:c>
      <x:c r="B33" s="23" t="str">
        <x:v>661c41bd7332fee8b06bef03a20555a44863435fc13747e8150f738c32cc13a5</x:v>
      </x:c>
      <x:c r="C33" s="23"/>
      <x:c r="D33" s="23"/>
      <x:c r="E33" s="23"/>
      <x:c r="F33" s="23" t="str">
        <x:v>references/experiments/full-session-64k/profile-2z1fn1ll</x:v>
      </x:c>
      <x:c r="G33" s="23"/>
      <x:c r="H33" s="23"/>
      <x:c r="I33" s="23"/>
      <x:c r="J33" s="23"/>
    </x:row>
    <x:row r="34" ht="44" customHeight="1">
      <x:c r="A34" s="2" t="str">
        <x:v>MAPPER=1 / 3</x:v>
      </x:c>
      <x:c r="B34" s="23" t="str">
        <x:v>b80c7b72ace0ee0e9686127a156249d3cceaa3292ddea767ad1497950badbfb1</x:v>
      </x:c>
      <x:c r="C34" s="23"/>
      <x:c r="D34" s="23"/>
      <x:c r="E34" s="23"/>
      <x:c r="F34" s="23" t="str">
        <x:v>references/experiments/full-session/profile-nm3wv4sc</x:v>
      </x:c>
      <x:c r="G34" s="23"/>
      <x:c r="H34" s="23"/>
      <x:c r="I34" s="23"/>
      <x:c r="J34" s="23"/>
    </x:row>
    <x:row r="35" ht="44" customHeight="1">
      <x:c r="A35" s="2" t="str">
        <x:v>64 KiB before / 5</x:v>
      </x:c>
      <x:c r="B35" s="23" t="str">
        <x:v>428a775d5edf04dc2b197eb928069c0c11ee6fe64f6017969489fe59fd692235</x:v>
      </x:c>
      <x:c r="C35" s="23"/>
      <x:c r="D35" s="23"/>
      <x:c r="E35" s="23"/>
      <x:c r="F35" s="23" t="str">
        <x:v>references/issue36/ram-optimization/baseline-64/profile-1qeexxzy</x:v>
      </x:c>
      <x:c r="G35" s="23"/>
      <x:c r="H35" s="23"/>
      <x:c r="I35" s="23"/>
      <x:c r="J35" s="23"/>
    </x:row>
    <x:row r="36" ht="44" customHeight="1">
      <x:c r="A36" s="2" t="str">
        <x:v>64 KiB current / 5</x:v>
      </x:c>
      <x:c r="B36" s="23" t="str">
        <x:v>661c41bd7332fee8b06bef03a20555a44863435fc13747e8150f738c32cc13a5</x:v>
      </x:c>
      <x:c r="C36" s="23"/>
      <x:c r="D36" s="23"/>
      <x:c r="E36" s="23"/>
      <x:c r="F36" s="23" t="str">
        <x:v>references/experiments/full-session-64k/profile-16m3vzer</x:v>
      </x:c>
      <x:c r="G36" s="23"/>
      <x:c r="H36" s="23"/>
      <x:c r="I36" s="23"/>
      <x:c r="J36" s="23"/>
    </x:row>
    <x:row r="37" ht="44" customHeight="1">
      <x:c r="A37" s="2" t="str">
        <x:v>MAPPER=1 / 5</x:v>
      </x:c>
      <x:c r="B37" s="23" t="str">
        <x:v>b80c7b72ace0ee0e9686127a156249d3cceaa3292ddea767ad1497950badbfb1</x:v>
      </x:c>
      <x:c r="C37" s="23"/>
      <x:c r="D37" s="23"/>
      <x:c r="E37" s="23"/>
      <x:c r="F37" s="23" t="str">
        <x:v>references/experiments/full-session/profile-o55p0vey</x:v>
      </x:c>
      <x:c r="G37" s="23"/>
      <x:c r="H37" s="23"/>
      <x:c r="I37" s="23"/>
      <x:c r="J37" s="23"/>
    </x:row>
    <x:row r="38" ht="44" customHeight="1">
      <x:c r="A38" s="2" t="str">
        <x:v>64 KiB before / 6</x:v>
      </x:c>
      <x:c r="B38" s="23" t="str">
        <x:v>428a775d5edf04dc2b197eb928069c0c11ee6fe64f6017969489fe59fd692235</x:v>
      </x:c>
      <x:c r="C38" s="23"/>
      <x:c r="D38" s="23"/>
      <x:c r="E38" s="23"/>
      <x:c r="F38" s="23" t="str">
        <x:v>references/issue36/ram-optimization/baseline-64/profile-xetd0nsk</x:v>
      </x:c>
      <x:c r="G38" s="23"/>
      <x:c r="H38" s="23"/>
      <x:c r="I38" s="23"/>
      <x:c r="J38" s="23"/>
    </x:row>
    <x:row r="39" ht="44" customHeight="1">
      <x:c r="A39" s="2" t="str">
        <x:v>64 KiB current / 6</x:v>
      </x:c>
      <x:c r="B39" s="23" t="str">
        <x:v>661c41bd7332fee8b06bef03a20555a44863435fc13747e8150f738c32cc13a5</x:v>
      </x:c>
      <x:c r="C39" s="23"/>
      <x:c r="D39" s="23"/>
      <x:c r="E39" s="23"/>
      <x:c r="F39" s="23" t="str">
        <x:v>references/experiments/full-session-64k/profile-l8fd8uh3</x:v>
      </x:c>
      <x:c r="G39" s="23"/>
      <x:c r="H39" s="23"/>
      <x:c r="I39" s="23"/>
      <x:c r="J39" s="23"/>
    </x:row>
    <x:row r="40" ht="44" customHeight="1">
      <x:c r="A40" s="2" t="str">
        <x:v>MAPPER=1 / 6</x:v>
      </x:c>
      <x:c r="B40" s="23" t="str">
        <x:v>b80c7b72ace0ee0e9686127a156249d3cceaa3292ddea767ad1497950badbfb1</x:v>
      </x:c>
      <x:c r="C40" s="23"/>
      <x:c r="D40" s="23"/>
      <x:c r="E40" s="23"/>
      <x:c r="F40" s="23" t="str">
        <x:v>references/experiments/full-session/profile-eqexxlfc</x:v>
      </x:c>
      <x:c r="G40" s="23"/>
      <x:c r="H40" s="23"/>
      <x:c r="I40" s="23"/>
      <x:c r="J40" s="23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</x:sheetData>
  <x:mergeCells>
    <x:mergeCell ref="F18:I18"/>
    <x:mergeCell ref="F19:I19"/>
    <x:mergeCell ref="F20:I20"/>
    <x:mergeCell ref="F21:I21"/>
    <x:mergeCell ref="F22:I22"/>
    <x:mergeCell ref="F23:I23"/>
    <x:mergeCell ref="A26:I27"/>
    <x:mergeCell ref="B32:E32"/>
    <x:mergeCell ref="F32:J32"/>
    <x:mergeCell ref="B33:E33"/>
    <x:mergeCell ref="F33:J33"/>
    <x:mergeCell ref="B34:E34"/>
    <x:mergeCell ref="F34:J34"/>
    <x:mergeCell ref="B35:E35"/>
    <x:mergeCell ref="F35:J35"/>
    <x:mergeCell ref="B36:E36"/>
    <x:mergeCell ref="F36:J36"/>
    <x:mergeCell ref="B37:E37"/>
    <x:mergeCell ref="F37:J37"/>
    <x:mergeCell ref="B38:E38"/>
    <x:mergeCell ref="F38:J38"/>
    <x:mergeCell ref="B39:E39"/>
    <x:mergeCell ref="F39:J39"/>
    <x:mergeCell ref="B40:E40"/>
    <x:mergeCell ref="F40:J40"/>
  </x:mergeCells>
  <x:pageMargins left="0.7" right="0.7" top="0.75" bottom="0.75" header="0.3" footer="0.3"/>
</x:worksheet>
</file>