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9da32c848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8c0db889846d4e04"/>
    <x:sheet xmlns:r="http://schemas.openxmlformats.org/officeDocument/2006/relationships" name="Routines" sheetId="2" r:id="Recf625c301a84582"/>
    <x:sheet xmlns:r="http://schemas.openxmlformats.org/officeDocument/2006/relationships" name="Frames" sheetId="3" r:id="Rf3ecbed84f26488f"/>
    <x:sheet xmlns:r="http://schemas.openxmlformats.org/officeDocument/2006/relationships" name="Sources" sheetId="4" r:id="R7279121ba629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00"/>
    <x:numFmt numFmtId="203" formatCode="0.0%"/>
    <x:numFmt numFmtId="204" formatCode="0"/>
  </x:numFmts>
  <x:fonts count="7">
    <x:font>
      <x:sz val="11"/>
      <x:name val="Carlito"/>
    </x:font>
    <x:font>
      <x:sz val="11"/>
      <x:color rgb="FF183153"/>
      <x:name val="Arial"/>
    </x:font>
    <x:font>
      <x:b/>
      <x:sz val="18"/>
      <x:color rgb="FF183153"/>
      <x:name val="Arial"/>
    </x:font>
    <x:font>
      <x:b/>
      <x:sz val="10"/>
      <x:color rgb="FFFFFFFF"/>
      <x:name val="Arial"/>
    </x:font>
    <x:font>
      <x:sz val="11"/>
      <x:color rgb="FF2563EB"/>
      <x:name val="Arial"/>
    </x:font>
    <x:font>
      <x:sz val="10"/>
      <x:color rgb="FF526477"/>
      <x:name val="Arial"/>
    </x:font>
    <x:font>
      <x:sz val="9"/>
      <x:color rgb="FF52647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dbeedf96145cd" /><Relationship Type="http://schemas.openxmlformats.org/officeDocument/2006/relationships/theme" Target="/xl/theme/theme1.xml" Id="R16c9a76efd3b4b28" /><Relationship Type="http://schemas.openxmlformats.org/officeDocument/2006/relationships/sharedStrings" Target="/xl/sharedStrings.xml" Id="Rbb029e0a34db4e44" /><Relationship Type="http://schemas.openxmlformats.org/officeDocument/2006/relationships/worksheet" Target="/xl/worksheets/sheet1.xml" Id="R8c0db889846d4e04" /><Relationship Type="http://schemas.openxmlformats.org/officeDocument/2006/relationships/worksheet" Target="/xl/worksheets/sheet2.xml" Id="Recf625c301a84582" /><Relationship Type="http://schemas.openxmlformats.org/officeDocument/2006/relationships/worksheet" Target="/xl/worksheets/sheet3.xml" Id="Rf3ecbed84f26488f" /><Relationship Type="http://schemas.openxmlformats.org/officeDocument/2006/relationships/worksheet" Target="/xl/worksheets/sheet4.xml" Id="R7279121ba6294036" /></Relationships>
</file>

<file path=xl/tables/table1.xml><?xml version="1.0" encoding="utf-8"?>
<x:table xmlns:x="http://schemas.openxmlformats.org/spreadsheetml/2006/main" id="1" name="RoutineCosts" displayName="RoutineCosts" ref="A5:L24" headerRowCount="1" totalsRowCount="0" totalsRowShown="0">
  <x:tableColumns count="12">
    <x:tableColumn id="1" name="Routine / hook"/>
    <x:tableColumn id="2" name="Purpose"/>
    <x:tableColumn id="3" name="Calls"/>
    <x:tableColumn id="4" name="Calls/frame"/>
    <x:tableColumn id="5" name="Min incl."/>
    <x:tableColumn id="6" name="Mean incl."/>
    <x:tableColumn id="7" name="P95 incl."/>
    <x:tableColumn id="8" name="Max incl."/>
    <x:tableColumn id="9" name="Mean self"/>
    <x:tableColumn id="10" name="Self / frame"/>
    <x:tableColumn id="11" name="Mean incl. ms"/>
    <x:tableColumn id="12" name="Self/frame % refres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ameCosts" displayName="FrameCosts" ref="A5:U121" headerRowCount="1" totalsRowCount="0" totalsRowShown="0">
  <x:tableColumns count="21">
    <x:tableColumn id="1" name="Frame"/>
    <x:tableColumn id="2" name="Camera X"/>
    <x:tableColumn id="3" name="Camera Y"/>
    <x:tableColumn id="4" name="Input ticks"/>
    <x:tableColumn id="5" name="Total cycles"/>
    <x:tableColumn id="6" name="Input cycles"/>
    <x:tableColumn id="7" name="Render cycles"/>
    <x:tableColumn id="8" name="Wait cycles"/>
    <x:tableColumn id="9" name="Commit cycles"/>
    <x:tableColumn id="10" name="Loop overhead"/>
    <x:tableColumn id="11" name="Work cycles"/>
    <x:tableColumn id="12" name="Work ms"/>
    <x:tableColumn id="13" name="Interval ms"/>
    <x:tableColumn id="14" name="60 Hz margin cycles"/>
    <x:tableColumn id="15" name="Movement command"/>
    <x:tableColumn id="16" name="Delta X"/>
    <x:tableColumn id="17" name="Delta Y"/>
    <x:tableColumn id="18" name="Fine X"/>
    <x:tableColumn id="19" name="Fine Y"/>
    <x:tableColumn id="20" name="Camera tile crossing"/>
    <x:tableColumn id="21" name="Name strip cal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3e46f972ad45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79dac0ab4a405b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20" hidden="0" customWidth="1"/>
    <x:col min="5" max="5" width="3" hidden="0" customWidth="1"/>
    <x:col min="6" max="6" width="91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First-stage integration fixture cycle budget</x:v>
      </x:c>
      <x:c r="B2" s="1"/>
      <x:c r="C2" s="1"/>
      <x:c r="D2" s="1"/>
      <x:c r="E2" s="1"/>
      <x:c r="F2" s="1"/>
    </x:row>
    <x:row r="3" ht="23" customHeight="1">
      <x:c r="A3" s="1" t="str">
        <x:v>116 presentations; 60 Hz refresh; SYNTHETIC EFFECTS, graphics decision pending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36" customHeight="1">
      <x:c r="A5" s="7" t="str">
        <x:v>Measured result</x:v>
      </x:c>
      <x:c r="B5" s="7" t="str">
        <x:v>Mean</x:v>
      </x:c>
      <x:c r="C5" s="7" t="str">
        <x:v>Maximum</x:v>
      </x:c>
      <x:c r="D5" s="7" t="str">
        <x:v>Unit</x:v>
      </x:c>
      <x:c r="E5" s="1"/>
      <x:c r="F5" s="1"/>
    </x:row>
    <x:row r="6" ht="23" customHeight="1">
      <x:c r="A6" s="1" t="str">
        <x:v>Active work per presentation</x:v>
      </x:c>
      <x:c r="B6" s="8" t="n">
        <x:f>AVERAGE(Frames!L6:L121)</x:f>
        <x:v>25.041624197951048</x:v>
      </x:c>
      <x:c r="C6" s="8" t="n">
        <x:f>MAX(Frames!L6:L121)</x:f>
        <x:v>50.38349846139767</x:v>
      </x:c>
      <x:c r="D6" s="1" t="str">
        <x:v>ms</x:v>
      </x:c>
      <x:c r="E6" s="1"/>
      <x:c r="F6" s="16" t="str">
        <x:v>Active work excludes wait_blank, which contains HALT and its wake-up ISR.</x:v>
      </x:c>
    </x:row>
    <x:row r="7" ht="23" customHeight="1">
      <x:c r="A7" s="1" t="str">
        <x:v>Presentation interval</x:v>
      </x:c>
      <x:c r="B7" s="8" t="n">
        <x:f>AVERAGE(Frames!M6:M121)</x:f>
        <x:v>34.239479772063135</x:v>
      </x:c>
      <x:c r="C7" s="8" t="n">
        <x:f>MAX(Frames!M6:M121)</x:f>
        <x:v>66.75150053987413</x:v>
      </x:c>
      <x:c r="D7" s="1" t="str">
        <x:v>ms</x:v>
      </x:c>
      <x:c r="E7" s="1"/>
      <x:c r="F7" s="16" t="str">
        <x:v>Cadence varies with work; average FPS is not stable FPS. Inspect tails and event intervals.</x:v>
      </x:c>
    </x:row>
    <x:row r="8" ht="23" customHeight="1">
      <x:c r="A8" s="1" t="str">
        <x:v>Presented frames / second</x:v>
      </x:c>
      <x:c r="B8" s="8" t="n">
        <x:f>1000/B7</x:f>
        <x:v>29.206051220904516</x:v>
      </x:c>
      <x:c r="C8" s="8" t="n">
        <x:f>1000/MIN(Frames!M6:M121)</x:f>
        <x:v>59.93377982419422</x:v>
      </x:c>
      <x:c r="D8" s="1" t="str">
        <x:v>FPS</x:v>
      </x:c>
      <x:c r="E8" s="1"/>
      <x:c r="F8" s="16"/>
    </x:row>
    <x:row r="9" ht="23" customHeight="1">
      <x:c r="A9" s="1" t="str">
        <x:v>Atomic VDP commit</x:v>
      </x:c>
      <x:c r="B9" s="9" t="n">
        <x:f>AVERAGE(Frames!I6:I121)</x:f>
        <x:v>4324.543103447891</x:v>
      </x:c>
      <x:c r="C9" s="9" t="n">
        <x:f>MAX(Frames!I6:I121)</x:f>
        <x:v>7043</x:v>
      </x:c>
      <x:c r="D9" s="1" t="str">
        <x:v>cycles</x:v>
      </x:c>
      <x:c r="E9" s="1"/>
      <x:c r="F9" s="16" t="str">
        <x:v>Commit costs do not include VRAM preparation, which runs on back buffers.</x:v>
      </x:c>
    </x:row>
    <x:row r="10" ht="23" customHeight="1">
      <x:c r="A10" s="1" t="str">
        <x:v>Drawing work over 60 Hz budget</x:v>
      </x:c>
      <x:c r="B10" s="9" t="n">
        <x:f>COUNTIF(Frames!N6:N121,"&lt;0")</x:f>
        <x:v>96</x:v>
      </x:c>
      <x:c r="C10" s="9"/>
      <x:c r="D10" s="1" t="str">
        <x:v>frames</x:v>
      </x:c>
      <x:c r="E10" s="1"/>
      <x:c r="F10" s="16"/>
    </x:row>
    <x:row r="11" ht="23" customHeight="1">
      <x:c r="A11" s="1"/>
      <x:c r="B11" s="1"/>
      <x:c r="C11" s="1"/>
      <x:c r="D11" s="1"/>
      <x:c r="E11" s="1"/>
      <x:c r="F11" s="16"/>
    </x:row>
    <x:row r="12" ht="23" customHeight="1">
      <x:c r="A12" s="1"/>
      <x:c r="B12" s="1"/>
      <x:c r="C12" s="1"/>
      <x:c r="D12" s="1"/>
      <x:c r="E12" s="1"/>
      <x:c r="F12" s="16"/>
    </x:row>
    <x:row r="13" ht="36" customHeight="1">
      <x:c r="A13" s="7" t="str">
        <x:v>Planning budget</x:v>
      </x:c>
      <x:c r="B13" s="7" t="str">
        <x:v>Cycles</x:v>
      </x:c>
      <x:c r="C13" s="7" t="str">
        <x:v>Time (ms)</x:v>
      </x:c>
      <x:c r="D13" s="7" t="str">
        <x:v>Status</x:v>
      </x:c>
      <x:c r="E13" s="1"/>
      <x:c r="F13" s="16"/>
    </x:row>
    <x:row r="14" ht="23" customHeight="1">
      <x:c r="A14" s="1" t="str">
        <x:v>Current 60 Hz video refresh</x:v>
      </x:c>
      <x:c r="B14" s="9" t="n">
        <x:f>Sources!B5</x:f>
        <x:v>59736</x:v>
      </x:c>
      <x:c r="C14" s="10" t="n">
        <x:f>B14/Sources!B4*1000</x:f>
        <x:v>16.68815450008311</x:v>
      </x:c>
      <x:c r="D14" s="1" t="str">
        <x:v>Current</x:v>
      </x:c>
      <x:c r="E14" s="1"/>
      <x:c r="F14" s="16"/>
    </x:row>
    <x:row r="15" ht="23" customHeight="1">
      <x:c r="A15" s="1" t="str">
        <x:v>60 Hz video drawing interval</x:v>
      </x:c>
      <x:c r="B15" s="9" t="n">
        <x:f>Sources!B6</x:f>
        <x:v>59736</x:v>
      </x:c>
      <x:c r="C15" s="10" t="n">
        <x:f>B15/Sources!B4*1000</x:f>
        <x:v>16.68815450008311</x:v>
      </x:c>
      <x:c r="D15" s="1" t="str">
        <x:v>Planning</x:v>
      </x:c>
      <x:c r="E15" s="1"/>
      <x:c r="F15" s="16" t="str">
        <x:v>This integration fixture selects R9=$80 and nominal 60 Hz refresh.</x:v>
      </x:c>
    </x:row>
    <x:row r="16" ht="23" customHeight="1">
      <x:c r="A16" s="1" t="str">
        <x:v>Two 60 Hz refreshes</x:v>
      </x:c>
      <x:c r="B16" s="9" t="n">
        <x:f>B15*2</x:f>
        <x:v>119472</x:v>
      </x:c>
      <x:c r="C16" s="10" t="n">
        <x:f>B16/Sources!B4*1000</x:f>
        <x:v>33.37630900016622</x:v>
      </x:c>
      <x:c r="D16" s="1" t="str">
        <x:v>Planning</x:v>
      </x:c>
      <x:c r="E16" s="1"/>
      <x:c r="F16" s="16" t="str">
        <x:v>Two refreshes allow near-30 FPS only with a deliberate, bounded scheduler.</x:v>
      </x:c>
    </x:row>
    <x:row r="17" ht="23" customHeight="1">
      <x:c r="A17" s="1" t="str">
        <x:v>VBlank work reserve</x:v>
      </x:c>
      <x:c r="B17" s="9" t="n">
        <x:f>Sources!B7</x:f>
        <x:v>5000</x:v>
      </x:c>
      <x:c r="C17" s="10" t="n">
        <x:f>B17/Sources!B4*1000</x:f>
        <x:v>1.3968255742000728</x:v>
      </x:c>
      <x:c r="D17" s="1" t="str">
        <x:v>Assumption</x:v>
      </x:c>
      <x:c r="E17" s="1"/>
      <x:c r="F17" s="16" t="str">
        <x:v>5,000 cycles is a provisional usable-work reserve, not a measured VBlank length.</x:v>
      </x:c>
    </x:row>
    <x:row r="18" ht="23" customHeight="1">
      <x:c r="A18" s="1" t="str">
        <x:v>Target presentation interval</x:v>
      </x:c>
      <x:c r="B18" s="9" t="n">
        <x:f>Sources!B4/Sources!B8</x:f>
        <x:v>119318.16666666667</x:v>
      </x:c>
      <x:c r="C18" s="10" t="n">
        <x:f>1000/Sources!B8</x:f>
        <x:v>33.333333333333336</x:v>
      </x:c>
      <x:c r="D18" s="1" t="str">
        <x:v>Goal</x:v>
      </x:c>
      <x:c r="E18" s="1"/>
      <x:c r="F18" s="16" t="str">
        <x:v>Approximately 30 FPS is the goal; all quality and pause acceptance belongs to the user.</x:v>
      </x:c>
    </x:row>
    <x:row r="19" ht="23" customHeight="1">
      <x:c r="A19" s="1" t="str">
        <x:v>Current mean work: 60 Hz margin</x:v>
      </x:c>
      <x:c r="B19" s="9" t="n">
        <x:f>B15-AVERAGE(Frames!K6:K121)</x:f>
        <x:v>-29901.620689654665</x:v>
      </x:c>
      <x:c r="C19" s="10" t="n">
        <x:f>B19/Sources!B4*1000</x:f>
        <x:v>-8.353469697867931</x:v>
      </x:c>
      <x:c r="D19" s="1" t="str">
        <x:v>Measured</x:v>
      </x:c>
      <x:c r="E19" s="1"/>
      <x:c r="F19" s="16"/>
    </x:row>
    <x:row r="20" ht="23" customHeight="1">
      <x:c r="A20" s="1"/>
      <x:c r="B20" s="1"/>
      <x:c r="C20" s="1"/>
      <x:c r="D20" s="1"/>
      <x:c r="E20" s="1"/>
      <x:c r="F20" s="16"/>
    </x:row>
    <x:row r="21" ht="23" customHeight="1">
      <x:c r="A21" s="1"/>
      <x:c r="B21" s="1"/>
      <x:c r="C21" s="1"/>
      <x:c r="D21" s="1"/>
      <x:c r="E21" s="1"/>
      <x:c r="F21" s="16"/>
    </x:row>
    <x:row r="22" ht="36" customHeight="1">
      <x:c r="A22" s="7" t="str">
        <x:v>Scheduling candidate</x:v>
      </x:c>
      <x:c r="B22" s="7" t="str">
        <x:v>State</x:v>
      </x:c>
      <x:c r="C22" s="7" t="str">
        <x:v>Budget (cycles)</x:v>
      </x:c>
      <x:c r="D22" s="7" t="str">
        <x:v>Acceptance</x:v>
      </x:c>
      <x:c r="E22" s="1"/>
      <x:c r="F22" s="16"/>
    </x:row>
    <x:row r="23" ht="23" customHeight="1">
      <x:c r="A23" s="1" t="str">
        <x:v>Flag-capture event pause</x:v>
      </x:c>
      <x:c r="B23" s="1" t="str">
        <x:v>Proposed</x:v>
      </x:c>
      <x:c r="C23" s="1" t="str">
        <x:v>Not measured</x:v>
      </x:c>
      <x:c r="D23" s="1" t="str">
        <x:v>User decides</x:v>
      </x:c>
      <x:c r="E23" s="1"/>
      <x:c r="F23" s="16" t="str">
        <x:v>Measure exact pause duration, hook cost and input behavior before gameplay adoption.</x:v>
      </x:c>
    </x:row>
    <x:row r="24" ht="23" customHeight="1">
      <x:c r="A24" s="1" t="str">
        <x:v>Deferred expensive hook</x:v>
      </x:c>
      <x:c r="B24" s="1" t="str">
        <x:v>Proposed</x:v>
      </x:c>
      <x:c r="C24" s="1" t="str">
        <x:v>Not measured</x:v>
      </x:c>
      <x:c r="D24" s="1" t="str">
        <x:v>Measure first</x:v>
      </x:c>
      <x:c r="E24" s="1"/>
      <x:c r="F24" s="16" t="str">
        <x:v>Record whether an operation must finish in VBlank or can prepare an inactive buffer.</x:v>
      </x:c>
    </x:row>
    <x:row r="25" ht="23" customHeight="1">
      <x:c r="A25" s="1" t="str">
        <x:v>Further graphical reduction</x:v>
      </x:c>
      <x:c r="B25" s="1" t="str">
        <x:v>Proposed</x:v>
      </x:c>
      <x:c r="C25" s="1" t="str">
        <x:v>Not measured</x:v>
      </x:c>
      <x:c r="D25" s="1" t="str">
        <x:v>User decides</x:v>
      </x:c>
      <x:c r="E25" s="1"/>
      <x:c r="F25" s="16" t="str">
        <x:v>Only synthetic effect tiles are used; new original-effect reductions await user approval.</x:v>
      </x:c>
    </x:row>
    <x:row r="26" ht="23" customHeight="1">
      <x:c r="A26" s="1"/>
      <x:c r="B26" s="1"/>
      <x:c r="C26" s="1"/>
      <x:c r="D26" s="1"/>
      <x:c r="E26" s="1"/>
      <x:c r="F26" s="1"/>
    </x:row>
    <x:row r="27" ht="23" customHeight="1">
      <x:c r="A27" s="1"/>
      <x:c r="B27" s="1"/>
      <x:c r="C27" s="1"/>
      <x:c r="D27" s="1"/>
      <x:c r="E27" s="1"/>
      <x:c r="F27" s="1"/>
    </x:row>
    <x:row r="28" ht="23" customHeight="1">
      <x:c r="A28" s="1" t="str">
        <x:v>Scope: moving first-stage route, native logic, enemies, HUD and PSG; synthetic effects.</x:v>
      </x:c>
      <x:c r="B28" s="1"/>
      <x:c r="C28" s="1"/>
      <x:c r="D28" s="1"/>
      <x:c r="E28" s="1"/>
      <x:c r="F28" s="16" t="str">
        <x:v>smoke: 20.63 FPS over120 presentations; heavy: 20.68 FPS over120 presentations</x:v>
      </x:c>
    </x:row>
    <x:row r="29" ht="23" customHeight="1">
      <x:c r="A29" s="1" t="str">
        <x:v>116 camera/tick states match a run without routine breakpoints; total duration matches within5.01cycles; per-frame observation jitter &lt;=5 cycles</x:v>
      </x:c>
      <x:c r="B29" s="1"/>
      <x:c r="C29" s="1"/>
      <x:c r="D29" s="1"/>
      <x:c r="E29" s="1"/>
      <x:c r="F29" s="16" t="str">
        <x:v>Separate workload observations; no stable30FPS or accepted event-pause claim.</x:v>
      </x:c>
    </x:row>
    <x:row r="30" ht="23" customHeight="1">
      <x:c r="A30" s="1" t="str">
        <x:v>Routine self costs reconcile with total frame time after loop overhead. See Sources for definitions.</x:v>
      </x:c>
      <x:c r="B30" s="1"/>
      <x:c r="C30" s="1"/>
      <x:c r="D30" s="1"/>
      <x:c r="E30" s="1"/>
      <x:c r="F30" s="1"/>
    </x:row>
    <x:row r="31" ht="23" customHeight="1">
      <x:c r="A31" s="1"/>
      <x:c r="B31" s="1"/>
      <x:c r="C31" s="1"/>
      <x:c r="D31" s="1"/>
      <x:c r="E31" s="1"/>
      <x:c r="F31" s="1"/>
    </x:row>
    <x:row r="32" ht="23" customHeight="1">
      <x:c r="A32" s="1"/>
      <x:c r="B32" s="1"/>
      <x:c r="C32" s="1"/>
      <x:c r="D32" s="1"/>
      <x:c r="E32" s="1"/>
      <x:c r="F32" s="1"/>
    </x:row>
    <x:row r="33" ht="23" customHeight="1">
      <x:c r="A33" s="1"/>
      <x:c r="B33" s="1"/>
      <x:c r="C33" s="1"/>
      <x:c r="D33" s="1"/>
      <x:c r="E33" s="1"/>
      <x:c r="F33" s="1"/>
    </x:row>
  </x:sheetData>
  <x:conditionalFormatting sqref="B19:C1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12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5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Routine and hook costs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Cycles per call include guest timing and waits. Never sum inclusive parents and children.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7" t="str">
        <x:v>Routine / hook</x:v>
      </x:c>
      <x:c r="B5" s="7" t="str">
        <x:v>Purpose</x:v>
      </x:c>
      <x:c r="C5" s="7" t="str">
        <x:v>Calls</x:v>
      </x:c>
      <x:c r="D5" s="7" t="str">
        <x:v>Calls/frame</x:v>
      </x:c>
      <x:c r="E5" s="7" t="str">
        <x:v>Min incl.</x:v>
      </x:c>
      <x:c r="F5" s="7" t="str">
        <x:v>Mean incl.</x:v>
      </x:c>
      <x:c r="G5" s="7" t="str">
        <x:v>P95 incl.</x:v>
      </x:c>
      <x:c r="H5" s="7" t="str">
        <x:v>Max incl.</x:v>
      </x:c>
      <x:c r="I5" s="7" t="str">
        <x:v>Mean self</x:v>
      </x:c>
      <x:c r="J5" s="7" t="str">
        <x:v>Self / frame</x:v>
      </x:c>
      <x:c r="K5" s="7" t="str">
        <x:v>Mean incl. ms</x:v>
      </x:c>
      <x:c r="L5" s="7" t="str">
        <x:v>Self/frame % refresh</x:v>
      </x:c>
    </x:row>
    <x:row r="6" ht="23" customHeight="1">
      <x:c r="A6" s="1" t="str">
        <x:v>Game_Prepare</x:v>
      </x:c>
      <x:c r="B6" s="1" t="str">
        <x:v>Native simulation and foreground actor/HUD preparation</x:v>
      </x:c>
      <x:c r="C6" s="9" t="n">
        <x:v>116</x:v>
      </x:c>
      <x:c r="D6" s="8" t="n">
        <x:v>1</x:v>
      </x:c>
      <x:c r="E6" s="9" t="n">
        <x:v>13134</x:v>
      </x:c>
      <x:c r="F6" s="9" t="n">
        <x:v>29519.568965517465</x:v>
      </x:c>
      <x:c r="G6" s="9" t="n">
        <x:v>47201</x:v>
      </x:c>
      <x:c r="H6" s="9" t="n">
        <x:v>56921</x:v>
      </x:c>
      <x:c r="I6" s="9" t="n">
        <x:v>1080.0000000001605</x:v>
      </x:c>
      <x:c r="J6" s="9" t="n">
        <x:v>1080.0000000001605</x:v>
      </x:c>
      <x:c r="K6" s="10" t="n">
        <x:f>F6/Sources!$B$4*1000</x:f>
        <x:v>8.246737774079516</x:v>
      </x:c>
      <x:c r="L6" s="11" t="n">
        <x:f>J6/Sources!$B$5</x:f>
        <x:v>0.018079550020091078</x:v>
      </x:c>
    </x:row>
    <x:row r="7" ht="23" customHeight="1">
      <x:c r="A7" s="1" t="str">
        <x:v>Game_Frame</x:v>
      </x:c>
      <x:c r="B7" s="1" t="str">
        <x:v>Elapsed60Hz simulation including audio</x:v>
      </x:c>
      <x:c r="C7" s="9" t="n">
        <x:v>116</x:v>
      </x:c>
      <x:c r="D7" s="8" t="n">
        <x:v>1</x:v>
      </x:c>
      <x:c r="E7" s="9" t="n">
        <x:v>2234</x:v>
      </x:c>
      <x:c r="F7" s="9" t="n">
        <x:v>15428.74137931028</x:v>
      </x:c>
      <x:c r="G7" s="9" t="n">
        <x:v>26780</x:v>
      </x:c>
      <x:c r="H7" s="9" t="n">
        <x:v>29339</x:v>
      </x:c>
      <x:c r="I7" s="9" t="n">
        <x:v>2982.4999999999036</x:v>
      </x:c>
      <x:c r="J7" s="9" t="n">
        <x:v>2982.4999999999036</x:v>
      </x:c>
      <x:c r="K7" s="10" t="n">
        <x:f>F7/Sources!$B$4*1000</x:f>
        <x:v>4.310252107267901</x:v>
      </x:c>
      <x:c r="L7" s="11" t="n">
        <x:f>J7/Sources!$B$5</x:f>
        <x:v>0.04992801660639989</x:v>
      </x:c>
    </x:row>
    <x:row r="8" ht="23" customHeight="1">
      <x:c r="A8" s="1" t="str">
        <x:v>Game_LogicTick</x:v>
      </x:c>
      <x:c r="B8" s="1" t="str">
        <x:v>Gameplay flags, fuel, collisions and enemy motion</x:v>
      </x:c>
      <x:c r="C8" s="9" t="n">
        <x:v>239</x:v>
      </x:c>
      <x:c r="D8" s="8" t="n">
        <x:v>2.060344827586207</x:v>
      </x:c>
      <x:c r="E8" s="9" t="n">
        <x:v>210</x:v>
      </x:c>
      <x:c r="F8" s="9" t="n">
        <x:v>5558.075313807672</x:v>
      </x:c>
      <x:c r="G8" s="9" t="n">
        <x:v>10809</x:v>
      </x:c>
      <x:c r="H8" s="9" t="n">
        <x:v>13690.000000003725</x:v>
      </x:c>
      <x:c r="I8" s="9" t="n">
        <x:v>5558.075313807672</x:v>
      </x:c>
      <x:c r="J8" s="9" t="n">
        <x:v>11451.55172413822</x:v>
      </x:c>
      <x:c r="K8" s="10" t="n">
        <x:f>F8/Sources!$B$4*1000</x:f>
        <x:v>1.5527323483313302</x:v>
      </x:c>
      <x:c r="L8" s="11" t="n">
        <x:f>J8/Sources!$B$5</x:f>
        <x:v>0.1917026872260985</x:v>
      </x:c>
    </x:row>
    <x:row r="9" ht="23" customHeight="1">
      <x:c r="A9" s="1" t="str">
        <x:v>Game_Actors</x:v>
      </x:c>
      <x:c r="B9" s="1" t="str">
        <x:v>Native descriptors to sprite actor list</x:v>
      </x:c>
      <x:c r="C9" s="9" t="n">
        <x:v>116</x:v>
      </x:c>
      <x:c r="D9" s="8" t="n">
        <x:v>1</x:v>
      </x:c>
      <x:c r="E9" s="9" t="n">
        <x:v>3683.9999999925494</x:v>
      </x:c>
      <x:c r="F9" s="9" t="n">
        <x:v>3711.2586206894302</x:v>
      </x:c>
      <x:c r="G9" s="9" t="n">
        <x:v>3718.0000000037253</x:v>
      </x:c>
      <x:c r="H9" s="9" t="n">
        <x:v>3718.0000000037253</x:v>
      </x:c>
      <x:c r="I9" s="9" t="n">
        <x:v>3711.2586206894302</x:v>
      </x:c>
      <x:c r="J9" s="9" t="n">
        <x:v>3711.2586206894302</x:v>
      </x:c>
      <x:c r="K9" s="10" t="n">
        <x:f>F9/Sources!$B$4*1000</x:f>
        <x:v>1.0367961907698968</x:v>
      </x:c>
      <x:c r="L9" s="11" t="n">
        <x:f>J9/Sources!$B$5</x:f>
        <x:v>0.062127672102072956</x:v>
      </x:c>
    </x:row>
    <x:row r="10" ht="23" customHeight="1">
      <x:c r="A10" s="1" t="str">
        <x:v>GameSprites_Prepare</x:v>
      </x:c>
      <x:c r="B10" s="1" t="str">
        <x:v>World sprite preparation and dirty pattern upload</x:v>
      </x:c>
      <x:c r="C10" s="9" t="n">
        <x:v>116</x:v>
      </x:c>
      <x:c r="D10" s="8" t="n">
        <x:v>1</x:v>
      </x:c>
      <x:c r="E10" s="9" t="n">
        <x:v>4941.999999992549</x:v>
      </x:c>
      <x:c r="F10" s="9" t="n">
        <x:v>6922.336206896873</x:v>
      </x:c>
      <x:c r="G10" s="9" t="n">
        <x:v>20665.000000003725</x:v>
      </x:c>
      <x:c r="H10" s="9" t="n">
        <x:v>22689.000000003725</x:v>
      </x:c>
      <x:c r="I10" s="9" t="n">
        <x:v>6922.336206896873</x:v>
      </x:c>
      <x:c r="J10" s="9" t="n">
        <x:v>6922.336206896873</x:v>
      </x:c>
      <x:c r="K10" s="10" t="n">
        <x:f>F10/Sources!$B$4*1000</x:f>
        <x:v>1.9338592494009357</x:v>
      </x:c>
      <x:c r="L10" s="11" t="n">
        <x:f>J10/Sources!$B$5</x:f>
        <x:v>0.11588215158190827</x:v>
      </x:c>
    </x:row>
    <x:row r="11" ht="23" customHeight="1">
      <x:c r="A11" s="1" t="str">
        <x:v>GameSprites_Commit</x:v>
      </x:c>
      <x:c r="B11" s="1" t="str">
        <x:v>World sprite publication</x:v>
      </x:c>
      <x:c r="C11" s="9" t="n">
        <x:v>116</x:v>
      </x:c>
      <x:c r="D11" s="8" t="n">
        <x:v>1</x:v>
      </x:c>
      <x:c r="E11" s="9" t="n">
        <x:v>2110.9999999925494</x:v>
      </x:c>
      <x:c r="F11" s="9" t="n">
        <x:v>2144.5862068968727</x:v>
      </x:c>
      <x:c r="G11" s="9" t="n">
        <x:v>2111.0000000074506</x:v>
      </x:c>
      <x:c r="H11" s="9" t="n">
        <x:v>4059.0000000037253</x:v>
      </x:c>
      <x:c r="I11" s="9" t="n">
        <x:v>2144.5862068968727</x:v>
      </x:c>
      <x:c r="J11" s="9" t="n">
        <x:v>2144.5862068968727</x:v>
      </x:c>
      <x:c r="K11" s="10" t="n">
        <x:f>F11/Sources!$B$4*1000</x:f>
        <x:v>0.5991225719740562</x:v>
      </x:c>
      <x:c r="L11" s="11" t="n">
        <x:f>J11/Sources!$B$5</x:f>
        <x:v>0.03590106814813299</x:v>
      </x:c>
    </x:row>
    <x:row r="12" ht="23" customHeight="1">
      <x:c r="A12" s="1" t="str">
        <x:v>GameHUD_Prepare</x:v>
      </x:c>
      <x:c r="B12" s="1" t="str">
        <x:v>HUD numeric/fuel/lives preparation</x:v>
      </x:c>
      <x:c r="C12" s="9" t="n">
        <x:v>116</x:v>
      </x:c>
      <x:c r="D12" s="8" t="n">
        <x:v>1</x:v>
      </x:c>
      <x:c r="E12" s="9" t="n">
        <x:v>1162.9999999925494</x:v>
      </x:c>
      <x:c r="F12" s="9" t="n">
        <x:v>2377.2327586207216</x:v>
      </x:c>
      <x:c r="G12" s="9" t="n">
        <x:v>2174.0000000037253</x:v>
      </x:c>
      <x:c r="H12" s="9" t="n">
        <x:v>17882</x:v>
      </x:c>
      <x:c r="I12" s="9" t="n">
        <x:v>2376.0344827586528</x:v>
      </x:c>
      <x:c r="J12" s="9" t="n">
        <x:v>2376.0344827586528</x:v>
      </x:c>
      <x:c r="K12" s="10" t="n">
        <x:f>F12/Sources!$B$4*1000</x:f>
        <x:v>0.6641159026135225</x:v>
      </x:c>
      <x:c r="L12" s="11" t="n">
        <x:f>J12/Sources!$B$5</x:f>
        <x:v>0.03977558729674991</x:v>
      </x:c>
    </x:row>
    <x:row r="13" ht="23" customHeight="1">
      <x:c r="A13" s="1" t="str">
        <x:v>GameHUD_Commit</x:v>
      </x:c>
      <x:c r="B13" s="1" t="str">
        <x:v>HUD sprite publication</x:v>
      </x:c>
      <x:c r="C13" s="9" t="n">
        <x:v>116</x:v>
      </x:c>
      <x:c r="D13" s="8" t="n">
        <x:v>1</x:v>
      </x:c>
      <x:c r="E13" s="9" t="n">
        <x:v>1598</x:v>
      </x:c>
      <x:c r="F13" s="9" t="n">
        <x:v>1670.9568965517883</x:v>
      </x:c>
      <x:c r="G13" s="9" t="n">
        <x:v>1598</x:v>
      </x:c>
      <x:c r="H13" s="9" t="n">
        <x:v>4419</x:v>
      </x:c>
      <x:c r="I13" s="9" t="n">
        <x:v>1670.9568965517883</x:v>
      </x:c>
      <x:c r="J13" s="9" t="n">
        <x:v>1670.9568965517883</x:v>
      </x:c>
      <x:c r="K13" s="10" t="n">
        <x:f>F13/Sources!$B$4*1000</x:f>
        <x:v>0.46680706529790467</x:v>
      </x:c>
      <x:c r="L13" s="11" t="n">
        <x:f>J13/Sources!$B$5</x:f>
        <x:v>0.027972359993166405</x:v>
      </x:c>
    </x:row>
    <x:row r="14" ht="23" customHeight="1">
      <x:c r="A14" s="1" t="str">
        <x:v>render</x:v>
      </x:c>
      <x:c r="B14" s="1" t="str">
        <x:v>SCREEN4 background preparation</x:v>
      </x:c>
      <x:c r="C14" s="9" t="n">
        <x:v>116</x:v>
      </x:c>
      <x:c r="D14" s="8" t="n">
        <x:v>1</x:v>
      </x:c>
      <x:c r="E14" s="9" t="n">
        <x:v>32705</x:v>
      </x:c>
      <x:c r="F14" s="9" t="n">
        <x:v>55687.508620689594</x:v>
      </x:c>
      <x:c r="G14" s="9" t="n">
        <x:v>112754.99999999627</x:v>
      </x:c>
      <x:c r="H14" s="9" t="n">
        <x:v>127104.00000000373</x:v>
      </x:c>
      <x:c r="I14" s="9" t="n">
        <x:v>10351.120689654756</x:v>
      </x:c>
      <x:c r="J14" s="9" t="n">
        <x:v>10351.120689654756</x:v>
      </x:c>
      <x:c r="K14" s="10" t="n">
        <x:f>F14/Sources!$B$4*1000</x:f>
        <x:v>15.55714724097325</x:v>
      </x:c>
      <x:c r="L14" s="11" t="n">
        <x:f>J14/Sources!$B$5</x:f>
        <x:v>0.1732811150672083</x:v>
      </x:c>
    </x:row>
    <x:row r="15" ht="23" customHeight="1">
      <x:c r="A15" s="1" t="str">
        <x:v>wait_blank</x:v>
      </x:c>
      <x:c r="B15" s="1" t="str">
        <x:v>Synchronization waits including HALT</x:v>
      </x:c>
      <x:c r="C15" s="9" t="n">
        <x:v>116</x:v>
      </x:c>
      <x:c r="D15" s="8" t="n">
        <x:v>1</x:v>
      </x:c>
      <x:c r="E15" s="9" t="n">
        <x:v>1935</x:v>
      </x:c>
      <x:c r="F15" s="9" t="n">
        <x:v>32924.13793103503</x:v>
      </x:c>
      <x:c r="G15" s="9" t="n">
        <x:v>57560</x:v>
      </x:c>
      <x:c r="H15" s="9" t="n">
        <x:v>58959.999999996275</x:v>
      </x:c>
      <x:c r="I15" s="9" t="n">
        <x:v>32785.13793103522</x:v>
      </x:c>
      <x:c r="J15" s="9" t="n">
        <x:v>32785.13793103522</x:v>
      </x:c>
      <x:c r="K15" s="10" t="n">
        <x:f>F15/Sources!$B$4*1000</x:f>
        <x:v>9.197855574112083</x:v>
      </x:c>
      <x:c r="L15" s="11" t="n">
        <x:f>J15/Sources!$B$5</x:f>
        <x:v>0.5488338343885634</x:v>
      </x:c>
    </x:row>
    <x:row r="16" ht="23" customHeight="1">
      <x:c r="A16" s="1" t="str">
        <x:v>commit</x:v>
      </x:c>
      <x:c r="B16" s="1" t="str">
        <x:v>Complete presentation publication</x:v>
      </x:c>
      <x:c r="C16" s="9" t="n">
        <x:v>116</x:v>
      </x:c>
      <x:c r="D16" s="8" t="n">
        <x:v>1</x:v>
      </x:c>
      <x:c r="E16" s="9" t="n">
        <x:v>4213.999999992549</x:v>
      </x:c>
      <x:c r="F16" s="9" t="n">
        <x:v>4324.543103447891</x:v>
      </x:c>
      <x:c r="G16" s="9" t="n">
        <x:v>4222.000000007451</x:v>
      </x:c>
      <x:c r="H16" s="9" t="n">
        <x:v>7043</x:v>
      </x:c>
      <x:c r="I16" s="9" t="n">
        <x:v>508.99999999922926</x:v>
      </x:c>
      <x:c r="J16" s="9" t="n">
        <x:v>508.99999999922926</x:v>
      </x:c>
      <x:c r="K16" s="10" t="n">
        <x:f>F16/Sources!$B$4*1000</x:f>
        <x:v>1.208126480725313</x:v>
      </x:c>
      <x:c r="L16" s="11" t="n">
        <x:f>J16/Sources!$B$5</x:f>
        <x:v>0.008520824963158384</x:v>
      </x:c>
    </x:row>
    <x:row r="17" ht="23" customHeight="1">
      <x:c r="A17" s="1" t="str">
        <x:v>Ring_Prepare</x:v>
      </x:c>
      <x:c r="B17" s="1" t="str">
        <x:v>Incoming world ring cells</x:v>
      </x:c>
      <x:c r="C17" s="9" t="n">
        <x:v>116</x:v>
      </x:c>
      <x:c r="D17" s="8" t="n">
        <x:v>1</x:v>
      </x:c>
      <x:c r="E17" s="9" t="n">
        <x:v>211.9999999962747</x:v>
      </x:c>
      <x:c r="F17" s="9" t="n">
        <x:v>8620.50000000016</x:v>
      </x:c>
      <x:c r="G17" s="9" t="n">
        <x:v>24773</x:v>
      </x:c>
      <x:c r="H17" s="9" t="n">
        <x:v>38958</x:v>
      </x:c>
      <x:c r="I17" s="9" t="n">
        <x:v>8596.534482758845</x:v>
      </x:c>
      <x:c r="J17" s="9" t="n">
        <x:v>8596.534482758845</x:v>
      </x:c>
      <x:c r="K17" s="10" t="n">
        <x:f>F17/Sources!$B$4*1000</x:f>
        <x:v>2.4082669724783905</x:v>
      </x:c>
      <x:c r="L17" s="11" t="n">
        <x:f>J17/Sources!$B$5</x:f>
        <x:v>0.14390877331523444</x:v>
      </x:c>
    </x:row>
    <x:row r="18" ht="23" customHeight="1">
      <x:c r="A18" s="1" t="str">
        <x:v>Game_RingPatch</x:v>
      </x:c>
      <x:c r="B18" s="1" t="str">
        <x:v>Flag/smoke/death terrain overrides</x:v>
      </x:c>
      <x:c r="C18" s="9" t="n">
        <x:v>116</x:v>
      </x:c>
      <x:c r="D18" s="8" t="n">
        <x:v>1</x:v>
      </x:c>
      <x:c r="E18" s="9" t="n">
        <x:v>1361.9999999962747</x:v>
      </x:c>
      <x:c r="F18" s="9" t="n">
        <x:v>2335.120689655044</x:v>
      </x:c>
      <x:c r="G18" s="9" t="n">
        <x:v>6264</x:v>
      </x:c>
      <x:c r="H18" s="9" t="n">
        <x:v>6400</x:v>
      </x:c>
      <x:c r="I18" s="9" t="n">
        <x:v>2335.120689655044</x:v>
      </x:c>
      <x:c r="J18" s="9" t="n">
        <x:v>2335.120689655044</x:v>
      </x:c>
      <x:c r="K18" s="10" t="n">
        <x:f>F18/Sources!$B$4*1000</x:f>
        <x:v>0.6523512596307753</x:v>
      </x:c>
      <x:c r="L18" s="11" t="n">
        <x:f>J18/Sources!$B$5</x:f>
        <x:v>0.03909067714033487</x:v>
      </x:c>
    </x:row>
    <x:row r="19" ht="23" customHeight="1">
      <x:c r="A19" s="1" t="str">
        <x:v>Game_Radar</x:v>
      </x:c>
      <x:c r="B19" s="1" t="str">
        <x:v>Native actor and flag radar</x:v>
      </x:c>
      <x:c r="C19" s="9" t="n">
        <x:v>116</x:v>
      </x:c>
      <x:c r="D19" s="8" t="n">
        <x:v>1</x:v>
      </x:c>
      <x:c r="E19" s="9" t="n">
        <x:v>4941.999999996275</x:v>
      </x:c>
      <x:c r="F19" s="9" t="n">
        <x:v>5916.120689655108</x:v>
      </x:c>
      <x:c r="G19" s="9" t="n">
        <x:v>6143.000000003725</x:v>
      </x:c>
      <x:c r="H19" s="9" t="n">
        <x:v>6200.000000003725</x:v>
      </x:c>
      <x:c r="I19" s="9" t="n">
        <x:v>5880.172413793103</x:v>
      </x:c>
      <x:c r="J19" s="9" t="n">
        <x:v>5880.172413793103</x:v>
      </x:c>
      <x:c r="K19" s="10" t="n">
        <x:f>F19/Sources!$B$4*1000</x:f>
        <x:v>1.6527577358728855</x:v>
      </x:c>
      <x:c r="L19" s="11" t="n">
        <x:f>J19/Sources!$B$5</x:f>
        <x:v>0.09843599192770026</x:v>
      </x:c>
    </x:row>
    <x:row r="20" ht="23" customHeight="1">
      <x:c r="A20" s="1" t="str">
        <x:v>Game_RadarUpload</x:v>
      </x:c>
      <x:c r="B20" s="1" t="str">
        <x:v>Radar pattern/color transfers</x:v>
      </x:c>
      <x:c r="C20" s="9" t="n">
        <x:v>116</x:v>
      </x:c>
      <x:c r="D20" s="8" t="n">
        <x:v>1</x:v>
      </x:c>
      <x:c r="E20" s="9" t="n">
        <x:v>1189.9999999962747</x:v>
      </x:c>
      <x:c r="F20" s="9" t="n">
        <x:v>1534.1120689653887</x:v>
      </x:c>
      <x:c r="G20" s="9" t="n">
        <x:v>1584.0000000037253</x:v>
      </x:c>
      <x:c r="H20" s="9" t="n">
        <x:v>1753</x:v>
      </x:c>
      <x:c r="I20" s="9" t="n">
        <x:v>1532.9137931032876</x:v>
      </x:c>
      <x:c r="J20" s="9" t="n">
        <x:v>1532.9137931032876</x:v>
      </x:c>
      <x:c r="K20" s="10" t="n">
        <x:f>F20/Sources!$B$4*1000</x:f>
        <x:v>0.4285773943239682</x:v>
      </x:c>
      <x:c r="L20" s="11" t="n">
        <x:f>J20/Sources!$B$5</x:f>
        <x:v>0.02566147370267992</x:v>
      </x:c>
    </x:row>
    <x:row r="21" ht="23" customHeight="1">
      <x:c r="A21" s="1" t="str">
        <x:v>Ring_UploadNames</x:v>
      </x:c>
      <x:c r="B21" s="1" t="str">
        <x:v>Terrain name table publication</x:v>
      </x:c>
      <x:c r="C21" s="9" t="n">
        <x:v>116</x:v>
      </x:c>
      <x:c r="D21" s="8" t="n">
        <x:v>1</x:v>
      </x:c>
      <x:c r="E21" s="9" t="n">
        <x:v>16981.99999999255</x:v>
      </x:c>
      <x:c r="F21" s="9" t="n">
        <x:v>22618.55172413806</x:v>
      </x:c>
      <x:c r="G21" s="9" t="n">
        <x:v>42014.999999996275</x:v>
      </x:c>
      <x:c r="H21" s="9" t="n">
        <x:v>44852.999999996275</x:v>
      </x:c>
      <x:c r="I21" s="9" t="n">
        <x:v>22561.034482758587</x:v>
      </x:c>
      <x:c r="J21" s="9" t="n">
        <x:v>22561.034482758587</x:v>
      </x:c>
      <x:c r="K21" s="10" t="n">
        <x:f>F21/Sources!$B$4*1000</x:f>
        <x:v>6.318834299928639</x:v>
      </x:c>
      <x:c r="L21" s="11" t="n">
        <x:f>J21/Sources!$B$5</x:f>
        <x:v>0.37767902910738227</x:v>
      </x:c>
    </x:row>
    <x:row r="22" ht="23" customHeight="1">
      <x:c r="A22" s="1" t="str">
        <x:v>hud_upload</x:v>
      </x:c>
      <x:c r="B22" s="1" t="str">
        <x:v>Static HUD phase transition</x:v>
      </x:c>
      <x:c r="C22" s="9" t="n">
        <x:v>116</x:v>
      </x:c>
      <x:c r="D22" s="8" t="n">
        <x:v>1</x:v>
      </x:c>
      <x:c r="E22" s="9" t="n">
        <x:v>387.9999999962747</x:v>
      </x:c>
      <x:c r="F22" s="9" t="n">
        <x:v>4294.0086206898795</x:v>
      </x:c>
      <x:c r="G22" s="9" t="n">
        <x:v>19686.999999996275</x:v>
      </x:c>
      <x:c r="H22" s="9" t="n">
        <x:v>20156</x:v>
      </x:c>
      <x:c r="I22" s="9" t="n">
        <x:v>4285.620689655461</x:v>
      </x:c>
      <x:c r="J22" s="9" t="n">
        <x:v>4285.620689655461</x:v>
      </x:c>
      <x:c r="K22" s="10" t="n">
        <x:f>F22/Sources!$B$4*1000</x:f>
        <x:v>1.199596211443041</x:v>
      </x:c>
      <x:c r="L22" s="11" t="n">
        <x:f>J22/Sources!$B$5</x:f>
        <x:v>0.07174267928310335</x:v>
      </x:c>
    </x:row>
    <x:row r="23" ht="23" customHeight="1">
      <x:c r="A23" s="1" t="str">
        <x:v>GameAudio_Tick</x:v>
      </x:c>
      <x:c r="B23" s="1" t="str">
        <x:v>30Hz PSG worker invoked at60Hz</x:v>
      </x:c>
      <x:c r="C23" s="9" t="n">
        <x:v>239</x:v>
      </x:c>
      <x:c r="D23" s="8" t="n">
        <x:v>2.060344827586207</x:v>
      </x:c>
      <x:c r="E23" s="9" t="n">
        <x:v>95.99999999254942</x:v>
      </x:c>
      <x:c r="F23" s="9" t="n">
        <x:v>482.77824267769955</x:v>
      </x:c>
      <x:c r="G23" s="9" t="n">
        <x:v>1817</x:v>
      </x:c>
      <x:c r="H23" s="9" t="n">
        <x:v>2010</x:v>
      </x:c>
      <x:c r="I23" s="9" t="n">
        <x:v>482.77824267769955</x:v>
      </x:c>
      <x:c r="J23" s="9" t="n">
        <x:v>994.6896551721569</x:v>
      </x:c>
      <x:c r="K23" s="10" t="n">
        <x:f>F23/Sources!$B$4*1000</x:f>
        <x:v>0.13487139920791597</x:v>
      </x:c>
      <x:c r="L23" s="11" t="n">
        <x:f>J23/Sources!$B$5</x:f>
        <x:v>0.016651427199212483</x:v>
      </x:c>
    </x:row>
    <x:row r="24" ht="23" customHeight="1">
      <x:c r="A24" s="1" t="str">
        <x:v>clock_irq</x:v>
      </x:c>
      <x:c r="B24" s="1" t="str">
        <x:v>VBlank ISR body</x:v>
      </x:c>
      <x:c r="C24" s="9" t="n">
        <x:v>238</x:v>
      </x:c>
      <x:c r="D24" s="8" t="n">
        <x:v>2.0517241379310347</x:v>
      </x:c>
      <x:c r="E24" s="9" t="n">
        <x:v>138.99999999254942</x:v>
      </x:c>
      <x:c r="F24" s="9" t="n">
        <x:v>138.99999999998434</x:v>
      </x:c>
      <x:c r="G24" s="9" t="n">
        <x:v>139.0000000037253</x:v>
      </x:c>
      <x:c r="H24" s="9" t="n">
        <x:v>139.00000000745058</x:v>
      </x:c>
      <x:c r="I24" s="9" t="n">
        <x:v>138.99999999998434</x:v>
      </x:c>
      <x:c r="J24" s="9" t="n">
        <x:v>285.18965517238166</x:v>
      </x:c>
      <x:c r="K24" s="10" t="n">
        <x:f>F24/Sources!$B$4*1000</x:f>
        <x:v>0.03883175096275765</x:v>
      </x:c>
      <x:c r="L24" s="11" t="n">
        <x:f>J24/Sources!$B$5</x:f>
        <x:v>0.0047741672554637345</x:v>
      </x:c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 t="str">
        <x:v>P95 = nearest-rank 95th percentile. ISR entry/vector latency is charged to its interrupted context.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t="str">
        <x:v>Self = inclusive minus tracked child spans; untracked helpers remain in their nearest measured owner.</x:v>
      </x:c>
    </x:row>
  </x:sheetData>
  <x:pageMargins left="0.7" right="0.7" top="0.75" bottom="0.75" header="0.3" footer="0.3"/>
  <x:tableParts count="1">
    <x:tablePart xmlns:r="http://schemas.openxmlformats.org/officeDocument/2006/relationships" r:id="Rbf3e46f972ad45b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31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5" hidden="0" customWidth="1"/>
    <x:col min="21" max="21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3" customHeight="1">
      <x:c r="A2" s="2" t="str">
        <x:v>Per-presentation cycle ledger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3" customHeight="1">
      <x:c r="A3" s="1" t="str">
        <x:v>Software frames 5..120; warmed start. Negative margin exceeds the proposed single-60-Hz draw interval.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6" customHeight="1">
      <x:c r="A5" s="7" t="str">
        <x:v>Frame</x:v>
      </x:c>
      <x:c r="B5" s="7" t="str">
        <x:v>Camera X</x:v>
      </x:c>
      <x:c r="C5" s="7" t="str">
        <x:v>Camera Y</x:v>
      </x:c>
      <x:c r="D5" s="7" t="str">
        <x:v>Input ticks</x:v>
      </x:c>
      <x:c r="E5" s="7" t="str">
        <x:v>Total cycles</x:v>
      </x:c>
      <x:c r="F5" s="7" t="str">
        <x:v>Simulation + actor/HUD preparation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Loop overhead</x:v>
      </x:c>
      <x:c r="K5" s="7" t="str">
        <x:v>Work cycles</x:v>
      </x:c>
      <x:c r="L5" s="7" t="str">
        <x:v>Work ms</x:v>
      </x:c>
      <x:c r="M5" s="7" t="str">
        <x:v>Interval ms</x:v>
      </x:c>
      <x:c r="N5" s="7" t="str">
        <x:v>60 Hz margin cycles</x:v>
      </x:c>
      <x:c r="O5" s="7" t="str">
        <x:v>Movement command</x:v>
      </x:c>
      <x:c r="P5" s="7" t="str">
        <x:v>Delta X</x:v>
      </x:c>
      <x:c r="Q5" s="7" t="str">
        <x:v>Delta Y</x:v>
      </x:c>
      <x:c r="R5" s="7" t="str">
        <x:v>Fine X</x:v>
      </x:c>
      <x:c r="S5" s="7" t="str">
        <x:v>Fine Y</x:v>
      </x:c>
      <x:c r="T5" s="7" t="str">
        <x:v>Camera tile crossing</x:v>
      </x:c>
      <x:c r="U5" s="7" t="str">
        <x:v>Name strip calls</x:v>
      </x:c>
    </x:row>
    <x:row r="6" ht="23" customHeight="1">
      <x:c r="A6" s="9" t="n">
        <x:v>5</x:v>
      </x:c>
      <x:c r="B6" s="9" t="n">
        <x:v>292</x:v>
      </x:c>
      <x:c r="C6" s="9" t="n">
        <x:v>1111</x:v>
      </x:c>
      <x:c r="D6" s="9" t="n">
        <x:v>2</x:v>
      </x:c>
      <x:c r="E6" s="9" t="n">
        <x:v>122301.00000000373</x:v>
      </x:c>
      <x:c r="F6" s="9" t="n">
        <x:v>44962</x:v>
      </x:c>
      <x:c r="G6" s="9" t="n">
        <x:v>51690</x:v>
      </x:c>
      <x:c r="H6" s="9" t="n">
        <x:v>18500</x:v>
      </x:c>
      <x:c r="I6" s="9" t="n">
        <x:v>7043</x:v>
      </x:c>
      <x:c r="J6" s="9" t="n">
        <x:v>106.00000000372529</x:v>
      </x:c>
      <x:c r="K6" s="9" t="n">
        <x:f>F6+G6+I6+J6</x:f>
        <x:v>103801.00000000373</x:v>
      </x:c>
      <x:c r="L6" s="10" t="n">
        <x:f>K6/Sources!$B$4*1000</x:f>
        <x:v>28.998378285509396</x:v>
      </x:c>
      <x:c r="M6" s="10" t="n">
        <x:f>E6/Sources!$B$4*1000</x:f>
        <x:v>34.166632910049664</x:v>
      </x:c>
      <x:c r="N6" s="9" t="n">
        <x:f>Sources!$B$6-K6</x:f>
        <x:v>-44065.000000003725</x:v>
      </x:c>
      <x:c r="O6" s="1" t="str">
        <x:v>continuous</x:v>
      </x:c>
      <x:c r="P6" s="12" t="n">
        <x:v>0</x:v>
      </x:c>
      <x:c r="Q6" s="12" t="n">
        <x:v>-4</x:v>
      </x:c>
      <x:c r="R6" s="12" t="n">
        <x:v>4</x:v>
      </x:c>
      <x:c r="S6" s="12" t="n">
        <x:v>7</x:v>
      </x:c>
      <x:c r="T6" s="1" t="str">
        <x:v>Yes</x:v>
      </x:c>
      <x:c r="U6" s="1" t="n">
        <x:v>0</x:v>
      </x:c>
    </x:row>
    <x:row r="7" ht="23" customHeight="1">
      <x:c r="A7" s="9" t="n">
        <x:v>6</x:v>
      </x:c>
      <x:c r="B7" s="9" t="n">
        <x:v>292</x:v>
      </x:c>
      <x:c r="C7" s="9" t="n">
        <x:v>1107</x:v>
      </x:c>
      <x:c r="D7" s="9" t="n">
        <x:v>2</x:v>
      </x:c>
      <x:c r="E7" s="9" t="n">
        <x:v>116639</x:v>
      </x:c>
      <x:c r="F7" s="9" t="n">
        <x:v>28630</x:v>
      </x:c>
      <x:c r="G7" s="9" t="n">
        <x:v>37139</x:v>
      </x:c>
      <x:c r="H7" s="9" t="n">
        <x:v>46550</x:v>
      </x:c>
      <x:c r="I7" s="9" t="n">
        <x:v>4214</x:v>
      </x:c>
      <x:c r="J7" s="9" t="n">
        <x:v>106</x:v>
      </x:c>
      <x:c r="K7" s="9" t="n">
        <x:f>F7+G7+I7+J7</x:f>
        <x:v>70089</x:v>
      </x:c>
      <x:c r="L7" s="10" t="n">
        <x:f>K7/Sources!$B$4*1000</x:f>
        <x:v>19.58042153402178</x:v>
      </x:c>
      <x:c r="M7" s="10" t="n">
        <x:f>E7/Sources!$B$4*1000</x:f>
        <x:v>32.58486762982446</x:v>
      </x:c>
      <x:c r="N7" s="9" t="n">
        <x:f>Sources!$B$6-K7</x:f>
        <x:v>-10353</x:v>
      </x:c>
      <x:c r="O7" s="1" t="str">
        <x:v>continuous</x:v>
      </x:c>
      <x:c r="P7" s="12" t="n">
        <x:v>0</x:v>
      </x:c>
      <x:c r="Q7" s="12" t="n">
        <x:v>-4</x:v>
      </x:c>
      <x:c r="R7" s="12" t="n">
        <x:v>4</x:v>
      </x:c>
      <x:c r="S7" s="12" t="n">
        <x:v>3</x:v>
      </x:c>
      <x:c r="T7" s="1" t="str">
        <x:v>No</x:v>
      </x:c>
      <x:c r="U7" s="1" t="n">
        <x:v>0</x:v>
      </x:c>
    </x:row>
    <x:row r="8" ht="23" customHeight="1">
      <x:c r="A8" s="9" t="n">
        <x:v>7</x:v>
      </x:c>
      <x:c r="B8" s="9" t="n">
        <x:v>292</x:v>
      </x:c>
      <x:c r="C8" s="9" t="n">
        <x:v>1103</x:v>
      </x:c>
      <x:c r="D8" s="9" t="n">
        <x:v>2</x:v>
      </x:c>
      <x:c r="E8" s="9" t="n">
        <x:v>119480</x:v>
      </x:c>
      <x:c r="F8" s="9" t="n">
        <x:v>28917</x:v>
      </x:c>
      <x:c r="G8" s="9" t="n">
        <x:v>51690</x:v>
      </x:c>
      <x:c r="H8" s="9" t="n">
        <x:v>34545</x:v>
      </x:c>
      <x:c r="I8" s="9" t="n">
        <x:v>4222</x:v>
      </x:c>
      <x:c r="J8" s="9" t="n">
        <x:v>106</x:v>
      </x:c>
      <x:c r="K8" s="9" t="n">
        <x:f>F8+G8+I8+J8</x:f>
        <x:v>84935</x:v>
      </x:c>
      <x:c r="L8" s="10" t="n">
        <x:f>K8/Sources!$B$4*1000</x:f>
        <x:v>23.727876028936638</x:v>
      </x:c>
      <x:c r="M8" s="10" t="n">
        <x:f>E8/Sources!$B$4*1000</x:f>
        <x:v>33.37854392108494</x:v>
      </x:c>
      <x:c r="N8" s="9" t="n">
        <x:f>Sources!$B$6-K8</x:f>
        <x:v>-25199</x:v>
      </x:c>
      <x:c r="O8" s="1" t="str">
        <x:v>continuous</x:v>
      </x:c>
      <x:c r="P8" s="12" t="n">
        <x:v>0</x:v>
      </x:c>
      <x:c r="Q8" s="12" t="n">
        <x:v>-4</x:v>
      </x:c>
      <x:c r="R8" s="12" t="n">
        <x:v>4</x:v>
      </x:c>
      <x:c r="S8" s="12" t="n">
        <x:v>7</x:v>
      </x:c>
      <x:c r="T8" s="1" t="str">
        <x:v>Yes</x:v>
      </x:c>
      <x:c r="U8" s="1" t="n">
        <x:v>0</x:v>
      </x:c>
    </x:row>
    <x:row r="9" ht="23" customHeight="1">
      <x:c r="A9" s="9" t="n">
        <x:v>8</x:v>
      </x:c>
      <x:c r="B9" s="9" t="n">
        <x:v>292</x:v>
      </x:c>
      <x:c r="C9" s="9" t="n">
        <x:v>1099</x:v>
      </x:c>
      <x:c r="D9" s="9" t="n">
        <x:v>2</x:v>
      </x:c>
      <x:c r="E9" s="9" t="n">
        <x:v>119467</x:v>
      </x:c>
      <x:c r="F9" s="9" t="n">
        <x:v>28738</x:v>
      </x:c>
      <x:c r="G9" s="9" t="n">
        <x:v>37138.999999996275</x:v>
      </x:c>
      <x:c r="H9" s="9" t="n">
        <x:v>49270</x:v>
      </x:c>
      <x:c r="I9" s="9" t="n">
        <x:v>4213.999999996275</x:v>
      </x:c>
      <x:c r="J9" s="9" t="n">
        <x:v>106.00000000745058</x:v>
      </x:c>
      <x:c r="K9" s="9" t="n">
        <x:f>F9+G9+I9+J9</x:f>
        <x:v>70197</x:v>
      </x:c>
      <x:c r="L9" s="10" t="n">
        <x:f>K9/Sources!$B$4*1000</x:f>
        <x:v>19.610592966424502</x:v>
      </x:c>
      <x:c r="M9" s="10" t="n">
        <x:f>E9/Sources!$B$4*1000</x:f>
        <x:v>33.37491217459202</x:v>
      </x:c>
      <x:c r="N9" s="9" t="n">
        <x:f>Sources!$B$6-K9</x:f>
        <x:v>-10461</x:v>
      </x:c>
      <x:c r="O9" s="1" t="str">
        <x:v>continuous</x:v>
      </x:c>
      <x:c r="P9" s="12" t="n">
        <x:v>0</x:v>
      </x:c>
      <x:c r="Q9" s="12" t="n">
        <x:v>-4</x:v>
      </x:c>
      <x:c r="R9" s="12" t="n">
        <x:v>4</x:v>
      </x:c>
      <x:c r="S9" s="12" t="n">
        <x:v>3</x:v>
      </x:c>
      <x:c r="T9" s="1" t="str">
        <x:v>No</x:v>
      </x:c>
      <x:c r="U9" s="1" t="n">
        <x:v>0</x:v>
      </x:c>
    </x:row>
    <x:row r="10" ht="23" customHeight="1">
      <x:c r="A10" s="9" t="n">
        <x:v>9</x:v>
      </x:c>
      <x:c r="B10" s="9" t="n">
        <x:v>292</x:v>
      </x:c>
      <x:c r="C10" s="9" t="n">
        <x:v>1095</x:v>
      </x:c>
      <x:c r="D10" s="9" t="n">
        <x:v>2</x:v>
      </x:c>
      <x:c r="E10" s="9" t="n">
        <x:v>119480.99999999627</x:v>
      </x:c>
      <x:c r="F10" s="9" t="n">
        <x:v>28958</x:v>
      </x:c>
      <x:c r="G10" s="9" t="n">
        <x:v>51690</x:v>
      </x:c>
      <x:c r="H10" s="9" t="n">
        <x:v>34505</x:v>
      </x:c>
      <x:c r="I10" s="9" t="n">
        <x:v>4222</x:v>
      </x:c>
      <x:c r="J10" s="9" t="n">
        <x:v>105.99999999627471</x:v>
      </x:c>
      <x:c r="K10" s="9" t="n">
        <x:f>F10+G10+I10+J10</x:f>
        <x:v>84975.99999999627</x:v>
      </x:c>
      <x:c r="L10" s="10" t="n">
        <x:f>K10/Sources!$B$4*1000</x:f>
        <x:v>23.73932999864404</x:v>
      </x:c>
      <x:c r="M10" s="10" t="n">
        <x:f>E10/Sources!$B$4*1000</x:f>
        <x:v>33.37882328619874</x:v>
      </x:c>
      <x:c r="N10" s="9" t="n">
        <x:f>Sources!$B$6-K10</x:f>
        <x:v>-25239.999999996275</x:v>
      </x:c>
      <x:c r="O10" s="1" t="str">
        <x:v>continuous</x:v>
      </x:c>
      <x:c r="P10" s="12" t="n">
        <x:v>0</x:v>
      </x:c>
      <x:c r="Q10" s="12" t="n">
        <x:v>-4</x:v>
      </x:c>
      <x:c r="R10" s="12" t="n">
        <x:v>4</x:v>
      </x:c>
      <x:c r="S10" s="12" t="n">
        <x:v>7</x:v>
      </x:c>
      <x:c r="T10" s="1" t="str">
        <x:v>Yes</x:v>
      </x:c>
      <x:c r="U10" s="1" t="n">
        <x:v>0</x:v>
      </x:c>
    </x:row>
    <x:row r="11" ht="23" customHeight="1">
      <x:c r="A11" s="9" t="n">
        <x:v>10</x:v>
      </x:c>
      <x:c r="B11" s="9" t="n">
        <x:v>292</x:v>
      </x:c>
      <x:c r="C11" s="9" t="n">
        <x:v>1091</x:v>
      </x:c>
      <x:c r="D11" s="9" t="n">
        <x:v>2</x:v>
      </x:c>
      <x:c r="E11" s="9" t="n">
        <x:v>119462.00000000373</x:v>
      </x:c>
      <x:c r="F11" s="9" t="n">
        <x:v>30093.000000003725</x:v>
      </x:c>
      <x:c r="G11" s="9" t="n">
        <x:v>37139</x:v>
      </x:c>
      <x:c r="H11" s="9" t="n">
        <x:v>47910</x:v>
      </x:c>
      <x:c r="I11" s="9" t="n">
        <x:v>4214</x:v>
      </x:c>
      <x:c r="J11" s="9" t="n">
        <x:v>106</x:v>
      </x:c>
      <x:c r="K11" s="9" t="n">
        <x:f>F11+G11+I11+J11</x:f>
        <x:v>71552.00000000373</x:v>
      </x:c>
      <x:c r="L11" s="10" t="n">
        <x:f>K11/Sources!$B$4*1000</x:f>
        <x:v>19.989132697033764</x:v>
      </x:c>
      <x:c r="M11" s="10" t="n">
        <x:f>E11/Sources!$B$4*1000</x:f>
        <x:v>33.37351534901886</x:v>
      </x:c>
      <x:c r="N11" s="9" t="n">
        <x:f>Sources!$B$6-K11</x:f>
        <x:v>-11816.000000003725</x:v>
      </x:c>
      <x:c r="O11" s="1" t="str">
        <x:v>continuous</x:v>
      </x:c>
      <x:c r="P11" s="12" t="n">
        <x:v>0</x:v>
      </x:c>
      <x:c r="Q11" s="12" t="n">
        <x:v>-4</x:v>
      </x:c>
      <x:c r="R11" s="12" t="n">
        <x:v>4</x:v>
      </x:c>
      <x:c r="S11" s="12" t="n">
        <x:v>3</x:v>
      </x:c>
      <x:c r="T11" s="1" t="str">
        <x:v>No</x:v>
      </x:c>
      <x:c r="U11" s="1" t="n">
        <x:v>0</x:v>
      </x:c>
    </x:row>
    <x:row r="12" ht="23" customHeight="1">
      <x:c r="A12" s="9" t="n">
        <x:v>11</x:v>
      </x:c>
      <x:c r="B12" s="9" t="n">
        <x:v>292</x:v>
      </x:c>
      <x:c r="C12" s="9" t="n">
        <x:v>1087</x:v>
      </x:c>
      <x:c r="D12" s="9" t="n">
        <x:v>2</x:v>
      </x:c>
      <x:c r="E12" s="9" t="n">
        <x:v>119478</x:v>
      </x:c>
      <x:c r="F12" s="9" t="n">
        <x:v>27780.000000003725</x:v>
      </x:c>
      <x:c r="G12" s="9" t="n">
        <x:v>51690</x:v>
      </x:c>
      <x:c r="H12" s="9" t="n">
        <x:v>35680.000000003725</x:v>
      </x:c>
      <x:c r="I12" s="9" t="n">
        <x:v>4222</x:v>
      </x:c>
      <x:c r="J12" s="9" t="n">
        <x:v>105.99999999254942</x:v>
      </x:c>
      <x:c r="K12" s="9" t="n">
        <x:f>F12+G12+I12+J12</x:f>
        <x:v>83797.99999999627</x:v>
      </x:c>
      <x:c r="L12" s="10" t="n">
        <x:f>K12/Sources!$B$4*1000</x:f>
        <x:v>23.410237893362503</x:v>
      </x:c>
      <x:c r="M12" s="10" t="n">
        <x:f>E12/Sources!$B$4*1000</x:f>
        <x:v>33.37798519085526</x:v>
      </x:c>
      <x:c r="N12" s="9" t="n">
        <x:f>Sources!$B$6-K12</x:f>
        <x:v>-24061.999999996275</x:v>
      </x:c>
      <x:c r="O12" s="1" t="str">
        <x:v>continuous</x:v>
      </x:c>
      <x:c r="P12" s="12" t="n">
        <x:v>0</x:v>
      </x:c>
      <x:c r="Q12" s="12" t="n">
        <x:v>-4</x:v>
      </x:c>
      <x:c r="R12" s="12" t="n">
        <x:v>4</x:v>
      </x:c>
      <x:c r="S12" s="12" t="n">
        <x:v>7</x:v>
      </x:c>
      <x:c r="T12" s="1" t="str">
        <x:v>Yes</x:v>
      </x:c>
      <x:c r="U12" s="1" t="n">
        <x:v>0</x:v>
      </x:c>
    </x:row>
    <x:row r="13" ht="23" customHeight="1">
      <x:c r="A13" s="9" t="n">
        <x:v>12</x:v>
      </x:c>
      <x:c r="B13" s="9" t="n">
        <x:v>292</x:v>
      </x:c>
      <x:c r="C13" s="9" t="n">
        <x:v>1083</x:v>
      </x:c>
      <x:c r="D13" s="9" t="n">
        <x:v>2</x:v>
      </x:c>
      <x:c r="E13" s="9" t="n">
        <x:v>119468</x:v>
      </x:c>
      <x:c r="F13" s="9" t="n">
        <x:v>28754</x:v>
      </x:c>
      <x:c r="G13" s="9" t="n">
        <x:v>37139</x:v>
      </x:c>
      <x:c r="H13" s="9" t="n">
        <x:v>49255</x:v>
      </x:c>
      <x:c r="I13" s="9" t="n">
        <x:v>4213.999999996275</x:v>
      </x:c>
      <x:c r="J13" s="9" t="n">
        <x:v>106.00000000372529</x:v>
      </x:c>
      <x:c r="K13" s="9" t="n">
        <x:f>F13+G13+I13+J13</x:f>
        <x:v>70213</x:v>
      </x:c>
      <x:c r="L13" s="10" t="n">
        <x:f>K13/Sources!$B$4*1000</x:f>
        <x:v>19.615062808261943</x:v>
      </x:c>
      <x:c r="M13" s="10" t="n">
        <x:f>E13/Sources!$B$4*1000</x:f>
        <x:v>33.37519153970686</x:v>
      </x:c>
      <x:c r="N13" s="9" t="n">
        <x:f>Sources!$B$6-K13</x:f>
        <x:v>-10477</x:v>
      </x:c>
      <x:c r="O13" s="1" t="str">
        <x:v>continuous</x:v>
      </x:c>
      <x:c r="P13" s="12" t="n">
        <x:v>0</x:v>
      </x:c>
      <x:c r="Q13" s="12" t="n">
        <x:v>-4</x:v>
      </x:c>
      <x:c r="R13" s="12" t="n">
        <x:v>4</x:v>
      </x:c>
      <x:c r="S13" s="12" t="n">
        <x:v>3</x:v>
      </x:c>
      <x:c r="T13" s="1" t="str">
        <x:v>No</x:v>
      </x:c>
      <x:c r="U13" s="1" t="n">
        <x:v>0</x:v>
      </x:c>
    </x:row>
    <x:row r="14" ht="23" customHeight="1">
      <x:c r="A14" s="9" t="n">
        <x:v>13</x:v>
      </x:c>
      <x:c r="B14" s="9" t="n">
        <x:v>292</x:v>
      </x:c>
      <x:c r="C14" s="9" t="n">
        <x:v>1079</x:v>
      </x:c>
      <x:c r="D14" s="9" t="n">
        <x:v>2</x:v>
      </x:c>
      <x:c r="E14" s="9" t="n">
        <x:v>119476</x:v>
      </x:c>
      <x:c r="F14" s="9" t="n">
        <x:v>42383</x:v>
      </x:c>
      <x:c r="G14" s="9" t="n">
        <x:v>53040</x:v>
      </x:c>
      <x:c r="H14" s="9" t="n">
        <x:v>19725.000000003725</x:v>
      </x:c>
      <x:c r="I14" s="9" t="n">
        <x:v>4222</x:v>
      </x:c>
      <x:c r="J14" s="9" t="n">
        <x:v>105.99999999627471</x:v>
      </x:c>
      <x:c r="K14" s="9" t="n">
        <x:f>F14+G14+I14+J14</x:f>
        <x:v>99750.99999999627</x:v>
      </x:c>
      <x:c r="L14" s="10" t="n">
        <x:f>K14/Sources!$B$4*1000</x:f>
        <x:v>27.866949570405254</x:v>
      </x:c>
      <x:c r="M14" s="10" t="n">
        <x:f>E14/Sources!$B$4*1000</x:f>
        <x:v>33.37742646062558</x:v>
      </x:c>
      <x:c r="N14" s="9" t="n">
        <x:f>Sources!$B$6-K14</x:f>
        <x:v>-40014.999999996275</x:v>
      </x:c>
      <x:c r="O14" s="1" t="str">
        <x:v>continuous</x:v>
      </x:c>
      <x:c r="P14" s="12" t="n">
        <x:v>0</x:v>
      </x:c>
      <x:c r="Q14" s="12" t="n">
        <x:v>-4</x:v>
      </x:c>
      <x:c r="R14" s="12" t="n">
        <x:v>4</x:v>
      </x:c>
      <x:c r="S14" s="12" t="n">
        <x:v>7</x:v>
      </x:c>
      <x:c r="T14" s="1" t="str">
        <x:v>Yes</x:v>
      </x:c>
      <x:c r="U14" s="1" t="n">
        <x:v>0</x:v>
      </x:c>
    </x:row>
    <x:row r="15" ht="23" customHeight="1">
      <x:c r="A15" s="9" t="n">
        <x:v>14</x:v>
      </x:c>
      <x:c r="B15" s="9" t="n">
        <x:v>292</x:v>
      </x:c>
      <x:c r="C15" s="9" t="n">
        <x:v>1075</x:v>
      </x:c>
      <x:c r="D15" s="9" t="n">
        <x:v>2</x:v>
      </x:c>
      <x:c r="E15" s="9" t="n">
        <x:v>119466.99999999627</x:v>
      </x:c>
      <x:c r="F15" s="9" t="n">
        <x:v>44123</x:v>
      </x:c>
      <x:c r="G15" s="9" t="n">
        <x:v>37139.000000003725</x:v>
      </x:c>
      <x:c r="H15" s="9" t="n">
        <x:v>33885.000000003725</x:v>
      </x:c>
      <x:c r="I15" s="9" t="n">
        <x:v>4214</x:v>
      </x:c>
      <x:c r="J15" s="9" t="n">
        <x:v>105.99999998882413</x:v>
      </x:c>
      <x:c r="K15" s="9" t="n">
        <x:f>F15+G15+I15+J15</x:f>
        <x:v>85581.99999999255</x:v>
      </x:c>
      <x:c r="L15" s="10" t="n">
        <x:f>K15/Sources!$B$4*1000</x:f>
        <x:v>23.908625258236047</x:v>
      </x:c>
      <x:c r="M15" s="10" t="n">
        <x:f>E15/Sources!$B$4*1000</x:f>
        <x:v>33.37491217459098</x:v>
      </x:c>
      <x:c r="N15" s="9" t="n">
        <x:f>Sources!$B$6-K15</x:f>
        <x:v>-25845.99999999255</x:v>
      </x:c>
      <x:c r="O15" s="1" t="str">
        <x:v>continuous</x:v>
      </x:c>
      <x:c r="P15" s="12" t="n">
        <x:v>0</x:v>
      </x:c>
      <x:c r="Q15" s="12" t="n">
        <x:v>-4</x:v>
      </x:c>
      <x:c r="R15" s="12" t="n">
        <x:v>4</x:v>
      </x:c>
      <x:c r="S15" s="12" t="n">
        <x:v>3</x:v>
      </x:c>
      <x:c r="T15" s="1" t="str">
        <x:v>No</x:v>
      </x:c>
      <x:c r="U15" s="1" t="n">
        <x:v>0</x:v>
      </x:c>
    </x:row>
    <x:row r="16" ht="23" customHeight="1">
      <x:c r="A16" s="9" t="n">
        <x:v>15</x:v>
      </x:c>
      <x:c r="B16" s="9" t="n">
        <x:v>292</x:v>
      </x:c>
      <x:c r="C16" s="9" t="n">
        <x:v>1071</x:v>
      </x:c>
      <x:c r="D16" s="9" t="n">
        <x:v>2</x:v>
      </x:c>
      <x:c r="E16" s="9" t="n">
        <x:v>119480</x:v>
      </x:c>
      <x:c r="F16" s="9" t="n">
        <x:v>42517.000000003725</x:v>
      </x:c>
      <x:c r="G16" s="9" t="n">
        <x:v>53040</x:v>
      </x:c>
      <x:c r="H16" s="9" t="n">
        <x:v>19595</x:v>
      </x:c>
      <x:c r="I16" s="9" t="n">
        <x:v>4222</x:v>
      </x:c>
      <x:c r="J16" s="9" t="n">
        <x:v>105.99999999627471</x:v>
      </x:c>
      <x:c r="K16" s="9" t="n">
        <x:f>F16+G16+I16+J16</x:f>
        <x:v>99885</x:v>
      </x:c>
      <x:c r="L16" s="10" t="n">
        <x:f>K16/Sources!$B$4*1000</x:f>
        <x:v>27.904384495794858</x:v>
      </x:c>
      <x:c r="M16" s="10" t="n">
        <x:f>E16/Sources!$B$4*1000</x:f>
        <x:v>33.37854392108494</x:v>
      </x:c>
      <x:c r="N16" s="9" t="n">
        <x:f>Sources!$B$6-K16</x:f>
        <x:v>-40149</x:v>
      </x:c>
      <x:c r="O16" s="1" t="str">
        <x:v>continuous</x:v>
      </x:c>
      <x:c r="P16" s="12" t="n">
        <x:v>0</x:v>
      </x:c>
      <x:c r="Q16" s="12" t="n">
        <x:v>-4</x:v>
      </x:c>
      <x:c r="R16" s="12" t="n">
        <x:v>4</x:v>
      </x:c>
      <x:c r="S16" s="12" t="n">
        <x:v>7</x:v>
      </x:c>
      <x:c r="T16" s="1" t="str">
        <x:v>Yes</x:v>
      </x:c>
      <x:c r="U16" s="1" t="n">
        <x:v>0</x:v>
      </x:c>
    </x:row>
    <x:row r="17" ht="23" customHeight="1">
      <x:c r="A17" s="9" t="n">
        <x:v>16</x:v>
      </x:c>
      <x:c r="B17" s="9" t="n">
        <x:v>292</x:v>
      </x:c>
      <x:c r="C17" s="9" t="n">
        <x:v>1067</x:v>
      </x:c>
      <x:c r="D17" s="9" t="n">
        <x:v>2</x:v>
      </x:c>
      <x:c r="E17" s="9" t="n">
        <x:v>119461.00000000373</x:v>
      </x:c>
      <x:c r="F17" s="9" t="n">
        <x:v>41692.000000003725</x:v>
      </x:c>
      <x:c r="G17" s="9" t="n">
        <x:v>37139</x:v>
      </x:c>
      <x:c r="H17" s="9" t="n">
        <x:v>36310</x:v>
      </x:c>
      <x:c r="I17" s="9" t="n">
        <x:v>4213.999999996275</x:v>
      </x:c>
      <x:c r="J17" s="9" t="n">
        <x:v>106.00000000372529</x:v>
      </x:c>
      <x:c r="K17" s="9" t="n">
        <x:f>F17+G17+I17+J17</x:f>
        <x:v>83151.00000000373</x:v>
      </x:c>
      <x:c r="L17" s="10" t="n">
        <x:f>K17/Sources!$B$4*1000</x:f>
        <x:v>23.22948866406309</x:v>
      </x:c>
      <x:c r="M17" s="10" t="n">
        <x:f>E17/Sources!$B$4*1000</x:f>
        <x:v>33.373235983904024</x:v>
      </x:c>
      <x:c r="N17" s="9" t="n">
        <x:f>Sources!$B$6-K17</x:f>
        <x:v>-23415.000000003725</x:v>
      </x:c>
      <x:c r="O17" s="1" t="str">
        <x:v>continuous</x:v>
      </x:c>
      <x:c r="P17" s="12" t="n">
        <x:v>0</x:v>
      </x:c>
      <x:c r="Q17" s="12" t="n">
        <x:v>-4</x:v>
      </x:c>
      <x:c r="R17" s="12" t="n">
        <x:v>4</x:v>
      </x:c>
      <x:c r="S17" s="12" t="n">
        <x:v>3</x:v>
      </x:c>
      <x:c r="T17" s="1" t="str">
        <x:v>No</x:v>
      </x:c>
      <x:c r="U17" s="1" t="n">
        <x:v>0</x:v>
      </x:c>
    </x:row>
    <x:row r="18" ht="23" customHeight="1">
      <x:c r="A18" s="9" t="n">
        <x:v>17</x:v>
      </x:c>
      <x:c r="B18" s="9" t="n">
        <x:v>292</x:v>
      </x:c>
      <x:c r="C18" s="9" t="n">
        <x:v>1063</x:v>
      </x:c>
      <x:c r="D18" s="9" t="n">
        <x:v>2</x:v>
      </x:c>
      <x:c r="E18" s="9" t="n">
        <x:v>119483</x:v>
      </x:c>
      <x:c r="F18" s="9" t="n">
        <x:v>26910</x:v>
      </x:c>
      <x:c r="G18" s="9" t="n">
        <x:v>53040</x:v>
      </x:c>
      <x:c r="H18" s="9" t="n">
        <x:v>35205</x:v>
      </x:c>
      <x:c r="I18" s="9" t="n">
        <x:v>4222</x:v>
      </x:c>
      <x:c r="J18" s="9" t="n">
        <x:v>106</x:v>
      </x:c>
      <x:c r="K18" s="9" t="n">
        <x:f>F18+G18+I18+J18</x:f>
        <x:v>84278</x:v>
      </x:c>
      <x:c r="L18" s="10" t="n">
        <x:f>K18/Sources!$B$4*1000</x:f>
        <x:v>23.544333148486746</x:v>
      </x:c>
      <x:c r="M18" s="10" t="n">
        <x:f>E18/Sources!$B$4*1000</x:f>
        <x:v>33.37938201642946</x:v>
      </x:c>
      <x:c r="N18" s="9" t="n">
        <x:f>Sources!$B$6-K18</x:f>
        <x:v>-24542</x:v>
      </x:c>
      <x:c r="O18" s="1" t="str">
        <x:v>continuous</x:v>
      </x:c>
      <x:c r="P18" s="12" t="n">
        <x:v>0</x:v>
      </x:c>
      <x:c r="Q18" s="12" t="n">
        <x:v>-4</x:v>
      </x:c>
      <x:c r="R18" s="12" t="n">
        <x:v>4</x:v>
      </x:c>
      <x:c r="S18" s="12" t="n">
        <x:v>7</x:v>
      </x:c>
      <x:c r="T18" s="1" t="str">
        <x:v>Yes</x:v>
      </x:c>
      <x:c r="U18" s="1" t="n">
        <x:v>0</x:v>
      </x:c>
    </x:row>
    <x:row r="19" ht="23" customHeight="1">
      <x:c r="A19" s="9" t="n">
        <x:v>18</x:v>
      </x:c>
      <x:c r="B19" s="9" t="n">
        <x:v>292</x:v>
      </x:c>
      <x:c r="C19" s="9" t="n">
        <x:v>1059</x:v>
      </x:c>
      <x:c r="D19" s="9" t="n">
        <x:v>2</x:v>
      </x:c>
      <x:c r="E19" s="9" t="n">
        <x:v>119464.99999999627</x:v>
      </x:c>
      <x:c r="F19" s="9" t="n">
        <x:v>27706</x:v>
      </x:c>
      <x:c r="G19" s="9" t="n">
        <x:v>37139</x:v>
      </x:c>
      <x:c r="H19" s="9" t="n">
        <x:v>50300</x:v>
      </x:c>
      <x:c r="I19" s="9" t="n">
        <x:v>4214</x:v>
      </x:c>
      <x:c r="J19" s="9" t="n">
        <x:v>105.99999999627471</x:v>
      </x:c>
      <x:c r="K19" s="9" t="n">
        <x:f>F19+G19+I19+J19</x:f>
        <x:v>69164.99999999627</x:v>
      </x:c>
      <x:c r="L19" s="10" t="n">
        <x:f>K19/Sources!$B$4*1000</x:f>
        <x:v>19.322288167908567</x:v>
      </x:c>
      <x:c r="M19" s="10" t="n">
        <x:f>E19/Sources!$B$4*1000</x:f>
        <x:v>33.3743534443613</x:v>
      </x:c>
      <x:c r="N19" s="9" t="n">
        <x:f>Sources!$B$6-K19</x:f>
        <x:v>-9428.999999996275</x:v>
      </x:c>
      <x:c r="O19" s="1" t="str">
        <x:v>continuous</x:v>
      </x:c>
      <x:c r="P19" s="12" t="n">
        <x:v>0</x:v>
      </x:c>
      <x:c r="Q19" s="12" t="n">
        <x:v>-4</x:v>
      </x:c>
      <x:c r="R19" s="12" t="n">
        <x:v>4</x:v>
      </x:c>
      <x:c r="S19" s="12" t="n">
        <x:v>3</x:v>
      </x:c>
      <x:c r="T19" s="1" t="str">
        <x:v>No</x:v>
      </x:c>
      <x:c r="U19" s="1" t="n">
        <x:v>0</x:v>
      </x:c>
    </x:row>
    <x:row r="20" ht="23" customHeight="1">
      <x:c r="A20" s="9" t="n">
        <x:v>19</x:v>
      </x:c>
      <x:c r="B20" s="9" t="n">
        <x:v>292</x:v>
      </x:c>
      <x:c r="C20" s="9" t="n">
        <x:v>1055</x:v>
      </x:c>
      <x:c r="D20" s="9" t="n">
        <x:v>2</x:v>
      </x:c>
      <x:c r="E20" s="9" t="n">
        <x:v>119479.00000000373</x:v>
      </x:c>
      <x:c r="F20" s="9" t="n">
        <x:v>28316</x:v>
      </x:c>
      <x:c r="G20" s="9" t="n">
        <x:v>53040</x:v>
      </x:c>
      <x:c r="H20" s="9" t="n">
        <x:v>33795</x:v>
      </x:c>
      <x:c r="I20" s="9" t="n">
        <x:v>4222</x:v>
      </x:c>
      <x:c r="J20" s="9" t="n">
        <x:v>106.00000000372529</x:v>
      </x:c>
      <x:c r="K20" s="9" t="n">
        <x:f>F20+G20+I20+J20</x:f>
        <x:v>85684.00000000373</x:v>
      </x:c>
      <x:c r="L20" s="10" t="n">
        <x:f>K20/Sources!$B$4*1000</x:f>
        <x:v>23.93712049995285</x:v>
      </x:c>
      <x:c r="M20" s="10" t="n">
        <x:f>E20/Sources!$B$4*1000</x:f>
        <x:v>33.37826455597114</x:v>
      </x:c>
      <x:c r="N20" s="9" t="n">
        <x:f>Sources!$B$6-K20</x:f>
        <x:v>-25948.000000003725</x:v>
      </x:c>
      <x:c r="O20" s="1" t="str">
        <x:v>continuous</x:v>
      </x:c>
      <x:c r="P20" s="12" t="n">
        <x:v>0</x:v>
      </x:c>
      <x:c r="Q20" s="12" t="n">
        <x:v>-4</x:v>
      </x:c>
      <x:c r="R20" s="12" t="n">
        <x:v>4</x:v>
      </x:c>
      <x:c r="S20" s="12" t="n">
        <x:v>7</x:v>
      </x:c>
      <x:c r="T20" s="1" t="str">
        <x:v>Yes</x:v>
      </x:c>
      <x:c r="U20" s="1" t="n">
        <x:v>0</x:v>
      </x:c>
    </x:row>
    <x:row r="21" ht="23" customHeight="1">
      <x:c r="A21" s="9" t="n">
        <x:v>20</x:v>
      </x:c>
      <x:c r="B21" s="9" t="n">
        <x:v>292</x:v>
      </x:c>
      <x:c r="C21" s="9" t="n">
        <x:v>1051</x:v>
      </x:c>
      <x:c r="D21" s="9" t="n">
        <x:v>2</x:v>
      </x:c>
      <x:c r="E21" s="9" t="n">
        <x:v>119461</x:v>
      </x:c>
      <x:c r="F21" s="9" t="n">
        <x:v>27832.000000003725</x:v>
      </x:c>
      <x:c r="G21" s="9" t="n">
        <x:v>37139</x:v>
      </x:c>
      <x:c r="H21" s="9" t="n">
        <x:v>50170</x:v>
      </x:c>
      <x:c r="I21" s="9" t="n">
        <x:v>4213.999999996275</x:v>
      </x:c>
      <x:c r="J21" s="9" t="n">
        <x:v>106</x:v>
      </x:c>
      <x:c r="K21" s="9" t="n">
        <x:f>F21+G21+I21+J21</x:f>
        <x:v>69291</x:v>
      </x:c>
      <x:c r="L21" s="10" t="n">
        <x:f>K21/Sources!$B$4*1000</x:f>
        <x:v>19.35748817237945</x:v>
      </x:c>
      <x:c r="M21" s="10" t="n">
        <x:f>E21/Sources!$B$4*1000</x:f>
        <x:v>33.37323598390298</x:v>
      </x:c>
      <x:c r="N21" s="9" t="n">
        <x:f>Sources!$B$6-K21</x:f>
        <x:v>-9555</x:v>
      </x:c>
      <x:c r="O21" s="1" t="str">
        <x:v>continuous</x:v>
      </x:c>
      <x:c r="P21" s="12" t="n">
        <x:v>0</x:v>
      </x:c>
      <x:c r="Q21" s="12" t="n">
        <x:v>-4</x:v>
      </x:c>
      <x:c r="R21" s="12" t="n">
        <x:v>4</x:v>
      </x:c>
      <x:c r="S21" s="12" t="n">
        <x:v>3</x:v>
      </x:c>
      <x:c r="T21" s="1" t="str">
        <x:v>No</x:v>
      </x:c>
      <x:c r="U21" s="1" t="n">
        <x:v>0</x:v>
      </x:c>
    </x:row>
    <x:row r="22" ht="23" customHeight="1">
      <x:c r="A22" s="9" t="n">
        <x:v>21</x:v>
      </x:c>
      <x:c r="B22" s="9" t="n">
        <x:v>292</x:v>
      </x:c>
      <x:c r="C22" s="9" t="n">
        <x:v>1047</x:v>
      </x:c>
      <x:c r="D22" s="9" t="n">
        <x:v>2</x:v>
      </x:c>
      <x:c r="E22" s="9" t="n">
        <x:v>119483</x:v>
      </x:c>
      <x:c r="F22" s="9" t="n">
        <x:v>26869.999999996275</x:v>
      </x:c>
      <x:c r="G22" s="9" t="n">
        <x:v>53040</x:v>
      </x:c>
      <x:c r="H22" s="9" t="n">
        <x:v>35244.999999996275</x:v>
      </x:c>
      <x:c r="I22" s="9" t="n">
        <x:v>4222</x:v>
      </x:c>
      <x:c r="J22" s="9" t="n">
        <x:v>106.00000000745058</x:v>
      </x:c>
      <x:c r="K22" s="9" t="n">
        <x:f>F22+G22+I22+J22</x:f>
        <x:v>84238.00000000373</x:v>
      </x:c>
      <x:c r="L22" s="10" t="n">
        <x:f>K22/Sources!$B$4*1000</x:f>
        <x:v>23.53315854389419</x:v>
      </x:c>
      <x:c r="M22" s="10" t="n">
        <x:f>E22/Sources!$B$4*1000</x:f>
        <x:v>33.37938201642946</x:v>
      </x:c>
      <x:c r="N22" s="9" t="n">
        <x:f>Sources!$B$6-K22</x:f>
        <x:v>-24502.000000003725</x:v>
      </x:c>
      <x:c r="O22" s="1" t="str">
        <x:v>continuous</x:v>
      </x:c>
      <x:c r="P22" s="12" t="n">
        <x:v>0</x:v>
      </x:c>
      <x:c r="Q22" s="12" t="n">
        <x:v>-4</x:v>
      </x:c>
      <x:c r="R22" s="12" t="n">
        <x:v>4</x:v>
      </x:c>
      <x:c r="S22" s="12" t="n">
        <x:v>7</x:v>
      </x:c>
      <x:c r="T22" s="1" t="str">
        <x:v>Yes</x:v>
      </x:c>
      <x:c r="U22" s="1" t="n">
        <x:v>0</x:v>
      </x:c>
    </x:row>
    <x:row r="23" ht="23" customHeight="1">
      <x:c r="A23" s="9" t="n">
        <x:v>22</x:v>
      </x:c>
      <x:c r="B23" s="9" t="n">
        <x:v>292</x:v>
      </x:c>
      <x:c r="C23" s="9" t="n">
        <x:v>1043</x:v>
      </x:c>
      <x:c r="D23" s="9" t="n">
        <x:v>2</x:v>
      </x:c>
      <x:c r="E23" s="9" t="n">
        <x:v>119464</x:v>
      </x:c>
      <x:c r="F23" s="9" t="n">
        <x:v>27700</x:v>
      </x:c>
      <x:c r="G23" s="9" t="n">
        <x:v>37139</x:v>
      </x:c>
      <x:c r="H23" s="9" t="n">
        <x:v>50305</x:v>
      </x:c>
      <x:c r="I23" s="9" t="n">
        <x:v>4213.999999996275</x:v>
      </x:c>
      <x:c r="J23" s="9" t="n">
        <x:v>106.00000000372529</x:v>
      </x:c>
      <x:c r="K23" s="9" t="n">
        <x:f>F23+G23+I23+J23</x:f>
        <x:v>69159</x:v>
      </x:c>
      <x:c r="L23" s="10" t="n">
        <x:f>K23/Sources!$B$4*1000</x:f>
        <x:v>19.32061197722057</x:v>
      </x:c>
      <x:c r="M23" s="10" t="n">
        <x:f>E23/Sources!$B$4*1000</x:f>
        <x:v>33.3740740792475</x:v>
      </x:c>
      <x:c r="N23" s="9" t="n">
        <x:f>Sources!$B$6-K23</x:f>
        <x:v>-9423</x:v>
      </x:c>
      <x:c r="O23" s="1" t="str">
        <x:v>continuous</x:v>
      </x:c>
      <x:c r="P23" s="12" t="n">
        <x:v>0</x:v>
      </x:c>
      <x:c r="Q23" s="12" t="n">
        <x:v>-4</x:v>
      </x:c>
      <x:c r="R23" s="12" t="n">
        <x:v>4</x:v>
      </x:c>
      <x:c r="S23" s="12" t="n">
        <x:v>3</x:v>
      </x:c>
      <x:c r="T23" s="1" t="str">
        <x:v>No</x:v>
      </x:c>
      <x:c r="U23" s="1" t="n">
        <x:v>0</x:v>
      </x:c>
    </x:row>
    <x:row r="24" ht="23" customHeight="1">
      <x:c r="A24" s="9" t="n">
        <x:v>23</x:v>
      </x:c>
      <x:c r="B24" s="9" t="n">
        <x:v>292</x:v>
      </x:c>
      <x:c r="C24" s="9" t="n">
        <x:v>1039</x:v>
      </x:c>
      <x:c r="D24" s="9" t="n">
        <x:v>2</x:v>
      </x:c>
      <x:c r="E24" s="9" t="n">
        <x:v>119480.99999999627</x:v>
      </x:c>
      <x:c r="F24" s="9" t="n">
        <x:v>29613</x:v>
      </x:c>
      <x:c r="G24" s="9" t="n">
        <x:v>53040</x:v>
      </x:c>
      <x:c r="H24" s="9" t="n">
        <x:v>32500</x:v>
      </x:c>
      <x:c r="I24" s="9" t="n">
        <x:v>4222</x:v>
      </x:c>
      <x:c r="J24" s="9" t="n">
        <x:v>105.99999999627471</x:v>
      </x:c>
      <x:c r="K24" s="9" t="n">
        <x:f>F24+G24+I24+J24</x:f>
        <x:v>86980.99999999627</x:v>
      </x:c>
      <x:c r="L24" s="10" t="n">
        <x:f>K24/Sources!$B$4*1000</x:f>
        <x:v>24.29945705389827</x:v>
      </x:c>
      <x:c r="M24" s="10" t="n">
        <x:f>E24/Sources!$B$4*1000</x:f>
        <x:v>33.37882328619874</x:v>
      </x:c>
      <x:c r="N24" s="9" t="n">
        <x:f>Sources!$B$6-K24</x:f>
        <x:v>-27244.999999996275</x:v>
      </x:c>
      <x:c r="O24" s="1" t="str">
        <x:v>continuous</x:v>
      </x:c>
      <x:c r="P24" s="12" t="n">
        <x:v>0</x:v>
      </x:c>
      <x:c r="Q24" s="12" t="n">
        <x:v>-4</x:v>
      </x:c>
      <x:c r="R24" s="12" t="n">
        <x:v>4</x:v>
      </x:c>
      <x:c r="S24" s="12" t="n">
        <x:v>7</x:v>
      </x:c>
      <x:c r="T24" s="1" t="str">
        <x:v>Yes</x:v>
      </x:c>
      <x:c r="U24" s="1" t="n">
        <x:v>0</x:v>
      </x:c>
    </x:row>
    <x:row r="25" ht="23" customHeight="1">
      <x:c r="A25" s="9" t="n">
        <x:v>24</x:v>
      </x:c>
      <x:c r="B25" s="9" t="n">
        <x:v>292</x:v>
      </x:c>
      <x:c r="C25" s="9" t="n">
        <x:v>1035</x:v>
      </x:c>
      <x:c r="D25" s="9" t="n">
        <x:v>2</x:v>
      </x:c>
      <x:c r="E25" s="9" t="n">
        <x:v>119461.00000000373</x:v>
      </x:c>
      <x:c r="F25" s="9" t="n">
        <x:v>27812.000000003725</x:v>
      </x:c>
      <x:c r="G25" s="9" t="n">
        <x:v>37139.000000003725</x:v>
      </x:c>
      <x:c r="H25" s="9" t="n">
        <x:v>50190</x:v>
      </x:c>
      <x:c r="I25" s="9" t="n">
        <x:v>4213.999999996275</x:v>
      </x:c>
      <x:c r="J25" s="9" t="n">
        <x:v>106</x:v>
      </x:c>
      <x:c r="K25" s="9" t="n">
        <x:f>F25+G25+I25+J25</x:f>
        <x:v>69271.00000000373</x:v>
      </x:c>
      <x:c r="L25" s="10" t="n">
        <x:f>K25/Sources!$B$4*1000</x:f>
        <x:v>19.35190087008369</x:v>
      </x:c>
      <x:c r="M25" s="10" t="n">
        <x:f>E25/Sources!$B$4*1000</x:f>
        <x:v>33.373235983904024</x:v>
      </x:c>
      <x:c r="N25" s="9" t="n">
        <x:f>Sources!$B$6-K25</x:f>
        <x:v>-9535.000000003725</x:v>
      </x:c>
      <x:c r="O25" s="1" t="str">
        <x:v>continuous</x:v>
      </x:c>
      <x:c r="P25" s="12" t="n">
        <x:v>0</x:v>
      </x:c>
      <x:c r="Q25" s="12" t="n">
        <x:v>-4</x:v>
      </x:c>
      <x:c r="R25" s="12" t="n">
        <x:v>4</x:v>
      </x:c>
      <x:c r="S25" s="12" t="n">
        <x:v>3</x:v>
      </x:c>
      <x:c r="T25" s="1" t="str">
        <x:v>No</x:v>
      </x:c>
      <x:c r="U25" s="1" t="n">
        <x:v>0</x:v>
      </x:c>
    </x:row>
    <x:row r="26" ht="23" customHeight="1">
      <x:c r="A26" s="9" t="n">
        <x:v>25</x:v>
      </x:c>
      <x:c r="B26" s="9" t="n">
        <x:v>292</x:v>
      </x:c>
      <x:c r="C26" s="9" t="n">
        <x:v>1031</x:v>
      </x:c>
      <x:c r="D26" s="9" t="n">
        <x:v>2</x:v>
      </x:c>
      <x:c r="E26" s="9" t="n">
        <x:v>119480</x:v>
      </x:c>
      <x:c r="F26" s="9" t="n">
        <x:v>28047</x:v>
      </x:c>
      <x:c r="G26" s="9" t="n">
        <x:v>53039.999999996275</x:v>
      </x:c>
      <x:c r="H26" s="9" t="n">
        <x:v>34065.000000003725</x:v>
      </x:c>
      <x:c r="I26" s="9" t="n">
        <x:v>4221.999999996275</x:v>
      </x:c>
      <x:c r="J26" s="9" t="n">
        <x:v>106.00000000372529</x:v>
      </x:c>
      <x:c r="K26" s="9" t="n">
        <x:f>F26+G26+I26+J26</x:f>
        <x:v>85414.99999999627</x:v>
      </x:c>
      <x:c r="L26" s="10" t="n">
        <x:f>K26/Sources!$B$4*1000</x:f>
        <x:v>23.861971284058804</x:v>
      </x:c>
      <x:c r="M26" s="10" t="n">
        <x:f>E26/Sources!$B$4*1000</x:f>
        <x:v>33.37854392108494</x:v>
      </x:c>
      <x:c r="N26" s="9" t="n">
        <x:f>Sources!$B$6-K26</x:f>
        <x:v>-25678.999999996275</x:v>
      </x:c>
      <x:c r="O26" s="1" t="str">
        <x:v>continuous</x:v>
      </x:c>
      <x:c r="P26" s="12" t="n">
        <x:v>0</x:v>
      </x:c>
      <x:c r="Q26" s="12" t="n">
        <x:v>-4</x:v>
      </x:c>
      <x:c r="R26" s="12" t="n">
        <x:v>4</x:v>
      </x:c>
      <x:c r="S26" s="12" t="n">
        <x:v>7</x:v>
      </x:c>
      <x:c r="T26" s="1" t="str">
        <x:v>Yes</x:v>
      </x:c>
      <x:c r="U26" s="1" t="n">
        <x:v>0</x:v>
      </x:c>
    </x:row>
    <x:row r="27" ht="23" customHeight="1">
      <x:c r="A27" s="9" t="n">
        <x:v>26</x:v>
      </x:c>
      <x:c r="B27" s="9" t="n">
        <x:v>292</x:v>
      </x:c>
      <x:c r="C27" s="9" t="n">
        <x:v>1027</x:v>
      </x:c>
      <x:c r="D27" s="9" t="n">
        <x:v>2</x:v>
      </x:c>
      <x:c r="E27" s="9" t="n">
        <x:v>119467</x:v>
      </x:c>
      <x:c r="F27" s="9" t="n">
        <x:v>27707.999999996275</x:v>
      </x:c>
      <x:c r="G27" s="9" t="n">
        <x:v>37139</x:v>
      </x:c>
      <x:c r="H27" s="9" t="n">
        <x:v>50300.000000003725</x:v>
      </x:c>
      <x:c r="I27" s="9" t="n">
        <x:v>4214</x:v>
      </x:c>
      <x:c r="J27" s="9" t="n">
        <x:v>106</x:v>
      </x:c>
      <x:c r="K27" s="9" t="n">
        <x:f>F27+G27+I27+J27</x:f>
        <x:v>69166.99999999627</x:v>
      </x:c>
      <x:c r="L27" s="10" t="n">
        <x:f>K27/Sources!$B$4*1000</x:f>
        <x:v>19.32284689813825</x:v>
      </x:c>
      <x:c r="M27" s="10" t="n">
        <x:f>E27/Sources!$B$4*1000</x:f>
        <x:v>33.37491217459202</x:v>
      </x:c>
      <x:c r="N27" s="9" t="n">
        <x:f>Sources!$B$6-K27</x:f>
        <x:v>-9430.999999996275</x:v>
      </x:c>
      <x:c r="O27" s="1" t="str">
        <x:v>continuous</x:v>
      </x:c>
      <x:c r="P27" s="12" t="n">
        <x:v>0</x:v>
      </x:c>
      <x:c r="Q27" s="12" t="n">
        <x:v>-4</x:v>
      </x:c>
      <x:c r="R27" s="12" t="n">
        <x:v>4</x:v>
      </x:c>
      <x:c r="S27" s="12" t="n">
        <x:v>3</x:v>
      </x:c>
      <x:c r="T27" s="1" t="str">
        <x:v>No</x:v>
      </x:c>
      <x:c r="U27" s="1" t="n">
        <x:v>0</x:v>
      </x:c>
    </x:row>
    <x:row r="28" ht="23" customHeight="1">
      <x:c r="A28" s="9" t="n">
        <x:v>27</x:v>
      </x:c>
      <x:c r="B28" s="9" t="n">
        <x:v>292</x:v>
      </x:c>
      <x:c r="C28" s="9" t="n">
        <x:v>1023</x:v>
      </x:c>
      <x:c r="D28" s="9" t="n">
        <x:v>2</x:v>
      </x:c>
      <x:c r="E28" s="9" t="n">
        <x:v>119480</x:v>
      </x:c>
      <x:c r="F28" s="9" t="n">
        <x:v>26847</x:v>
      </x:c>
      <x:c r="G28" s="9" t="n">
        <x:v>53040</x:v>
      </x:c>
      <x:c r="H28" s="9" t="n">
        <x:v>35265</x:v>
      </x:c>
      <x:c r="I28" s="9" t="n">
        <x:v>4222</x:v>
      </x:c>
      <x:c r="J28" s="9" t="n">
        <x:v>106</x:v>
      </x:c>
      <x:c r="K28" s="9" t="n">
        <x:f>F28+G28+I28+J28</x:f>
        <x:v>84215</x:v>
      </x:c>
      <x:c r="L28" s="10" t="n">
        <x:f>K28/Sources!$B$4*1000</x:f>
        <x:v>23.52673314625183</x:v>
      </x:c>
      <x:c r="M28" s="10" t="n">
        <x:f>E28/Sources!$B$4*1000</x:f>
        <x:v>33.37854392108494</x:v>
      </x:c>
      <x:c r="N28" s="9" t="n">
        <x:f>Sources!$B$6-K28</x:f>
        <x:v>-24479</x:v>
      </x:c>
      <x:c r="O28" s="1" t="str">
        <x:v>continuous</x:v>
      </x:c>
      <x:c r="P28" s="12" t="n">
        <x:v>0</x:v>
      </x:c>
      <x:c r="Q28" s="12" t="n">
        <x:v>-4</x:v>
      </x:c>
      <x:c r="R28" s="12" t="n">
        <x:v>4</x:v>
      </x:c>
      <x:c r="S28" s="12" t="n">
        <x:v>7</x:v>
      </x:c>
      <x:c r="T28" s="1" t="str">
        <x:v>Yes</x:v>
      </x:c>
      <x:c r="U28" s="1" t="n">
        <x:v>0</x:v>
      </x:c>
    </x:row>
    <x:row r="29" ht="23" customHeight="1">
      <x:c r="A29" s="9" t="n">
        <x:v>28</x:v>
      </x:c>
      <x:c r="B29" s="9" t="n">
        <x:v>292</x:v>
      </x:c>
      <x:c r="C29" s="9" t="n">
        <x:v>1019</x:v>
      </x:c>
      <x:c r="D29" s="9" t="n">
        <x:v>2</x:v>
      </x:c>
      <x:c r="E29" s="9" t="n">
        <x:v>119464</x:v>
      </x:c>
      <x:c r="F29" s="9" t="n">
        <x:v>29275.000000003725</x:v>
      </x:c>
      <x:c r="G29" s="9" t="n">
        <x:v>37138.999999996275</x:v>
      </x:c>
      <x:c r="H29" s="9" t="n">
        <x:v>48730.000000003725</x:v>
      </x:c>
      <x:c r="I29" s="9" t="n">
        <x:v>4214</x:v>
      </x:c>
      <x:c r="J29" s="9" t="n">
        <x:v>105.99999999627471</x:v>
      </x:c>
      <x:c r="K29" s="9" t="n">
        <x:f>F29+G29+I29+J29</x:f>
        <x:v>70733.99999999627</x:v>
      </x:c>
      <x:c r="L29" s="10" t="n">
        <x:f>K29/Sources!$B$4*1000</x:f>
        <x:v>19.76061203309255</x:v>
      </x:c>
      <x:c r="M29" s="10" t="n">
        <x:f>E29/Sources!$B$4*1000</x:f>
        <x:v>33.3740740792475</x:v>
      </x:c>
      <x:c r="N29" s="9" t="n">
        <x:f>Sources!$B$6-K29</x:f>
        <x:v>-10997.999999996275</x:v>
      </x:c>
      <x:c r="O29" s="1" t="str">
        <x:v>continuous</x:v>
      </x:c>
      <x:c r="P29" s="12" t="n">
        <x:v>0</x:v>
      </x:c>
      <x:c r="Q29" s="12" t="n">
        <x:v>-4</x:v>
      </x:c>
      <x:c r="R29" s="12" t="n">
        <x:v>4</x:v>
      </x:c>
      <x:c r="S29" s="12" t="n">
        <x:v>3</x:v>
      </x:c>
      <x:c r="T29" s="1" t="str">
        <x:v>No</x:v>
      </x:c>
      <x:c r="U29" s="1" t="n">
        <x:v>0</x:v>
      </x:c>
    </x:row>
    <x:row r="30" ht="23" customHeight="1">
      <x:c r="A30" s="9" t="n">
        <x:v>29</x:v>
      </x:c>
      <x:c r="B30" s="9" t="n">
        <x:v>292</x:v>
      </x:c>
      <x:c r="C30" s="9" t="n">
        <x:v>1015</x:v>
      </x:c>
      <x:c r="D30" s="9" t="n">
        <x:v>2</x:v>
      </x:c>
      <x:c r="E30" s="9" t="n">
        <x:v>119478</x:v>
      </x:c>
      <x:c r="F30" s="9" t="n">
        <x:v>26910</x:v>
      </x:c>
      <x:c r="G30" s="9" t="n">
        <x:v>53039.999999996275</x:v>
      </x:c>
      <x:c r="H30" s="9" t="n">
        <x:v>35200.000000003725</x:v>
      </x:c>
      <x:c r="I30" s="9" t="n">
        <x:v>4222</x:v>
      </x:c>
      <x:c r="J30" s="9" t="n">
        <x:v>106</x:v>
      </x:c>
      <x:c r="K30" s="9" t="n">
        <x:f>F30+G30+I30+J30</x:f>
        <x:v>84277.99999999627</x:v>
      </x:c>
      <x:c r="L30" s="10" t="n">
        <x:f>K30/Sources!$B$4*1000</x:f>
        <x:v>23.544333148485705</x:v>
      </x:c>
      <x:c r="M30" s="10" t="n">
        <x:f>E30/Sources!$B$4*1000</x:f>
        <x:v>33.37798519085526</x:v>
      </x:c>
      <x:c r="N30" s="9" t="n">
        <x:f>Sources!$B$6-K30</x:f>
        <x:v>-24541.999999996275</x:v>
      </x:c>
      <x:c r="O30" s="1" t="str">
        <x:v>continuous</x:v>
      </x:c>
      <x:c r="P30" s="12" t="n">
        <x:v>0</x:v>
      </x:c>
      <x:c r="Q30" s="12" t="n">
        <x:v>-4</x:v>
      </x:c>
      <x:c r="R30" s="12" t="n">
        <x:v>4</x:v>
      </x:c>
      <x:c r="S30" s="12" t="n">
        <x:v>7</x:v>
      </x:c>
      <x:c r="T30" s="1" t="str">
        <x:v>Yes</x:v>
      </x:c>
      <x:c r="U30" s="1" t="n">
        <x:v>0</x:v>
      </x:c>
    </x:row>
    <x:row r="31" ht="23" customHeight="1">
      <x:c r="A31" s="9" t="n">
        <x:v>30</x:v>
      </x:c>
      <x:c r="B31" s="9" t="n">
        <x:v>292</x:v>
      </x:c>
      <x:c r="C31" s="9" t="n">
        <x:v>1011</x:v>
      </x:c>
      <x:c r="D31" s="9" t="n">
        <x:v>2</x:v>
      </x:c>
      <x:c r="E31" s="9" t="n">
        <x:v>119462.99999999627</x:v>
      </x:c>
      <x:c r="F31" s="9" t="n">
        <x:v>27724.000000003725</x:v>
      </x:c>
      <x:c r="G31" s="9" t="n">
        <x:v>37139</x:v>
      </x:c>
      <x:c r="H31" s="9" t="n">
        <x:v>50280</x:v>
      </x:c>
      <x:c r="I31" s="9" t="n">
        <x:v>4214</x:v>
      </x:c>
      <x:c r="J31" s="9" t="n">
        <x:v>105.99999999254942</x:v>
      </x:c>
      <x:c r="K31" s="9" t="n">
        <x:f>F31+G31+I31+J31</x:f>
        <x:v>69182.99999999627</x:v>
      </x:c>
      <x:c r="L31" s="10" t="n">
        <x:f>K31/Sources!$B$4*1000</x:f>
        <x:v>19.32731673997569</x:v>
      </x:c>
      <x:c r="M31" s="10" t="n">
        <x:f>E31/Sources!$B$4*1000</x:f>
        <x:v>33.37379471413162</x:v>
      </x:c>
      <x:c r="N31" s="9" t="n">
        <x:f>Sources!$B$6-K31</x:f>
        <x:v>-9446.999999996275</x:v>
      </x:c>
      <x:c r="O31" s="1" t="str">
        <x:v>continuous</x:v>
      </x:c>
      <x:c r="P31" s="12" t="n">
        <x:v>0</x:v>
      </x:c>
      <x:c r="Q31" s="12" t="n">
        <x:v>-4</x:v>
      </x:c>
      <x:c r="R31" s="12" t="n">
        <x:v>4</x:v>
      </x:c>
      <x:c r="S31" s="12" t="n">
        <x:v>3</x:v>
      </x:c>
      <x:c r="T31" s="1" t="str">
        <x:v>No</x:v>
      </x:c>
      <x:c r="U31" s="1" t="n">
        <x:v>0</x:v>
      </x:c>
    </x:row>
    <x:row r="32" ht="23" customHeight="1">
      <x:c r="A32" s="9" t="n">
        <x:v>31</x:v>
      </x:c>
      <x:c r="B32" s="9" t="n">
        <x:v>292</x:v>
      </x:c>
      <x:c r="C32" s="9" t="n">
        <x:v>1007</x:v>
      </x:c>
      <x:c r="D32" s="9" t="n">
        <x:v>2</x:v>
      </x:c>
      <x:c r="E32" s="9" t="n">
        <x:v>119483.00000000373</x:v>
      </x:c>
      <x:c r="F32" s="9" t="n">
        <x:v>26865.000000003725</x:v>
      </x:c>
      <x:c r="G32" s="9" t="n">
        <x:v>53040</x:v>
      </x:c>
      <x:c r="H32" s="9" t="n">
        <x:v>35250</x:v>
      </x:c>
      <x:c r="I32" s="9" t="n">
        <x:v>4221.999999996275</x:v>
      </x:c>
      <x:c r="J32" s="9" t="n">
        <x:v>106.00000000372529</x:v>
      </x:c>
      <x:c r="K32" s="9" t="n">
        <x:f>F32+G32+I32+J32</x:f>
        <x:v>84233.00000000373</x:v>
      </x:c>
      <x:c r="L32" s="10" t="n">
        <x:f>K32/Sources!$B$4*1000</x:f>
        <x:v>23.531761718319988</x:v>
      </x:c>
      <x:c r="M32" s="10" t="n">
        <x:f>E32/Sources!$B$4*1000</x:f>
        <x:v>33.379382016430505</x:v>
      </x:c>
      <x:c r="N32" s="9" t="n">
        <x:f>Sources!$B$6-K32</x:f>
        <x:v>-24497.000000003725</x:v>
      </x:c>
      <x:c r="O32" s="1" t="str">
        <x:v>continuous</x:v>
      </x:c>
      <x:c r="P32" s="12" t="n">
        <x:v>0</x:v>
      </x:c>
      <x:c r="Q32" s="12" t="n">
        <x:v>-4</x:v>
      </x:c>
      <x:c r="R32" s="12" t="n">
        <x:v>4</x:v>
      </x:c>
      <x:c r="S32" s="12" t="n">
        <x:v>7</x:v>
      </x:c>
      <x:c r="T32" s="1" t="str">
        <x:v>Yes</x:v>
      </x:c>
      <x:c r="U32" s="1" t="n">
        <x:v>0</x:v>
      </x:c>
    </x:row>
    <x:row r="33" ht="23" customHeight="1">
      <x:c r="A33" s="9" t="n">
        <x:v>32</x:v>
      </x:c>
      <x:c r="B33" s="9" t="n">
        <x:v>292</x:v>
      </x:c>
      <x:c r="C33" s="9" t="n">
        <x:v>1003</x:v>
      </x:c>
      <x:c r="D33" s="9" t="n">
        <x:v>2</x:v>
      </x:c>
      <x:c r="E33" s="9" t="n">
        <x:v>119464</x:v>
      </x:c>
      <x:c r="F33" s="9" t="n">
        <x:v>29440</x:v>
      </x:c>
      <x:c r="G33" s="9" t="n">
        <x:v>37139</x:v>
      </x:c>
      <x:c r="H33" s="9" t="n">
        <x:v>48565</x:v>
      </x:c>
      <x:c r="I33" s="9" t="n">
        <x:v>4214</x:v>
      </x:c>
      <x:c r="J33" s="9" t="n">
        <x:v>106</x:v>
      </x:c>
      <x:c r="K33" s="9" t="n">
        <x:f>F33+G33+I33+J33</x:f>
        <x:v>70899</x:v>
      </x:c>
      <x:c r="L33" s="10" t="n">
        <x:f>K33/Sources!$B$4*1000</x:f>
        <x:v>19.806707277042193</x:v>
      </x:c>
      <x:c r="M33" s="10" t="n">
        <x:f>E33/Sources!$B$4*1000</x:f>
        <x:v>33.3740740792475</x:v>
      </x:c>
      <x:c r="N33" s="9" t="n">
        <x:f>Sources!$B$6-K33</x:f>
        <x:v>-11163</x:v>
      </x:c>
      <x:c r="O33" s="1" t="str">
        <x:v>continuous</x:v>
      </x:c>
      <x:c r="P33" s="12" t="n">
        <x:v>0</x:v>
      </x:c>
      <x:c r="Q33" s="12" t="n">
        <x:v>-4</x:v>
      </x:c>
      <x:c r="R33" s="12" t="n">
        <x:v>4</x:v>
      </x:c>
      <x:c r="S33" s="12" t="n">
        <x:v>3</x:v>
      </x:c>
      <x:c r="T33" s="1" t="str">
        <x:v>No</x:v>
      </x:c>
      <x:c r="U33" s="1" t="n">
        <x:v>0</x:v>
      </x:c>
    </x:row>
    <x:row r="34" ht="23" customHeight="1">
      <x:c r="A34" s="9" t="n">
        <x:v>33</x:v>
      </x:c>
      <x:c r="B34" s="9" t="n">
        <x:v>292</x:v>
      </x:c>
      <x:c r="C34" s="9" t="n">
        <x:v>999</x:v>
      </x:c>
      <x:c r="D34" s="9" t="n">
        <x:v>2</x:v>
      </x:c>
      <x:c r="E34" s="9" t="n">
        <x:v>119477</x:v>
      </x:c>
      <x:c r="F34" s="9" t="n">
        <x:v>28154</x:v>
      </x:c>
      <x:c r="G34" s="9" t="n">
        <x:v>53040</x:v>
      </x:c>
      <x:c r="H34" s="9" t="n">
        <x:v>33955</x:v>
      </x:c>
      <x:c r="I34" s="9" t="n">
        <x:v>4222</x:v>
      </x:c>
      <x:c r="J34" s="9" t="n">
        <x:v>106</x:v>
      </x:c>
      <x:c r="K34" s="9" t="n">
        <x:f>F34+G34+I34+J34</x:f>
        <x:v>85522</x:v>
      </x:c>
      <x:c r="L34" s="10" t="n">
        <x:f>K34/Sources!$B$4*1000</x:f>
        <x:v>23.891863351347727</x:v>
      </x:c>
      <x:c r="M34" s="10" t="n">
        <x:f>E34/Sources!$B$4*1000</x:f>
        <x:v>33.37770582574042</x:v>
      </x:c>
      <x:c r="N34" s="9" t="n">
        <x:f>Sources!$B$6-K34</x:f>
        <x:v>-25786</x:v>
      </x:c>
      <x:c r="O34" s="1" t="str">
        <x:v>continuous</x:v>
      </x:c>
      <x:c r="P34" s="12" t="n">
        <x:v>0</x:v>
      </x:c>
      <x:c r="Q34" s="12" t="n">
        <x:v>-4</x:v>
      </x:c>
      <x:c r="R34" s="12" t="n">
        <x:v>4</x:v>
      </x:c>
      <x:c r="S34" s="12" t="n">
        <x:v>7</x:v>
      </x:c>
      <x:c r="T34" s="1" t="str">
        <x:v>Yes</x:v>
      </x:c>
      <x:c r="U34" s="1" t="n">
        <x:v>0</x:v>
      </x:c>
    </x:row>
    <x:row r="35" ht="23" customHeight="1">
      <x:c r="A35" s="9" t="n">
        <x:v>34</x:v>
      </x:c>
      <x:c r="B35" s="9" t="n">
        <x:v>292</x:v>
      </x:c>
      <x:c r="C35" s="9" t="n">
        <x:v>995</x:v>
      </x:c>
      <x:c r="D35" s="9" t="n">
        <x:v>2</x:v>
      </x:c>
      <x:c r="E35" s="9" t="n">
        <x:v>119466</x:v>
      </x:c>
      <x:c r="F35" s="9" t="n">
        <x:v>27682</x:v>
      </x:c>
      <x:c r="G35" s="9" t="n">
        <x:v>37139.000000003725</x:v>
      </x:c>
      <x:c r="H35" s="9" t="n">
        <x:v>50325</x:v>
      </x:c>
      <x:c r="I35" s="9" t="n">
        <x:v>4214.000000003725</x:v>
      </x:c>
      <x:c r="J35" s="9" t="n">
        <x:v>105.99999999254942</x:v>
      </x:c>
      <x:c r="K35" s="9" t="n">
        <x:f>F35+G35+I35+J35</x:f>
        <x:v>69141</x:v>
      </x:c>
      <x:c r="L35" s="10" t="n">
        <x:f>K35/Sources!$B$4*1000</x:f>
        <x:v>19.31558340515345</x:v>
      </x:c>
      <x:c r="M35" s="10" t="n">
        <x:f>E35/Sources!$B$4*1000</x:f>
        <x:v>33.374632809477184</x:v>
      </x:c>
      <x:c r="N35" s="9" t="n">
        <x:f>Sources!$B$6-K35</x:f>
        <x:v>-9405</x:v>
      </x:c>
      <x:c r="O35" s="1" t="str">
        <x:v>continuous</x:v>
      </x:c>
      <x:c r="P35" s="12" t="n">
        <x:v>0</x:v>
      </x:c>
      <x:c r="Q35" s="12" t="n">
        <x:v>-4</x:v>
      </x:c>
      <x:c r="R35" s="12" t="n">
        <x:v>4</x:v>
      </x:c>
      <x:c r="S35" s="12" t="n">
        <x:v>3</x:v>
      </x:c>
      <x:c r="T35" s="1" t="str">
        <x:v>No</x:v>
      </x:c>
      <x:c r="U35" s="1" t="n">
        <x:v>0</x:v>
      </x:c>
    </x:row>
    <x:row r="36" ht="23" customHeight="1">
      <x:c r="A36" s="9" t="n">
        <x:v>35</x:v>
      </x:c>
      <x:c r="B36" s="9" t="n">
        <x:v>292</x:v>
      </x:c>
      <x:c r="C36" s="9" t="n">
        <x:v>991</x:v>
      </x:c>
      <x:c r="D36" s="9" t="n">
        <x:v>2</x:v>
      </x:c>
      <x:c r="E36" s="9" t="n">
        <x:v>119480</x:v>
      </x:c>
      <x:c r="F36" s="9" t="n">
        <x:v>26887</x:v>
      </x:c>
      <x:c r="G36" s="9" t="n">
        <x:v>53040</x:v>
      </x:c>
      <x:c r="H36" s="9" t="n">
        <x:v>35225</x:v>
      </x:c>
      <x:c r="I36" s="9" t="n">
        <x:v>4222</x:v>
      </x:c>
      <x:c r="J36" s="9" t="n">
        <x:v>106</x:v>
      </x:c>
      <x:c r="K36" s="9" t="n">
        <x:f>F36+G36+I36+J36</x:f>
        <x:v>84255</x:v>
      </x:c>
      <x:c r="L36" s="10" t="n">
        <x:f>K36/Sources!$B$4*1000</x:f>
        <x:v>23.537907750845427</x:v>
      </x:c>
      <x:c r="M36" s="10" t="n">
        <x:f>E36/Sources!$B$4*1000</x:f>
        <x:v>33.37854392108494</x:v>
      </x:c>
      <x:c r="N36" s="9" t="n">
        <x:f>Sources!$B$6-K36</x:f>
        <x:v>-24519</x:v>
      </x:c>
      <x:c r="O36" s="1" t="str">
        <x:v>continuous</x:v>
      </x:c>
      <x:c r="P36" s="12" t="n">
        <x:v>0</x:v>
      </x:c>
      <x:c r="Q36" s="12" t="n">
        <x:v>-4</x:v>
      </x:c>
      <x:c r="R36" s="12" t="n">
        <x:v>4</x:v>
      </x:c>
      <x:c r="S36" s="12" t="n">
        <x:v>7</x:v>
      </x:c>
      <x:c r="T36" s="1" t="str">
        <x:v>Yes</x:v>
      </x:c>
      <x:c r="U36" s="1" t="n">
        <x:v>0</x:v>
      </x:c>
    </x:row>
    <x:row r="37" ht="23" customHeight="1">
      <x:c r="A37" s="9" t="n">
        <x:v>36</x:v>
      </x:c>
      <x:c r="B37" s="9" t="n">
        <x:v>292</x:v>
      </x:c>
      <x:c r="C37" s="9" t="n">
        <x:v>987</x:v>
      </x:c>
      <x:c r="D37" s="9" t="n">
        <x:v>2</x:v>
      </x:c>
      <x:c r="E37" s="9" t="n">
        <x:v>119460.99999999627</x:v>
      </x:c>
      <x:c r="F37" s="9" t="n">
        <x:v>27812</x:v>
      </x:c>
      <x:c r="G37" s="9" t="n">
        <x:v>37138.999999996275</x:v>
      </x:c>
      <x:c r="H37" s="9" t="n">
        <x:v>50190</x:v>
      </x:c>
      <x:c r="I37" s="9" t="n">
        <x:v>4214</x:v>
      </x:c>
      <x:c r="J37" s="9" t="n">
        <x:v>106</x:v>
      </x:c>
      <x:c r="K37" s="9" t="n">
        <x:f>F37+G37+I37+J37</x:f>
        <x:v>69270.99999999627</x:v>
      </x:c>
      <x:c r="L37" s="10" t="n">
        <x:f>K37/Sources!$B$4*1000</x:f>
        <x:v>19.35190087008161</x:v>
      </x:c>
      <x:c r="M37" s="10" t="n">
        <x:f>E37/Sources!$B$4*1000</x:f>
        <x:v>33.37323598390194</x:v>
      </x:c>
      <x:c r="N37" s="9" t="n">
        <x:f>Sources!$B$6-K37</x:f>
        <x:v>-9534.999999996275</x:v>
      </x:c>
      <x:c r="O37" s="1" t="str">
        <x:v>continuous</x:v>
      </x:c>
      <x:c r="P37" s="12" t="n">
        <x:v>0</x:v>
      </x:c>
      <x:c r="Q37" s="12" t="n">
        <x:v>-4</x:v>
      </x:c>
      <x:c r="R37" s="12" t="n">
        <x:v>4</x:v>
      </x:c>
      <x:c r="S37" s="12" t="n">
        <x:v>3</x:v>
      </x:c>
      <x:c r="T37" s="1" t="str">
        <x:v>No</x:v>
      </x:c>
      <x:c r="U37" s="1" t="n">
        <x:v>0</x:v>
      </x:c>
    </x:row>
    <x:row r="38" ht="23" customHeight="1">
      <x:c r="A38" s="9" t="n">
        <x:v>37</x:v>
      </x:c>
      <x:c r="B38" s="9" t="n">
        <x:v>292</x:v>
      </x:c>
      <x:c r="C38" s="9" t="n">
        <x:v>983</x:v>
      </x:c>
      <x:c r="D38" s="9" t="n">
        <x:v>2</x:v>
      </x:c>
      <x:c r="E38" s="9" t="n">
        <x:v>119482.00000000373</x:v>
      </x:c>
      <x:c r="F38" s="9" t="n">
        <x:v>28339</x:v>
      </x:c>
      <x:c r="G38" s="9" t="n">
        <x:v>53040</x:v>
      </x:c>
      <x:c r="H38" s="9" t="n">
        <x:v>33775</x:v>
      </x:c>
      <x:c r="I38" s="9" t="n">
        <x:v>4222</x:v>
      </x:c>
      <x:c r="J38" s="9" t="n">
        <x:v>106.00000000372529</x:v>
      </x:c>
      <x:c r="K38" s="9" t="n">
        <x:f>F38+G38+I38+J38</x:f>
        <x:v>85707.00000000373</x:v>
      </x:c>
      <x:c r="L38" s="10" t="n">
        <x:f>K38/Sources!$B$4*1000</x:f>
        <x:v>23.94354589759417</x:v>
      </x:c>
      <x:c r="M38" s="10" t="n">
        <x:f>E38/Sources!$B$4*1000</x:f>
        <x:v>33.37910265131566</x:v>
      </x:c>
      <x:c r="N38" s="9" t="n">
        <x:f>Sources!$B$6-K38</x:f>
        <x:v>-25971.000000003725</x:v>
      </x:c>
      <x:c r="O38" s="1" t="str">
        <x:v>continuous</x:v>
      </x:c>
      <x:c r="P38" s="12" t="n">
        <x:v>0</x:v>
      </x:c>
      <x:c r="Q38" s="12" t="n">
        <x:v>-4</x:v>
      </x:c>
      <x:c r="R38" s="12" t="n">
        <x:v>4</x:v>
      </x:c>
      <x:c r="S38" s="12" t="n">
        <x:v>7</x:v>
      </x:c>
      <x:c r="T38" s="1" t="str">
        <x:v>Yes</x:v>
      </x:c>
      <x:c r="U38" s="1" t="n">
        <x:v>0</x:v>
      </x:c>
    </x:row>
    <x:row r="39" ht="23" customHeight="1">
      <x:c r="A39" s="9" t="n">
        <x:v>38</x:v>
      </x:c>
      <x:c r="B39" s="9" t="n">
        <x:v>292</x:v>
      </x:c>
      <x:c r="C39" s="9" t="n">
        <x:v>979</x:v>
      </x:c>
      <x:c r="D39" s="9" t="n">
        <x:v>2</x:v>
      </x:c>
      <x:c r="E39" s="9" t="n">
        <x:v>119465</x:v>
      </x:c>
      <x:c r="F39" s="9" t="n">
        <x:v>27725.999999996275</x:v>
      </x:c>
      <x:c r="G39" s="9" t="n">
        <x:v>37139.000000003725</x:v>
      </x:c>
      <x:c r="H39" s="9" t="n">
        <x:v>50280.000000003725</x:v>
      </x:c>
      <x:c r="I39" s="9" t="n">
        <x:v>4214</x:v>
      </x:c>
      <x:c r="J39" s="9" t="n">
        <x:v>105.99999999627471</x:v>
      </x:c>
      <x:c r="K39" s="9" t="n">
        <x:f>F39+G39+I39+J39</x:f>
        <x:v>69184.99999999627</x:v>
      </x:c>
      <x:c r="L39" s="10" t="n">
        <x:f>K39/Sources!$B$4*1000</x:f>
        <x:v>19.32787547020537</x:v>
      </x:c>
      <x:c r="M39" s="10" t="n">
        <x:f>E39/Sources!$B$4*1000</x:f>
        <x:v>33.37435344436234</x:v>
      </x:c>
      <x:c r="N39" s="9" t="n">
        <x:f>Sources!$B$6-K39</x:f>
        <x:v>-9448.999999996275</x:v>
      </x:c>
      <x:c r="O39" s="1" t="str">
        <x:v>continuous</x:v>
      </x:c>
      <x:c r="P39" s="12" t="n">
        <x:v>0</x:v>
      </x:c>
      <x:c r="Q39" s="12" t="n">
        <x:v>-4</x:v>
      </x:c>
      <x:c r="R39" s="12" t="n">
        <x:v>4</x:v>
      </x:c>
      <x:c r="S39" s="12" t="n">
        <x:v>3</x:v>
      </x:c>
      <x:c r="T39" s="1" t="str">
        <x:v>No</x:v>
      </x:c>
      <x:c r="U39" s="1" t="n">
        <x:v>0</x:v>
      </x:c>
    </x:row>
    <x:row r="40" ht="23" customHeight="1">
      <x:c r="A40" s="9" t="n">
        <x:v>39</x:v>
      </x:c>
      <x:c r="B40" s="9" t="n">
        <x:v>292</x:v>
      </x:c>
      <x:c r="C40" s="9" t="n">
        <x:v>975</x:v>
      </x:c>
      <x:c r="D40" s="9" t="n">
        <x:v>2</x:v>
      </x:c>
      <x:c r="E40" s="9" t="n">
        <x:v>119477</x:v>
      </x:c>
      <x:c r="F40" s="9" t="n">
        <x:v>28023.999999996275</x:v>
      </x:c>
      <x:c r="G40" s="9" t="n">
        <x:v>53040</x:v>
      </x:c>
      <x:c r="H40" s="9" t="n">
        <x:v>34085</x:v>
      </x:c>
      <x:c r="I40" s="9" t="n">
        <x:v>4222</x:v>
      </x:c>
      <x:c r="J40" s="9" t="n">
        <x:v>106.00000000372529</x:v>
      </x:c>
      <x:c r="K40" s="9" t="n">
        <x:f>F40+G40+I40+J40</x:f>
        <x:v>85392</x:v>
      </x:c>
      <x:c r="L40" s="10" t="n">
        <x:f>K40/Sources!$B$4*1000</x:f>
        <x:v>23.855545886418525</x:v>
      </x:c>
      <x:c r="M40" s="10" t="n">
        <x:f>E40/Sources!$B$4*1000</x:f>
        <x:v>33.37770582574042</x:v>
      </x:c>
      <x:c r="N40" s="9" t="n">
        <x:f>Sources!$B$6-K40</x:f>
        <x:v>-25656</x:v>
      </x:c>
      <x:c r="O40" s="1" t="str">
        <x:v>continuous</x:v>
      </x:c>
      <x:c r="P40" s="12" t="n">
        <x:v>0</x:v>
      </x:c>
      <x:c r="Q40" s="12" t="n">
        <x:v>-4</x:v>
      </x:c>
      <x:c r="R40" s="12" t="n">
        <x:v>4</x:v>
      </x:c>
      <x:c r="S40" s="12" t="n">
        <x:v>7</x:v>
      </x:c>
      <x:c r="T40" s="1" t="str">
        <x:v>Yes</x:v>
      </x:c>
      <x:c r="U40" s="1" t="n">
        <x:v>0</x:v>
      </x:c>
    </x:row>
    <x:row r="41" ht="23" customHeight="1">
      <x:c r="A41" s="9" t="n">
        <x:v>40</x:v>
      </x:c>
      <x:c r="B41" s="9" t="n">
        <x:v>292</x:v>
      </x:c>
      <x:c r="C41" s="9" t="n">
        <x:v>971</x:v>
      </x:c>
      <x:c r="D41" s="9" t="n">
        <x:v>2</x:v>
      </x:c>
      <x:c r="E41" s="9" t="n">
        <x:v>119465</x:v>
      </x:c>
      <x:c r="F41" s="9" t="n">
        <x:v>27805.999999996275</x:v>
      </x:c>
      <x:c r="G41" s="9" t="n">
        <x:v>37138.999999996275</x:v>
      </x:c>
      <x:c r="H41" s="9" t="n">
        <x:v>50200.000000003725</x:v>
      </x:c>
      <x:c r="I41" s="9" t="n">
        <x:v>4214</x:v>
      </x:c>
      <x:c r="J41" s="9" t="n">
        <x:v>106.00000000372529</x:v>
      </x:c>
      <x:c r="K41" s="9" t="n">
        <x:f>F41+G41+I41+J41</x:f>
        <x:v>69264.99999999627</x:v>
      </x:c>
      <x:c r="L41" s="10" t="n">
        <x:f>K41/Sources!$B$4*1000</x:f>
        <x:v>19.350224679392568</x:v>
      </x:c>
      <x:c r="M41" s="10" t="n">
        <x:f>E41/Sources!$B$4*1000</x:f>
        <x:v>33.37435344436234</x:v>
      </x:c>
      <x:c r="N41" s="9" t="n">
        <x:f>Sources!$B$6-K41</x:f>
        <x:v>-9528.999999996275</x:v>
      </x:c>
      <x:c r="O41" s="1" t="str">
        <x:v>continuous</x:v>
      </x:c>
      <x:c r="P41" s="12" t="n">
        <x:v>0</x:v>
      </x:c>
      <x:c r="Q41" s="12" t="n">
        <x:v>-4</x:v>
      </x:c>
      <x:c r="R41" s="12" t="n">
        <x:v>4</x:v>
      </x:c>
      <x:c r="S41" s="12" t="n">
        <x:v>3</x:v>
      </x:c>
      <x:c r="T41" s="1" t="str">
        <x:v>No</x:v>
      </x:c>
      <x:c r="U41" s="1" t="n">
        <x:v>0</x:v>
      </x:c>
    </x:row>
    <x:row r="42" ht="23" customHeight="1">
      <x:c r="A42" s="9" t="n">
        <x:v>41</x:v>
      </x:c>
      <x:c r="B42" s="9" t="n">
        <x:v>292</x:v>
      </x:c>
      <x:c r="C42" s="9" t="n">
        <x:v>967</x:v>
      </x:c>
      <x:c r="D42" s="9" t="n">
        <x:v>2</x:v>
      </x:c>
      <x:c r="E42" s="9" t="n">
        <x:v>119478.99999999627</x:v>
      </x:c>
      <x:c r="F42" s="9" t="n">
        <x:v>29556</x:v>
      </x:c>
      <x:c r="G42" s="9" t="n">
        <x:v>53040</x:v>
      </x:c>
      <x:c r="H42" s="9" t="n">
        <x:v>32555</x:v>
      </x:c>
      <x:c r="I42" s="9" t="n">
        <x:v>4222</x:v>
      </x:c>
      <x:c r="J42" s="9" t="n">
        <x:v>105.99999999627471</x:v>
      </x:c>
      <x:c r="K42" s="9" t="n">
        <x:f>F42+G42+I42+J42</x:f>
        <x:v>86923.99999999627</x:v>
      </x:c>
      <x:c r="L42" s="10" t="n">
        <x:f>K42/Sources!$B$4*1000</x:f>
        <x:v>24.283533242352387</x:v>
      </x:c>
      <x:c r="M42" s="10" t="n">
        <x:f>E42/Sources!$B$4*1000</x:f>
        <x:v>33.37826455596906</x:v>
      </x:c>
      <x:c r="N42" s="9" t="n">
        <x:f>Sources!$B$6-K42</x:f>
        <x:v>-27187.999999996275</x:v>
      </x:c>
      <x:c r="O42" s="1" t="str">
        <x:v>continuous</x:v>
      </x:c>
      <x:c r="P42" s="12" t="n">
        <x:v>0</x:v>
      </x:c>
      <x:c r="Q42" s="12" t="n">
        <x:v>-4</x:v>
      </x:c>
      <x:c r="R42" s="12" t="n">
        <x:v>4</x:v>
      </x:c>
      <x:c r="S42" s="12" t="n">
        <x:v>7</x:v>
      </x:c>
      <x:c r="T42" s="1" t="str">
        <x:v>Yes</x:v>
      </x:c>
      <x:c r="U42" s="1" t="n">
        <x:v>0</x:v>
      </x:c>
    </x:row>
    <x:row r="43" ht="23" customHeight="1">
      <x:c r="A43" s="9" t="n">
        <x:v>42</x:v>
      </x:c>
      <x:c r="B43" s="9" t="n">
        <x:v>292</x:v>
      </x:c>
      <x:c r="C43" s="9" t="n">
        <x:v>963</x:v>
      </x:c>
      <x:c r="D43" s="9" t="n">
        <x:v>2</x:v>
      </x:c>
      <x:c r="E43" s="9" t="n">
        <x:v>119465.00000000373</x:v>
      </x:c>
      <x:c r="F43" s="9" t="n">
        <x:v>27706.000000003725</x:v>
      </x:c>
      <x:c r="G43" s="9" t="n">
        <x:v>37139.000000003725</x:v>
      </x:c>
      <x:c r="H43" s="9" t="n">
        <x:v>50300</x:v>
      </x:c>
      <x:c r="I43" s="9" t="n">
        <x:v>4213.999999996275</x:v>
      </x:c>
      <x:c r="J43" s="9" t="n">
        <x:v>106</x:v>
      </x:c>
      <x:c r="K43" s="9" t="n">
        <x:f>F43+G43+I43+J43</x:f>
        <x:v>69165.00000000373</x:v>
      </x:c>
      <x:c r="L43" s="10" t="n">
        <x:f>K43/Sources!$B$4*1000</x:f>
        <x:v>19.32228816791065</x:v>
      </x:c>
      <x:c r="M43" s="10" t="n">
        <x:f>E43/Sources!$B$4*1000</x:f>
        <x:v>33.37435344436338</x:v>
      </x:c>
      <x:c r="N43" s="9" t="n">
        <x:f>Sources!$B$6-K43</x:f>
        <x:v>-9429.000000003725</x:v>
      </x:c>
      <x:c r="O43" s="1" t="str">
        <x:v>continuous</x:v>
      </x:c>
      <x:c r="P43" s="12" t="n">
        <x:v>0</x:v>
      </x:c>
      <x:c r="Q43" s="12" t="n">
        <x:v>-4</x:v>
      </x:c>
      <x:c r="R43" s="12" t="n">
        <x:v>4</x:v>
      </x:c>
      <x:c r="S43" s="12" t="n">
        <x:v>3</x:v>
      </x:c>
      <x:c r="T43" s="1" t="str">
        <x:v>No</x:v>
      </x:c>
      <x:c r="U43" s="1" t="n">
        <x:v>0</x:v>
      </x:c>
    </x:row>
    <x:row r="44" ht="23" customHeight="1">
      <x:c r="A44" s="9" t="n">
        <x:v>43</x:v>
      </x:c>
      <x:c r="B44" s="9" t="n">
        <x:v>292</x:v>
      </x:c>
      <x:c r="C44" s="9" t="n">
        <x:v>959</x:v>
      </x:c>
      <x:c r="D44" s="9" t="n">
        <x:v>2</x:v>
      </x:c>
      <x:c r="E44" s="9" t="n">
        <x:v>119480</x:v>
      </x:c>
      <x:c r="F44" s="9" t="n">
        <x:v>26847</x:v>
      </x:c>
      <x:c r="G44" s="9" t="n">
        <x:v>53040</x:v>
      </x:c>
      <x:c r="H44" s="9" t="n">
        <x:v>35265</x:v>
      </x:c>
      <x:c r="I44" s="9" t="n">
        <x:v>4221.999999996275</x:v>
      </x:c>
      <x:c r="J44" s="9" t="n">
        <x:v>106.00000000372529</x:v>
      </x:c>
      <x:c r="K44" s="9" t="n">
        <x:f>F44+G44+I44+J44</x:f>
        <x:v>84215</x:v>
      </x:c>
      <x:c r="L44" s="10" t="n">
        <x:f>K44/Sources!$B$4*1000</x:f>
        <x:v>23.52673314625183</x:v>
      </x:c>
      <x:c r="M44" s="10" t="n">
        <x:f>E44/Sources!$B$4*1000</x:f>
        <x:v>33.37854392108494</x:v>
      </x:c>
      <x:c r="N44" s="9" t="n">
        <x:f>Sources!$B$6-K44</x:f>
        <x:v>-24479</x:v>
      </x:c>
      <x:c r="O44" s="1" t="str">
        <x:v>continuous</x:v>
      </x:c>
      <x:c r="P44" s="12" t="n">
        <x:v>0</x:v>
      </x:c>
      <x:c r="Q44" s="12" t="n">
        <x:v>-4</x:v>
      </x:c>
      <x:c r="R44" s="12" t="n">
        <x:v>4</x:v>
      </x:c>
      <x:c r="S44" s="12" t="n">
        <x:v>7</x:v>
      </x:c>
      <x:c r="T44" s="1" t="str">
        <x:v>Yes</x:v>
      </x:c>
      <x:c r="U44" s="1" t="n">
        <x:v>0</x:v>
      </x:c>
    </x:row>
    <x:row r="45" ht="23" customHeight="1">
      <x:c r="A45" s="9" t="n">
        <x:v>44</x:v>
      </x:c>
      <x:c r="B45" s="9" t="n">
        <x:v>292</x:v>
      </x:c>
      <x:c r="C45" s="9" t="n">
        <x:v>955</x:v>
      </x:c>
      <x:c r="D45" s="9" t="n">
        <x:v>2</x:v>
      </x:c>
      <x:c r="E45" s="9" t="n">
        <x:v>119463</x:v>
      </x:c>
      <x:c r="F45" s="9" t="n">
        <x:v>27813.999999996275</x:v>
      </x:c>
      <x:c r="G45" s="9" t="n">
        <x:v>37139.000000003725</x:v>
      </x:c>
      <x:c r="H45" s="9" t="n">
        <x:v>50190.000000003725</x:v>
      </x:c>
      <x:c r="I45" s="9" t="n">
        <x:v>4214</x:v>
      </x:c>
      <x:c r="J45" s="9" t="n">
        <x:v>105.99999999627471</x:v>
      </x:c>
      <x:c r="K45" s="9" t="n">
        <x:f>F45+G45+I45+J45</x:f>
        <x:v>69272.99999999627</x:v>
      </x:c>
      <x:c r="L45" s="10" t="n">
        <x:f>K45/Sources!$B$4*1000</x:f>
        <x:v>19.35245960031129</x:v>
      </x:c>
      <x:c r="M45" s="10" t="n">
        <x:f>E45/Sources!$B$4*1000</x:f>
        <x:v>33.373794714132664</x:v>
      </x:c>
      <x:c r="N45" s="9" t="n">
        <x:f>Sources!$B$6-K45</x:f>
        <x:v>-9536.999999996275</x:v>
      </x:c>
      <x:c r="O45" s="1" t="str">
        <x:v>continuous</x:v>
      </x:c>
      <x:c r="P45" s="12" t="n">
        <x:v>0</x:v>
      </x:c>
      <x:c r="Q45" s="12" t="n">
        <x:v>-4</x:v>
      </x:c>
      <x:c r="R45" s="12" t="n">
        <x:v>4</x:v>
      </x:c>
      <x:c r="S45" s="12" t="n">
        <x:v>3</x:v>
      </x:c>
      <x:c r="T45" s="1" t="str">
        <x:v>No</x:v>
      </x:c>
      <x:c r="U45" s="1" t="n">
        <x:v>0</x:v>
      </x:c>
    </x:row>
    <x:row r="46" ht="23" customHeight="1">
      <x:c r="A46" s="9" t="n">
        <x:v>45</x:v>
      </x:c>
      <x:c r="B46" s="9" t="n">
        <x:v>292</x:v>
      </x:c>
      <x:c r="C46" s="9" t="n">
        <x:v>951</x:v>
      </x:c>
      <x:c r="D46" s="9" t="n">
        <x:v>2</x:v>
      </x:c>
      <x:c r="E46" s="9" t="n">
        <x:v>119483</x:v>
      </x:c>
      <x:c r="F46" s="9" t="n">
        <x:v>26870.000000003725</x:v>
      </x:c>
      <x:c r="G46" s="9" t="n">
        <x:v>53040</x:v>
      </x:c>
      <x:c r="H46" s="9" t="n">
        <x:v>35245</x:v>
      </x:c>
      <x:c r="I46" s="9" t="n">
        <x:v>4222</x:v>
      </x:c>
      <x:c r="J46" s="9" t="n">
        <x:v>105.99999999627471</x:v>
      </x:c>
      <x:c r="K46" s="9" t="n">
        <x:f>F46+G46+I46+J46</x:f>
        <x:v>84238</x:v>
      </x:c>
      <x:c r="L46" s="10" t="n">
        <x:f>K46/Sources!$B$4*1000</x:f>
        <x:v>23.533158543893148</x:v>
      </x:c>
      <x:c r="M46" s="10" t="n">
        <x:f>E46/Sources!$B$4*1000</x:f>
        <x:v>33.37938201642946</x:v>
      </x:c>
      <x:c r="N46" s="9" t="n">
        <x:f>Sources!$B$6-K46</x:f>
        <x:v>-24502</x:v>
      </x:c>
      <x:c r="O46" s="1" t="str">
        <x:v>continuous</x:v>
      </x:c>
      <x:c r="P46" s="12" t="n">
        <x:v>0</x:v>
      </x:c>
      <x:c r="Q46" s="12" t="n">
        <x:v>-4</x:v>
      </x:c>
      <x:c r="R46" s="12" t="n">
        <x:v>4</x:v>
      </x:c>
      <x:c r="S46" s="12" t="n">
        <x:v>7</x:v>
      </x:c>
      <x:c r="T46" s="1" t="str">
        <x:v>Yes</x:v>
      </x:c>
      <x:c r="U46" s="1" t="n">
        <x:v>0</x:v>
      </x:c>
    </x:row>
    <x:row r="47" ht="23" customHeight="1">
      <x:c r="A47" s="9" t="n">
        <x:v>46</x:v>
      </x:c>
      <x:c r="B47" s="9" t="n">
        <x:v>292</x:v>
      </x:c>
      <x:c r="C47" s="9" t="n">
        <x:v>947</x:v>
      </x:c>
      <x:c r="D47" s="9" t="n">
        <x:v>2</x:v>
      </x:c>
      <x:c r="E47" s="9" t="n">
        <x:v>119465</x:v>
      </x:c>
      <x:c r="F47" s="9" t="n">
        <x:v>29151</x:v>
      </x:c>
      <x:c r="G47" s="9" t="n">
        <x:v>37139</x:v>
      </x:c>
      <x:c r="H47" s="9" t="n">
        <x:v>48855</x:v>
      </x:c>
      <x:c r="I47" s="9" t="n">
        <x:v>4214</x:v>
      </x:c>
      <x:c r="J47" s="9" t="n">
        <x:v>106</x:v>
      </x:c>
      <x:c r="K47" s="9" t="n">
        <x:f>F47+G47+I47+J47</x:f>
        <x:v>70610</x:v>
      </x:c>
      <x:c r="L47" s="10" t="n">
        <x:f>K47/Sources!$B$4*1000</x:f>
        <x:v>19.725970758853432</x:v>
      </x:c>
      <x:c r="M47" s="10" t="n">
        <x:f>E47/Sources!$B$4*1000</x:f>
        <x:v>33.37435344436234</x:v>
      </x:c>
      <x:c r="N47" s="9" t="n">
        <x:f>Sources!$B$6-K47</x:f>
        <x:v>-10874</x:v>
      </x:c>
      <x:c r="O47" s="1" t="str">
        <x:v>continuous</x:v>
      </x:c>
      <x:c r="P47" s="12" t="n">
        <x:v>0</x:v>
      </x:c>
      <x:c r="Q47" s="12" t="n">
        <x:v>-4</x:v>
      </x:c>
      <x:c r="R47" s="12" t="n">
        <x:v>4</x:v>
      </x:c>
      <x:c r="S47" s="12" t="n">
        <x:v>3</x:v>
      </x:c>
      <x:c r="T47" s="1" t="str">
        <x:v>No</x:v>
      </x:c>
      <x:c r="U47" s="1" t="n">
        <x:v>0</x:v>
      </x:c>
    </x:row>
    <x:row r="48" ht="23" customHeight="1">
      <x:c r="A48" s="9" t="n">
        <x:v>47</x:v>
      </x:c>
      <x:c r="B48" s="9" t="n">
        <x:v>292</x:v>
      </x:c>
      <x:c r="C48" s="9" t="n">
        <x:v>943</x:v>
      </x:c>
      <x:c r="D48" s="9" t="n">
        <x:v>2</x:v>
      </x:c>
      <x:c r="E48" s="9" t="n">
        <x:v>119478</x:v>
      </x:c>
      <x:c r="F48" s="9" t="n">
        <x:v>28140</x:v>
      </x:c>
      <x:c r="G48" s="9" t="n">
        <x:v>53040</x:v>
      </x:c>
      <x:c r="H48" s="9" t="n">
        <x:v>33970</x:v>
      </x:c>
      <x:c r="I48" s="9" t="n">
        <x:v>4221.999999996275</x:v>
      </x:c>
      <x:c r="J48" s="9" t="n">
        <x:v>106.00000000372529</x:v>
      </x:c>
      <x:c r="K48" s="9" t="n">
        <x:f>F48+G48+I48+J48</x:f>
        <x:v>85508</x:v>
      </x:c>
      <x:c r="L48" s="10" t="n">
        <x:f>K48/Sources!$B$4*1000</x:f>
        <x:v>23.887952239739967</x:v>
      </x:c>
      <x:c r="M48" s="10" t="n">
        <x:f>E48/Sources!$B$4*1000</x:f>
        <x:v>33.37798519085526</x:v>
      </x:c>
      <x:c r="N48" s="9" t="n">
        <x:f>Sources!$B$6-K48</x:f>
        <x:v>-25772</x:v>
      </x:c>
      <x:c r="O48" s="1" t="str">
        <x:v>continuous</x:v>
      </x:c>
      <x:c r="P48" s="12" t="n">
        <x:v>0</x:v>
      </x:c>
      <x:c r="Q48" s="12" t="n">
        <x:v>-4</x:v>
      </x:c>
      <x:c r="R48" s="12" t="n">
        <x:v>4</x:v>
      </x:c>
      <x:c r="S48" s="12" t="n">
        <x:v>7</x:v>
      </x:c>
      <x:c r="T48" s="1" t="str">
        <x:v>Yes</x:v>
      </x:c>
      <x:c r="U48" s="1" t="n">
        <x:v>0</x:v>
      </x:c>
    </x:row>
    <x:row r="49" ht="23" customHeight="1">
      <x:c r="A49" s="9" t="n">
        <x:v>48</x:v>
      </x:c>
      <x:c r="B49" s="9" t="n">
        <x:v>292</x:v>
      </x:c>
      <x:c r="C49" s="9" t="n">
        <x:v>939</x:v>
      </x:c>
      <x:c r="D49" s="9" t="n">
        <x:v>2</x:v>
      </x:c>
      <x:c r="E49" s="9" t="n">
        <x:v>119464</x:v>
      </x:c>
      <x:c r="F49" s="9" t="n">
        <x:v>30210</x:v>
      </x:c>
      <x:c r="G49" s="9" t="n">
        <x:v>37139.000000003725</x:v>
      </x:c>
      <x:c r="H49" s="9" t="n">
        <x:v>47795</x:v>
      </x:c>
      <x:c r="I49" s="9" t="n">
        <x:v>4214</x:v>
      </x:c>
      <x:c r="J49" s="9" t="n">
        <x:v>105.99999999627471</x:v>
      </x:c>
      <x:c r="K49" s="9" t="n">
        <x:f>F49+G49+I49+J49</x:f>
        <x:v>71669</x:v>
      </x:c>
      <x:c r="L49" s="10" t="n">
        <x:f>K49/Sources!$B$4*1000</x:f>
        <x:v>20.021818415469006</x:v>
      </x:c>
      <x:c r="M49" s="10" t="n">
        <x:f>E49/Sources!$B$4*1000</x:f>
        <x:v>33.3740740792475</x:v>
      </x:c>
      <x:c r="N49" s="9" t="n">
        <x:f>Sources!$B$6-K49</x:f>
        <x:v>-11933</x:v>
      </x:c>
      <x:c r="O49" s="1" t="str">
        <x:v>continuous</x:v>
      </x:c>
      <x:c r="P49" s="12" t="n">
        <x:v>0</x:v>
      </x:c>
      <x:c r="Q49" s="12" t="n">
        <x:v>-4</x:v>
      </x:c>
      <x:c r="R49" s="12" t="n">
        <x:v>4</x:v>
      </x:c>
      <x:c r="S49" s="12" t="n">
        <x:v>3</x:v>
      </x:c>
      <x:c r="T49" s="1" t="str">
        <x:v>No</x:v>
      </x:c>
      <x:c r="U49" s="1" t="n">
        <x:v>0</x:v>
      </x:c>
    </x:row>
    <x:row r="50" ht="23" customHeight="1">
      <x:c r="A50" s="9" t="n">
        <x:v>49</x:v>
      </x:c>
      <x:c r="B50" s="9" t="n">
        <x:v>296</x:v>
      </x:c>
      <x:c r="C50" s="9" t="n">
        <x:v>939</x:v>
      </x:c>
      <x:c r="D50" s="9" t="n">
        <x:v>2</x:v>
      </x:c>
      <x:c r="E50" s="9" t="n">
        <x:v>179214.99999999627</x:v>
      </x:c>
      <x:c r="F50" s="9" t="n">
        <x:v>27897</x:v>
      </x:c>
      <x:c r="G50" s="9" t="n">
        <x:v>99455</x:v>
      </x:c>
      <x:c r="H50" s="9" t="n">
        <x:v>47535</x:v>
      </x:c>
      <x:c r="I50" s="9" t="n">
        <x:v>4222.000000003725</x:v>
      </x:c>
      <x:c r="J50" s="9" t="n">
        <x:v>105.99999999254942</x:v>
      </x:c>
      <x:c r="K50" s="9" t="n">
        <x:f>F50+G50+I50+J50</x:f>
        <x:v>131679.99999999627</x:v>
      </x:c>
      <x:c r="L50" s="10" t="n">
        <x:f>K50/Sources!$B$4*1000</x:f>
        <x:v>36.78679832213208</x:v>
      </x:c>
      <x:c r="M50" s="10" t="n">
        <x:f>E50/Sources!$B$4*1000</x:f>
        <x:v>50.06641905605217</x:v>
      </x:c>
      <x:c r="N50" s="9" t="n">
        <x:f>Sources!$B$6-K50</x:f>
        <x:v>-71943.99999999627</x:v>
      </x:c>
      <x:c r="O50" s="1" t="str">
        <x:v>continuous</x:v>
      </x:c>
      <x:c r="P50" s="12" t="n">
        <x:v>4</x:v>
      </x:c>
      <x:c r="Q50" s="12" t="n">
        <x:v>0</x:v>
      </x:c>
      <x:c r="R50" s="12" t="n">
        <x:v>0</x:v>
      </x:c>
      <x:c r="S50" s="12" t="n">
        <x:v>3</x:v>
      </x:c>
      <x:c r="T50" s="1" t="str">
        <x:v>Yes</x:v>
      </x:c>
      <x:c r="U50" s="1" t="n">
        <x:v>0</x:v>
      </x:c>
    </x:row>
    <x:row r="51" ht="23" customHeight="1">
      <x:c r="A51" s="9" t="n">
        <x:v>50</x:v>
      </x:c>
      <x:c r="B51" s="9" t="n">
        <x:v>304</x:v>
      </x:c>
      <x:c r="C51" s="9" t="n">
        <x:v>939</x:v>
      </x:c>
      <x:c r="D51" s="9" t="n">
        <x:v>3</x:v>
      </x:c>
      <x:c r="E51" s="9" t="n">
        <x:v>182022</x:v>
      </x:c>
      <x:c r="F51" s="9" t="n">
        <x:v>56921</x:v>
      </x:c>
      <x:c r="G51" s="9" t="n">
        <x:v>112754.99999999627</x:v>
      </x:c>
      <x:c r="H51" s="9" t="n">
        <x:v>5205</x:v>
      </x:c>
      <x:c r="I51" s="9" t="n">
        <x:v>7035</x:v>
      </x:c>
      <x:c r="J51" s="9" t="n">
        <x:v>106.00000000372529</x:v>
      </x:c>
      <x:c r="K51" s="9" t="n">
        <x:f>F51+G51+I51+J51</x:f>
        <x:v>176817</x:v>
      </x:c>
      <x:c r="L51" s="10" t="n">
        <x:f>K51/Sources!$B$4*1000</x:f>
        <x:v>49.39650151066686</x:v>
      </x:c>
      <x:c r="M51" s="10" t="n">
        <x:f>E51/Sources!$B$4*1000</x:f>
        <x:v>50.850596933409136</x:v>
      </x:c>
      <x:c r="N51" s="9" t="n">
        <x:f>Sources!$B$6-K51</x:f>
        <x:v>-117081</x:v>
      </x:c>
      <x:c r="O51" s="1" t="str">
        <x:v>continuous</x:v>
      </x:c>
      <x:c r="P51" s="12" t="n">
        <x:v>8</x:v>
      </x:c>
      <x:c r="Q51" s="12" t="n">
        <x:v>0</x:v>
      </x:c>
      <x:c r="R51" s="12" t="n">
        <x:v>0</x:v>
      </x:c>
      <x:c r="S51" s="12" t="n">
        <x:v>3</x:v>
      </x:c>
      <x:c r="T51" s="1" t="str">
        <x:v>Yes</x:v>
      </x:c>
      <x:c r="U51" s="1" t="n">
        <x:v>0</x:v>
      </x:c>
    </x:row>
    <x:row r="52" ht="23" customHeight="1">
      <x:c r="A52" s="9" t="n">
        <x:v>51</x:v>
      </x:c>
      <x:c r="B52" s="9" t="n">
        <x:v>308</x:v>
      </x:c>
      <x:c r="C52" s="9" t="n">
        <x:v>939</x:v>
      </x:c>
      <x:c r="D52" s="9" t="n">
        <x:v>3</x:v>
      </x:c>
      <x:c r="E52" s="9" t="n">
        <x:v>176395</x:v>
      </x:c>
      <x:c r="F52" s="9" t="n">
        <x:v>33308</x:v>
      </x:c>
      <x:c r="G52" s="9" t="n">
        <x:v>88709.00000000373</x:v>
      </x:c>
      <x:c r="H52" s="9" t="n">
        <x:v>50050.000000003725</x:v>
      </x:c>
      <x:c r="I52" s="9" t="n">
        <x:v>4222</x:v>
      </x:c>
      <x:c r="J52" s="9" t="n">
        <x:v>105.99999999254942</x:v>
      </x:c>
      <x:c r="K52" s="9" t="n">
        <x:f>F52+G52+I52+J52</x:f>
        <x:v>126344.99999999627</x:v>
      </x:c>
      <x:c r="L52" s="10" t="n">
        <x:f>K52/Sources!$B$4*1000</x:f>
        <x:v>35.296385434460596</x:v>
      </x:c>
      <x:c r="M52" s="10" t="n">
        <x:f>E52/Sources!$B$4*1000</x:f>
        <x:v>49.27860943220437</x:v>
      </x:c>
      <x:c r="N52" s="9" t="n">
        <x:f>Sources!$B$6-K52</x:f>
        <x:v>-66608.99999999627</x:v>
      </x:c>
      <x:c r="O52" s="1" t="str">
        <x:v>continuous</x:v>
      </x:c>
      <x:c r="P52" s="12" t="n">
        <x:v>4</x:v>
      </x:c>
      <x:c r="Q52" s="12" t="n">
        <x:v>0</x:v>
      </x:c>
      <x:c r="R52" s="12" t="n">
        <x:v>4</x:v>
      </x:c>
      <x:c r="S52" s="12" t="n">
        <x:v>3</x:v>
      </x:c>
      <x:c r="T52" s="1" t="str">
        <x:v>No</x:v>
      </x:c>
      <x:c r="U52" s="1" t="n">
        <x:v>0</x:v>
      </x:c>
    </x:row>
    <x:row r="53" ht="23" customHeight="1">
      <x:c r="A53" s="9" t="n">
        <x:v>52</x:v>
      </x:c>
      <x:c r="B53" s="9" t="n">
        <x:v>316</x:v>
      </x:c>
      <x:c r="C53" s="9" t="n">
        <x:v>939</x:v>
      </x:c>
      <x:c r="D53" s="9" t="n">
        <x:v>3</x:v>
      </x:c>
      <x:c r="E53" s="9" t="n">
        <x:v>179199.00000000373</x:v>
      </x:c>
      <x:c r="F53" s="9" t="n">
        <x:v>37660.000000003725</x:v>
      </x:c>
      <x:c r="G53" s="9" t="n">
        <x:v>127104.00000000373</x:v>
      </x:c>
      <x:c r="H53" s="9" t="n">
        <x:v>10115</x:v>
      </x:c>
      <x:c r="I53" s="9" t="n">
        <x:v>4214.000000003725</x:v>
      </x:c>
      <x:c r="J53" s="9" t="n">
        <x:v>105.99999999254942</x:v>
      </x:c>
      <x:c r="K53" s="9" t="n">
        <x:f>F53+G53+I53+J53</x:f>
        <x:v>169084.00000000373</x:v>
      </x:c>
      <x:c r="L53" s="10" t="n">
        <x:f>K53/Sources!$B$4*1000</x:f>
        <x:v>47.23617107761007</x:v>
      </x:c>
      <x:c r="M53" s="10" t="n">
        <x:f>E53/Sources!$B$4*1000</x:f>
        <x:v>50.06194921421681</x:v>
      </x:c>
      <x:c r="N53" s="9" t="n">
        <x:f>Sources!$B$6-K53</x:f>
        <x:v>-109348.00000000373</x:v>
      </x:c>
      <x:c r="O53" s="1" t="str">
        <x:v>continuous</x:v>
      </x:c>
      <x:c r="P53" s="12" t="n">
        <x:v>8</x:v>
      </x:c>
      <x:c r="Q53" s="12" t="n">
        <x:v>0</x:v>
      </x:c>
      <x:c r="R53" s="12" t="n">
        <x:v>4</x:v>
      </x:c>
      <x:c r="S53" s="12" t="n">
        <x:v>3</x:v>
      </x:c>
      <x:c r="T53" s="1" t="str">
        <x:v>Yes</x:v>
      </x:c>
      <x:c r="U53" s="1" t="n">
        <x:v>0</x:v>
      </x:c>
    </x:row>
    <x:row r="54" ht="23" customHeight="1">
      <x:c r="A54" s="9" t="n">
        <x:v>53</x:v>
      </x:c>
      <x:c r="B54" s="9" t="n">
        <x:v>320</x:v>
      </x:c>
      <x:c r="C54" s="9" t="n">
        <x:v>939</x:v>
      </x:c>
      <x:c r="D54" s="9" t="n">
        <x:v>3</x:v>
      </x:c>
      <x:c r="E54" s="9" t="n">
        <x:v>179216</x:v>
      </x:c>
      <x:c r="F54" s="9" t="n">
        <x:v>33022</x:v>
      </x:c>
      <x:c r="G54" s="9" t="n">
        <x:v>124010.99999999627</x:v>
      </x:c>
      <x:c r="H54" s="9" t="n">
        <x:v>17855</x:v>
      </x:c>
      <x:c r="I54" s="9" t="n">
        <x:v>4222</x:v>
      </x:c>
      <x:c r="J54" s="9" t="n">
        <x:v>106.00000000372529</x:v>
      </x:c>
      <x:c r="K54" s="9" t="n">
        <x:f>F54+G54+I54+J54</x:f>
        <x:v>161361</x:v>
      </x:c>
      <x:c r="L54" s="10" t="n">
        <x:f>K54/Sources!$B$4*1000</x:f>
        <x:v>45.078634295699594</x:v>
      </x:c>
      <x:c r="M54" s="10" t="n">
        <x:f>E54/Sources!$B$4*1000</x:f>
        <x:v>50.06669842116805</x:v>
      </x:c>
      <x:c r="N54" s="9" t="n">
        <x:f>Sources!$B$6-K54</x:f>
        <x:v>-101625</x:v>
      </x:c>
      <x:c r="O54" s="1" t="str">
        <x:v>continuous</x:v>
      </x:c>
      <x:c r="P54" s="12" t="n">
        <x:v>4</x:v>
      </x:c>
      <x:c r="Q54" s="12" t="n">
        <x:v>0</x:v>
      </x:c>
      <x:c r="R54" s="12" t="n">
        <x:v>0</x:v>
      </x:c>
      <x:c r="S54" s="12" t="n">
        <x:v>3</x:v>
      </x:c>
      <x:c r="T54" s="1" t="str">
        <x:v>Yes</x:v>
      </x:c>
      <x:c r="U54" s="1" t="n">
        <x:v>0</x:v>
      </x:c>
    </x:row>
    <x:row r="55" ht="23" customHeight="1">
      <x:c r="A55" s="9" t="n">
        <x:v>54</x:v>
      </x:c>
      <x:c r="B55" s="9" t="n">
        <x:v>328</x:v>
      </x:c>
      <x:c r="C55" s="9" t="n">
        <x:v>939</x:v>
      </x:c>
      <x:c r="D55" s="9" t="n">
        <x:v>3</x:v>
      </x:c>
      <x:c r="E55" s="9" t="n">
        <x:v>179203</x:v>
      </x:c>
      <x:c r="F55" s="9" t="n">
        <x:v>35963</x:v>
      </x:c>
      <x:c r="G55" s="9" t="n">
        <x:v>109780.00000000373</x:v>
      </x:c>
      <x:c r="H55" s="9" t="n">
        <x:v>29140</x:v>
      </x:c>
      <x:c r="I55" s="9" t="n">
        <x:v>4213.999999996275</x:v>
      </x:c>
      <x:c r="J55" s="9" t="n">
        <x:v>106</x:v>
      </x:c>
      <x:c r="K55" s="9" t="n">
        <x:f>F55+G55+I55+J55</x:f>
        <x:v>150063</x:v>
      </x:c>
      <x:c r="L55" s="10" t="n">
        <x:f>K55/Sources!$B$4*1000</x:f>
        <x:v>41.922367228237114</x:v>
      </x:c>
      <x:c r="M55" s="10" t="n">
        <x:f>E55/Sources!$B$4*1000</x:f>
        <x:v>50.063066674675134</x:v>
      </x:c>
      <x:c r="N55" s="9" t="n">
        <x:f>Sources!$B$6-K55</x:f>
        <x:v>-90327</x:v>
      </x:c>
      <x:c r="O55" s="1" t="str">
        <x:v>continuous</x:v>
      </x:c>
      <x:c r="P55" s="12" t="n">
        <x:v>8</x:v>
      </x:c>
      <x:c r="Q55" s="12" t="n">
        <x:v>0</x:v>
      </x:c>
      <x:c r="R55" s="12" t="n">
        <x:v>0</x:v>
      </x:c>
      <x:c r="S55" s="12" t="n">
        <x:v>3</x:v>
      </x:c>
      <x:c r="T55" s="1" t="str">
        <x:v>Yes</x:v>
      </x:c>
      <x:c r="U55" s="1" t="n">
        <x:v>0</x:v>
      </x:c>
    </x:row>
    <x:row r="56" ht="23" customHeight="1">
      <x:c r="A56" s="9" t="n">
        <x:v>55</x:v>
      </x:c>
      <x:c r="B56" s="9" t="n">
        <x:v>332</x:v>
      </x:c>
      <x:c r="C56" s="9" t="n">
        <x:v>939</x:v>
      </x:c>
      <x:c r="D56" s="9" t="n">
        <x:v>3</x:v>
      </x:c>
      <x:c r="E56" s="9" t="n">
        <x:v>179212</x:v>
      </x:c>
      <x:c r="F56" s="9" t="n">
        <x:v>31617</x:v>
      </x:c>
      <x:c r="G56" s="9" t="n">
        <x:v>85707</x:v>
      </x:c>
      <x:c r="H56" s="9" t="n">
        <x:v>57560</x:v>
      </x:c>
      <x:c r="I56" s="9" t="n">
        <x:v>4221.999999996275</x:v>
      </x:c>
      <x:c r="J56" s="9" t="n">
        <x:v>106.00000000372529</x:v>
      </x:c>
      <x:c r="K56" s="9" t="n">
        <x:f>F56+G56+I56+J56</x:f>
        <x:v>121652</x:v>
      </x:c>
      <x:c r="L56" s="10" t="n">
        <x:f>K56/Sources!$B$4*1000</x:f>
        <x:v>33.98532495051745</x:v>
      </x:c>
      <x:c r="M56" s="10" t="n">
        <x:f>E56/Sources!$B$4*1000</x:f>
        <x:v>50.065580960708694</x:v>
      </x:c>
      <x:c r="N56" s="9" t="n">
        <x:f>Sources!$B$6-K56</x:f>
        <x:v>-61916</x:v>
      </x:c>
      <x:c r="O56" s="1" t="str">
        <x:v>continuous</x:v>
      </x:c>
      <x:c r="P56" s="12" t="n">
        <x:v>4</x:v>
      </x:c>
      <x:c r="Q56" s="12" t="n">
        <x:v>0</x:v>
      </x:c>
      <x:c r="R56" s="12" t="n">
        <x:v>4</x:v>
      </x:c>
      <x:c r="S56" s="12" t="n">
        <x:v>3</x:v>
      </x:c>
      <x:c r="T56" s="1" t="str">
        <x:v>No</x:v>
      </x:c>
      <x:c r="U56" s="1" t="n">
        <x:v>0</x:v>
      </x:c>
    </x:row>
    <x:row r="57" ht="23" customHeight="1">
      <x:c r="A57" s="9" t="n">
        <x:v>56</x:v>
      </x:c>
      <x:c r="B57" s="9" t="n">
        <x:v>340</x:v>
      </x:c>
      <x:c r="C57" s="9" t="n">
        <x:v>939</x:v>
      </x:c>
      <x:c r="D57" s="9" t="n">
        <x:v>3</x:v>
      </x:c>
      <x:c r="E57" s="9" t="n">
        <x:v>179200</x:v>
      </x:c>
      <x:c r="F57" s="9" t="n">
        <x:v>36968</x:v>
      </x:c>
      <x:c r="G57" s="9" t="n">
        <x:v>109917.00000000373</x:v>
      </x:c>
      <x:c r="H57" s="9" t="n">
        <x:v>27994.999999996275</x:v>
      </x:c>
      <x:c r="I57" s="9" t="n">
        <x:v>4214.000000003725</x:v>
      </x:c>
      <x:c r="J57" s="9" t="n">
        <x:v>105.99999999627471</x:v>
      </x:c>
      <x:c r="K57" s="9" t="n">
        <x:f>F57+G57+I57+J57</x:f>
        <x:v>151205.00000000373</x:v>
      </x:c>
      <x:c r="L57" s="10" t="n">
        <x:f>K57/Sources!$B$4*1000</x:f>
        <x:v>42.24140218938545</x:v>
      </x:c>
      <x:c r="M57" s="10" t="n">
        <x:f>E57/Sources!$B$4*1000</x:f>
        <x:v>50.062228579330615</x:v>
      </x:c>
      <x:c r="N57" s="9" t="n">
        <x:f>Sources!$B$6-K57</x:f>
        <x:v>-91469.00000000373</x:v>
      </x:c>
      <x:c r="O57" s="1" t="str">
        <x:v>continuous</x:v>
      </x:c>
      <x:c r="P57" s="12" t="n">
        <x:v>8</x:v>
      </x:c>
      <x:c r="Q57" s="12" t="n">
        <x:v>0</x:v>
      </x:c>
      <x:c r="R57" s="12" t="n">
        <x:v>4</x:v>
      </x:c>
      <x:c r="S57" s="12" t="n">
        <x:v>3</x:v>
      </x:c>
      <x:c r="T57" s="1" t="str">
        <x:v>Yes</x:v>
      </x:c>
      <x:c r="U57" s="1" t="n">
        <x:v>0</x:v>
      </x:c>
    </x:row>
    <x:row r="58" ht="23" customHeight="1">
      <x:c r="A58" s="9" t="n">
        <x:v>57</x:v>
      </x:c>
      <x:c r="B58" s="9" t="n">
        <x:v>344</x:v>
      </x:c>
      <x:c r="C58" s="9" t="n">
        <x:v>939</x:v>
      </x:c>
      <x:c r="D58" s="9" t="n">
        <x:v>3</x:v>
      </x:c>
      <x:c r="E58" s="9" t="n">
        <x:v>179219</x:v>
      </x:c>
      <x:c r="F58" s="9" t="n">
        <x:v>32506</x:v>
      </x:c>
      <x:c r="G58" s="9" t="n">
        <x:v>109835</x:v>
      </x:c>
      <x:c r="H58" s="9" t="n">
        <x:v>32549.999999996275</x:v>
      </x:c>
      <x:c r="I58" s="9" t="n">
        <x:v>4222.000000003725</x:v>
      </x:c>
      <x:c r="J58" s="9" t="n">
        <x:v>106</x:v>
      </x:c>
      <x:c r="K58" s="9" t="n">
        <x:f>F58+G58+I58+J58</x:f>
        <x:v>146669.00000000373</x:v>
      </x:c>
      <x:c r="L58" s="10" t="n">
        <x:f>K58/Sources!$B$4*1000</x:f>
        <x:v>40.97420202847113</x:v>
      </x:c>
      <x:c r="M58" s="10" t="n">
        <x:f>E58/Sources!$B$4*1000</x:f>
        <x:v>50.06753651651257</x:v>
      </x:c>
      <x:c r="N58" s="9" t="n">
        <x:f>Sources!$B$6-K58</x:f>
        <x:v>-86933.00000000373</x:v>
      </x:c>
      <x:c r="O58" s="1" t="str">
        <x:v>continuous</x:v>
      </x:c>
      <x:c r="P58" s="12" t="n">
        <x:v>4</x:v>
      </x:c>
      <x:c r="Q58" s="12" t="n">
        <x:v>0</x:v>
      </x:c>
      <x:c r="R58" s="12" t="n">
        <x:v>0</x:v>
      </x:c>
      <x:c r="S58" s="12" t="n">
        <x:v>3</x:v>
      </x:c>
      <x:c r="T58" s="1" t="str">
        <x:v>Yes</x:v>
      </x:c>
      <x:c r="U58" s="1" t="n">
        <x:v>0</x:v>
      </x:c>
    </x:row>
    <x:row r="59" ht="23" customHeight="1">
      <x:c r="A59" s="9" t="n">
        <x:v>58</x:v>
      </x:c>
      <x:c r="B59" s="9" t="n">
        <x:v>352</x:v>
      </x:c>
      <x:c r="C59" s="9" t="n">
        <x:v>939</x:v>
      </x:c>
      <x:c r="D59" s="9" t="n">
        <x:v>3</x:v>
      </x:c>
      <x:c r="E59" s="9" t="n">
        <x:v>179199</x:v>
      </x:c>
      <x:c r="F59" s="9" t="n">
        <x:v>37365</x:v>
      </x:c>
      <x:c r="G59" s="9" t="n">
        <x:v>109789</x:v>
      </x:c>
      <x:c r="H59" s="9" t="n">
        <x:v>27725</x:v>
      </x:c>
      <x:c r="I59" s="9" t="n">
        <x:v>4214.000000003725</x:v>
      </x:c>
      <x:c r="J59" s="9" t="n">
        <x:v>105.99999999627471</x:v>
      </x:c>
      <x:c r="K59" s="9" t="n">
        <x:f>F59+G59+I59+J59</x:f>
        <x:v>151474</x:v>
      </x:c>
      <x:c r="L59" s="10" t="n">
        <x:f>K59/Sources!$B$4*1000</x:f>
        <x:v>42.31655140527637</x:v>
      </x:c>
      <x:c r="M59" s="10" t="n">
        <x:f>E59/Sources!$B$4*1000</x:f>
        <x:v>50.06194921421577</x:v>
      </x:c>
      <x:c r="N59" s="9" t="n">
        <x:f>Sources!$B$6-K59</x:f>
        <x:v>-91738</x:v>
      </x:c>
      <x:c r="O59" s="1" t="str">
        <x:v>continuous</x:v>
      </x:c>
      <x:c r="P59" s="12" t="n">
        <x:v>8</x:v>
      </x:c>
      <x:c r="Q59" s="12" t="n">
        <x:v>0</x:v>
      </x:c>
      <x:c r="R59" s="12" t="n">
        <x:v>0</x:v>
      </x:c>
      <x:c r="S59" s="12" t="n">
        <x:v>3</x:v>
      </x:c>
      <x:c r="T59" s="1" t="str">
        <x:v>Yes</x:v>
      </x:c>
      <x:c r="U59" s="1" t="n">
        <x:v>0</x:v>
      </x:c>
    </x:row>
    <x:row r="60" ht="23" customHeight="1">
      <x:c r="A60" s="9" t="n">
        <x:v>59</x:v>
      </x:c>
      <x:c r="B60" s="9" t="n">
        <x:v>356</x:v>
      </x:c>
      <x:c r="C60" s="9" t="n">
        <x:v>939</x:v>
      </x:c>
      <x:c r="D60" s="9" t="n">
        <x:v>3</x:v>
      </x:c>
      <x:c r="E60" s="9" t="n">
        <x:v>179215</x:v>
      </x:c>
      <x:c r="F60" s="9" t="n">
        <x:v>32511</x:v>
      </x:c>
      <x:c r="G60" s="9" t="n">
        <x:v>85726</x:v>
      </x:c>
      <x:c r="H60" s="9" t="n">
        <x:v>56650</x:v>
      </x:c>
      <x:c r="I60" s="9" t="n">
        <x:v>4222</x:v>
      </x:c>
      <x:c r="J60" s="9" t="n">
        <x:v>106</x:v>
      </x:c>
      <x:c r="K60" s="9" t="n">
        <x:f>F60+G60+I60+J60</x:f>
        <x:v>122565</x:v>
      </x:c>
      <x:c r="L60" s="10" t="n">
        <x:f>K60/Sources!$B$4*1000</x:f>
        <x:v>34.24038530036639</x:v>
      </x:c>
      <x:c r="M60" s="10" t="n">
        <x:f>E60/Sources!$B$4*1000</x:f>
        <x:v>50.06641905605321</x:v>
      </x:c>
      <x:c r="N60" s="9" t="n">
        <x:f>Sources!$B$6-K60</x:f>
        <x:v>-62829</x:v>
      </x:c>
      <x:c r="O60" s="1" t="str">
        <x:v>continuous</x:v>
      </x:c>
      <x:c r="P60" s="12" t="n">
        <x:v>4</x:v>
      </x:c>
      <x:c r="Q60" s="12" t="n">
        <x:v>0</x:v>
      </x:c>
      <x:c r="R60" s="12" t="n">
        <x:v>4</x:v>
      </x:c>
      <x:c r="S60" s="12" t="n">
        <x:v>3</x:v>
      </x:c>
      <x:c r="T60" s="1" t="str">
        <x:v>No</x:v>
      </x:c>
      <x:c r="U60" s="1" t="n">
        <x:v>0</x:v>
      </x:c>
    </x:row>
    <x:row r="61" ht="23" customHeight="1">
      <x:c r="A61" s="9" t="n">
        <x:v>60</x:v>
      </x:c>
      <x:c r="B61" s="9" t="n">
        <x:v>364</x:v>
      </x:c>
      <x:c r="C61" s="9" t="n">
        <x:v>939</x:v>
      </x:c>
      <x:c r="D61" s="9" t="n">
        <x:v>3</x:v>
      </x:c>
      <x:c r="E61" s="9" t="n">
        <x:v>179199</x:v>
      </x:c>
      <x:c r="F61" s="9" t="n">
        <x:v>37697.999999996275</x:v>
      </x:c>
      <x:c r="G61" s="9" t="n">
        <x:v>109936.00000000373</x:v>
      </x:c>
      <x:c r="H61" s="9" t="n">
        <x:v>27245.000000003725</x:v>
      </x:c>
      <x:c r="I61" s="9" t="n">
        <x:v>4213.999999996275</x:v>
      </x:c>
      <x:c r="J61" s="9" t="n">
        <x:v>106</x:v>
      </x:c>
      <x:c r="K61" s="9" t="n">
        <x:f>F61+G61+I61+J61</x:f>
        <x:v>151953.99999999627</x:v>
      </x:c>
      <x:c r="L61" s="10" t="n">
        <x:f>K61/Sources!$B$4*1000</x:f>
        <x:v>42.45064666039853</x:v>
      </x:c>
      <x:c r="M61" s="10" t="n">
        <x:f>E61/Sources!$B$4*1000</x:f>
        <x:v>50.06194921421577</x:v>
      </x:c>
      <x:c r="N61" s="9" t="n">
        <x:f>Sources!$B$6-K61</x:f>
        <x:v>-92217.99999999627</x:v>
      </x:c>
      <x:c r="O61" s="1" t="str">
        <x:v>continuous</x:v>
      </x:c>
      <x:c r="P61" s="12" t="n">
        <x:v>8</x:v>
      </x:c>
      <x:c r="Q61" s="12" t="n">
        <x:v>0</x:v>
      </x:c>
      <x:c r="R61" s="12" t="n">
        <x:v>4</x:v>
      </x:c>
      <x:c r="S61" s="12" t="n">
        <x:v>3</x:v>
      </x:c>
      <x:c r="T61" s="1" t="str">
        <x:v>Yes</x:v>
      </x:c>
      <x:c r="U61" s="1" t="n">
        <x:v>0</x:v>
      </x:c>
    </x:row>
    <x:row r="62" ht="23" customHeight="1">
      <x:c r="A62" s="9" t="n">
        <x:v>61</x:v>
      </x:c>
      <x:c r="B62" s="9" t="n">
        <x:v>368</x:v>
      </x:c>
      <x:c r="C62" s="9" t="n">
        <x:v>939</x:v>
      </x:c>
      <x:c r="D62" s="9" t="n">
        <x:v>3</x:v>
      </x:c>
      <x:c r="E62" s="9" t="n">
        <x:v>179220</x:v>
      </x:c>
      <x:c r="F62" s="9" t="n">
        <x:v>31782.999999996275</x:v>
      </x:c>
      <x:c r="G62" s="9" t="n">
        <x:v>109854</x:v>
      </x:c>
      <x:c r="H62" s="9" t="n">
        <x:v>33255</x:v>
      </x:c>
      <x:c r="I62" s="9" t="n">
        <x:v>4221.999999996275</x:v>
      </x:c>
      <x:c r="J62" s="9" t="n">
        <x:v>106.00000000745058</x:v>
      </x:c>
      <x:c r="K62" s="9" t="n">
        <x:f>F62+G62+I62+J62</x:f>
        <x:v>145965</x:v>
      </x:c>
      <x:c r="L62" s="10" t="n">
        <x:f>K62/Sources!$B$4*1000</x:f>
        <x:v>40.77752898762273</x:v>
      </x:c>
      <x:c r="M62" s="10" t="n">
        <x:f>E62/Sources!$B$4*1000</x:f>
        <x:v>50.06781588162741</x:v>
      </x:c>
      <x:c r="N62" s="9" t="n">
        <x:f>Sources!$B$6-K62</x:f>
        <x:v>-86229</x:v>
      </x:c>
      <x:c r="O62" s="1" t="str">
        <x:v>continuous</x:v>
      </x:c>
      <x:c r="P62" s="12" t="n">
        <x:v>4</x:v>
      </x:c>
      <x:c r="Q62" s="12" t="n">
        <x:v>0</x:v>
      </x:c>
      <x:c r="R62" s="12" t="n">
        <x:v>0</x:v>
      </x:c>
      <x:c r="S62" s="12" t="n">
        <x:v>3</x:v>
      </x:c>
      <x:c r="T62" s="1" t="str">
        <x:v>Yes</x:v>
      </x:c>
      <x:c r="U62" s="1" t="n">
        <x:v>0</x:v>
      </x:c>
    </x:row>
    <x:row r="63" ht="23" customHeight="1">
      <x:c r="A63" s="9" t="n">
        <x:v>62</x:v>
      </x:c>
      <x:c r="B63" s="9" t="n">
        <x:v>376</x:v>
      </x:c>
      <x:c r="C63" s="9" t="n">
        <x:v>939</x:v>
      </x:c>
      <x:c r="D63" s="9" t="n">
        <x:v>3</x:v>
      </x:c>
      <x:c r="E63" s="9" t="n">
        <x:v>179196.99999999627</x:v>
      </x:c>
      <x:c r="F63" s="9" t="n">
        <x:v>37998.999999996275</x:v>
      </x:c>
      <x:c r="G63" s="9" t="n">
        <x:v>109808.00000000373</x:v>
      </x:c>
      <x:c r="H63" s="9" t="n">
        <x:v>27070</x:v>
      </x:c>
      <x:c r="I63" s="9" t="n">
        <x:v>4213.999999996275</x:v>
      </x:c>
      <x:c r="J63" s="9" t="n">
        <x:v>106</x:v>
      </x:c>
      <x:c r="K63" s="9" t="n">
        <x:f>F63+G63+I63+J63</x:f>
        <x:v>152126.99999999627</x:v>
      </x:c>
      <x:c r="L63" s="10" t="n">
        <x:f>K63/Sources!$B$4*1000</x:f>
        <x:v>42.498976825265856</x:v>
      </x:c>
      <x:c r="M63" s="10" t="n">
        <x:f>E63/Sources!$B$4*1000</x:f>
        <x:v>50.06139048398505</x:v>
      </x:c>
      <x:c r="N63" s="9" t="n">
        <x:f>Sources!$B$6-K63</x:f>
        <x:v>-92390.99999999627</x:v>
      </x:c>
      <x:c r="O63" s="1" t="str">
        <x:v>continuous</x:v>
      </x:c>
      <x:c r="P63" s="12" t="n">
        <x:v>8</x:v>
      </x:c>
      <x:c r="Q63" s="12" t="n">
        <x:v>0</x:v>
      </x:c>
      <x:c r="R63" s="12" t="n">
        <x:v>0</x:v>
      </x:c>
      <x:c r="S63" s="12" t="n">
        <x:v>3</x:v>
      </x:c>
      <x:c r="T63" s="1" t="str">
        <x:v>Yes</x:v>
      </x:c>
      <x:c r="U63" s="1" t="n">
        <x:v>0</x:v>
      </x:c>
    </x:row>
    <x:row r="64" ht="23" customHeight="1">
      <x:c r="A64" s="9" t="n">
        <x:v>63</x:v>
      </x:c>
      <x:c r="B64" s="9" t="n">
        <x:v>380</x:v>
      </x:c>
      <x:c r="C64" s="9" t="n">
        <x:v>939</x:v>
      </x:c>
      <x:c r="D64" s="9" t="n">
        <x:v>3</x:v>
      </x:c>
      <x:c r="E64" s="9" t="n">
        <x:v>179216.00000000373</x:v>
      </x:c>
      <x:c r="F64" s="9" t="n">
        <x:v>30443</x:v>
      </x:c>
      <x:c r="G64" s="9" t="n">
        <x:v>85745</x:v>
      </x:c>
      <x:c r="H64" s="9" t="n">
        <x:v>58700.000000003725</x:v>
      </x:c>
      <x:c r="I64" s="9" t="n">
        <x:v>4222</x:v>
      </x:c>
      <x:c r="J64" s="9" t="n">
        <x:v>106</x:v>
      </x:c>
      <x:c r="K64" s="9" t="n">
        <x:f>F64+G64+I64+J64</x:f>
        <x:v>120516</x:v>
      </x:c>
      <x:c r="L64" s="10" t="n">
        <x:f>K64/Sources!$B$4*1000</x:f>
        <x:v>33.667966180059196</x:v>
      </x:c>
      <x:c r="M64" s="10" t="n">
        <x:f>E64/Sources!$B$4*1000</x:f>
        <x:v>50.06669842116909</x:v>
      </x:c>
      <x:c r="N64" s="9" t="n">
        <x:f>Sources!$B$6-K64</x:f>
        <x:v>-60780</x:v>
      </x:c>
      <x:c r="O64" s="1" t="str">
        <x:v>continuous</x:v>
      </x:c>
      <x:c r="P64" s="12" t="n">
        <x:v>4</x:v>
      </x:c>
      <x:c r="Q64" s="12" t="n">
        <x:v>0</x:v>
      </x:c>
      <x:c r="R64" s="12" t="n">
        <x:v>4</x:v>
      </x:c>
      <x:c r="S64" s="12" t="n">
        <x:v>3</x:v>
      </x:c>
      <x:c r="T64" s="1" t="str">
        <x:v>No</x:v>
      </x:c>
      <x:c r="U64" s="1" t="n">
        <x:v>0</x:v>
      </x:c>
    </x:row>
    <x:row r="65" ht="23" customHeight="1">
      <x:c r="A65" s="9" t="n">
        <x:v>64</x:v>
      </x:c>
      <x:c r="B65" s="9" t="n">
        <x:v>388</x:v>
      </x:c>
      <x:c r="C65" s="9" t="n">
        <x:v>939</x:v>
      </x:c>
      <x:c r="D65" s="9" t="n">
        <x:v>3</x:v>
      </x:c>
      <x:c r="E65" s="9" t="n">
        <x:v>179200</x:v>
      </x:c>
      <x:c r="F65" s="9" t="n">
        <x:v>40455</x:v>
      </x:c>
      <x:c r="G65" s="9" t="n">
        <x:v>109954.99999999627</x:v>
      </x:c>
      <x:c r="H65" s="9" t="n">
        <x:v>24470</x:v>
      </x:c>
      <x:c r="I65" s="9" t="n">
        <x:v>4214.000000003725</x:v>
      </x:c>
      <x:c r="J65" s="9" t="n">
        <x:v>106</x:v>
      </x:c>
      <x:c r="K65" s="9" t="n">
        <x:f>F65+G65+I65+J65</x:f>
        <x:v>154730</x:v>
      </x:c>
      <x:c r="L65" s="10" t="n">
        <x:f>K65/Sources!$B$4*1000</x:f>
        <x:v>43.22616421919546</x:v>
      </x:c>
      <x:c r="M65" s="10" t="n">
        <x:f>E65/Sources!$B$4*1000</x:f>
        <x:v>50.062228579330615</x:v>
      </x:c>
      <x:c r="N65" s="9" t="n">
        <x:f>Sources!$B$6-K65</x:f>
        <x:v>-94994</x:v>
      </x:c>
      <x:c r="O65" s="1" t="str">
        <x:v>continuous</x:v>
      </x:c>
      <x:c r="P65" s="12" t="n">
        <x:v>8</x:v>
      </x:c>
      <x:c r="Q65" s="12" t="n">
        <x:v>0</x:v>
      </x:c>
      <x:c r="R65" s="12" t="n">
        <x:v>4</x:v>
      </x:c>
      <x:c r="S65" s="12" t="n">
        <x:v>3</x:v>
      </x:c>
      <x:c r="T65" s="1" t="str">
        <x:v>Yes</x:v>
      </x:c>
      <x:c r="U65" s="1" t="n">
        <x:v>0</x:v>
      </x:c>
    </x:row>
    <x:row r="66" ht="23" customHeight="1">
      <x:c r="A66" s="9" t="n">
        <x:v>65</x:v>
      </x:c>
      <x:c r="B66" s="9" t="n">
        <x:v>388</x:v>
      </x:c>
      <x:c r="C66" s="9" t="n">
        <x:v>943</x:v>
      </x:c>
      <x:c r="D66" s="9" t="n">
        <x:v>3</x:v>
      </x:c>
      <x:c r="E66" s="9" t="n">
        <x:v>119479</x:v>
      </x:c>
      <x:c r="F66" s="9" t="n">
        <x:v>40212</x:v>
      </x:c>
      <x:c r="G66" s="9" t="n">
        <x:v>62463.999999996275</x:v>
      </x:c>
      <x:c r="H66" s="9" t="n">
        <x:v>12475.000000003725</x:v>
      </x:c>
      <x:c r="I66" s="9" t="n">
        <x:v>4222</x:v>
      </x:c>
      <x:c r="J66" s="9" t="n">
        <x:v>106</x:v>
      </x:c>
      <x:c r="K66" s="9" t="n">
        <x:f>F66+G66+I66+J66</x:f>
        <x:v>107003.99999999627</x:v>
      </x:c>
      <x:c r="L66" s="10" t="n">
        <x:f>K66/Sources!$B$4*1000</x:f>
        <x:v>29.89318474833988</x:v>
      </x:c>
      <x:c r="M66" s="10" t="n">
        <x:f>E66/Sources!$B$4*1000</x:f>
        <x:v>33.3782645559701</x:v>
      </x:c>
      <x:c r="N66" s="9" t="n">
        <x:f>Sources!$B$6-K66</x:f>
        <x:v>-47267.999999996275</x:v>
      </x:c>
      <x:c r="O66" s="1" t="str">
        <x:v>continuous</x:v>
      </x:c>
      <x:c r="P66" s="12" t="n">
        <x:v>0</x:v>
      </x:c>
      <x:c r="Q66" s="12" t="n">
        <x:v>4</x:v>
      </x:c>
      <x:c r="R66" s="12" t="n">
        <x:v>4</x:v>
      </x:c>
      <x:c r="S66" s="12" t="n">
        <x:v>7</x:v>
      </x:c>
      <x:c r="T66" s="1" t="str">
        <x:v>No</x:v>
      </x:c>
      <x:c r="U66" s="1" t="n">
        <x:v>0</x:v>
      </x:c>
    </x:row>
    <x:row r="67" ht="23" customHeight="1">
      <x:c r="A67" s="9" t="n">
        <x:v>66</x:v>
      </x:c>
      <x:c r="B67" s="9" t="n">
        <x:v>389</x:v>
      </x:c>
      <x:c r="C67" s="9" t="n">
        <x:v>947</x:v>
      </x:c>
      <x:c r="D67" s="9" t="n">
        <x:v>2</x:v>
      </x:c>
      <x:c r="E67" s="9" t="n">
        <x:v>179202</x:v>
      </x:c>
      <x:c r="F67" s="9" t="n">
        <x:v>31835</x:v>
      </x:c>
      <x:c r="G67" s="9" t="n">
        <x:v>84486.99999999627</x:v>
      </x:c>
      <x:c r="H67" s="9" t="n">
        <x:v>58560.000000003725</x:v>
      </x:c>
      <x:c r="I67" s="9" t="n">
        <x:v>4214</x:v>
      </x:c>
      <x:c r="J67" s="9" t="n">
        <x:v>106</x:v>
      </x:c>
      <x:c r="K67" s="9" t="n">
        <x:f>F67+G67+I67+J67</x:f>
        <x:v>120641.99999999627</x:v>
      </x:c>
      <x:c r="L67" s="10" t="n">
        <x:f>K67/Sources!$B$4*1000</x:f>
        <x:v>33.703166184527994</x:v>
      </x:c>
      <x:c r="M67" s="10" t="n">
        <x:f>E67/Sources!$B$4*1000</x:f>
        <x:v>50.06278730956029</x:v>
      </x:c>
      <x:c r="N67" s="9" t="n">
        <x:f>Sources!$B$6-K67</x:f>
        <x:v>-60905.999999996275</x:v>
      </x:c>
      <x:c r="O67" s="1" t="str">
        <x:v>continuous</x:v>
      </x:c>
      <x:c r="P67" s="12" t="n">
        <x:v>1</x:v>
      </x:c>
      <x:c r="Q67" s="12" t="n">
        <x:v>4</x:v>
      </x:c>
      <x:c r="R67" s="12" t="n">
        <x:v>5</x:v>
      </x:c>
      <x:c r="S67" s="12" t="n">
        <x:v>3</x:v>
      </x:c>
      <x:c r="T67" s="1" t="str">
        <x:v>Yes</x:v>
      </x:c>
      <x:c r="U67" s="1" t="n">
        <x:v>0</x:v>
      </x:c>
    </x:row>
    <x:row r="68" ht="23" customHeight="1">
      <x:c r="A68" s="9" t="n">
        <x:v>67</x:v>
      </x:c>
      <x:c r="B68" s="9" t="n">
        <x:v>390</x:v>
      </x:c>
      <x:c r="C68" s="9" t="n">
        <x:v>955</x:v>
      </x:c>
      <x:c r="D68" s="9" t="n">
        <x:v>3</x:v>
      </x:c>
      <x:c r="E68" s="9" t="n">
        <x:v>179218</x:v>
      </x:c>
      <x:c r="F68" s="9" t="n">
        <x:v>40518</x:v>
      </x:c>
      <x:c r="G68" s="9" t="n">
        <x:v>117266.99999999627</x:v>
      </x:c>
      <x:c r="H68" s="9" t="n">
        <x:v>17105</x:v>
      </x:c>
      <x:c r="I68" s="9" t="n">
        <x:v>4222</x:v>
      </x:c>
      <x:c r="J68" s="9" t="n">
        <x:v>106.00000000372529</x:v>
      </x:c>
      <x:c r="K68" s="9" t="n">
        <x:f>F68+G68+I68+J68</x:f>
        <x:v>162113</x:v>
      </x:c>
      <x:c r="L68" s="10" t="n">
        <x:f>K68/Sources!$B$4*1000</x:f>
        <x:v>45.28871686205928</x:v>
      </x:c>
      <x:c r="M68" s="10" t="n">
        <x:f>E68/Sources!$B$4*1000</x:f>
        <x:v>50.06725715139773</x:v>
      </x:c>
      <x:c r="N68" s="9" t="n">
        <x:f>Sources!$B$6-K68</x:f>
        <x:v>-102377</x:v>
      </x:c>
      <x:c r="O68" s="1" t="str">
        <x:v>continuous</x:v>
      </x:c>
      <x:c r="P68" s="12" t="n">
        <x:v>1</x:v>
      </x:c>
      <x:c r="Q68" s="12" t="n">
        <x:v>8</x:v>
      </x:c>
      <x:c r="R68" s="12" t="n">
        <x:v>6</x:v>
      </x:c>
      <x:c r="S68" s="12" t="n">
        <x:v>3</x:v>
      </x:c>
      <x:c r="T68" s="1" t="str">
        <x:v>Yes</x:v>
      </x:c>
      <x:c r="U68" s="1" t="n">
        <x:v>0</x:v>
      </x:c>
    </x:row>
    <x:row r="69" ht="23" customHeight="1">
      <x:c r="A69" s="9" t="n">
        <x:v>68</x:v>
      </x:c>
      <x:c r="B69" s="9" t="n">
        <x:v>390</x:v>
      </x:c>
      <x:c r="C69" s="9" t="n">
        <x:v>959</x:v>
      </x:c>
      <x:c r="D69" s="9" t="n">
        <x:v>3</x:v>
      </x:c>
      <x:c r="E69" s="9" t="n">
        <x:v>179197</x:v>
      </x:c>
      <x:c r="F69" s="9" t="n">
        <x:v>37864</x:v>
      </x:c>
      <x:c r="G69" s="9" t="n">
        <x:v>78053</x:v>
      </x:c>
      <x:c r="H69" s="9" t="n">
        <x:v>58959.999999996275</x:v>
      </x:c>
      <x:c r="I69" s="9" t="n">
        <x:v>4214.000000003725</x:v>
      </x:c>
      <x:c r="J69" s="9" t="n">
        <x:v>106</x:v>
      </x:c>
      <x:c r="K69" s="9" t="n">
        <x:f>F69+G69+I69+J69</x:f>
        <x:v>120237.00000000373</x:v>
      </x:c>
      <x:c r="L69" s="10" t="n">
        <x:f>K69/Sources!$B$4*1000</x:f>
        <x:v>33.59002331301988</x:v>
      </x:c>
      <x:c r="M69" s="10" t="n">
        <x:f>E69/Sources!$B$4*1000</x:f>
        <x:v>50.061390483986095</x:v>
      </x:c>
      <x:c r="N69" s="9" t="n">
        <x:f>Sources!$B$6-K69</x:f>
        <x:v>-60501.000000003725</x:v>
      </x:c>
      <x:c r="O69" s="1" t="str">
        <x:v>continuous</x:v>
      </x:c>
      <x:c r="P69" s="12" t="n">
        <x:v>0</x:v>
      </x:c>
      <x:c r="Q69" s="12" t="n">
        <x:v>4</x:v>
      </x:c>
      <x:c r="R69" s="12" t="n">
        <x:v>6</x:v>
      </x:c>
      <x:c r="S69" s="12" t="n">
        <x:v>7</x:v>
      </x:c>
      <x:c r="T69" s="1" t="str">
        <x:v>No</x:v>
      </x:c>
      <x:c r="U69" s="1" t="n">
        <x:v>0</x:v>
      </x:c>
    </x:row>
    <x:row r="70" ht="23" customHeight="1">
      <x:c r="A70" s="9" t="n">
        <x:v>69</x:v>
      </x:c>
      <x:c r="B70" s="9" t="n">
        <x:v>391</x:v>
      </x:c>
      <x:c r="C70" s="9" t="n">
        <x:v>967</x:v>
      </x:c>
      <x:c r="D70" s="9" t="n">
        <x:v>3</x:v>
      </x:c>
      <x:c r="E70" s="9" t="n">
        <x:v>179215.99999999627</x:v>
      </x:c>
      <x:c r="F70" s="9" t="n">
        <x:v>43309</x:v>
      </x:c>
      <x:c r="G70" s="9" t="n">
        <x:v>92109</x:v>
      </x:c>
      <x:c r="H70" s="9" t="n">
        <x:v>39470.000000003725</x:v>
      </x:c>
      <x:c r="I70" s="9" t="n">
        <x:v>4221.999999992549</x:v>
      </x:c>
      <x:c r="J70" s="9" t="n">
        <x:v>106</x:v>
      </x:c>
      <x:c r="K70" s="9" t="n">
        <x:f>F70+G70+I70+J70</x:f>
        <x:v>139745.99999999255</x:v>
      </x:c>
      <x:c r="L70" s="10" t="n">
        <x:f>K70/Sources!$B$4*1000</x:f>
        <x:v>39.040157338430596</x:v>
      </x:c>
      <x:c r="M70" s="10" t="n">
        <x:f>E70/Sources!$B$4*1000</x:f>
        <x:v>50.06669842116701</x:v>
      </x:c>
      <x:c r="N70" s="9" t="n">
        <x:f>Sources!$B$6-K70</x:f>
        <x:v>-80009.99999999255</x:v>
      </x:c>
      <x:c r="O70" s="1" t="str">
        <x:v>continuous</x:v>
      </x:c>
      <x:c r="P70" s="12" t="n">
        <x:v>1</x:v>
      </x:c>
      <x:c r="Q70" s="12" t="n">
        <x:v>8</x:v>
      </x:c>
      <x:c r="R70" s="12" t="n">
        <x:v>7</x:v>
      </x:c>
      <x:c r="S70" s="12" t="n">
        <x:v>7</x:v>
      </x:c>
      <x:c r="T70" s="1" t="str">
        <x:v>Yes</x:v>
      </x:c>
      <x:c r="U70" s="1" t="n">
        <x:v>0</x:v>
      </x:c>
    </x:row>
    <x:row r="71" ht="23" customHeight="1">
      <x:c r="A71" s="9" t="n">
        <x:v>70</x:v>
      </x:c>
      <x:c r="B71" s="9" t="n">
        <x:v>391</x:v>
      </x:c>
      <x:c r="C71" s="9" t="n">
        <x:v>971</x:v>
      </x:c>
      <x:c r="D71" s="9" t="n">
        <x:v>3</x:v>
      </x:c>
      <x:c r="E71" s="9" t="n">
        <x:v>179199</x:v>
      </x:c>
      <x:c r="F71" s="9" t="n">
        <x:v>34951.000000003725</x:v>
      </x:c>
      <x:c r="G71" s="9" t="n">
        <x:v>115242.99999999627</x:v>
      </x:c>
      <x:c r="H71" s="9" t="n">
        <x:v>24685.00000000745</x:v>
      </x:c>
      <x:c r="I71" s="9" t="n">
        <x:v>4214</x:v>
      </x:c>
      <x:c r="J71" s="9" t="n">
        <x:v>105.99999999254942</x:v>
      </x:c>
      <x:c r="K71" s="9" t="n">
        <x:f>F71+G71+I71+J71</x:f>
        <x:v>154513.99999999255</x:v>
      </x:c>
      <x:c r="L71" s="10" t="n">
        <x:f>K71/Sources!$B$4*1000</x:f>
        <x:v>43.16582135438793</x:v>
      </x:c>
      <x:c r="M71" s="10" t="n">
        <x:f>E71/Sources!$B$4*1000</x:f>
        <x:v>50.06194921421577</x:v>
      </x:c>
      <x:c r="N71" s="9" t="n">
        <x:f>Sources!$B$6-K71</x:f>
        <x:v>-94777.99999999255</x:v>
      </x:c>
      <x:c r="O71" s="1" t="str">
        <x:v>continuous</x:v>
      </x:c>
      <x:c r="P71" s="12" t="n">
        <x:v>0</x:v>
      </x:c>
      <x:c r="Q71" s="12" t="n">
        <x:v>4</x:v>
      </x:c>
      <x:c r="R71" s="12" t="n">
        <x:v>7</x:v>
      </x:c>
      <x:c r="S71" s="12" t="n">
        <x:v>3</x:v>
      </x:c>
      <x:c r="T71" s="1" t="str">
        <x:v>Yes</x:v>
      </x:c>
      <x:c r="U71" s="1" t="n">
        <x:v>0</x:v>
      </x:c>
    </x:row>
    <x:row r="72" ht="23" customHeight="1">
      <x:c r="A72" s="9" t="n">
        <x:v>71</x:v>
      </x:c>
      <x:c r="B72" s="9" t="n">
        <x:v>391</x:v>
      </x:c>
      <x:c r="C72" s="9" t="n">
        <x:v>979</x:v>
      </x:c>
      <x:c r="D72" s="9" t="n">
        <x:v>3</x:v>
      </x:c>
      <x:c r="E72" s="9" t="n">
        <x:v>179217.00000000373</x:v>
      </x:c>
      <x:c r="F72" s="9" t="n">
        <x:v>39729</x:v>
      </x:c>
      <x:c r="G72" s="9" t="n">
        <x:v>90060.00000000373</x:v>
      </x:c>
      <x:c r="H72" s="9" t="n">
        <x:v>45099.999999996275</x:v>
      </x:c>
      <x:c r="I72" s="9" t="n">
        <x:v>4222.000000003725</x:v>
      </x:c>
      <x:c r="J72" s="9" t="n">
        <x:v>106</x:v>
      </x:c>
      <x:c r="K72" s="9" t="n">
        <x:f>F72+G72+I72+J72</x:f>
        <x:v>134117.00000000745</x:v>
      </x:c>
      <x:c r="L72" s="10" t="n">
        <x:f>K72/Sources!$B$4*1000</x:f>
        <x:v>37.467611107000316</x:v>
      </x:c>
      <x:c r="M72" s="10" t="n">
        <x:f>E72/Sources!$B$4*1000</x:f>
        <x:v>50.066977786283935</x:v>
      </x:c>
      <x:c r="N72" s="9" t="n">
        <x:f>Sources!$B$6-K72</x:f>
        <x:v>-74381.00000000745</x:v>
      </x:c>
      <x:c r="O72" s="1" t="str">
        <x:v>continuous</x:v>
      </x:c>
      <x:c r="P72" s="12" t="n">
        <x:v>0</x:v>
      </x:c>
      <x:c r="Q72" s="12" t="n">
        <x:v>8</x:v>
      </x:c>
      <x:c r="R72" s="12" t="n">
        <x:v>7</x:v>
      </x:c>
      <x:c r="S72" s="12" t="n">
        <x:v>3</x:v>
      </x:c>
      <x:c r="T72" s="1" t="str">
        <x:v>Yes</x:v>
      </x:c>
      <x:c r="U72" s="1" t="n">
        <x:v>0</x:v>
      </x:c>
    </x:row>
    <x:row r="73" ht="23" customHeight="1">
      <x:c r="A73" s="9" t="n">
        <x:v>72</x:v>
      </x:c>
      <x:c r="B73" s="9" t="n">
        <x:v>391</x:v>
      </x:c>
      <x:c r="C73" s="9" t="n">
        <x:v>983</x:v>
      </x:c>
      <x:c r="D73" s="9" t="n">
        <x:v>3</x:v>
      </x:c>
      <x:c r="E73" s="9" t="n">
        <x:v>121413</x:v>
      </x:c>
      <x:c r="F73" s="9" t="n">
        <x:v>49404.999999996275</x:v>
      </x:c>
      <x:c r="G73" s="9" t="n">
        <x:v>50855</x:v>
      </x:c>
      <x:c r="H73" s="9" t="n">
        <x:v>14885.000000003725</x:v>
      </x:c>
      <x:c r="I73" s="9" t="n">
        <x:v>6162</x:v>
      </x:c>
      <x:c r="J73" s="9" t="n">
        <x:v>106</x:v>
      </x:c>
      <x:c r="K73" s="9" t="n">
        <x:f>F73+G73+I73+J73</x:f>
        <x:v>106527.99999999627</x:v>
      </x:c>
      <x:c r="L73" s="10" t="n">
        <x:f>K73/Sources!$B$4*1000</x:f>
        <x:v>29.760206953676033</x:v>
      </x:c>
      <x:c r="M73" s="10" t="n">
        <x:f>E73/Sources!$B$4*1000</x:f>
        <x:v>33.918556688070694</x:v>
      </x:c>
      <x:c r="N73" s="9" t="n">
        <x:f>Sources!$B$6-K73</x:f>
        <x:v>-46791.999999996275</x:v>
      </x:c>
      <x:c r="O73" s="1" t="str">
        <x:v>continuous</x:v>
      </x:c>
      <x:c r="P73" s="12" t="n">
        <x:v>0</x:v>
      </x:c>
      <x:c r="Q73" s="12" t="n">
        <x:v>4</x:v>
      </x:c>
      <x:c r="R73" s="12" t="n">
        <x:v>7</x:v>
      </x:c>
      <x:c r="S73" s="12" t="n">
        <x:v>7</x:v>
      </x:c>
      <x:c r="T73" s="1" t="str">
        <x:v>No</x:v>
      </x:c>
      <x:c r="U73" s="1" t="n">
        <x:v>0</x:v>
      </x:c>
    </x:row>
    <x:row r="74" ht="23" customHeight="1">
      <x:c r="A74" s="9" t="n">
        <x:v>73</x:v>
      </x:c>
      <x:c r="B74" s="9" t="n">
        <x:v>391</x:v>
      </x:c>
      <x:c r="C74" s="9" t="n">
        <x:v>987</x:v>
      </x:c>
      <x:c r="D74" s="9" t="n">
        <x:v>2</x:v>
      </x:c>
      <x:c r="E74" s="9" t="n">
        <x:v>117531.99999999627</x:v>
      </x:c>
      <x:c r="F74" s="9" t="n">
        <x:v>44911</x:v>
      </x:c>
      <x:c r="G74" s="9" t="n">
        <x:v>50062.999999996275</x:v>
      </x:c>
      <x:c r="H74" s="9" t="n">
        <x:v>18230</x:v>
      </x:c>
      <x:c r="I74" s="9" t="n">
        <x:v>4222</x:v>
      </x:c>
      <x:c r="J74" s="9" t="n">
        <x:v>106</x:v>
      </x:c>
      <x:c r="K74" s="9" t="n">
        <x:f>F74+G74+I74+J74</x:f>
        <x:v>99301.99999999627</x:v>
      </x:c>
      <x:c r="L74" s="10" t="n">
        <x:f>K74/Sources!$B$4*1000</x:f>
        <x:v>27.741514633842087</x:v>
      </x:c>
      <x:c r="M74" s="10" t="n">
        <x:f>E74/Sources!$B$4*1000</x:f>
        <x:v>32.83434067737556</x:v>
      </x:c>
      <x:c r="N74" s="9" t="n">
        <x:f>Sources!$B$6-K74</x:f>
        <x:v>-39565.999999996275</x:v>
      </x:c>
      <x:c r="O74" s="1" t="str">
        <x:v>continuous</x:v>
      </x:c>
      <x:c r="P74" s="12" t="n">
        <x:v>0</x:v>
      </x:c>
      <x:c r="Q74" s="12" t="n">
        <x:v>4</x:v>
      </x:c>
      <x:c r="R74" s="12" t="n">
        <x:v>7</x:v>
      </x:c>
      <x:c r="S74" s="12" t="n">
        <x:v>3</x:v>
      </x:c>
      <x:c r="T74" s="1" t="str">
        <x:v>Yes</x:v>
      </x:c>
      <x:c r="U74" s="1" t="n">
        <x:v>0</x:v>
      </x:c>
    </x:row>
    <x:row r="75" ht="23" customHeight="1">
      <x:c r="A75" s="9" t="n">
        <x:v>74</x:v>
      </x:c>
      <x:c r="B75" s="9" t="n">
        <x:v>391</x:v>
      </x:c>
      <x:c r="C75" s="9" t="n">
        <x:v>991</x:v>
      </x:c>
      <x:c r="D75" s="9" t="n">
        <x:v>2</x:v>
      </x:c>
      <x:c r="E75" s="9" t="n">
        <x:v>119464.00000000373</x:v>
      </x:c>
      <x:c r="F75" s="9" t="n">
        <x:v>45045</x:v>
      </x:c>
      <x:c r="G75" s="9" t="n">
        <x:v>34159</x:v>
      </x:c>
      <x:c r="H75" s="9" t="n">
        <x:v>35940</x:v>
      </x:c>
      <x:c r="I75" s="9" t="n">
        <x:v>4214.000000003725</x:v>
      </x:c>
      <x:c r="J75" s="9" t="n">
        <x:v>106</x:v>
      </x:c>
      <x:c r="K75" s="9" t="n">
        <x:f>F75+G75+I75+J75</x:f>
        <x:v>83524.00000000373</x:v>
      </x:c>
      <x:c r="L75" s="10" t="n">
        <x:f>K75/Sources!$B$4*1000</x:f>
        <x:v>23.33369185189842</x:v>
      </x:c>
      <x:c r="M75" s="10" t="n">
        <x:f>E75/Sources!$B$4*1000</x:f>
        <x:v>33.374074079248544</x:v>
      </x:c>
      <x:c r="N75" s="9" t="n">
        <x:f>Sources!$B$6-K75</x:f>
        <x:v>-23788.000000003725</x:v>
      </x:c>
      <x:c r="O75" s="1" t="str">
        <x:v>continuous</x:v>
      </x:c>
      <x:c r="P75" s="12" t="n">
        <x:v>0</x:v>
      </x:c>
      <x:c r="Q75" s="12" t="n">
        <x:v>4</x:v>
      </x:c>
      <x:c r="R75" s="12" t="n">
        <x:v>7</x:v>
      </x:c>
      <x:c r="S75" s="12" t="n">
        <x:v>7</x:v>
      </x:c>
      <x:c r="T75" s="1" t="str">
        <x:v>No</x:v>
      </x:c>
      <x:c r="U75" s="1" t="n">
        <x:v>0</x:v>
      </x:c>
    </x:row>
    <x:row r="76" ht="23" customHeight="1">
      <x:c r="A76" s="9" t="n">
        <x:v>75</x:v>
      </x:c>
      <x:c r="B76" s="9" t="n">
        <x:v>391</x:v>
      </x:c>
      <x:c r="C76" s="9" t="n">
        <x:v>995</x:v>
      </x:c>
      <x:c r="D76" s="9" t="n">
        <x:v>2</x:v>
      </x:c>
      <x:c r="E76" s="9" t="n">
        <x:v>119482</x:v>
      </x:c>
      <x:c r="F76" s="9" t="n">
        <x:v>47586</x:v>
      </x:c>
      <x:c r="G76" s="9" t="n">
        <x:v>50062.999999996275</x:v>
      </x:c>
      <x:c r="H76" s="9" t="n">
        <x:v>17505.000000003725</x:v>
      </x:c>
      <x:c r="I76" s="9" t="n">
        <x:v>4222</x:v>
      </x:c>
      <x:c r="J76" s="9" t="n">
        <x:v>106</x:v>
      </x:c>
      <x:c r="K76" s="9" t="n">
        <x:f>F76+G76+I76+J76</x:f>
        <x:v>101976.99999999627</x:v>
      </x:c>
      <x:c r="L76" s="10" t="n">
        <x:f>K76/Sources!$B$4*1000</x:f>
        <x:v>28.488816316039127</x:v>
      </x:c>
      <x:c r="M76" s="10" t="n">
        <x:f>E76/Sources!$B$4*1000</x:f>
        <x:v>33.37910265131462</x:v>
      </x:c>
      <x:c r="N76" s="9" t="n">
        <x:f>Sources!$B$6-K76</x:f>
        <x:v>-42240.999999996275</x:v>
      </x:c>
      <x:c r="O76" s="1" t="str">
        <x:v>continuous</x:v>
      </x:c>
      <x:c r="P76" s="12" t="n">
        <x:v>0</x:v>
      </x:c>
      <x:c r="Q76" s="12" t="n">
        <x:v>4</x:v>
      </x:c>
      <x:c r="R76" s="12" t="n">
        <x:v>7</x:v>
      </x:c>
      <x:c r="S76" s="12" t="n">
        <x:v>3</x:v>
      </x:c>
      <x:c r="T76" s="1" t="str">
        <x:v>Yes</x:v>
      </x:c>
      <x:c r="U76" s="1" t="n">
        <x:v>0</x:v>
      </x:c>
    </x:row>
    <x:row r="77" ht="23" customHeight="1">
      <x:c r="A77" s="9" t="n">
        <x:v>76</x:v>
      </x:c>
      <x:c r="B77" s="9" t="n">
        <x:v>391</x:v>
      </x:c>
      <x:c r="C77" s="9" t="n">
        <x:v>999</x:v>
      </x:c>
      <x:c r="D77" s="9" t="n">
        <x:v>2</x:v>
      </x:c>
      <x:c r="E77" s="9" t="n">
        <x:v>121407.99999999627</x:v>
      </x:c>
      <x:c r="F77" s="9" t="n">
        <x:v>47201</x:v>
      </x:c>
      <x:c r="G77" s="9" t="n">
        <x:v>34159</x:v>
      </x:c>
      <x:c r="H77" s="9" t="n">
        <x:v>33779.999999996275</x:v>
      </x:c>
      <x:c r="I77" s="9" t="n">
        <x:v>6162</x:v>
      </x:c>
      <x:c r="J77" s="9" t="n">
        <x:v>106</x:v>
      </x:c>
      <x:c r="K77" s="9" t="n">
        <x:f>F77+G77+I77+J77</x:f>
        <x:v>87628</x:v>
      </x:c>
      <x:c r="L77" s="10" t="n">
        <x:f>K77/Sources!$B$4*1000</x:f>
        <x:v>24.480206283200797</x:v>
      </x:c>
      <x:c r="M77" s="10" t="n">
        <x:f>E77/Sources!$B$4*1000</x:f>
        <x:v>33.91715986249545</x:v>
      </x:c>
      <x:c r="N77" s="9" t="n">
        <x:f>Sources!$B$6-K77</x:f>
        <x:v>-27892</x:v>
      </x:c>
      <x:c r="O77" s="1" t="str">
        <x:v>continuous</x:v>
      </x:c>
      <x:c r="P77" s="12" t="n">
        <x:v>0</x:v>
      </x:c>
      <x:c r="Q77" s="12" t="n">
        <x:v>4</x:v>
      </x:c>
      <x:c r="R77" s="12" t="n">
        <x:v>7</x:v>
      </x:c>
      <x:c r="S77" s="12" t="n">
        <x:v>7</x:v>
      </x:c>
      <x:c r="T77" s="1" t="str">
        <x:v>No</x:v>
      </x:c>
      <x:c r="U77" s="1" t="n">
        <x:v>0</x:v>
      </x:c>
    </x:row>
    <x:row r="78" ht="23" customHeight="1">
      <x:c r="A78" s="9" t="n">
        <x:v>77</x:v>
      </x:c>
      <x:c r="B78" s="9" t="n">
        <x:v>391</x:v>
      </x:c>
      <x:c r="C78" s="9" t="n">
        <x:v>1003</x:v>
      </x:c>
      <x:c r="D78" s="9" t="n">
        <x:v>2</x:v>
      </x:c>
      <x:c r="E78" s="9" t="n">
        <x:v>117533</x:v>
      </x:c>
      <x:c r="F78" s="9" t="n">
        <x:v>44382.000000003725</x:v>
      </x:c>
      <x:c r="G78" s="9" t="n">
        <x:v>50063</x:v>
      </x:c>
      <x:c r="H78" s="9" t="n">
        <x:v>18760</x:v>
      </x:c>
      <x:c r="I78" s="9" t="n">
        <x:v>4221.999999996275</x:v>
      </x:c>
      <x:c r="J78" s="9" t="n">
        <x:v>106</x:v>
      </x:c>
      <x:c r="K78" s="9" t="n">
        <x:f>F78+G78+I78+J78</x:f>
        <x:v>98773</x:v>
      </x:c>
      <x:c r="L78" s="10" t="n">
        <x:f>K78/Sources!$B$4*1000</x:f>
        <x:v>27.59373048809276</x:v>
      </x:c>
      <x:c r="M78" s="10" t="n">
        <x:f>E78/Sources!$B$4*1000</x:f>
        <x:v>32.83462004249144</x:v>
      </x:c>
      <x:c r="N78" s="9" t="n">
        <x:f>Sources!$B$6-K78</x:f>
        <x:v>-39037</x:v>
      </x:c>
      <x:c r="O78" s="1" t="str">
        <x:v>continuous</x:v>
      </x:c>
      <x:c r="P78" s="12" t="n">
        <x:v>0</x:v>
      </x:c>
      <x:c r="Q78" s="12" t="n">
        <x:v>4</x:v>
      </x:c>
      <x:c r="R78" s="12" t="n">
        <x:v>7</x:v>
      </x:c>
      <x:c r="S78" s="12" t="n">
        <x:v>3</x:v>
      </x:c>
      <x:c r="T78" s="1" t="str">
        <x:v>Yes</x:v>
      </x:c>
      <x:c r="U78" s="1" t="n">
        <x:v>0</x:v>
      </x:c>
    </x:row>
    <x:row r="79" ht="23" customHeight="1">
      <x:c r="A79" s="9" t="n">
        <x:v>78</x:v>
      </x:c>
      <x:c r="B79" s="9" t="n">
        <x:v>391</x:v>
      </x:c>
      <x:c r="C79" s="9" t="n">
        <x:v>1007</x:v>
      </x:c>
      <x:c r="D79" s="9" t="n">
        <x:v>2</x:v>
      </x:c>
      <x:c r="E79" s="9" t="n">
        <x:v>119463.00000000373</x:v>
      </x:c>
      <x:c r="F79" s="9" t="n">
        <x:v>33214</x:v>
      </x:c>
      <x:c r="G79" s="9" t="n">
        <x:v>34158.999999996275</x:v>
      </x:c>
      <x:c r="H79" s="9" t="n">
        <x:v>47770.000000003725</x:v>
      </x:c>
      <x:c r="I79" s="9" t="n">
        <x:v>4214</x:v>
      </x:c>
      <x:c r="J79" s="9" t="n">
        <x:v>106.00000000372529</x:v>
      </x:c>
      <x:c r="K79" s="9" t="n">
        <x:f>F79+G79+I79+J79</x:f>
        <x:v>71693</x:v>
      </x:c>
      <x:c r="L79" s="10" t="n">
        <x:f>K79/Sources!$B$4*1000</x:f>
        <x:v>20.028523178225168</x:v>
      </x:c>
      <x:c r="M79" s="10" t="n">
        <x:f>E79/Sources!$B$4*1000</x:f>
        <x:v>33.3737947141337</x:v>
      </x:c>
      <x:c r="N79" s="9" t="n">
        <x:f>Sources!$B$6-K79</x:f>
        <x:v>-11957</x:v>
      </x:c>
      <x:c r="O79" s="1" t="str">
        <x:v>continuous</x:v>
      </x:c>
      <x:c r="P79" s="12" t="n">
        <x:v>0</x:v>
      </x:c>
      <x:c r="Q79" s="12" t="n">
        <x:v>4</x:v>
      </x:c>
      <x:c r="R79" s="12" t="n">
        <x:v>7</x:v>
      </x:c>
      <x:c r="S79" s="12" t="n">
        <x:v>7</x:v>
      </x:c>
      <x:c r="T79" s="1" t="str">
        <x:v>No</x:v>
      </x:c>
      <x:c r="U79" s="1" t="n">
        <x:v>0</x:v>
      </x:c>
    </x:row>
    <x:row r="80" ht="23" customHeight="1">
      <x:c r="A80" s="9" t="n">
        <x:v>79</x:v>
      </x:c>
      <x:c r="B80" s="9" t="n">
        <x:v>391</x:v>
      </x:c>
      <x:c r="C80" s="9" t="n">
        <x:v>1011</x:v>
      </x:c>
      <x:c r="D80" s="9" t="n">
        <x:v>2</x:v>
      </x:c>
      <x:c r="E80" s="9" t="n">
        <x:v>119483.99999999627</x:v>
      </x:c>
      <x:c r="F80" s="9" t="n">
        <x:v>32897.999999996275</x:v>
      </x:c>
      <x:c r="G80" s="9" t="n">
        <x:v>50063.000000003725</x:v>
      </x:c>
      <x:c r="H80" s="9" t="n">
        <x:v>32195.000000003725</x:v>
      </x:c>
      <x:c r="I80" s="9" t="n">
        <x:v>4222</x:v>
      </x:c>
      <x:c r="J80" s="9" t="n">
        <x:v>105.99999999254942</x:v>
      </x:c>
      <x:c r="K80" s="9" t="n">
        <x:f>F80+G80+I80+J80</x:f>
        <x:v>87288.99999999255</x:v>
      </x:c>
      <x:c r="L80" s="10" t="n">
        <x:f>K80/Sources!$B$4*1000</x:f>
        <x:v>24.38550150926795</x:v>
      </x:c>
      <x:c r="M80" s="10" t="n">
        <x:f>E80/Sources!$B$4*1000</x:f>
        <x:v>33.37966138154326</x:v>
      </x:c>
      <x:c r="N80" s="9" t="n">
        <x:f>Sources!$B$6-K80</x:f>
        <x:v>-27552.99999999255</x:v>
      </x:c>
      <x:c r="O80" s="1" t="str">
        <x:v>continuous</x:v>
      </x:c>
      <x:c r="P80" s="12" t="n">
        <x:v>0</x:v>
      </x:c>
      <x:c r="Q80" s="12" t="n">
        <x:v>4</x:v>
      </x:c>
      <x:c r="R80" s="12" t="n">
        <x:v>7</x:v>
      </x:c>
      <x:c r="S80" s="12" t="n">
        <x:v>3</x:v>
      </x:c>
      <x:c r="T80" s="1" t="str">
        <x:v>Yes</x:v>
      </x:c>
      <x:c r="U80" s="1" t="n">
        <x:v>0</x:v>
      </x:c>
    </x:row>
    <x:row r="81" ht="23" customHeight="1">
      <x:c r="A81" s="9" t="n">
        <x:v>80</x:v>
      </x:c>
      <x:c r="B81" s="9" t="n">
        <x:v>391</x:v>
      </x:c>
      <x:c r="C81" s="9" t="n">
        <x:v>1015</x:v>
      </x:c>
      <x:c r="D81" s="9" t="n">
        <x:v>2</x:v>
      </x:c>
      <x:c r="E81" s="9" t="n">
        <x:v>119460.00000000373</x:v>
      </x:c>
      <x:c r="F81" s="9" t="n">
        <x:v>33371.000000003725</x:v>
      </x:c>
      <x:c r="G81" s="9" t="n">
        <x:v>34159</x:v>
      </x:c>
      <x:c r="H81" s="9" t="n">
        <x:v>47610</x:v>
      </x:c>
      <x:c r="I81" s="9" t="n">
        <x:v>4213.999999996275</x:v>
      </x:c>
      <x:c r="J81" s="9" t="n">
        <x:v>106.00000000372529</x:v>
      </x:c>
      <x:c r="K81" s="9" t="n">
        <x:f>F81+G81+I81+J81</x:f>
        <x:v>71850.00000000373</x:v>
      </x:c>
      <x:c r="L81" s="10" t="n">
        <x:f>K81/Sources!$B$4*1000</x:f>
        <x:v>20.072383501256088</x:v>
      </x:c>
      <x:c r="M81" s="10" t="n">
        <x:f>E81/Sources!$B$4*1000</x:f>
        <x:v>33.37295661878918</x:v>
      </x:c>
      <x:c r="N81" s="9" t="n">
        <x:f>Sources!$B$6-K81</x:f>
        <x:v>-12114.000000003725</x:v>
      </x:c>
      <x:c r="O81" s="1" t="str">
        <x:v>continuous</x:v>
      </x:c>
      <x:c r="P81" s="12" t="n">
        <x:v>0</x:v>
      </x:c>
      <x:c r="Q81" s="12" t="n">
        <x:v>4</x:v>
      </x:c>
      <x:c r="R81" s="12" t="n">
        <x:v>7</x:v>
      </x:c>
      <x:c r="S81" s="12" t="n">
        <x:v>7</x:v>
      </x:c>
      <x:c r="T81" s="1" t="str">
        <x:v>No</x:v>
      </x:c>
      <x:c r="U81" s="1" t="n">
        <x:v>0</x:v>
      </x:c>
    </x:row>
    <x:row r="82" ht="23" customHeight="1">
      <x:c r="A82" s="9" t="n">
        <x:v>81</x:v>
      </x:c>
      <x:c r="B82" s="9" t="n">
        <x:v>391</x:v>
      </x:c>
      <x:c r="C82" s="9" t="n">
        <x:v>1019</x:v>
      </x:c>
      <x:c r="D82" s="9" t="n">
        <x:v>2</x:v>
      </x:c>
      <x:c r="E82" s="9" t="n">
        <x:v>119483</x:v>
      </x:c>
      <x:c r="F82" s="9" t="n">
        <x:v>29016.999999996275</x:v>
      </x:c>
      <x:c r="G82" s="9" t="n">
        <x:v>50063.000000003725</x:v>
      </x:c>
      <x:c r="H82" s="9" t="n">
        <x:v>36075</x:v>
      </x:c>
      <x:c r="I82" s="9" t="n">
        <x:v>4222</x:v>
      </x:c>
      <x:c r="J82" s="9" t="n">
        <x:v>106</x:v>
      </x:c>
      <x:c r="K82" s="9" t="n">
        <x:f>F82+G82+I82+J82</x:f>
        <x:v>83408</x:v>
      </x:c>
      <x:c r="L82" s="10" t="n">
        <x:f>K82/Sources!$B$4*1000</x:f>
        <x:v>23.301285498575936</x:v>
      </x:c>
      <x:c r="M82" s="10" t="n">
        <x:f>E82/Sources!$B$4*1000</x:f>
        <x:v>33.37938201642946</x:v>
      </x:c>
      <x:c r="N82" s="9" t="n">
        <x:f>Sources!$B$6-K82</x:f>
        <x:v>-23672</x:v>
      </x:c>
      <x:c r="O82" s="1" t="str">
        <x:v>continuous</x:v>
      </x:c>
      <x:c r="P82" s="12" t="n">
        <x:v>0</x:v>
      </x:c>
      <x:c r="Q82" s="12" t="n">
        <x:v>4</x:v>
      </x:c>
      <x:c r="R82" s="12" t="n">
        <x:v>7</x:v>
      </x:c>
      <x:c r="S82" s="12" t="n">
        <x:v>3</x:v>
      </x:c>
      <x:c r="T82" s="1" t="str">
        <x:v>Yes</x:v>
      </x:c>
      <x:c r="U82" s="1" t="n">
        <x:v>0</x:v>
      </x:c>
    </x:row>
    <x:row r="83" ht="23" customHeight="1">
      <x:c r="A83" s="9" t="n">
        <x:v>82</x:v>
      </x:c>
      <x:c r="B83" s="9" t="n">
        <x:v>391</x:v>
      </x:c>
      <x:c r="C83" s="9" t="n">
        <x:v>1023</x:v>
      </x:c>
      <x:c r="D83" s="9" t="n">
        <x:v>2</x:v>
      </x:c>
      <x:c r="E83" s="9" t="n">
        <x:v>119462</x:v>
      </x:c>
      <x:c r="F83" s="9" t="n">
        <x:v>30084</x:v>
      </x:c>
      <x:c r="G83" s="9" t="n">
        <x:v>34177.999999996275</x:v>
      </x:c>
      <x:c r="H83" s="9" t="n">
        <x:v>50880.000000003725</x:v>
      </x:c>
      <x:c r="I83" s="9" t="n">
        <x:v>4214</x:v>
      </x:c>
      <x:c r="J83" s="9" t="n">
        <x:v>106</x:v>
      </x:c>
      <x:c r="K83" s="9" t="n">
        <x:f>F83+G83+I83+J83</x:f>
        <x:v>68581.99999999627</x:v>
      </x:c>
      <x:c r="L83" s="10" t="n">
        <x:f>K83/Sources!$B$4*1000</x:f>
        <x:v>19.15941830595684</x:v>
      </x:c>
      <x:c r="M83" s="10" t="n">
        <x:f>E83/Sources!$B$4*1000</x:f>
        <x:v>33.37351534901782</x:v>
      </x:c>
      <x:c r="N83" s="9" t="n">
        <x:f>Sources!$B$6-K83</x:f>
        <x:v>-8845.999999996275</x:v>
      </x:c>
      <x:c r="O83" s="1" t="str">
        <x:v>continuous</x:v>
      </x:c>
      <x:c r="P83" s="12" t="n">
        <x:v>0</x:v>
      </x:c>
      <x:c r="Q83" s="12" t="n">
        <x:v>4</x:v>
      </x:c>
      <x:c r="R83" s="12" t="n">
        <x:v>7</x:v>
      </x:c>
      <x:c r="S83" s="12" t="n">
        <x:v>7</x:v>
      </x:c>
      <x:c r="T83" s="1" t="str">
        <x:v>No</x:v>
      </x:c>
      <x:c r="U83" s="1" t="n">
        <x:v>0</x:v>
      </x:c>
    </x:row>
    <x:row r="84" ht="23" customHeight="1">
      <x:c r="A84" s="9" t="n">
        <x:v>83</x:v>
      </x:c>
      <x:c r="B84" s="9" t="n">
        <x:v>391</x:v>
      </x:c>
      <x:c r="C84" s="9" t="n">
        <x:v>1027</x:v>
      </x:c>
      <x:c r="D84" s="9" t="n">
        <x:v>2</x:v>
      </x:c>
      <x:c r="E84" s="9" t="n">
        <x:v>119482</x:v>
      </x:c>
      <x:c r="F84" s="9" t="n">
        <x:v>28967</x:v>
      </x:c>
      <x:c r="G84" s="9" t="n">
        <x:v>50082</x:v>
      </x:c>
      <x:c r="H84" s="9" t="n">
        <x:v>36105</x:v>
      </x:c>
      <x:c r="I84" s="9" t="n">
        <x:v>4221.999999996275</x:v>
      </x:c>
      <x:c r="J84" s="9" t="n">
        <x:v>106.00000000372529</x:v>
      </x:c>
      <x:c r="K84" s="9" t="n">
        <x:f>F84+G84+I84+J84</x:f>
        <x:v>83377</x:v>
      </x:c>
      <x:c r="L84" s="10" t="n">
        <x:f>K84/Sources!$B$4*1000</x:f>
        <x:v>23.292625180015897</x:v>
      </x:c>
      <x:c r="M84" s="10" t="n">
        <x:f>E84/Sources!$B$4*1000</x:f>
        <x:v>33.37910265131462</x:v>
      </x:c>
      <x:c r="N84" s="9" t="n">
        <x:f>Sources!$B$6-K84</x:f>
        <x:v>-23641</x:v>
      </x:c>
      <x:c r="O84" s="1" t="str">
        <x:v>continuous</x:v>
      </x:c>
      <x:c r="P84" s="12" t="n">
        <x:v>0</x:v>
      </x:c>
      <x:c r="Q84" s="12" t="n">
        <x:v>4</x:v>
      </x:c>
      <x:c r="R84" s="12" t="n">
        <x:v>7</x:v>
      </x:c>
      <x:c r="S84" s="12" t="n">
        <x:v>3</x:v>
      </x:c>
      <x:c r="T84" s="1" t="str">
        <x:v>Yes</x:v>
      </x:c>
      <x:c r="U84" s="1" t="n">
        <x:v>0</x:v>
      </x:c>
    </x:row>
    <x:row r="85" ht="23" customHeight="1">
      <x:c r="A85" s="9" t="n">
        <x:v>84</x:v>
      </x:c>
      <x:c r="B85" s="9" t="n">
        <x:v>391</x:v>
      </x:c>
      <x:c r="C85" s="9" t="n">
        <x:v>1031</x:v>
      </x:c>
      <x:c r="D85" s="9" t="n">
        <x:v>2</x:v>
      </x:c>
      <x:c r="E85" s="9" t="n">
        <x:v>122281.99999999627</x:v>
      </x:c>
      <x:c r="F85" s="9" t="n">
        <x:v>47993</x:v>
      </x:c>
      <x:c r="G85" s="9" t="n">
        <x:v>34177.999999996275</x:v>
      </x:c>
      <x:c r="H85" s="9" t="n">
        <x:v>32969.999999996275</x:v>
      </x:c>
      <x:c r="I85" s="9" t="n">
        <x:v>7035.000000003725</x:v>
      </x:c>
      <x:c r="J85" s="9" t="n">
        <x:v>106</x:v>
      </x:c>
      <x:c r="K85" s="9" t="n">
        <x:f>F85+G85+I85+J85</x:f>
        <x:v>89312</x:v>
      </x:c>
      <x:c r="L85" s="10" t="n">
        <x:f>K85/Sources!$B$4*1000</x:f>
        <x:v>24.95065713659138</x:v>
      </x:c>
      <x:c r="M85" s="10" t="n">
        <x:f>E85/Sources!$B$4*1000</x:f>
        <x:v>34.16132497286562</x:v>
      </x:c>
      <x:c r="N85" s="9" t="n">
        <x:f>Sources!$B$6-K85</x:f>
        <x:v>-29576</x:v>
      </x:c>
      <x:c r="O85" s="1" t="str">
        <x:v>continuous</x:v>
      </x:c>
      <x:c r="P85" s="12" t="n">
        <x:v>0</x:v>
      </x:c>
      <x:c r="Q85" s="12" t="n">
        <x:v>4</x:v>
      </x:c>
      <x:c r="R85" s="12" t="n">
        <x:v>7</x:v>
      </x:c>
      <x:c r="S85" s="12" t="n">
        <x:v>7</x:v>
      </x:c>
      <x:c r="T85" s="1" t="str">
        <x:v>No</x:v>
      </x:c>
      <x:c r="U85" s="1" t="n">
        <x:v>0</x:v>
      </x:c>
    </x:row>
    <x:row r="86" ht="23" customHeight="1">
      <x:c r="A86" s="9" t="n">
        <x:v>85</x:v>
      </x:c>
      <x:c r="B86" s="9" t="n">
        <x:v>391</x:v>
      </x:c>
      <x:c r="C86" s="9" t="n">
        <x:v>1035</x:v>
      </x:c>
      <x:c r="D86" s="9" t="n">
        <x:v>2</x:v>
      </x:c>
      <x:c r="E86" s="9" t="n">
        <x:v>116661.00000000373</x:v>
      </x:c>
      <x:c r="F86" s="9" t="n">
        <x:v>30251.000000003725</x:v>
      </x:c>
      <x:c r="G86" s="9" t="n">
        <x:v>50082</x:v>
      </x:c>
      <x:c r="H86" s="9" t="n">
        <x:v>32000</x:v>
      </x:c>
      <x:c r="I86" s="9" t="n">
        <x:v>4222</x:v>
      </x:c>
      <x:c r="J86" s="9" t="n">
        <x:v>106</x:v>
      </x:c>
      <x:c r="K86" s="9" t="n">
        <x:f>F86+G86+I86+J86</x:f>
        <x:v>84661.00000000373</x:v>
      </x:c>
      <x:c r="L86" s="10" t="n">
        <x:f>K86/Sources!$B$4*1000</x:f>
        <x:v>23.651329987471517</x:v>
      </x:c>
      <x:c r="M86" s="10" t="n">
        <x:f>E86/Sources!$B$4*1000</x:f>
        <x:v>32.59101366235198</x:v>
      </x:c>
      <x:c r="N86" s="9" t="n">
        <x:f>Sources!$B$6-K86</x:f>
        <x:v>-24925.000000003725</x:v>
      </x:c>
      <x:c r="O86" s="1" t="str">
        <x:v>continuous</x:v>
      </x:c>
      <x:c r="P86" s="12" t="n">
        <x:v>0</x:v>
      </x:c>
      <x:c r="Q86" s="12" t="n">
        <x:v>4</x:v>
      </x:c>
      <x:c r="R86" s="12" t="n">
        <x:v>7</x:v>
      </x:c>
      <x:c r="S86" s="12" t="n">
        <x:v>3</x:v>
      </x:c>
      <x:c r="T86" s="1" t="str">
        <x:v>Yes</x:v>
      </x:c>
      <x:c r="U86" s="1" t="n">
        <x:v>0</x:v>
      </x:c>
    </x:row>
    <x:row r="87" ht="23" customHeight="1">
      <x:c r="A87" s="9" t="n">
        <x:v>86</x:v>
      </x:c>
      <x:c r="B87" s="9" t="n">
        <x:v>391</x:v>
      </x:c>
      <x:c r="C87" s="9" t="n">
        <x:v>1039</x:v>
      </x:c>
      <x:c r="D87" s="9" t="n">
        <x:v>2</x:v>
      </x:c>
      <x:c r="E87" s="9" t="n">
        <x:v>119462</x:v>
      </x:c>
      <x:c r="F87" s="9" t="n">
        <x:v>30879</x:v>
      </x:c>
      <x:c r="G87" s="9" t="n">
        <x:v>34178</x:v>
      </x:c>
      <x:c r="H87" s="9" t="n">
        <x:v>50084.999999996275</x:v>
      </x:c>
      <x:c r="I87" s="9" t="n">
        <x:v>4214.000000003725</x:v>
      </x:c>
      <x:c r="J87" s="9" t="n">
        <x:v>106</x:v>
      </x:c>
      <x:c r="K87" s="9" t="n">
        <x:f>F87+G87+I87+J87</x:f>
        <x:v>69377.00000000373</x:v>
      </x:c>
      <x:c r="L87" s="10" t="n">
        <x:f>K87/Sources!$B$4*1000</x:f>
        <x:v>19.381513572256733</x:v>
      </x:c>
      <x:c r="M87" s="10" t="n">
        <x:f>E87/Sources!$B$4*1000</x:f>
        <x:v>33.37351534901782</x:v>
      </x:c>
      <x:c r="N87" s="9" t="n">
        <x:f>Sources!$B$6-K87</x:f>
        <x:v>-9641.000000003725</x:v>
      </x:c>
      <x:c r="O87" s="1" t="str">
        <x:v>continuous</x:v>
      </x:c>
      <x:c r="P87" s="12" t="n">
        <x:v>0</x:v>
      </x:c>
      <x:c r="Q87" s="12" t="n">
        <x:v>4</x:v>
      </x:c>
      <x:c r="R87" s="12" t="n">
        <x:v>7</x:v>
      </x:c>
      <x:c r="S87" s="12" t="n">
        <x:v>7</x:v>
      </x:c>
      <x:c r="T87" s="1" t="str">
        <x:v>No</x:v>
      </x:c>
      <x:c r="U87" s="1" t="n">
        <x:v>0</x:v>
      </x:c>
    </x:row>
    <x:row r="88" ht="23" customHeight="1">
      <x:c r="A88" s="9" t="n">
        <x:v>87</x:v>
      </x:c>
      <x:c r="B88" s="9" t="n">
        <x:v>391</x:v>
      </x:c>
      <x:c r="C88" s="9" t="n">
        <x:v>1043</x:v>
      </x:c>
      <x:c r="D88" s="9" t="n">
        <x:v>2</x:v>
      </x:c>
      <x:c r="E88" s="9" t="n">
        <x:v>119480.99999999627</x:v>
      </x:c>
      <x:c r="F88" s="9" t="n">
        <x:v>28911</x:v>
      </x:c>
      <x:c r="G88" s="9" t="n">
        <x:v>50082</x:v>
      </x:c>
      <x:c r="H88" s="9" t="n">
        <x:v>36160</x:v>
      </x:c>
      <x:c r="I88" s="9" t="n">
        <x:v>4222</x:v>
      </x:c>
      <x:c r="J88" s="9" t="n">
        <x:v>105.99999999627471</x:v>
      </x:c>
      <x:c r="K88" s="9" t="n">
        <x:f>F88+G88+I88+J88</x:f>
        <x:v>83320.99999999627</x:v>
      </x:c>
      <x:c r="L88" s="10" t="n">
        <x:f>K88/Sources!$B$4*1000</x:f>
        <x:v>23.276980733583816</x:v>
      </x:c>
      <x:c r="M88" s="10" t="n">
        <x:f>E88/Sources!$B$4*1000</x:f>
        <x:v>33.37882328619874</x:v>
      </x:c>
      <x:c r="N88" s="9" t="n">
        <x:f>Sources!$B$6-K88</x:f>
        <x:v>-23584.999999996275</x:v>
      </x:c>
      <x:c r="O88" s="1" t="str">
        <x:v>continuous</x:v>
      </x:c>
      <x:c r="P88" s="12" t="n">
        <x:v>0</x:v>
      </x:c>
      <x:c r="Q88" s="12" t="n">
        <x:v>4</x:v>
      </x:c>
      <x:c r="R88" s="12" t="n">
        <x:v>7</x:v>
      </x:c>
      <x:c r="S88" s="12" t="n">
        <x:v>3</x:v>
      </x:c>
      <x:c r="T88" s="1" t="str">
        <x:v>Yes</x:v>
      </x:c>
      <x:c r="U88" s="1" t="n">
        <x:v>0</x:v>
      </x:c>
    </x:row>
    <x:row r="89" ht="23" customHeight="1">
      <x:c r="A89" s="9" t="n">
        <x:v>88</x:v>
      </x:c>
      <x:c r="B89" s="9" t="n">
        <x:v>391</x:v>
      </x:c>
      <x:c r="C89" s="9" t="n">
        <x:v>1047</x:v>
      </x:c>
      <x:c r="D89" s="9" t="n">
        <x:v>2</x:v>
      </x:c>
      <x:c r="E89" s="9" t="n">
        <x:v>119463.00000000373</x:v>
      </x:c>
      <x:c r="F89" s="9" t="n">
        <x:v>30218</x:v>
      </x:c>
      <x:c r="G89" s="9" t="n">
        <x:v>32705</x:v>
      </x:c>
      <x:c r="H89" s="9" t="n">
        <x:v>52220.000000003725</x:v>
      </x:c>
      <x:c r="I89" s="9" t="n">
        <x:v>4214</x:v>
      </x:c>
      <x:c r="J89" s="9" t="n">
        <x:v>106</x:v>
      </x:c>
      <x:c r="K89" s="9" t="n">
        <x:f>F89+G89+I89+J89</x:f>
        <x:v>67243</x:v>
      </x:c>
      <x:c r="L89" s="10" t="n">
        <x:f>K89/Sources!$B$4*1000</x:f>
        <x:v>18.7853484171871</x:v>
      </x:c>
      <x:c r="M89" s="10" t="n">
        <x:f>E89/Sources!$B$4*1000</x:f>
        <x:v>33.3737947141337</x:v>
      </x:c>
      <x:c r="N89" s="9" t="n">
        <x:f>Sources!$B$6-K89</x:f>
        <x:v>-7507</x:v>
      </x:c>
      <x:c r="O89" s="1" t="str">
        <x:v>continuous</x:v>
      </x:c>
      <x:c r="P89" s="12" t="n">
        <x:v>0</x:v>
      </x:c>
      <x:c r="Q89" s="12" t="n">
        <x:v>4</x:v>
      </x:c>
      <x:c r="R89" s="12" t="n">
        <x:v>7</x:v>
      </x:c>
      <x:c r="S89" s="12" t="n">
        <x:v>7</x:v>
      </x:c>
      <x:c r="T89" s="1" t="str">
        <x:v>No</x:v>
      </x:c>
      <x:c r="U89" s="1" t="n">
        <x:v>0</x:v>
      </x:c>
    </x:row>
    <x:row r="90" ht="23" customHeight="1">
      <x:c r="A90" s="9" t="n">
        <x:v>89</x:v>
      </x:c>
      <x:c r="B90" s="9" t="n">
        <x:v>391</x:v>
      </x:c>
      <x:c r="C90" s="9" t="n">
        <x:v>1051</x:v>
      </x:c>
      <x:c r="D90" s="9" t="n">
        <x:v>2</x:v>
      </x:c>
      <x:c r="E90" s="9" t="n">
        <x:v>119483</x:v>
      </x:c>
      <x:c r="F90" s="9" t="n">
        <x:v>31565.999999996275</x:v>
      </x:c>
      <x:c r="G90" s="9" t="n">
        <x:v>48608.999999996275</x:v>
      </x:c>
      <x:c r="H90" s="9" t="n">
        <x:v>34980.000000003725</x:v>
      </x:c>
      <x:c r="I90" s="9" t="n">
        <x:v>4222</x:v>
      </x:c>
      <x:c r="J90" s="9" t="n">
        <x:v>106.00000000372529</x:v>
      </x:c>
      <x:c r="K90" s="9" t="n">
        <x:f>F90+G90+I90+J90</x:f>
        <x:v>84502.99999999627</x:v>
      </x:c>
      <x:c r="L90" s="10" t="n">
        <x:f>K90/Sources!$B$4*1000</x:f>
        <x:v>23.60719029932471</x:v>
      </x:c>
      <x:c r="M90" s="10" t="n">
        <x:f>E90/Sources!$B$4*1000</x:f>
        <x:v>33.37938201642946</x:v>
      </x:c>
      <x:c r="N90" s="9" t="n">
        <x:f>Sources!$B$6-K90</x:f>
        <x:v>-24766.999999996275</x:v>
      </x:c>
      <x:c r="O90" s="1" t="str">
        <x:v>continuous</x:v>
      </x:c>
      <x:c r="P90" s="12" t="n">
        <x:v>0</x:v>
      </x:c>
      <x:c r="Q90" s="12" t="n">
        <x:v>4</x:v>
      </x:c>
      <x:c r="R90" s="12" t="n">
        <x:v>7</x:v>
      </x:c>
      <x:c r="S90" s="12" t="n">
        <x:v>3</x:v>
      </x:c>
      <x:c r="T90" s="1" t="str">
        <x:v>Yes</x:v>
      </x:c>
      <x:c r="U90" s="1" t="n">
        <x:v>0</x:v>
      </x:c>
    </x:row>
    <x:row r="91" ht="23" customHeight="1">
      <x:c r="A91" s="9" t="n">
        <x:v>90</x:v>
      </x:c>
      <x:c r="B91" s="9" t="n">
        <x:v>391</x:v>
      </x:c>
      <x:c r="C91" s="9" t="n">
        <x:v>1055</x:v>
      </x:c>
      <x:c r="D91" s="9" t="n">
        <x:v>2</x:v>
      </x:c>
      <x:c r="E91" s="9" t="n">
        <x:v>119465</x:v>
      </x:c>
      <x:c r="F91" s="9" t="n">
        <x:v>29895</x:v>
      </x:c>
      <x:c r="G91" s="9" t="n">
        <x:v>32705</x:v>
      </x:c>
      <x:c r="H91" s="9" t="n">
        <x:v>52544.999999996275</x:v>
      </x:c>
      <x:c r="I91" s="9" t="n">
        <x:v>4214.000000003725</x:v>
      </x:c>
      <x:c r="J91" s="9" t="n">
        <x:v>106</x:v>
      </x:c>
      <x:c r="K91" s="9" t="n">
        <x:f>F91+G91+I91+J91</x:f>
        <x:v>66920.00000000373</x:v>
      </x:c>
      <x:c r="L91" s="10" t="n">
        <x:f>K91/Sources!$B$4*1000</x:f>
        <x:v>18.69511348509482</x:v>
      </x:c>
      <x:c r="M91" s="10" t="n">
        <x:f>E91/Sources!$B$4*1000</x:f>
        <x:v>33.37435344436234</x:v>
      </x:c>
      <x:c r="N91" s="9" t="n">
        <x:f>Sources!$B$6-K91</x:f>
        <x:v>-7184.000000003725</x:v>
      </x:c>
      <x:c r="O91" s="1" t="str">
        <x:v>continuous</x:v>
      </x:c>
      <x:c r="P91" s="12" t="n">
        <x:v>0</x:v>
      </x:c>
      <x:c r="Q91" s="12" t="n">
        <x:v>4</x:v>
      </x:c>
      <x:c r="R91" s="12" t="n">
        <x:v>7</x:v>
      </x:c>
      <x:c r="S91" s="12" t="n">
        <x:v>7</x:v>
      </x:c>
      <x:c r="T91" s="1" t="str">
        <x:v>No</x:v>
      </x:c>
      <x:c r="U91" s="1" t="n">
        <x:v>0</x:v>
      </x:c>
    </x:row>
    <x:row r="92" ht="23" customHeight="1">
      <x:c r="A92" s="9" t="n">
        <x:v>91</x:v>
      </x:c>
      <x:c r="B92" s="9" t="n">
        <x:v>391</x:v>
      </x:c>
      <x:c r="C92" s="9" t="n">
        <x:v>1059</x:v>
      </x:c>
      <x:c r="D92" s="9" t="n">
        <x:v>2</x:v>
      </x:c>
      <x:c r="E92" s="9" t="n">
        <x:v>119480</x:v>
      </x:c>
      <x:c r="F92" s="9" t="n">
        <x:v>30243</x:v>
      </x:c>
      <x:c r="G92" s="9" t="n">
        <x:v>48608.999999996275</x:v>
      </x:c>
      <x:c r="H92" s="9" t="n">
        <x:v>36299.999999996275</x:v>
      </x:c>
      <x:c r="I92" s="9" t="n">
        <x:v>4222.000000003725</x:v>
      </x:c>
      <x:c r="J92" s="9" t="n">
        <x:v>106.00000000372529</x:v>
      </x:c>
      <x:c r="K92" s="9" t="n">
        <x:f>F92+G92+I92+J92</x:f>
        <x:v>83180.00000000373</x:v>
      </x:c>
      <x:c r="L92" s="10" t="n">
        <x:f>K92/Sources!$B$4*1000</x:f>
        <x:v>23.237590252393453</x:v>
      </x:c>
      <x:c r="M92" s="10" t="n">
        <x:f>E92/Sources!$B$4*1000</x:f>
        <x:v>33.37854392108494</x:v>
      </x:c>
      <x:c r="N92" s="9" t="n">
        <x:f>Sources!$B$6-K92</x:f>
        <x:v>-23444.000000003725</x:v>
      </x:c>
      <x:c r="O92" s="1" t="str">
        <x:v>continuous</x:v>
      </x:c>
      <x:c r="P92" s="12" t="n">
        <x:v>0</x:v>
      </x:c>
      <x:c r="Q92" s="12" t="n">
        <x:v>4</x:v>
      </x:c>
      <x:c r="R92" s="12" t="n">
        <x:v>7</x:v>
      </x:c>
      <x:c r="S92" s="12" t="n">
        <x:v>3</x:v>
      </x:c>
      <x:c r="T92" s="1" t="str">
        <x:v>Yes</x:v>
      </x:c>
      <x:c r="U92" s="1" t="n">
        <x:v>0</x:v>
      </x:c>
    </x:row>
    <x:row r="93" ht="23" customHeight="1">
      <x:c r="A93" s="9" t="n">
        <x:v>92</x:v>
      </x:c>
      <x:c r="B93" s="9" t="n">
        <x:v>391</x:v>
      </x:c>
      <x:c r="C93" s="9" t="n">
        <x:v>1063</x:v>
      </x:c>
      <x:c r="D93" s="9" t="n">
        <x:v>2</x:v>
      </x:c>
      <x:c r="E93" s="9" t="n">
        <x:v>119459.99999999627</x:v>
      </x:c>
      <x:c r="F93" s="9" t="n">
        <x:v>31035</x:v>
      </x:c>
      <x:c r="G93" s="9" t="n">
        <x:v>32705</x:v>
      </x:c>
      <x:c r="H93" s="9" t="n">
        <x:v>51400</x:v>
      </x:c>
      <x:c r="I93" s="9" t="n">
        <x:v>4214</x:v>
      </x:c>
      <x:c r="J93" s="9" t="n">
        <x:v>105.99999999627471</x:v>
      </x:c>
      <x:c r="K93" s="9" t="n">
        <x:f>F93+G93+I93+J93</x:f>
        <x:v>68059.99999999627</x:v>
      </x:c>
      <x:c r="L93" s="10" t="n">
        <x:f>K93/Sources!$B$4*1000</x:f>
        <x:v>19.01358971601035</x:v>
      </x:c>
      <x:c r="M93" s="10" t="n">
        <x:f>E93/Sources!$B$4*1000</x:f>
        <x:v>33.3729566187871</x:v>
      </x:c>
      <x:c r="N93" s="9" t="n">
        <x:f>Sources!$B$6-K93</x:f>
        <x:v>-8323.999999996275</x:v>
      </x:c>
      <x:c r="O93" s="1" t="str">
        <x:v>continuous</x:v>
      </x:c>
      <x:c r="P93" s="12" t="n">
        <x:v>0</x:v>
      </x:c>
      <x:c r="Q93" s="12" t="n">
        <x:v>4</x:v>
      </x:c>
      <x:c r="R93" s="12" t="n">
        <x:v>7</x:v>
      </x:c>
      <x:c r="S93" s="12" t="n">
        <x:v>7</x:v>
      </x:c>
      <x:c r="T93" s="1" t="str">
        <x:v>No</x:v>
      </x:c>
      <x:c r="U93" s="1" t="n">
        <x:v>0</x:v>
      </x:c>
    </x:row>
    <x:row r="94" ht="23" customHeight="1">
      <x:c r="A94" s="9" t="n">
        <x:v>93</x:v>
      </x:c>
      <x:c r="B94" s="9" t="n">
        <x:v>391</x:v>
      </x:c>
      <x:c r="C94" s="9" t="n">
        <x:v>1067</x:v>
      </x:c>
      <x:c r="D94" s="9" t="n">
        <x:v>2</x:v>
      </x:c>
      <x:c r="E94" s="9" t="n">
        <x:v>119482.00000000373</x:v>
      </x:c>
      <x:c r="F94" s="9" t="n">
        <x:v>30650</x:v>
      </x:c>
      <x:c r="G94" s="9" t="n">
        <x:v>48609.000000003725</x:v>
      </x:c>
      <x:c r="H94" s="9" t="n">
        <x:v>35894.999999996275</x:v>
      </x:c>
      <x:c r="I94" s="9" t="n">
        <x:v>4222.000000003725</x:v>
      </x:c>
      <x:c r="J94" s="9" t="n">
        <x:v>106</x:v>
      </x:c>
      <x:c r="K94" s="9" t="n">
        <x:f>F94+G94+I94+J94</x:f>
        <x:v>83587.00000000745</x:v>
      </x:c>
      <x:c r="L94" s="10" t="n">
        <x:f>K94/Sources!$B$4*1000</x:f>
        <x:v>23.35129185413438</x:v>
      </x:c>
      <x:c r="M94" s="10" t="n">
        <x:f>E94/Sources!$B$4*1000</x:f>
        <x:v>33.37910265131566</x:v>
      </x:c>
      <x:c r="N94" s="9" t="n">
        <x:f>Sources!$B$6-K94</x:f>
        <x:v>-23851.00000000745</x:v>
      </x:c>
      <x:c r="O94" s="1" t="str">
        <x:v>continuous</x:v>
      </x:c>
      <x:c r="P94" s="12" t="n">
        <x:v>0</x:v>
      </x:c>
      <x:c r="Q94" s="12" t="n">
        <x:v>4</x:v>
      </x:c>
      <x:c r="R94" s="12" t="n">
        <x:v>7</x:v>
      </x:c>
      <x:c r="S94" s="12" t="n">
        <x:v>3</x:v>
      </x:c>
      <x:c r="T94" s="1" t="str">
        <x:v>Yes</x:v>
      </x:c>
      <x:c r="U94" s="1" t="n">
        <x:v>0</x:v>
      </x:c>
    </x:row>
    <x:row r="95" ht="23" customHeight="1">
      <x:c r="A95" s="9" t="n">
        <x:v>94</x:v>
      </x:c>
      <x:c r="B95" s="9" t="n">
        <x:v>391</x:v>
      </x:c>
      <x:c r="C95" s="9" t="n">
        <x:v>1071</x:v>
      </x:c>
      <x:c r="D95" s="9" t="n">
        <x:v>2</x:v>
      </x:c>
      <x:c r="E95" s="9" t="n">
        <x:v>119462.99999999627</x:v>
      </x:c>
      <x:c r="F95" s="9" t="n">
        <x:v>29902.999999996275</x:v>
      </x:c>
      <x:c r="G95" s="9" t="n">
        <x:v>32705</x:v>
      </x:c>
      <x:c r="H95" s="9" t="n">
        <x:v>52535</x:v>
      </x:c>
      <x:c r="I95" s="9" t="n">
        <x:v>4213.999999996275</x:v>
      </x:c>
      <x:c r="J95" s="9" t="n">
        <x:v>106.00000000372529</x:v>
      </x:c>
      <x:c r="K95" s="9" t="n">
        <x:f>F95+G95+I95+J95</x:f>
        <x:v>66927.99999999627</x:v>
      </x:c>
      <x:c r="L95" s="10" t="n">
        <x:f>K95/Sources!$B$4*1000</x:f>
        <x:v>18.697348406011457</x:v>
      </x:c>
      <x:c r="M95" s="10" t="n">
        <x:f>E95/Sources!$B$4*1000</x:f>
        <x:v>33.37379471413162</x:v>
      </x:c>
      <x:c r="N95" s="9" t="n">
        <x:f>Sources!$B$6-K95</x:f>
        <x:v>-7191.999999996275</x:v>
      </x:c>
      <x:c r="O95" s="1" t="str">
        <x:v>continuous</x:v>
      </x:c>
      <x:c r="P95" s="12" t="n">
        <x:v>0</x:v>
      </x:c>
      <x:c r="Q95" s="12" t="n">
        <x:v>4</x:v>
      </x:c>
      <x:c r="R95" s="12" t="n">
        <x:v>7</x:v>
      </x:c>
      <x:c r="S95" s="12" t="n">
        <x:v>7</x:v>
      </x:c>
      <x:c r="T95" s="1" t="str">
        <x:v>No</x:v>
      </x:c>
      <x:c r="U95" s="1" t="n">
        <x:v>0</x:v>
      </x:c>
    </x:row>
    <x:row r="96" ht="23" customHeight="1">
      <x:c r="A96" s="9" t="n">
        <x:v>95</x:v>
      </x:c>
      <x:c r="B96" s="9" t="n">
        <x:v>391</x:v>
      </x:c>
      <x:c r="C96" s="9" t="n">
        <x:v>1075</x:v>
      </x:c>
      <x:c r="D96" s="9" t="n">
        <x:v>2</x:v>
      </x:c>
      <x:c r="E96" s="9" t="n">
        <x:v>119481.00000000373</x:v>
      </x:c>
      <x:c r="F96" s="9" t="n">
        <x:v>30675</x:v>
      </x:c>
      <x:c r="G96" s="9" t="n">
        <x:v>48618.000000003725</x:v>
      </x:c>
      <x:c r="H96" s="9" t="n">
        <x:v>35860</x:v>
      </x:c>
      <x:c r="I96" s="9" t="n">
        <x:v>4222</x:v>
      </x:c>
      <x:c r="J96" s="9" t="n">
        <x:v>106</x:v>
      </x:c>
      <x:c r="K96" s="9" t="n">
        <x:f>F96+G96+I96+J96</x:f>
        <x:v>83621.00000000373</x:v>
      </x:c>
      <x:c r="L96" s="10" t="n">
        <x:f>K96/Sources!$B$4*1000</x:f>
        <x:v>23.3607902680379</x:v>
      </x:c>
      <x:c r="M96" s="10" t="n">
        <x:f>E96/Sources!$B$4*1000</x:f>
        <x:v>33.37882328620082</x:v>
      </x:c>
      <x:c r="N96" s="9" t="n">
        <x:f>Sources!$B$6-K96</x:f>
        <x:v>-23885.000000003725</x:v>
      </x:c>
      <x:c r="O96" s="1" t="str">
        <x:v>continuous</x:v>
      </x:c>
      <x:c r="P96" s="12" t="n">
        <x:v>0</x:v>
      </x:c>
      <x:c r="Q96" s="12" t="n">
        <x:v>4</x:v>
      </x:c>
      <x:c r="R96" s="12" t="n">
        <x:v>7</x:v>
      </x:c>
      <x:c r="S96" s="12" t="n">
        <x:v>3</x:v>
      </x:c>
      <x:c r="T96" s="1" t="str">
        <x:v>Yes</x:v>
      </x:c>
      <x:c r="U96" s="1" t="n">
        <x:v>0</x:v>
      </x:c>
    </x:row>
    <x:row r="97" ht="23" customHeight="1">
      <x:c r="A97" s="9" t="n">
        <x:v>96</x:v>
      </x:c>
      <x:c r="B97" s="9" t="n">
        <x:v>391</x:v>
      </x:c>
      <x:c r="C97" s="9" t="n">
        <x:v>1079</x:v>
      </x:c>
      <x:c r="D97" s="9" t="n">
        <x:v>2</x:v>
      </x:c>
      <x:c r="E97" s="9" t="n">
        <x:v>119464</x:v>
      </x:c>
      <x:c r="F97" s="9" t="n">
        <x:v>28359.999999996275</x:v>
      </x:c>
      <x:c r="G97" s="9" t="n">
        <x:v>32714.000000003725</x:v>
      </x:c>
      <x:c r="H97" s="9" t="n">
        <x:v>54070</x:v>
      </x:c>
      <x:c r="I97" s="9" t="n">
        <x:v>4213.999999996275</x:v>
      </x:c>
      <x:c r="J97" s="9" t="n">
        <x:v>106.00000000372529</x:v>
      </x:c>
      <x:c r="K97" s="9" t="n">
        <x:f>F97+G97+I97+J97</x:f>
        <x:v>65394</x:v>
      </x:c>
      <x:c r="L97" s="10" t="n">
        <x:f>K97/Sources!$B$4*1000</x:f>
        <x:v>18.268802319847914</x:v>
      </x:c>
      <x:c r="M97" s="10" t="n">
        <x:f>E97/Sources!$B$4*1000</x:f>
        <x:v>33.3740740792475</x:v>
      </x:c>
      <x:c r="N97" s="9" t="n">
        <x:f>Sources!$B$6-K97</x:f>
        <x:v>-5658</x:v>
      </x:c>
      <x:c r="O97" s="1" t="str">
        <x:v>continuous</x:v>
      </x:c>
      <x:c r="P97" s="12" t="n">
        <x:v>0</x:v>
      </x:c>
      <x:c r="Q97" s="12" t="n">
        <x:v>4</x:v>
      </x:c>
      <x:c r="R97" s="12" t="n">
        <x:v>7</x:v>
      </x:c>
      <x:c r="S97" s="12" t="n">
        <x:v>7</x:v>
      </x:c>
      <x:c r="T97" s="1" t="str">
        <x:v>No</x:v>
      </x:c>
      <x:c r="U97" s="1" t="n">
        <x:v>0</x:v>
      </x:c>
    </x:row>
    <x:row r="98" ht="23" customHeight="1">
      <x:c r="A98" s="9" t="n">
        <x:v>97</x:v>
      </x:c>
      <x:c r="B98" s="9" t="n">
        <x:v>390</x:v>
      </x:c>
      <x:c r="C98" s="9" t="n">
        <x:v>1083</x:v>
      </x:c>
      <x:c r="D98" s="9" t="n">
        <x:v>2</x:v>
      </x:c>
      <x:c r="E98" s="9" t="n">
        <x:v>179213.99999999627</x:v>
      </x:c>
      <x:c r="F98" s="9" t="n">
        <x:v>28887.999999996275</x:v>
      </x:c>
      <x:c r="G98" s="9" t="n">
        <x:v>92258.00000000373</x:v>
      </x:c>
      <x:c r="H98" s="9" t="n">
        <x:v>53739.999999996275</x:v>
      </x:c>
      <x:c r="I98" s="9" t="n">
        <x:v>4222</x:v>
      </x:c>
      <x:c r="J98" s="9" t="n">
        <x:v>106</x:v>
      </x:c>
      <x:c r="K98" s="9" t="n">
        <x:f>F98+G98+I98+J98</x:f>
        <x:v>125474</x:v>
      </x:c>
      <x:c r="L98" s="10" t="n">
        <x:f>K98/Sources!$B$4*1000</x:f>
        <x:v>35.05305841943599</x:v>
      </x:c>
      <x:c r="M98" s="10" t="n">
        <x:f>E98/Sources!$B$4*1000</x:f>
        <x:v>50.066139690937334</x:v>
      </x:c>
      <x:c r="N98" s="9" t="n">
        <x:f>Sources!$B$6-K98</x:f>
        <x:v>-65738</x:v>
      </x:c>
      <x:c r="O98" s="1" t="str">
        <x:v>continuous</x:v>
      </x:c>
      <x:c r="P98" s="12" t="n">
        <x:v>-1</x:v>
      </x:c>
      <x:c r="Q98" s="12" t="n">
        <x:v>4</x:v>
      </x:c>
      <x:c r="R98" s="12" t="n">
        <x:v>6</x:v>
      </x:c>
      <x:c r="S98" s="12" t="n">
        <x:v>3</x:v>
      </x:c>
      <x:c r="T98" s="1" t="str">
        <x:v>Yes</x:v>
      </x:c>
      <x:c r="U98" s="1" t="n">
        <x:v>0</x:v>
      </x:c>
    </x:row>
    <x:row r="99" ht="23" customHeight="1">
      <x:c r="A99" s="9" t="n">
        <x:v>98</x:v>
      </x:c>
      <x:c r="B99" s="9" t="n">
        <x:v>389</x:v>
      </x:c>
      <x:c r="C99" s="9" t="n">
        <x:v>1091</x:v>
      </x:c>
      <x:c r="D99" s="9" t="n">
        <x:v>3</x:v>
      </x:c>
      <x:c r="E99" s="9" t="n">
        <x:v>238940.00000000373</x:v>
      </x:c>
      <x:c r="F99" s="9" t="n">
        <x:v>53898.000000003725</x:v>
      </x:c>
      <x:c r="G99" s="9" t="n">
        <x:v>122132</x:v>
      </x:c>
      <x:c r="H99" s="9" t="n">
        <x:v>58590</x:v>
      </x:c>
      <x:c r="I99" s="9" t="n">
        <x:v>4213.999999992549</x:v>
      </x:c>
      <x:c r="J99" s="9" t="n">
        <x:v>106.00000000745058</x:v>
      </x:c>
      <x:c r="K99" s="9" t="n">
        <x:f>F99+G99+I99+J99</x:f>
        <x:v>180350.00000000373</x:v>
      </x:c>
      <x:c r="L99" s="10" t="n">
        <x:f>K99/Sources!$B$4*1000</x:f>
        <x:v>50.38349846139767</x:v>
      </x:c>
      <x:c r="M99" s="10" t="n">
        <x:f>E99/Sources!$B$4*1000</x:f>
        <x:v>66.75150053987413</x:v>
      </x:c>
      <x:c r="N99" s="9" t="n">
        <x:f>Sources!$B$6-K99</x:f>
        <x:v>-120614.00000000373</x:v>
      </x:c>
      <x:c r="O99" s="1" t="str">
        <x:v>continuous</x:v>
      </x:c>
      <x:c r="P99" s="12" t="n">
        <x:v>-1</x:v>
      </x:c>
      <x:c r="Q99" s="12" t="n">
        <x:v>8</x:v>
      </x:c>
      <x:c r="R99" s="12" t="n">
        <x:v>5</x:v>
      </x:c>
      <x:c r="S99" s="12" t="n">
        <x:v>3</x:v>
      </x:c>
      <x:c r="T99" s="1" t="str">
        <x:v>Yes</x:v>
      </x:c>
      <x:c r="U99" s="1" t="n">
        <x:v>0</x:v>
      </x:c>
    </x:row>
    <x:row r="100" ht="23" customHeight="1">
      <x:c r="A100" s="9" t="n">
        <x:v>99</x:v>
      </x:c>
      <x:c r="B100" s="9" t="n">
        <x:v>389</x:v>
      </x:c>
      <x:c r="C100" s="9" t="n">
        <x:v>1091</x:v>
      </x:c>
      <x:c r="D100" s="9" t="n">
        <x:v>4</x:v>
      </x:c>
      <x:c r="E100" s="9" t="n">
        <x:v>179213</x:v>
      </x:c>
      <x:c r="F100" s="9" t="n">
        <x:v>20401.00000000745</x:v>
      </x:c>
      <x:c r="G100" s="9" t="n">
        <x:v>101119</x:v>
      </x:c>
      <x:c r="H100" s="9" t="n">
        <x:v>53365</x:v>
      </x:c>
      <x:c r="I100" s="9" t="n">
        <x:v>4222</x:v>
      </x:c>
      <x:c r="J100" s="9" t="n">
        <x:v>105.99999999254942</x:v>
      </x:c>
      <x:c r="K100" s="9" t="n">
        <x:f>F100+G100+I100+J100</x:f>
        <x:v>125848</x:v>
      </x:c>
      <x:c r="L100" s="10" t="n">
        <x:f>K100/Sources!$B$4*1000</x:f>
        <x:v>35.15754097238615</x:v>
      </x:c>
      <x:c r="M100" s="10" t="n">
        <x:f>E100/Sources!$B$4*1000</x:f>
        <x:v>50.06586032582353</x:v>
      </x:c>
      <x:c r="N100" s="9" t="n">
        <x:f>Sources!$B$6-K100</x:f>
        <x:v>-66112</x:v>
      </x:c>
      <x:c r="O100" s="1" t="str">
        <x:v>continuous</x:v>
      </x:c>
      <x:c r="P100" s="12" t="n">
        <x:v>0</x:v>
      </x:c>
      <x:c r="Q100" s="12" t="n">
        <x:v>0</x:v>
      </x:c>
      <x:c r="R100" s="12" t="n">
        <x:v>5</x:v>
      </x:c>
      <x:c r="S100" s="12" t="n">
        <x:v>3</x:v>
      </x:c>
      <x:c r="T100" s="1" t="str">
        <x:v>No</x:v>
      </x:c>
      <x:c r="U100" s="1" t="n">
        <x:v>0</x:v>
      </x:c>
    </x:row>
    <x:row r="101" ht="23" customHeight="1">
      <x:c r="A101" s="9" t="n">
        <x:v>100</x:v>
      </x:c>
      <x:c r="B101" s="9" t="n">
        <x:v>389</x:v>
      </x:c>
      <x:c r="C101" s="9" t="n">
        <x:v>1091</x:v>
      </x:c>
      <x:c r="D101" s="9" t="n">
        <x:v>3</x:v>
      </x:c>
      <x:c r="E101" s="9" t="n">
        <x:v>119465.99999999255</x:v>
      </x:c>
      <x:c r="F101" s="9" t="n">
        <x:v>18706</x:v>
      </x:c>
      <x:c r="G101" s="9" t="n">
        <x:v>37740</x:v>
      </x:c>
      <x:c r="H101" s="9" t="n">
        <x:v>58700</x:v>
      </x:c>
      <x:c r="I101" s="9" t="n">
        <x:v>4214</x:v>
      </x:c>
      <x:c r="J101" s="9" t="n">
        <x:v>105.99999999254942</x:v>
      </x:c>
      <x:c r="K101" s="9" t="n">
        <x:f>F101+G101+I101+J101</x:f>
        <x:v>60765.99999999255</x:v>
      </x:c>
      <x:c r="L101" s="10" t="n">
        <x:f>K101/Sources!$B$4*1000</x:f>
        <x:v>16.975900568366246</x:v>
      </x:c>
      <x:c r="M101" s="10" t="n">
        <x:f>E101/Sources!$B$4*1000</x:f>
        <x:v>33.3746328094751</x:v>
      </x:c>
      <x:c r="N101" s="9" t="n">
        <x:f>Sources!$B$6-K101</x:f>
        <x:v>-1029.9999999925494</x:v>
      </x:c>
      <x:c r="O101" s="1" t="str">
        <x:v>continuous</x:v>
      </x:c>
      <x:c r="P101" s="12" t="n">
        <x:v>0</x:v>
      </x:c>
      <x:c r="Q101" s="12" t="n">
        <x:v>0</x:v>
      </x:c>
      <x:c r="R101" s="12" t="n">
        <x:v>5</x:v>
      </x:c>
      <x:c r="S101" s="12" t="n">
        <x:v>3</x:v>
      </x:c>
      <x:c r="T101" s="1" t="str">
        <x:v>No</x:v>
      </x:c>
      <x:c r="U101" s="1" t="n">
        <x:v>0</x:v>
      </x:c>
    </x:row>
    <x:row r="102" ht="23" customHeight="1">
      <x:c r="A102" s="9" t="n">
        <x:v>101</x:v>
      </x:c>
      <x:c r="B102" s="9" t="n">
        <x:v>389</x:v>
      </x:c>
      <x:c r="C102" s="9" t="n">
        <x:v>1091</x:v>
      </x:c>
      <x:c r="D102" s="9" t="n">
        <x:v>2</x:v>
      </x:c>
      <x:c r="E102" s="9" t="n">
        <x:v>59744.00000000745</x:v>
      </x:c>
      <x:c r="F102" s="9" t="n">
        <x:v>15889</x:v>
      </x:c>
      <x:c r="G102" s="9" t="n">
        <x:v>37592</x:v>
      </x:c>
      <x:c r="H102" s="9" t="n">
        <x:v>1935</x:v>
      </x:c>
      <x:c r="I102" s="9" t="n">
        <x:v>4222</x:v>
      </x:c>
      <x:c r="J102" s="9" t="n">
        <x:v>106.00000000745058</x:v>
      </x:c>
      <x:c r="K102" s="9" t="n">
        <x:f>F102+G102+I102+J102</x:f>
        <x:v>57809.00000000745</x:v>
      </x:c>
      <x:c r="L102" s="10" t="n">
        <x:f>K102/Sources!$B$4*1000</x:f>
        <x:v>16.149817923788483</x:v>
      </x:c>
      <x:c r="M102" s="10" t="n">
        <x:f>E102/Sources!$B$4*1000</x:f>
        <x:v>16.69038942100391</x:v>
      </x:c>
      <x:c r="N102" s="9" t="n">
        <x:f>Sources!$B$6-K102</x:f>
        <x:v>1926.9999999925494</x:v>
      </x:c>
      <x:c r="O102" s="1" t="str">
        <x:v>continuous</x:v>
      </x:c>
      <x:c r="P102" s="12" t="n">
        <x:v>0</x:v>
      </x:c>
      <x:c r="Q102" s="12" t="n">
        <x:v>0</x:v>
      </x:c>
      <x:c r="R102" s="12" t="n">
        <x:v>5</x:v>
      </x:c>
      <x:c r="S102" s="12" t="n">
        <x:v>3</x:v>
      </x:c>
      <x:c r="T102" s="1" t="str">
        <x:v>No</x:v>
      </x:c>
      <x:c r="U102" s="1" t="n">
        <x:v>0</x:v>
      </x:c>
    </x:row>
    <x:row r="103" ht="23" customHeight="1">
      <x:c r="A103" s="9" t="n">
        <x:v>102</x:v>
      </x:c>
      <x:c r="B103" s="9" t="n">
        <x:v>389</x:v>
      </x:c>
      <x:c r="C103" s="9" t="n">
        <x:v>1091</x:v>
      </x:c>
      <x:c r="D103" s="9" t="n">
        <x:v>1</x:v>
      </x:c>
      <x:c r="E103" s="9" t="n">
        <x:v>59725</x:v>
      </x:c>
      <x:c r="F103" s="9" t="n">
        <x:v>13134</x:v>
      </x:c>
      <x:c r="G103" s="9" t="n">
        <x:v>37571</x:v>
      </x:c>
      <x:c r="H103" s="9" t="n">
        <x:v>4700</x:v>
      </x:c>
      <x:c r="I103" s="9" t="n">
        <x:v>4214</x:v>
      </x:c>
      <x:c r="J103" s="9" t="n">
        <x:v>106</x:v>
      </x:c>
      <x:c r="K103" s="9" t="n">
        <x:f>F103+G103+I103+J103</x:f>
        <x:v>55025</x:v>
      </x:c>
      <x:c r="L103" s="10" t="n">
        <x:f>K103/Sources!$B$4*1000</x:f>
        <x:v>15.372065444071803</x:v>
      </x:c>
      <x:c r="M103" s="10" t="n">
        <x:f>E103/Sources!$B$4*1000</x:f>
        <x:v>16.68508148381987</x:v>
      </x:c>
      <x:c r="N103" s="9" t="n">
        <x:f>Sources!$B$6-K103</x:f>
        <x:v>4711</x:v>
      </x:c>
      <x:c r="O103" s="1" t="str">
        <x:v>continuous</x:v>
      </x:c>
      <x:c r="P103" s="12" t="n">
        <x:v>0</x:v>
      </x:c>
      <x:c r="Q103" s="12" t="n">
        <x:v>0</x:v>
      </x:c>
      <x:c r="R103" s="12" t="n">
        <x:v>5</x:v>
      </x:c>
      <x:c r="S103" s="12" t="n">
        <x:v>3</x:v>
      </x:c>
      <x:c r="T103" s="1" t="str">
        <x:v>No</x:v>
      </x:c>
      <x:c r="U103" s="1" t="n">
        <x:v>0</x:v>
      </x:c>
    </x:row>
    <x:row r="104" ht="23" customHeight="1">
      <x:c r="A104" s="9" t="n">
        <x:v>103</x:v>
      </x:c>
      <x:c r="B104" s="9" t="n">
        <x:v>389</x:v>
      </x:c>
      <x:c r="C104" s="9" t="n">
        <x:v>1091</x:v>
      </x:c>
      <x:c r="D104" s="9" t="n">
        <x:v>1</x:v>
      </x:c>
      <x:c r="E104" s="9" t="n">
        <x:v>59744</x:v>
      </x:c>
      <x:c r="F104" s="9" t="n">
        <x:v>14599</x:v>
      </x:c>
      <x:c r="G104" s="9" t="n">
        <x:v>37592</x:v>
      </x:c>
      <x:c r="H104" s="9" t="n">
        <x:v>3225</x:v>
      </x:c>
      <x:c r="I104" s="9" t="n">
        <x:v>4221.999999992549</x:v>
      </x:c>
      <x:c r="J104" s="9" t="n">
        <x:v>106.00000000745058</x:v>
      </x:c>
      <x:c r="K104" s="9" t="n">
        <x:f>F104+G104+I104+J104</x:f>
        <x:v>56519</x:v>
      </x:c>
      <x:c r="L104" s="10" t="n">
        <x:f>K104/Sources!$B$4*1000</x:f>
        <x:v>15.789436925642786</x:v>
      </x:c>
      <x:c r="M104" s="10" t="n">
        <x:f>E104/Sources!$B$4*1000</x:f>
        <x:v>16.690389421001832</x:v>
      </x:c>
      <x:c r="N104" s="9" t="n">
        <x:f>Sources!$B$6-K104</x:f>
        <x:v>3217</x:v>
      </x:c>
      <x:c r="O104" s="1" t="str">
        <x:v>continuous</x:v>
      </x:c>
      <x:c r="P104" s="12" t="n">
        <x:v>0</x:v>
      </x:c>
      <x:c r="Q104" s="12" t="n">
        <x:v>0</x:v>
      </x:c>
      <x:c r="R104" s="12" t="n">
        <x:v>5</x:v>
      </x:c>
      <x:c r="S104" s="12" t="n">
        <x:v>3</x:v>
      </x:c>
      <x:c r="T104" s="1" t="str">
        <x:v>No</x:v>
      </x:c>
      <x:c r="U104" s="1" t="n">
        <x:v>0</x:v>
      </x:c>
    </x:row>
    <x:row r="105" ht="23" customHeight="1">
      <x:c r="A105" s="9" t="n">
        <x:v>104</x:v>
      </x:c>
      <x:c r="B105" s="9" t="n">
        <x:v>389</x:v>
      </x:c>
      <x:c r="C105" s="9" t="n">
        <x:v>1091</x:v>
      </x:c>
      <x:c r="D105" s="9" t="n">
        <x:v>1</x:v>
      </x:c>
      <x:c r="E105" s="9" t="n">
        <x:v>59730</x:v>
      </x:c>
      <x:c r="F105" s="9" t="n">
        <x:v>13134</x:v>
      </x:c>
      <x:c r="G105" s="9" t="n">
        <x:v>37570.99999999255</x:v>
      </x:c>
      <x:c r="H105" s="9" t="n">
        <x:v>4705.000000007451</x:v>
      </x:c>
      <x:c r="I105" s="9" t="n">
        <x:v>4214</x:v>
      </x:c>
      <x:c r="J105" s="9" t="n">
        <x:v>106</x:v>
      </x:c>
      <x:c r="K105" s="9" t="n">
        <x:f>F105+G105+I105+J105</x:f>
        <x:v>55024.99999999255</x:v>
      </x:c>
      <x:c r="L105" s="10" t="n">
        <x:f>K105/Sources!$B$4*1000</x:f>
        <x:v>15.37206544406972</x:v>
      </x:c>
      <x:c r="M105" s="10" t="n">
        <x:f>E105/Sources!$B$4*1000</x:f>
        <x:v>16.68647830939407</x:v>
      </x:c>
      <x:c r="N105" s="9" t="n">
        <x:f>Sources!$B$6-K105</x:f>
        <x:v>4711.000000007451</x:v>
      </x:c>
      <x:c r="O105" s="1" t="str">
        <x:v>continuous</x:v>
      </x:c>
      <x:c r="P105" s="12" t="n">
        <x:v>0</x:v>
      </x:c>
      <x:c r="Q105" s="12" t="n">
        <x:v>0</x:v>
      </x:c>
      <x:c r="R105" s="12" t="n">
        <x:v>5</x:v>
      </x:c>
      <x:c r="S105" s="12" t="n">
        <x:v>3</x:v>
      </x:c>
      <x:c r="T105" s="1" t="str">
        <x:v>No</x:v>
      </x:c>
      <x:c r="U105" s="1" t="n">
        <x:v>0</x:v>
      </x:c>
    </x:row>
    <x:row r="106" ht="23" customHeight="1">
      <x:c r="A106" s="9" t="n">
        <x:v>105</x:v>
      </x:c>
      <x:c r="B106" s="9" t="n">
        <x:v>389</x:v>
      </x:c>
      <x:c r="C106" s="9" t="n">
        <x:v>1091</x:v>
      </x:c>
      <x:c r="D106" s="9" t="n">
        <x:v>1</x:v>
      </x:c>
      <x:c r="E106" s="9" t="n">
        <x:v>59745</x:v>
      </x:c>
      <x:c r="F106" s="9" t="n">
        <x:v>14595</x:v>
      </x:c>
      <x:c r="G106" s="9" t="n">
        <x:v>37592</x:v>
      </x:c>
      <x:c r="H106" s="9" t="n">
        <x:v>3230</x:v>
      </x:c>
      <x:c r="I106" s="9" t="n">
        <x:v>4222</x:v>
      </x:c>
      <x:c r="J106" s="9" t="n">
        <x:v>106</x:v>
      </x:c>
      <x:c r="K106" s="9" t="n">
        <x:f>F106+G106+I106+J106</x:f>
        <x:v>56515</x:v>
      </x:c>
      <x:c r="L106" s="10" t="n">
        <x:f>K106/Sources!$B$4*1000</x:f>
        <x:v>15.788319465183426</x:v>
      </x:c>
      <x:c r="M106" s="10" t="n">
        <x:f>E106/Sources!$B$4*1000</x:f>
        <x:v>16.69066878611667</x:v>
      </x:c>
      <x:c r="N106" s="9" t="n">
        <x:f>Sources!$B$6-K106</x:f>
        <x:v>3221</x:v>
      </x:c>
      <x:c r="O106" s="1" t="str">
        <x:v>continuous</x:v>
      </x:c>
      <x:c r="P106" s="12" t="n">
        <x:v>0</x:v>
      </x:c>
      <x:c r="Q106" s="12" t="n">
        <x:v>0</x:v>
      </x:c>
      <x:c r="R106" s="12" t="n">
        <x:v>5</x:v>
      </x:c>
      <x:c r="S106" s="12" t="n">
        <x:v>3</x:v>
      </x:c>
      <x:c r="T106" s="1" t="str">
        <x:v>No</x:v>
      </x:c>
      <x:c r="U106" s="1" t="n">
        <x:v>0</x:v>
      </x:c>
    </x:row>
    <x:row r="107" ht="23" customHeight="1">
      <x:c r="A107" s="9" t="n">
        <x:v>106</x:v>
      </x:c>
      <x:c r="B107" s="9" t="n">
        <x:v>389</x:v>
      </x:c>
      <x:c r="C107" s="9" t="n">
        <x:v>1091</x:v>
      </x:c>
      <x:c r="D107" s="9" t="n">
        <x:v>1</x:v>
      </x:c>
      <x:c r="E107" s="9" t="n">
        <x:v>59725</x:v>
      </x:c>
      <x:c r="F107" s="9" t="n">
        <x:v>13134</x:v>
      </x:c>
      <x:c r="G107" s="9" t="n">
        <x:v>37571</x:v>
      </x:c>
      <x:c r="H107" s="9" t="n">
        <x:v>4700</x:v>
      </x:c>
      <x:c r="I107" s="9" t="n">
        <x:v>4214</x:v>
      </x:c>
      <x:c r="J107" s="9" t="n">
        <x:v>106</x:v>
      </x:c>
      <x:c r="K107" s="9" t="n">
        <x:f>F107+G107+I107+J107</x:f>
        <x:v>55025</x:v>
      </x:c>
      <x:c r="L107" s="10" t="n">
        <x:f>K107/Sources!$B$4*1000</x:f>
        <x:v>15.372065444071803</x:v>
      </x:c>
      <x:c r="M107" s="10" t="n">
        <x:f>E107/Sources!$B$4*1000</x:f>
        <x:v>16.68508148381987</x:v>
      </x:c>
      <x:c r="N107" s="9" t="n">
        <x:f>Sources!$B$6-K107</x:f>
        <x:v>4711</x:v>
      </x:c>
      <x:c r="O107" s="1" t="str">
        <x:v>continuous</x:v>
      </x:c>
      <x:c r="P107" s="12" t="n">
        <x:v>0</x:v>
      </x:c>
      <x:c r="Q107" s="12" t="n">
        <x:v>0</x:v>
      </x:c>
      <x:c r="R107" s="12" t="n">
        <x:v>5</x:v>
      </x:c>
      <x:c r="S107" s="12" t="n">
        <x:v>3</x:v>
      </x:c>
      <x:c r="T107" s="1" t="str">
        <x:v>No</x:v>
      </x:c>
      <x:c r="U107" s="1" t="n">
        <x:v>0</x:v>
      </x:c>
    </x:row>
    <x:row r="108" ht="23" customHeight="1">
      <x:c r="A108" s="9" t="n">
        <x:v>107</x:v>
      </x:c>
      <x:c r="B108" s="9" t="n">
        <x:v>389</x:v>
      </x:c>
      <x:c r="C108" s="9" t="n">
        <x:v>1091</x:v>
      </x:c>
      <x:c r="D108" s="9" t="n">
        <x:v>1</x:v>
      </x:c>
      <x:c r="E108" s="9" t="n">
        <x:v>59743.99999999255</x:v>
      </x:c>
      <x:c r="F108" s="9" t="n">
        <x:v>13554</x:v>
      </x:c>
      <x:c r="G108" s="9" t="n">
        <x:v>37592.00000000745</x:v>
      </x:c>
      <x:c r="H108" s="9" t="n">
        <x:v>4270</x:v>
      </x:c>
      <x:c r="I108" s="9" t="n">
        <x:v>4222</x:v>
      </x:c>
      <x:c r="J108" s="9" t="n">
        <x:v>105.99999998509884</x:v>
      </x:c>
      <x:c r="K108" s="9" t="n">
        <x:f>F108+G108+I108+J108</x:f>
        <x:v>55473.99999999255</x:v>
      </x:c>
      <x:c r="L108" s="10" t="n">
        <x:f>K108/Sources!$B$4*1000</x:f>
        <x:v>15.497500380632887</x:v>
      </x:c>
      <x:c r="M108" s="10" t="n">
        <x:f>E108/Sources!$B$4*1000</x:f>
        <x:v>16.69038942099975</x:v>
      </x:c>
      <x:c r="N108" s="9" t="n">
        <x:f>Sources!$B$6-K108</x:f>
        <x:v>4262.000000007451</x:v>
      </x:c>
      <x:c r="O108" s="1" t="str">
        <x:v>continuous</x:v>
      </x:c>
      <x:c r="P108" s="12" t="n">
        <x:v>0</x:v>
      </x:c>
      <x:c r="Q108" s="12" t="n">
        <x:v>0</x:v>
      </x:c>
      <x:c r="R108" s="12" t="n">
        <x:v>5</x:v>
      </x:c>
      <x:c r="S108" s="12" t="n">
        <x:v>3</x:v>
      </x:c>
      <x:c r="T108" s="1" t="str">
        <x:v>No</x:v>
      </x:c>
      <x:c r="U108" s="1" t="n">
        <x:v>0</x:v>
      </x:c>
    </x:row>
    <x:row r="109" ht="23" customHeight="1">
      <x:c r="A109" s="9" t="n">
        <x:v>108</x:v>
      </x:c>
      <x:c r="B109" s="9" t="n">
        <x:v>389</x:v>
      </x:c>
      <x:c r="C109" s="9" t="n">
        <x:v>1091</x:v>
      </x:c>
      <x:c r="D109" s="9" t="n">
        <x:v>1</x:v>
      </x:c>
      <x:c r="E109" s="9" t="n">
        <x:v>59730.00000000745</x:v>
      </x:c>
      <x:c r="F109" s="9" t="n">
        <x:v>13134.00000000745</x:v>
      </x:c>
      <x:c r="G109" s="9" t="n">
        <x:v>37571</x:v>
      </x:c>
      <x:c r="H109" s="9" t="n">
        <x:v>4705</x:v>
      </x:c>
      <x:c r="I109" s="9" t="n">
        <x:v>4213.999999992549</x:v>
      </x:c>
      <x:c r="J109" s="9" t="n">
        <x:v>106.00000000745058</x:v>
      </x:c>
      <x:c r="K109" s="9" t="n">
        <x:f>F109+G109+I109+J109</x:f>
        <x:v>55025.00000000745</x:v>
      </x:c>
      <x:c r="L109" s="10" t="n">
        <x:f>K109/Sources!$B$4*1000</x:f>
        <x:v>15.372065444073884</x:v>
      </x:c>
      <x:c r="M109" s="10" t="n">
        <x:f>E109/Sources!$B$4*1000</x:f>
        <x:v>16.68647830939615</x:v>
      </x:c>
      <x:c r="N109" s="9" t="n">
        <x:f>Sources!$B$6-K109</x:f>
        <x:v>4710.999999992549</x:v>
      </x:c>
      <x:c r="O109" s="1" t="str">
        <x:v>continuous</x:v>
      </x:c>
      <x:c r="P109" s="12" t="n">
        <x:v>0</x:v>
      </x:c>
      <x:c r="Q109" s="12" t="n">
        <x:v>0</x:v>
      </x:c>
      <x:c r="R109" s="12" t="n">
        <x:v>5</x:v>
      </x:c>
      <x:c r="S109" s="12" t="n">
        <x:v>3</x:v>
      </x:c>
      <x:c r="T109" s="1" t="str">
        <x:v>No</x:v>
      </x:c>
      <x:c r="U109" s="1" t="n">
        <x:v>0</x:v>
      </x:c>
    </x:row>
    <x:row r="110" ht="23" customHeight="1">
      <x:c r="A110" s="9" t="n">
        <x:v>109</x:v>
      </x:c>
      <x:c r="B110" s="9" t="n">
        <x:v>389</x:v>
      </x:c>
      <x:c r="C110" s="9" t="n">
        <x:v>1091</x:v>
      </x:c>
      <x:c r="D110" s="9" t="n">
        <x:v>1</x:v>
      </x:c>
      <x:c r="E110" s="9" t="n">
        <x:v>59744</x:v>
      </x:c>
      <x:c r="F110" s="9" t="n">
        <x:v>13554</x:v>
      </x:c>
      <x:c r="G110" s="9" t="n">
        <x:v>37592</x:v>
      </x:c>
      <x:c r="H110" s="9" t="n">
        <x:v>4270</x:v>
      </x:c>
      <x:c r="I110" s="9" t="n">
        <x:v>4222</x:v>
      </x:c>
      <x:c r="J110" s="9" t="n">
        <x:v>106</x:v>
      </x:c>
      <x:c r="K110" s="9" t="n">
        <x:f>F110+G110+I110+J110</x:f>
        <x:v>55474</x:v>
      </x:c>
      <x:c r="L110" s="10" t="n">
        <x:f>K110/Sources!$B$4*1000</x:f>
        <x:v>15.49750038063497</x:v>
      </x:c>
      <x:c r="M110" s="10" t="n">
        <x:f>E110/Sources!$B$4*1000</x:f>
        <x:v>16.690389421001832</x:v>
      </x:c>
      <x:c r="N110" s="9" t="n">
        <x:f>Sources!$B$6-K110</x:f>
        <x:v>4262</x:v>
      </x:c>
      <x:c r="O110" s="1" t="str">
        <x:v>continuous</x:v>
      </x:c>
      <x:c r="P110" s="12" t="n">
        <x:v>0</x:v>
      </x:c>
      <x:c r="Q110" s="12" t="n">
        <x:v>0</x:v>
      </x:c>
      <x:c r="R110" s="12" t="n">
        <x:v>5</x:v>
      </x:c>
      <x:c r="S110" s="12" t="n">
        <x:v>3</x:v>
      </x:c>
      <x:c r="T110" s="1" t="str">
        <x:v>No</x:v>
      </x:c>
      <x:c r="U110" s="1" t="n">
        <x:v>0</x:v>
      </x:c>
    </x:row>
    <x:row r="111" ht="23" customHeight="1">
      <x:c r="A111" s="9" t="n">
        <x:v>110</x:v>
      </x:c>
      <x:c r="B111" s="9" t="n">
        <x:v>389</x:v>
      </x:c>
      <x:c r="C111" s="9" t="n">
        <x:v>1091</x:v>
      </x:c>
      <x:c r="D111" s="9" t="n">
        <x:v>1</x:v>
      </x:c>
      <x:c r="E111" s="9" t="n">
        <x:v>59727.99999999255</x:v>
      </x:c>
      <x:c r="F111" s="9" t="n">
        <x:v>13152</x:v>
      </x:c>
      <x:c r="G111" s="9" t="n">
        <x:v>37571</x:v>
      </x:c>
      <x:c r="H111" s="9" t="n">
        <x:v>4685</x:v>
      </x:c>
      <x:c r="I111" s="9" t="n">
        <x:v>4214</x:v>
      </x:c>
      <x:c r="J111" s="9" t="n">
        <x:v>105.99999999254942</x:v>
      </x:c>
      <x:c r="K111" s="9" t="n">
        <x:f>F111+G111+I111+J111</x:f>
        <x:v>55042.99999999255</x:v>
      </x:c>
      <x:c r="L111" s="10" t="n">
        <x:f>K111/Sources!$B$4*1000</x:f>
        <x:v>15.37709401613684</x:v>
      </x:c>
      <x:c r="M111" s="10" t="n">
        <x:f>E111/Sources!$B$4*1000</x:f>
        <x:v>16.68591957916231</x:v>
      </x:c>
      <x:c r="N111" s="9" t="n">
        <x:f>Sources!$B$6-K111</x:f>
        <x:v>4693.000000007451</x:v>
      </x:c>
      <x:c r="O111" s="1" t="str">
        <x:v>continuous</x:v>
      </x:c>
      <x:c r="P111" s="12" t="n">
        <x:v>0</x:v>
      </x:c>
      <x:c r="Q111" s="12" t="n">
        <x:v>0</x:v>
      </x:c>
      <x:c r="R111" s="12" t="n">
        <x:v>5</x:v>
      </x:c>
      <x:c r="S111" s="12" t="n">
        <x:v>3</x:v>
      </x:c>
      <x:c r="T111" s="1" t="str">
        <x:v>No</x:v>
      </x:c>
      <x:c r="U111" s="1" t="n">
        <x:v>0</x:v>
      </x:c>
    </x:row>
    <x:row r="112" ht="23" customHeight="1">
      <x:c r="A112" s="9" t="n">
        <x:v>111</x:v>
      </x:c>
      <x:c r="B112" s="9" t="n">
        <x:v>389</x:v>
      </x:c>
      <x:c r="C112" s="9" t="n">
        <x:v>1091</x:v>
      </x:c>
      <x:c r="D112" s="9" t="n">
        <x:v>1</x:v>
      </x:c>
      <x:c r="E112" s="9" t="n">
        <x:v>59744.00000000745</x:v>
      </x:c>
      <x:c r="F112" s="9" t="n">
        <x:v>13554.00000000745</x:v>
      </x:c>
      <x:c r="G112" s="9" t="n">
        <x:v>37592</x:v>
      </x:c>
      <x:c r="H112" s="9" t="n">
        <x:v>4270</x:v>
      </x:c>
      <x:c r="I112" s="9" t="n">
        <x:v>4222</x:v>
      </x:c>
      <x:c r="J112" s="9" t="n">
        <x:v>106</x:v>
      </x:c>
      <x:c r="K112" s="9" t="n">
        <x:f>F112+G112+I112+J112</x:f>
        <x:v>55474.00000000745</x:v>
      </x:c>
      <x:c r="L112" s="10" t="n">
        <x:f>K112/Sources!$B$4*1000</x:f>
        <x:v>15.497500380637051</x:v>
      </x:c>
      <x:c r="M112" s="10" t="n">
        <x:f>E112/Sources!$B$4*1000</x:f>
        <x:v>16.69038942100391</x:v>
      </x:c>
      <x:c r="N112" s="9" t="n">
        <x:f>Sources!$B$6-K112</x:f>
        <x:v>4261.999999992549</x:v>
      </x:c>
      <x:c r="O112" s="1" t="str">
        <x:v>continuous</x:v>
      </x:c>
      <x:c r="P112" s="12" t="n">
        <x:v>0</x:v>
      </x:c>
      <x:c r="Q112" s="12" t="n">
        <x:v>0</x:v>
      </x:c>
      <x:c r="R112" s="12" t="n">
        <x:v>5</x:v>
      </x:c>
      <x:c r="S112" s="12" t="n">
        <x:v>3</x:v>
      </x:c>
      <x:c r="T112" s="1" t="str">
        <x:v>No</x:v>
      </x:c>
      <x:c r="U112" s="1" t="n">
        <x:v>0</x:v>
      </x:c>
    </x:row>
    <x:row r="113" ht="23" customHeight="1">
      <x:c r="A113" s="9" t="n">
        <x:v>112</x:v>
      </x:c>
      <x:c r="B113" s="9" t="n">
        <x:v>389</x:v>
      </x:c>
      <x:c r="C113" s="9" t="n">
        <x:v>1091</x:v>
      </x:c>
      <x:c r="D113" s="9" t="n">
        <x:v>1</x:v>
      </x:c>
      <x:c r="E113" s="9" t="n">
        <x:v>59730</x:v>
      </x:c>
      <x:c r="F113" s="9" t="n">
        <x:v>13134</x:v>
      </x:c>
      <x:c r="G113" s="9" t="n">
        <x:v>37571</x:v>
      </x:c>
      <x:c r="H113" s="9" t="n">
        <x:v>4705</x:v>
      </x:c>
      <x:c r="I113" s="9" t="n">
        <x:v>4214</x:v>
      </x:c>
      <x:c r="J113" s="9" t="n">
        <x:v>106</x:v>
      </x:c>
      <x:c r="K113" s="9" t="n">
        <x:f>F113+G113+I113+J113</x:f>
        <x:v>55025</x:v>
      </x:c>
      <x:c r="L113" s="10" t="n">
        <x:f>K113/Sources!$B$4*1000</x:f>
        <x:v>15.372065444071803</x:v>
      </x:c>
      <x:c r="M113" s="10" t="n">
        <x:f>E113/Sources!$B$4*1000</x:f>
        <x:v>16.68647830939407</x:v>
      </x:c>
      <x:c r="N113" s="9" t="n">
        <x:f>Sources!$B$6-K113</x:f>
        <x:v>4711</x:v>
      </x:c>
      <x:c r="O113" s="1" t="str">
        <x:v>continuous</x:v>
      </x:c>
      <x:c r="P113" s="12" t="n">
        <x:v>0</x:v>
      </x:c>
      <x:c r="Q113" s="12" t="n">
        <x:v>0</x:v>
      </x:c>
      <x:c r="R113" s="12" t="n">
        <x:v>5</x:v>
      </x:c>
      <x:c r="S113" s="12" t="n">
        <x:v>3</x:v>
      </x:c>
      <x:c r="T113" s="1" t="str">
        <x:v>No</x:v>
      </x:c>
      <x:c r="U113" s="1" t="n">
        <x:v>0</x:v>
      </x:c>
    </x:row>
    <x:row r="114" ht="23" customHeight="1">
      <x:c r="A114" s="9" t="n">
        <x:v>113</x:v>
      </x:c>
      <x:c r="B114" s="9" t="n">
        <x:v>389</x:v>
      </x:c>
      <x:c r="C114" s="9" t="n">
        <x:v>1091</x:v>
      </x:c>
      <x:c r="D114" s="9" t="n">
        <x:v>1</x:v>
      </x:c>
      <x:c r="E114" s="9" t="n">
        <x:v>59744</x:v>
      </x:c>
      <x:c r="F114" s="9" t="n">
        <x:v>13554</x:v>
      </x:c>
      <x:c r="G114" s="9" t="n">
        <x:v>37591.99999999255</x:v>
      </x:c>
      <x:c r="H114" s="9" t="n">
        <x:v>4270.000000007451</x:v>
      </x:c>
      <x:c r="I114" s="9" t="n">
        <x:v>4221.999999992549</x:v>
      </x:c>
      <x:c r="J114" s="9" t="n">
        <x:v>106.00000000745058</x:v>
      </x:c>
      <x:c r="K114" s="9" t="n">
        <x:f>F114+G114+I114+J114</x:f>
        <x:v>55473.99999999255</x:v>
      </x:c>
      <x:c r="L114" s="10" t="n">
        <x:f>K114/Sources!$B$4*1000</x:f>
        <x:v>15.497500380632887</x:v>
      </x:c>
      <x:c r="M114" s="10" t="n">
        <x:f>E114/Sources!$B$4*1000</x:f>
        <x:v>16.690389421001832</x:v>
      </x:c>
      <x:c r="N114" s="9" t="n">
        <x:f>Sources!$B$6-K114</x:f>
        <x:v>4262.000000007451</x:v>
      </x:c>
      <x:c r="O114" s="1" t="str">
        <x:v>continuous</x:v>
      </x:c>
      <x:c r="P114" s="12" t="n">
        <x:v>0</x:v>
      </x:c>
      <x:c r="Q114" s="12" t="n">
        <x:v>0</x:v>
      </x:c>
      <x:c r="R114" s="12" t="n">
        <x:v>5</x:v>
      </x:c>
      <x:c r="S114" s="12" t="n">
        <x:v>3</x:v>
      </x:c>
      <x:c r="T114" s="1" t="str">
        <x:v>No</x:v>
      </x:c>
      <x:c r="U114" s="1" t="n">
        <x:v>0</x:v>
      </x:c>
    </x:row>
    <x:row r="115" ht="23" customHeight="1">
      <x:c r="A115" s="9" t="n">
        <x:v>114</x:v>
      </x:c>
      <x:c r="B115" s="9" t="n">
        <x:v>389</x:v>
      </x:c>
      <x:c r="C115" s="9" t="n">
        <x:v>1091</x:v>
      </x:c>
      <x:c r="D115" s="9" t="n">
        <x:v>1</x:v>
      </x:c>
      <x:c r="E115" s="9" t="n">
        <x:v>59725</x:v>
      </x:c>
      <x:c r="F115" s="9" t="n">
        <x:v>13134</x:v>
      </x:c>
      <x:c r="G115" s="9" t="n">
        <x:v>37570.99999999255</x:v>
      </x:c>
      <x:c r="H115" s="9" t="n">
        <x:v>4700.000000007451</x:v>
      </x:c>
      <x:c r="I115" s="9" t="n">
        <x:v>4214</x:v>
      </x:c>
      <x:c r="J115" s="9" t="n">
        <x:v>106</x:v>
      </x:c>
      <x:c r="K115" s="9" t="n">
        <x:f>F115+G115+I115+J115</x:f>
        <x:v>55024.99999999255</x:v>
      </x:c>
      <x:c r="L115" s="10" t="n">
        <x:f>K115/Sources!$B$4*1000</x:f>
        <x:v>15.37206544406972</x:v>
      </x:c>
      <x:c r="M115" s="10" t="n">
        <x:f>E115/Sources!$B$4*1000</x:f>
        <x:v>16.68508148381987</x:v>
      </x:c>
      <x:c r="N115" s="9" t="n">
        <x:f>Sources!$B$6-K115</x:f>
        <x:v>4711.000000007451</x:v>
      </x:c>
      <x:c r="O115" s="1" t="str">
        <x:v>continuous</x:v>
      </x:c>
      <x:c r="P115" s="12" t="n">
        <x:v>0</x:v>
      </x:c>
      <x:c r="Q115" s="12" t="n">
        <x:v>0</x:v>
      </x:c>
      <x:c r="R115" s="12" t="n">
        <x:v>5</x:v>
      </x:c>
      <x:c r="S115" s="12" t="n">
        <x:v>3</x:v>
      </x:c>
      <x:c r="T115" s="1" t="str">
        <x:v>No</x:v>
      </x:c>
      <x:c r="U115" s="1" t="n">
        <x:v>0</x:v>
      </x:c>
    </x:row>
    <x:row r="116" ht="23" customHeight="1">
      <x:c r="A116" s="9" t="n">
        <x:v>115</x:v>
      </x:c>
      <x:c r="B116" s="9" t="n">
        <x:v>389</x:v>
      </x:c>
      <x:c r="C116" s="9" t="n">
        <x:v>1091</x:v>
      </x:c>
      <x:c r="D116" s="9" t="n">
        <x:v>1</x:v>
      </x:c>
      <x:c r="E116" s="9" t="n">
        <x:v>59743.99999999255</x:v>
      </x:c>
      <x:c r="F116" s="9" t="n">
        <x:v>13553.99999999255</x:v>
      </x:c>
      <x:c r="G116" s="9" t="n">
        <x:v>37592.00000000745</x:v>
      </x:c>
      <x:c r="H116" s="9" t="n">
        <x:v>4270</x:v>
      </x:c>
      <x:c r="I116" s="9" t="n">
        <x:v>4222.000000007451</x:v>
      </x:c>
      <x:c r="J116" s="9" t="n">
        <x:v>105.99999998509884</x:v>
      </x:c>
      <x:c r="K116" s="9" t="n">
        <x:f>F116+G116+I116+J116</x:f>
        <x:v>55473.99999999255</x:v>
      </x:c>
      <x:c r="L116" s="10" t="n">
        <x:f>K116/Sources!$B$4*1000</x:f>
        <x:v>15.497500380632887</x:v>
      </x:c>
      <x:c r="M116" s="10" t="n">
        <x:f>E116/Sources!$B$4*1000</x:f>
        <x:v>16.69038942099975</x:v>
      </x:c>
      <x:c r="N116" s="9" t="n">
        <x:f>Sources!$B$6-K116</x:f>
        <x:v>4262.000000007451</x:v>
      </x:c>
      <x:c r="O116" s="1" t="str">
        <x:v>continuous</x:v>
      </x:c>
      <x:c r="P116" s="12" t="n">
        <x:v>0</x:v>
      </x:c>
      <x:c r="Q116" s="12" t="n">
        <x:v>0</x:v>
      </x:c>
      <x:c r="R116" s="12" t="n">
        <x:v>5</x:v>
      </x:c>
      <x:c r="S116" s="12" t="n">
        <x:v>3</x:v>
      </x:c>
      <x:c r="T116" s="1" t="str">
        <x:v>No</x:v>
      </x:c>
      <x:c r="U116" s="1" t="n">
        <x:v>0</x:v>
      </x:c>
    </x:row>
    <x:row r="117" ht="23" customHeight="1">
      <x:c r="A117" s="9" t="n">
        <x:v>116</x:v>
      </x:c>
      <x:c r="B117" s="9" t="n">
        <x:v>389</x:v>
      </x:c>
      <x:c r="C117" s="9" t="n">
        <x:v>1091</x:v>
      </x:c>
      <x:c r="D117" s="9" t="n">
        <x:v>1</x:v>
      </x:c>
      <x:c r="E117" s="9" t="n">
        <x:v>59730</x:v>
      </x:c>
      <x:c r="F117" s="9" t="n">
        <x:v>13134</x:v>
      </x:c>
      <x:c r="G117" s="9" t="n">
        <x:v>37571</x:v>
      </x:c>
      <x:c r="H117" s="9" t="n">
        <x:v>4705</x:v>
      </x:c>
      <x:c r="I117" s="9" t="n">
        <x:v>4214</x:v>
      </x:c>
      <x:c r="J117" s="9" t="n">
        <x:v>106</x:v>
      </x:c>
      <x:c r="K117" s="9" t="n">
        <x:f>F117+G117+I117+J117</x:f>
        <x:v>55025</x:v>
      </x:c>
      <x:c r="L117" s="10" t="n">
        <x:f>K117/Sources!$B$4*1000</x:f>
        <x:v>15.372065444071803</x:v>
      </x:c>
      <x:c r="M117" s="10" t="n">
        <x:f>E117/Sources!$B$4*1000</x:f>
        <x:v>16.68647830939407</x:v>
      </x:c>
      <x:c r="N117" s="9" t="n">
        <x:f>Sources!$B$6-K117</x:f>
        <x:v>4711</x:v>
      </x:c>
      <x:c r="O117" s="1" t="str">
        <x:v>continuous</x:v>
      </x:c>
      <x:c r="P117" s="12" t="n">
        <x:v>0</x:v>
      </x:c>
      <x:c r="Q117" s="12" t="n">
        <x:v>0</x:v>
      </x:c>
      <x:c r="R117" s="12" t="n">
        <x:v>5</x:v>
      </x:c>
      <x:c r="S117" s="12" t="n">
        <x:v>3</x:v>
      </x:c>
      <x:c r="T117" s="1" t="str">
        <x:v>No</x:v>
      </x:c>
      <x:c r="U117" s="1" t="n">
        <x:v>0</x:v>
      </x:c>
    </x:row>
    <x:row r="118" ht="23" customHeight="1">
      <x:c r="A118" s="9" t="n">
        <x:v>117</x:v>
      </x:c>
      <x:c r="B118" s="9" t="n">
        <x:v>389</x:v>
      </x:c>
      <x:c r="C118" s="9" t="n">
        <x:v>1091</x:v>
      </x:c>
      <x:c r="D118" s="9" t="n">
        <x:v>1</x:v>
      </x:c>
      <x:c r="E118" s="9" t="n">
        <x:v>59744.00000000745</x:v>
      </x:c>
      <x:c r="F118" s="9" t="n">
        <x:v>13554.00000000745</x:v>
      </x:c>
      <x:c r="G118" s="9" t="n">
        <x:v>37592</x:v>
      </x:c>
      <x:c r="H118" s="9" t="n">
        <x:v>4270</x:v>
      </x:c>
      <x:c r="I118" s="9" t="n">
        <x:v>4222</x:v>
      </x:c>
      <x:c r="J118" s="9" t="n">
        <x:v>106</x:v>
      </x:c>
      <x:c r="K118" s="9" t="n">
        <x:f>F118+G118+I118+J118</x:f>
        <x:v>55474.00000000745</x:v>
      </x:c>
      <x:c r="L118" s="10" t="n">
        <x:f>K118/Sources!$B$4*1000</x:f>
        <x:v>15.497500380637051</x:v>
      </x:c>
      <x:c r="M118" s="10" t="n">
        <x:f>E118/Sources!$B$4*1000</x:f>
        <x:v>16.69038942100391</x:v>
      </x:c>
      <x:c r="N118" s="9" t="n">
        <x:f>Sources!$B$6-K118</x:f>
        <x:v>4261.999999992549</x:v>
      </x:c>
      <x:c r="O118" s="1" t="str">
        <x:v>continuous</x:v>
      </x:c>
      <x:c r="P118" s="12" t="n">
        <x:v>0</x:v>
      </x:c>
      <x:c r="Q118" s="12" t="n">
        <x:v>0</x:v>
      </x:c>
      <x:c r="R118" s="12" t="n">
        <x:v>5</x:v>
      </x:c>
      <x:c r="S118" s="12" t="n">
        <x:v>3</x:v>
      </x:c>
      <x:c r="T118" s="1" t="str">
        <x:v>No</x:v>
      </x:c>
      <x:c r="U118" s="1" t="n">
        <x:v>0</x:v>
      </x:c>
    </x:row>
    <x:row r="119" ht="23" customHeight="1">
      <x:c r="A119" s="9" t="n">
        <x:v>118</x:v>
      </x:c>
      <x:c r="B119" s="9" t="n">
        <x:v>389</x:v>
      </x:c>
      <x:c r="C119" s="9" t="n">
        <x:v>1091</x:v>
      </x:c>
      <x:c r="D119" s="9" t="n">
        <x:v>1</x:v>
      </x:c>
      <x:c r="E119" s="9" t="n">
        <x:v>59725</x:v>
      </x:c>
      <x:c r="F119" s="9" t="n">
        <x:v>13134</x:v>
      </x:c>
      <x:c r="G119" s="9" t="n">
        <x:v>37571</x:v>
      </x:c>
      <x:c r="H119" s="9" t="n">
        <x:v>4699.999999992549</x:v>
      </x:c>
      <x:c r="I119" s="9" t="n">
        <x:v>4214.000000007451</x:v>
      </x:c>
      <x:c r="J119" s="9" t="n">
        <x:v>106</x:v>
      </x:c>
      <x:c r="K119" s="9" t="n">
        <x:f>F119+G119+I119+J119</x:f>
        <x:v>55025.00000000745</x:v>
      </x:c>
      <x:c r="L119" s="10" t="n">
        <x:f>K119/Sources!$B$4*1000</x:f>
        <x:v>15.372065444073884</x:v>
      </x:c>
      <x:c r="M119" s="10" t="n">
        <x:f>E119/Sources!$B$4*1000</x:f>
        <x:v>16.68508148381987</x:v>
      </x:c>
      <x:c r="N119" s="9" t="n">
        <x:f>Sources!$B$6-K119</x:f>
        <x:v>4710.999999992549</x:v>
      </x:c>
      <x:c r="O119" s="1" t="str">
        <x:v>continuous</x:v>
      </x:c>
      <x:c r="P119" s="12" t="n">
        <x:v>0</x:v>
      </x:c>
      <x:c r="Q119" s="12" t="n">
        <x:v>0</x:v>
      </x:c>
      <x:c r="R119" s="12" t="n">
        <x:v>5</x:v>
      </x:c>
      <x:c r="S119" s="12" t="n">
        <x:v>3</x:v>
      </x:c>
      <x:c r="T119" s="1" t="str">
        <x:v>No</x:v>
      </x:c>
      <x:c r="U119" s="1" t="n">
        <x:v>0</x:v>
      </x:c>
    </x:row>
    <x:row r="120" ht="23" customHeight="1">
      <x:c r="A120" s="9" t="n">
        <x:v>119</x:v>
      </x:c>
      <x:c r="B120" s="9" t="n">
        <x:v>389</x:v>
      </x:c>
      <x:c r="C120" s="9" t="n">
        <x:v>1091</x:v>
      </x:c>
      <x:c r="D120" s="9" t="n">
        <x:v>1</x:v>
      </x:c>
      <x:c r="E120" s="9" t="n">
        <x:v>59744</x:v>
      </x:c>
      <x:c r="F120" s="9" t="n">
        <x:v>13554</x:v>
      </x:c>
      <x:c r="G120" s="9" t="n">
        <x:v>37592</x:v>
      </x:c>
      <x:c r="H120" s="9" t="n">
        <x:v>4270</x:v>
      </x:c>
      <x:c r="I120" s="9" t="n">
        <x:v>4222</x:v>
      </x:c>
      <x:c r="J120" s="9" t="n">
        <x:v>106</x:v>
      </x:c>
      <x:c r="K120" s="9" t="n">
        <x:f>F120+G120+I120+J120</x:f>
        <x:v>55474</x:v>
      </x:c>
      <x:c r="L120" s="10" t="n">
        <x:f>K120/Sources!$B$4*1000</x:f>
        <x:v>15.49750038063497</x:v>
      </x:c>
      <x:c r="M120" s="10" t="n">
        <x:f>E120/Sources!$B$4*1000</x:f>
        <x:v>16.690389421001832</x:v>
      </x:c>
      <x:c r="N120" s="9" t="n">
        <x:f>Sources!$B$6-K120</x:f>
        <x:v>4262</x:v>
      </x:c>
      <x:c r="O120" s="1" t="str">
        <x:v>continuous</x:v>
      </x:c>
      <x:c r="P120" s="12" t="n">
        <x:v>0</x:v>
      </x:c>
      <x:c r="Q120" s="12" t="n">
        <x:v>0</x:v>
      </x:c>
      <x:c r="R120" s="12" t="n">
        <x:v>5</x:v>
      </x:c>
      <x:c r="S120" s="12" t="n">
        <x:v>3</x:v>
      </x:c>
      <x:c r="T120" s="1" t="str">
        <x:v>No</x:v>
      </x:c>
      <x:c r="U120" s="1" t="n">
        <x:v>0</x:v>
      </x:c>
    </x:row>
    <x:row r="121" ht="23" customHeight="1">
      <x:c r="A121" s="9" t="n">
        <x:v>120</x:v>
      </x:c>
      <x:c r="B121" s="9" t="n">
        <x:v>389</x:v>
      </x:c>
      <x:c r="C121" s="9" t="n">
        <x:v>1091</x:v>
      </x:c>
      <x:c r="D121" s="9" t="n">
        <x:v>1</x:v>
      </x:c>
      <x:c r="E121" s="9" t="n">
        <x:v>59728</x:v>
      </x:c>
      <x:c r="F121" s="9" t="n">
        <x:v>13152</x:v>
      </x:c>
      <x:c r="G121" s="9" t="n">
        <x:v>37571</x:v>
      </x:c>
      <x:c r="H121" s="9" t="n">
        <x:v>4685</x:v>
      </x:c>
      <x:c r="I121" s="9" t="n">
        <x:v>4214</x:v>
      </x:c>
      <x:c r="J121" s="9" t="n">
        <x:v>106</x:v>
      </x:c>
      <x:c r="K121" s="9" t="n">
        <x:f>F121+G121+I121+J121</x:f>
        <x:v>55043</x:v>
      </x:c>
      <x:c r="L121" s="10" t="n">
        <x:f>K121/Sources!$B$4*1000</x:f>
        <x:v>15.377094016138923</x:v>
      </x:c>
      <x:c r="M121" s="10" t="n">
        <x:f>E121/Sources!$B$4*1000</x:f>
        <x:v>16.68591957916439</x:v>
      </x:c>
      <x:c r="N121" s="9" t="n">
        <x:f>Sources!$B$6-K121</x:f>
        <x:v>4693</x:v>
      </x:c>
      <x:c r="O121" s="1" t="str">
        <x:v>continuous</x:v>
      </x:c>
      <x:c r="P121" s="12" t="n">
        <x:v>0</x:v>
      </x:c>
      <x:c r="Q121" s="12" t="n">
        <x:v>0</x:v>
      </x:c>
      <x:c r="R121" s="12" t="n">
        <x:v>5</x:v>
      </x:c>
      <x:c r="S121" s="12" t="n">
        <x:v>3</x:v>
      </x:c>
      <x:c r="T121" s="1" t="str">
        <x:v>No</x:v>
      </x:c>
      <x:c r="U121" s="1" t="n">
        <x:v>0</x:v>
      </x:c>
    </x:row>
  </x:sheetData>
  <x:conditionalFormatting sqref="N6:N121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79dac0ab4a405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24" hidden="0" customWidth="1"/>
    <x:col min="3" max="3" width="3" hidden="0" customWidth="1"/>
    <x:col min="4" max="4" width="117" hidden="0" customWidth="1"/>
  </x:cols>
  <x:sheetData>
    <x:row r="1" ht="23" customHeight="1">
      <x:c r="A1" s="1"/>
      <x:c r="B1" s="1"/>
      <x:c r="C1" s="1"/>
      <x:c r="D1" s="1"/>
    </x:row>
    <x:row r="2" ht="23" customHeight="1">
      <x:c r="A2" s="2" t="str">
        <x:v>Inputs, provenance and acceptance</x:v>
      </x:c>
      <x:c r="B2" s="1"/>
      <x:c r="C2" s="1"/>
      <x:c r="D2" s="1"/>
    </x:row>
    <x:row r="3" ht="36" customHeight="1">
      <x:c r="A3" s="7" t="str">
        <x:v>Input</x:v>
      </x:c>
      <x:c r="B3" s="7" t="str">
        <x:v>Value</x:v>
      </x:c>
      <x:c r="C3" s="1"/>
      <x:c r="D3" s="1"/>
    </x:row>
    <x:row r="4" ht="23" customHeight="1">
      <x:c r="A4" s="1" t="str">
        <x:v>CPU clock (Hz)</x:v>
      </x:c>
      <x:c r="B4" s="14" t="n">
        <x:v>3579545</x:v>
      </x:c>
      <x:c r="C4" s="1"/>
      <x:c r="D4" s="16" t="str">
        <x:v>Guest CPU 3,579,545 Hz; R9=$80; 262 lines x228 cycles. Refresh and presentation are distinct.</x:v>
      </x:c>
    </x:row>
    <x:row r="5" ht="23" customHeight="1">
      <x:c r="A5" s="1" t="str">
        <x:v>Current refresh (cycles)</x:v>
      </x:c>
      <x:c r="B5" s="14" t="n">
        <x:v>59736</x:v>
      </x:c>
      <x:c r="C5" s="1"/>
      <x:c r="D5" s="16"/>
    </x:row>
    <x:row r="6" ht="23" customHeight="1">
      <x:c r="A6" s="1" t="str">
        <x:v>60 Hz draw interval (cycles)</x:v>
      </x:c>
      <x:c r="B6" s="14" t="n">
        <x:v>59736</x:v>
      </x:c>
      <x:c r="C6" s="1"/>
      <x:c r="D6" s="16" t="str">
        <x:v>One refresh 59,736 cycles; two 119,472. Full-frame work differs from usable VBlank.</x:v>
      </x:c>
    </x:row>
    <x:row r="7" ht="23" customHeight="1">
      <x:c r="A7" s="1" t="str">
        <x:v>VBlank reserve (cycles)</x:v>
      </x:c>
      <x:c r="B7" s="15" t="n">
        <x:v>5000</x:v>
      </x:c>
      <x:c r="C7" s="1"/>
      <x:c r="D7" s="16" t="str">
        <x:v>Interpretation of the user budget: 5,000 cycles; actual usable VBlank deadline remains to be measured.</x:v>
      </x:c>
    </x:row>
    <x:row r="8" ht="23" customHeight="1">
      <x:c r="A8" s="1" t="str">
        <x:v>Target gameplay FPS</x:v>
      </x:c>
      <x:c r="B8" s="14" t="n">
        <x:v>30</x:v>
      </x:c>
      <x:c r="C8" s="1"/>
      <x:c r="D8" s="16"/>
    </x:row>
    <x:row r="9" ht="23" customHeight="1">
      <x:c r="A9" s="1" t="str">
        <x:v>Current nominal video Hz</x:v>
      </x:c>
      <x:c r="B9" s="14" t="n">
        <x:v>60</x:v>
      </x:c>
      <x:c r="C9" s="1"/>
      <x:c r="D9" s="16"/>
    </x:row>
    <x:row r="10" ht="23" customHeight="1">
      <x:c r="A10" s="1" t="str">
        <x:v>Current lines / refresh</x:v>
      </x:c>
      <x:c r="B10" s="14" t="n">
        <x:v>262</x:v>
      </x:c>
      <x:c r="C10" s="1"/>
      <x:c r="D10" s="16"/>
    </x:row>
    <x:row r="11" ht="23" customHeight="1">
      <x:c r="A11" s="1" t="str">
        <x:v>CPU clocks / scanline</x:v>
      </x:c>
      <x:c r="B11" s="14" t="n">
        <x:v>228</x:v>
      </x:c>
      <x:c r="C11" s="1"/>
      <x:c r="D11" s="16"/>
    </x:row>
    <x:row r="12" ht="23" customHeight="1">
      <x:c r="A12" s="1" t="str">
        <x:v>Target lines / refresh</x:v>
      </x:c>
      <x:c r="B12" s="14" t="n">
        <x:v>262</x:v>
      </x:c>
      <x:c r="C12" s="1"/>
      <x:c r="D12" s="16"/>
    </x:row>
    <x:row r="13" ht="23" customHeight="1">
      <x:c r="A13" s="1"/>
      <x:c r="B13" s="1"/>
      <x:c r="C13" s="1"/>
      <x:c r="D13" s="16"/>
    </x:row>
    <x:row r="14" ht="23" customHeight="1">
      <x:c r="A14" s="1"/>
      <x:c r="B14" s="1"/>
      <x:c r="C14" s="1"/>
      <x:c r="D14" s="16"/>
    </x:row>
    <x:row r="15" ht="36" customHeight="1">
      <x:c r="A15" s="7" t="str">
        <x:v>Measurement</x:v>
      </x:c>
      <x:c r="B15" s="7" t="str">
        <x:v>Source / value</x:v>
      </x:c>
      <x:c r="C15" s="1"/>
      <x:c r="D15" s="16"/>
    </x:row>
    <x:row r="16" ht="23" customHeight="1">
      <x:c r="A16" s="1" t="str">
        <x:v>Measured presentations</x:v>
      </x:c>
      <x:c r="B16" s="1" t="n">
        <x:v>116</x:v>
      </x:c>
      <x:c r="C16" s="1"/>
      <x:c r="D16" s="16" t="str">
        <x:v>Integrated first-stage deterministic keyboard route; frames5..120</x:v>
      </x:c>
    </x:row>
    <x:row r="17" ht="23" customHeight="1">
      <x:c r="A17" s="1" t="str">
        <x:v>Machine</x:v>
      </x:c>
      <x:c r="B17" s="1" t="str">
        <x:v>Panasonic_FS-A1WSX_NR128</x:v>
      </x:c>
      <x:c r="C17" s="1"/>
      <x:c r="D17" s="16" t="str">
        <x:v>Link/test fixture with synthetic effect tiles; original-effect gameplay ROM is not accepted.</x:v>
      </x:c>
    </x:row>
    <x:row r="18" ht="23" customHeight="1">
      <x:c r="A18" s="1" t="str">
        <x:v>Emulator</x:v>
      </x:c>
      <x:c r="B18" s="1" t="str">
        <x:v>openMSX 21.0</x:v>
      </x:c>
      <x:c r="C18" s="1"/>
      <x:c r="D18" s="16" t="str">
        <x:v>Measured using emulated time × clock, not host wall time or opcode-table estimates.</x:v>
      </x:c>
    </x:row>
    <x:row r="19" ht="23" customHeight="1">
      <x:c r="A19" s="1" t="str">
        <x:v>ROM SHA-256</x:v>
      </x:c>
      <x:c r="B19" s="1" t="str">
        <x:v>See row 30</x:v>
      </x:c>
      <x:c r="C19" s="1"/>
      <x:c r="D19" s="16" t="str">
        <x:v>clock_irq measures ISR body through RETI; hardware entry and vector jump are excluded from its row.</x:v>
      </x:c>
    </x:row>
    <x:row r="20" ht="23" customHeight="1">
      <x:c r="A20" s="1" t="str">
        <x:v>Raw run directory</x:v>
      </x:c>
      <x:c r="B20" s="1" t="str">
        <x:v>See row 31</x:v>
      </x:c>
      <x:c r="C20" s="1"/>
      <x:c r="D20" s="16" t="str">
        <x:v>calls.tsv records every call; frames.tsv and control-frames.tsv retain independent frame observations.</x:v>
      </x:c>
    </x:row>
    <x:row r="21" ht="23" customHeight="1">
      <x:c r="A21" s="1" t="str">
        <x:v>Summary JSON</x:v>
      </x:c>
      <x:c r="B21" s="1" t="str">
        <x:v>See row 32</x:v>
      </x:c>
      <x:c r="C21" s="1"/>
      <x:c r="D21" s="16" t="str">
        <x:v>profile.py asserts nested-cost reconciliation, complete routine coverage and control-run agreement.</x:v>
      </x:c>
    </x:row>
    <x:row r="22" ht="23" customHeight="1">
      <x:c r="A22" s="1"/>
      <x:c r="B22" s="1"/>
      <x:c r="C22" s="1"/>
      <x:c r="D22" s="16"/>
    </x:row>
    <x:row r="23" ht="23" customHeight="1">
      <x:c r="A23" s="1"/>
      <x:c r="B23" s="1"/>
      <x:c r="C23" s="1"/>
      <x:c r="D23" s="16"/>
    </x:row>
    <x:row r="24" ht="23" customHeight="1">
      <x:c r="A24" s="1" t="str">
        <x:v>Acceptance rules</x:v>
      </x:c>
      <x:c r="B24" s="1"/>
      <x:c r="C24" s="1"/>
      <x:c r="D24" s="16" t="str">
        <x:v>Performance priority: approach 30 FPS with measured worst-case margins.</x:v>
      </x:c>
    </x:row>
    <x:row r="25" ht="23" customHeight="1">
      <x:c r="A25" s="1"/>
      <x:c r="B25" s="1"/>
      <x:c r="C25" s="1"/>
      <x:c r="D25" s="16" t="str">
        <x:v>User has final acceptance of every graphical or perceptual concession.</x:v>
      </x:c>
    </x:row>
    <x:row r="26" ht="23" customHeight="1">
      <x:c r="A26" s="1"/>
      <x:c r="B26" s="1"/>
      <x:c r="C26" s="1"/>
      <x:c r="D26" s="16" t="str">
        <x:v>SCREEN 4, right-edge simplification and fixed 8-pixel left mask are approved only for this laboratory.</x:v>
      </x:c>
    </x:row>
    <x:row r="27" ht="23" customHeight="1">
      <x:c r="A27" s="1"/>
      <x:c r="B27" s="1"/>
      <x:c r="C27" s="1"/>
      <x:c r="D27" s="16" t="str">
        <x:v>Flag pauses are scheduling candidates; define event duration, bounded work and resume behavior.</x:v>
      </x:c>
    </x:row>
    <x:row r="28" ht="23" customHeight="1">
      <x:c r="A28" s="1"/>
      <x:c r="B28" s="1"/>
      <x:c r="C28" s="1"/>
      <x:c r="D28" s="16" t="str">
        <x:v>No physical hardware validation; moving-route performance is preliminary and scoped.</x:v>
      </x:c>
    </x:row>
    <x:row r="29" ht="23" customHeight="1">
      <x:c r="A29" s="1"/>
      <x:c r="B29" s="1"/>
      <x:c r="C29" s="1"/>
      <x:c r="D29" s="16" t="str">
        <x:v>Live native HUD values saturate their display only: RND 99, scores 999999, four extra-life icons.</x:v>
      </x:c>
    </x:row>
    <x:row r="30" ht="23" customHeight="1">
      <x:c r="A30" s="17" t="str">
        <x:v>8280f2fa129d12f392cd2689ef8ea8f76103029c2a975b8f64be129f862c6c4f</x:v>
      </x:c>
      <x:c r="B30" s="1"/>
      <x:c r="C30" s="1"/>
      <x:c r="D30" s="1"/>
    </x:row>
    <x:row r="31" ht="23" customHeight="1">
      <x:c r="A31" s="17" t="str">
        <x:v>/Users/sandersouza/.codex/worktrees/fixed-hud-lab/newrallyx/references/experiments/stage-one-link-test/profile-8eg9hy69</x:v>
      </x:c>
      <x:c r="B31" s="1"/>
      <x:c r="C31" s="1"/>
      <x:c r="D31" s="1"/>
    </x:row>
    <x:row r="32">
      <x:c r="A32" s="17" t="str">
        <x:v>/Users/sandersouza/.codex/worktrees/fixed-hud-lab/newrallyx/references/experiments/stage-one-link-test/profile-8eg9hy69/summary.json</x:v>
      </x:c>
    </x:row>
  </x:sheetData>
  <x:pageMargins left="0.7" right="0.7" top="0.75" bottom="0.75" header="0.3" footer="0.3"/>
</x:worksheet>
</file>