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2d7dae824249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39c954115e244dd"/>
    <x:sheet xmlns:r="http://schemas.openxmlformats.org/officeDocument/2006/relationships" name="Routines" sheetId="2" r:id="R9000240a908d40e6"/>
    <x:sheet xmlns:r="http://schemas.openxmlformats.org/officeDocument/2006/relationships" name="Raster" sheetId="3" r:id="Rb7da75da1ae84594"/>
    <x:sheet xmlns:r="http://schemas.openxmlformats.org/officeDocument/2006/relationships" name="Frames" sheetId="4" r:id="Re3fa9de0b6ef4a97"/>
    <x:sheet xmlns:r="http://schemas.openxmlformats.org/officeDocument/2006/relationships" name="Events" sheetId="5" r:id="Ra192b38d97ee4100"/>
    <x:sheet xmlns:r="http://schemas.openxmlformats.org/officeDocument/2006/relationships" name="HUD and startup" sheetId="6" r:id="Rebc4af3eea644382"/>
    <x:sheet xmlns:r="http://schemas.openxmlformats.org/officeDocument/2006/relationships" name="Stage clear" sheetId="7" r:id="R2758511e4d2d4f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0.000"/>
    <x:numFmt numFmtId="201" formatCode="0"/>
    <x:numFmt numFmtId="202" formatCode="#,##0"/>
    <x:numFmt numFmtId="203" formatCode="#,##0.0"/>
    <x:numFmt numFmtId="204" formatCode="0.0%"/>
    <x:numFmt numFmtId="205" formatCode="0.00&quot;x&quot;"/>
    <x:numFmt numFmtId="206" formatCode="0.0"/>
    <x:numFmt numFmtId="207" formatCode="0.0000"/>
    <x:numFmt numFmtId="208" formatCode="0.0000&quot;x&quot;"/>
    <x:numFmt numFmtId="209" formatCode="0.00"/>
  </x:numFmts>
  <x:fonts count="4">
    <x:font>
      <x:sz val="11"/>
      <x:name val="Carlito"/>
    </x:font>
    <x:font>
      <x:sz val="10"/>
      <x:color rgb="FF20344A"/>
      <x:name val="Arial"/>
    </x:font>
    <x:font>
      <x:b/>
      <x:sz val="15"/>
      <x:color rgb="FF20344A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44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207" fontId="1" fillId="0" borderId="0" xfId="0" applyNumberFormat="1" applyFont="1" applyFill="1" applyBorder="1" applyAlignment="1">
      <x:alignment vertical="center"/>
    </x:xf>
    <x:xf numFmtId="208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9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a2148e29724cd5" /><Relationship Type="http://schemas.openxmlformats.org/officeDocument/2006/relationships/theme" Target="/xl/theme/theme1.xml" Id="Rd95c1298ff30411b" /><Relationship Type="http://schemas.microsoft.com/office/2022/11/relationships/FeaturePropertyBag" Target="/xl/featurePropertyBag/featurePropertyBag.xml" Id="Ra3f91cdeb0e54e37" /><Relationship Type="http://schemas.openxmlformats.org/officeDocument/2006/relationships/sharedStrings" Target="/xl/sharedStrings.xml" Id="R067efff1757941b3" /><Relationship Type="http://schemas.openxmlformats.org/officeDocument/2006/relationships/worksheet" Target="/xl/worksheets/sheet1.xml" Id="R639c954115e244dd" /><Relationship Type="http://schemas.openxmlformats.org/officeDocument/2006/relationships/worksheet" Target="/xl/worksheets/sheet2.xml" Id="R9000240a908d40e6" /><Relationship Type="http://schemas.openxmlformats.org/officeDocument/2006/relationships/worksheet" Target="/xl/worksheets/sheet3.xml" Id="Rb7da75da1ae84594" /><Relationship Type="http://schemas.openxmlformats.org/officeDocument/2006/relationships/worksheet" Target="/xl/worksheets/sheet4.xml" Id="Re3fa9de0b6ef4a97" /><Relationship Type="http://schemas.openxmlformats.org/officeDocument/2006/relationships/worksheet" Target="/xl/worksheets/sheet5.xml" Id="Ra192b38d97ee4100" /><Relationship Type="http://schemas.openxmlformats.org/officeDocument/2006/relationships/worksheet" Target="/xl/worksheets/sheet6.xml" Id="Rebc4af3eea644382" /><Relationship Type="http://schemas.openxmlformats.org/officeDocument/2006/relationships/worksheet" Target="/xl/worksheets/sheet7.xml" Id="R2758511e4d2d4f2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8" hidden="0" customWidth="1"/>
    <x:col min="3" max="3" width="16" hidden="0" customWidth="1"/>
    <x:col min="4" max="4" width="79" hidden="0" customWidth="1"/>
  </x:cols>
  <x:sheetData>
    <x:row r="1" ht="24" customHeight="1">
      <x:c r="A1" s="2"/>
      <x:c r="B1" s="2"/>
      <x:c r="C1" s="2"/>
      <x:c r="D1" s="2"/>
    </x:row>
    <x:row r="2" ht="24" customHeight="1">
      <x:c r="A2" s="3" t="str">
        <x:v>Full session: three native enemies</x:v>
      </x:c>
      <x:c r="B2" s="2"/>
      <x:c r="C2" s="2"/>
      <x:c r="D2" s="2"/>
    </x:row>
    <x:row r="3" ht="24" customHeight="1">
      <x:c r="A3" s="2" t="str">
        <x:v>RND4, layout1; active endpoints exclude death, bonus and menus.</x:v>
      </x:c>
      <x:c r="B3" s="2"/>
      <x:c r="C3" s="2"/>
      <x:c r="D3" s="2"/>
    </x:row>
    <x:row r="4" ht="24" customHeight="1">
      <x:c r="A4" s="2"/>
      <x:c r="B4" s="2"/>
      <x:c r="C4" s="2"/>
      <x:c r="D4" s="2"/>
    </x:row>
    <x:row r="5" ht="36" customHeight="1">
      <x:c r="A5" s="7" t="str">
        <x:v>Measure</x:v>
      </x:c>
      <x:c r="B5" s="7" t="str">
        <x:v>Result</x:v>
      </x:c>
      <x:c r="C5" s="7" t="str">
        <x:v>Unit</x:v>
      </x:c>
      <x:c r="D5" s="7" t="str">
        <x:v>Scope</x:v>
      </x:c>
    </x:row>
    <x:row r="6" ht="24" customHeight="1">
      <x:c r="A6" s="2" t="str">
        <x:v>Active presentations</x:v>
      </x:c>
      <x:c r="B6" s="9" t="n">
        <x:f>COUNT('Frames'!A6:A243)</x:f>
        <x:v>238</x:v>
      </x:c>
      <x:c r="C6" s="2" t="str">
        <x:v>frames</x:v>
      </x:c>
      <x:c r="D6" s="2" t="str">
        <x:v>Both endpoints active; no population override</x:v>
      </x:c>
    </x:row>
    <x:row r="7" ht="24" customHeight="1">
      <x:c r="A7" s="2" t="str">
        <x:v>Active duration</x:v>
      </x:c>
      <x:c r="B7" s="8" t="n">
        <x:f>SUM('Frames'!C6:C243)/$B$20</x:f>
        <x:v>7.959028032892453</x:v>
      </x:c>
      <x:c r="C7" s="2" t="str">
        <x:v>s</x:v>
      </x:c>
      <x:c r="D7" s="2" t="str">
        <x:v>Sum of active presentation intervals</x:v>
      </x:c>
    </x:row>
    <x:row r="8" ht="24" customHeight="1">
      <x:c r="A8" s="2" t="str">
        <x:v>Presentation rate</x:v>
      </x:c>
      <x:c r="B8" s="8" t="n">
        <x:f>B6/B7</x:f>
        <x:v>29.903148853906792</x:v>
      </x:c>
      <x:c r="C8" s="2" t="str">
        <x:v>FPS</x:v>
      </x:c>
      <x:c r="D8" s="2" t="str">
        <x:v>Short directional sample; not a complete phase</x:v>
      </x:c>
    </x:row>
    <x:row r="9" ht="24" customHeight="1">
      <x:c r="A9" s="2" t="str">
        <x:v>Mean CPU work</x:v>
      </x:c>
      <x:c r="B9" s="8" t="n">
        <x:f>AVERAGE('Frames'!D6:D243)/$B$20*1000</x:f>
        <x:v>22.632363338136784</x:v>
      </x:c>
      <x:c r="C9" s="2" t="str">
        <x:v>ms/frame</x:v>
      </x:c>
      <x:c r="D9" s="2" t="str">
        <x:v>Logic, drawing and publication; synchronization excluded</x:v>
      </x:c>
    </x:row>
    <x:row r="10" ht="24" customHeight="1">
      <x:c r="A10" s="2" t="str">
        <x:v>Late presentations</x:v>
      </x:c>
      <x:c r="B10" s="9" t="n">
        <x:f>COUNTIF('Frames'!B6:B243,"&gt;2")</x:f>
        <x:v>1</x:v>
      </x:c>
      <x:c r="C10" s="2" t="str">
        <x:v>frames</x:v>
      </x:c>
      <x:c r="D10" s="2" t="str">
        <x:v>Three refreshes instead of two</x:v>
      </x:c>
    </x:row>
    <x:row r="11" ht="24" customHeight="1">
      <x:c r="A11" s="2" t="str">
        <x:v>Physical refresh</x:v>
      </x:c>
      <x:c r="B11" s="8" t="n">
        <x:f>$B$20/$B$21</x:f>
        <x:v>59.92274340431231</x:v>
      </x:c>
      <x:c r="C11" s="2" t="str">
        <x:v>Hz</x:v>
      </x:c>
      <x:c r="D11" s="2" t="str">
        <x:v>Physical refresh and presentation rate are separate</x:v>
      </x:c>
    </x:row>
    <x:row r="12" ht="24" customHeight="1">
      <x:c r="A12" s="2" t="str">
        <x:v>Two-refresh cadence</x:v>
      </x:c>
      <x:c r="B12" s="8" t="n">
        <x:f>$B$20/(2*$B$21)</x:f>
        <x:v>29.961371702156153</x:v>
      </x:c>
      <x:c r="C12" s="2" t="str">
        <x:v>FPS</x:v>
      </x:c>
      <x:c r="D12" s="2" t="str">
        <x:v>Physical emulator clock; nominal target remains29.97</x:v>
      </x:c>
    </x:row>
    <x:row r="13" ht="24" customHeight="1">
      <x:c r="A13" s="2" t="str">
        <x:v>Physical VBlank</x:v>
      </x:c>
      <x:c r="B13" s="8" t="n">
        <x:f>$B$24/$B$20*1000</x:f>
        <x:v>3.1210670629926427</x:v>
      </x:c>
      <x:c r="C13" s="2" t="str">
        <x:v>ms</x:v>
      </x:c>
      <x:c r="D13" s="2" t="str">
        <x:v>Status2 VR; usable reserve is not established by this</x:v>
      </x:c>
    </x:row>
    <x:row r="14" ht="24" customHeight="1">
      <x:c r="A14" s="2" t="str">
        <x:v>Mean target work margin</x:v>
      </x:c>
      <x:c r="B14" s="8" t="n">
        <x:f>($B$20/$B$22-AVERAGE('Frames'!D6:D243))/$B$20*1000</x:f>
        <x:v>10.734336695229915</x:v>
      </x:c>
      <x:c r="C14" s="2" t="str">
        <x:v>ms</x:v>
      </x:c>
      <x:c r="D14" s="2" t="str">
        <x:v>Average margin does not imply every deadline was met</x:v>
      </x:c>
    </x:row>
    <x:row r="15" ht="24" customHeight="1">
      <x:c r="A15" s="2" t="str">
        <x:v>Worst readiness margin</x:v>
      </x:c>
      <x:c r="B15" s="8" t="n">
        <x:f>MIN('Frames'!E6:E243)/$B$20*1000</x:f>
        <x:v>-3.056347478053319</x:v>
      </x:c>
      <x:c r="C15" s="2" t="str">
        <x:v>ms</x:v>
      </x:c>
      <x:c r="D15" s="2" t="str">
        <x:v>Readiness relative to the second next VBlank edge</x:v>
      </x:c>
    </x:row>
    <x:row r="16" ht="24" customHeight="1">
      <x:c r="A16" s="2"/>
      <x:c r="B16" s="2"/>
      <x:c r="C16" s="2"/>
      <x:c r="D16" s="2"/>
    </x:row>
    <x:row r="17" ht="24" customHeight="1">
      <x:c r="A17" s="2"/>
      <x:c r="B17" s="2"/>
      <x:c r="C17" s="2"/>
      <x:c r="D17" s="2"/>
    </x:row>
    <x:row r="18" ht="24" customHeight="1">
      <x:c r="A18" s="2"/>
      <x:c r="B18" s="2"/>
      <x:c r="C18" s="2"/>
      <x:c r="D18" s="2"/>
    </x:row>
    <x:row r="19" ht="36" customHeight="1">
      <x:c r="A19" s="7" t="str">
        <x:v>Clock / assumption</x:v>
      </x:c>
      <x:c r="B19" s="7" t="str">
        <x:v>Cycles or rate</x:v>
      </x:c>
      <x:c r="C19" s="7" t="str">
        <x:v>Unit</x:v>
      </x:c>
      <x:c r="D19" s="7" t="str">
        <x:v>Evidence</x:v>
      </x:c>
    </x:row>
    <x:row r="20" ht="24" customHeight="1">
      <x:c r="A20" s="2" t="str">
        <x:v>Z80 clock</x:v>
      </x:c>
      <x:c r="B20" s="2" t="n">
        <x:v>3579545</x:v>
      </x:c>
      <x:c r="C20" s="2" t="str">
        <x:v>Hz</x:v>
      </x:c>
      <x:c r="D20" s="2" t="str">
        <x:v>Locked, turbo disabled</x:v>
      </x:c>
    </x:row>
    <x:row r="21" ht="24" customHeight="1">
      <x:c r="A21" s="2" t="str">
        <x:v>Physical refresh</x:v>
      </x:c>
      <x:c r="B21" s="2" t="n">
        <x:v>59736</x:v>
      </x:c>
      <x:c r="C21" s="2" t="str">
        <x:v>cycles</x:v>
      </x:c>
      <x:c r="D21" s="2" t="str">
        <x:v>262 lines x228 cycles</x:v>
      </x:c>
    </x:row>
    <x:row r="22" ht="24" customHeight="1">
      <x:c r="A22" s="2" t="str">
        <x:v>Nominal presentation target</x:v>
      </x:c>
      <x:c r="B22" s="2" t="n">
        <x:v>29.97</x:v>
      </x:c>
      <x:c r="C22" s="2" t="str">
        <x:v>FPS</x:v>
      </x:c>
      <x:c r="D22" s="2" t="str">
        <x:v>Requested target; distinct from physical two-refresh rate</x:v>
      </x:c>
    </x:row>
    <x:row r="23" ht="24" customHeight="1">
      <x:c r="A23" s="2" t="str">
        <x:v>Usable VBlank reserve</x:v>
      </x:c>
      <x:c r="B23" s="2" t="n">
        <x:v>5000</x:v>
      </x:c>
      <x:c r="C23" s="2" t="str">
        <x:v>cycles</x:v>
      </x:c>
      <x:c r="D23" s="2" t="str">
        <x:v>Planning assumption, not a measured hardware limit</x:v>
      </x:c>
    </x:row>
    <x:row r="24" ht="24" customHeight="1">
      <x:c r="A24" s="2" t="str">
        <x:v>Physical VR interval</x:v>
      </x:c>
      <x:c r="B24" s="2" t="n">
        <x:v>11172</x:v>
      </x:c>
      <x:c r="C24" s="2" t="str">
        <x:v>cycles</x:v>
      </x:c>
      <x:c r="D24" s="2" t="str">
        <x:v>Every measured endpoint checked against native VDP status2</x:v>
      </x:c>
    </x:row>
    <x:row r="25" ht="24" customHeight="1">
      <x:c r="A25" s="2"/>
      <x:c r="B25" s="2"/>
      <x:c r="C25" s="2"/>
      <x:c r="D25" s="2"/>
    </x:row>
    <x:row r="26" ht="24" customHeight="1">
      <x:c r="A26" s="2"/>
      <x:c r="B26" s="2"/>
      <x:c r="C26" s="2"/>
      <x:c r="D26" s="2"/>
    </x:row>
    <x:row r="27" ht="24" customHeight="1">
      <x:c r="A27" s="2" t="str">
        <x:v>Measured ROM SHA256</x:v>
      </x:c>
      <x:c r="B27" s="2"/>
      <x:c r="C27" s="2"/>
      <x:c r="D27" s="2"/>
    </x:row>
    <x:row r="28" ht="24" customHeight="1">
      <x:c r="A28" s="2" t="str">
        <x:v>41de7830d5f9a52e1c4e7349b5c33fae2602f344aedf212b6e1a79dd4cbdd6dd</x:v>
      </x:c>
      <x:c r="B28" s="2"/>
      <x:c r="C28" s="2"/>
      <x:c r="D28" s="2"/>
    </x:row>
    <x:row r="29" ht="24" customHeight="1">
      <x:c r="A29" s="2"/>
      <x:c r="B29" s="2"/>
      <x:c r="C29" s="2"/>
      <x:c r="D29" s="2"/>
    </x:row>
    <x:row r="30" ht="24" customHeight="1">
      <x:c r="A30" s="2" t="str">
        <x:v>Source revision: 6d562a791b0cc242119a31dd686ff8e93eb94fe0</x:v>
      </x:c>
      <x:c r="B30" s="2"/>
      <x:c r="C30" s="2"/>
      <x:c r="D30" s="2"/>
    </x:row>
    <x:row r="31" ht="24" customHeight="1">
      <x:c r="A31" s="2" t="str">
        <x:v>Panasonic_FS-A1WSX_NR128; openMSX 21.0; HUD/audio and real sprite limits enabled.</x:v>
      </x:c>
      <x:c r="B31" s="2"/>
      <x:c r="C31" s="2"/>
      <x:c r="D31" s="2"/>
    </x:row>
    <x:row r="32" ht="24" customHeight="1">
      <x:c r="A32" s="2" t="str">
        <x:v>356 camera/tick states match a run without routine breakpoints; total duration matches within5.01cycles; per-frame observation jitter &lt;=5 cycles</x:v>
      </x:c>
      <x:c r="B32" s="2"/>
      <x:c r="C32" s="2"/>
      <x:c r="D32" s="2"/>
    </x:row>
    <x:row r="33" ht="24" customHeight="1">
      <x:c r="A33" s="2" t="str">
        <x:v>Evidence: /Users/sandersouza/Developer/msx-gamePorts/newrallyx/references/experiments/full-session/profile-xc8f_tsl</x:v>
      </x:c>
      <x:c r="B33" s="2"/>
      <x:c r="C33" s="2"/>
      <x:c r="D33" s="2"/>
    </x:row>
    <x:row r="34" ht="24" customHeight="1">
      <x:c r="A34" s="2" t="str">
        <x:v>Original first-stage workbook remains bound to its earlier ROM and workload.</x:v>
      </x:c>
      <x:c r="B34" s="2"/>
      <x:c r="C34" s="2"/>
      <x:c r="D34" s="2"/>
    </x:row>
    <x:row r="35" ht="24" customHeight="1">
      <x:c r="A35" s="2" t="str">
        <x:v>Separate checks: 592 stable graphics states; 63 cold-silence assertions; 16,000 steering refreshes.</x:v>
      </x:c>
      <x:c r="B35" s="2"/>
      <x:c r="C35" s="2"/>
      <x:c r="D35" s="2"/>
    </x:row>
    <x:row r="36" ht="24" customHeight="1">
      <x:c r="A36" s="2" t="str">
        <x:v>Corner fallback verified: 3465 later poses; safe primary movement survives rejected centering.</x:v>
      </x:c>
      <x:c r="B36" s="2"/>
      <x:c r="C36" s="2"/>
      <x:c r="D36" s="2"/>
    </x:row>
    <x:row r="37" ht="24" customHeight="1">
      <x:c r="A37" s="2"/>
      <x:c r="B37" s="2"/>
      <x:c r="C37" s="2"/>
      <x:c r="D37" s="2"/>
    </x:row>
    <x:row r="38" ht="36" customHeight="1">
      <x:c r="A38" s="7" t="str">
        <x:v>Measure</x:v>
      </x:c>
      <x:c r="B38" s="7" t="str">
        <x:v>Previous5451bd89</x:v>
      </x:c>
      <x:c r="C38" s="7" t="str">
        <x:v>Current</x:v>
      </x:c>
      <x:c r="D38" s="7" t="str">
        <x:v>Comparison scope</x:v>
      </x:c>
    </x:row>
    <x:row r="39" ht="24" customHeight="1">
      <x:c r="A39" s="2" t="str">
        <x:v>Presentation rate</x:v>
      </x:c>
      <x:c r="B39" s="8" t="n">
        <x:v>28.879552418891517</x:v>
      </x:c>
      <x:c r="C39" s="8" t="n">
        <x:f>B8</x:f>
        <x:v>29.903148853906792</x:v>
      </x:c>
      <x:c r="D39" s="2" t="str">
        <x:v>FPS; same scripted input, trajectories differ</x:v>
      </x:c>
    </x:row>
    <x:row r="40" ht="24" customHeight="1">
      <x:c r="A40" s="2" t="str">
        <x:v>Late presentations</x:v>
      </x:c>
      <x:c r="B40" s="10" t="n">
        <x:v>19</x:v>
      </x:c>
      <x:c r="C40" s="10" t="n">
        <x:f>B10</x:f>
        <x:v>1</x:v>
      </x:c>
      <x:c r="D40" s="2" t="str">
        <x:v>Frames; active/death partitions differ</x:v>
      </x:c>
    </x:row>
    <x:row r="41" ht="24" customHeight="1">
      <x:c r="A41" s="2" t="str">
        <x:v>Mean CPU work</x:v>
      </x:c>
      <x:c r="B41" s="8" t="n">
        <x:v>24.114172575848595</x:v>
      </x:c>
      <x:c r="C41" s="8" t="n">
        <x:f>B9</x:f>
        <x:v>22.632363338136784</x:v>
      </x:c>
      <x:c r="D41" s="2" t="str">
        <x:v>ms/frame; synchronization excluded</x:v>
      </x:c>
    </x:row>
    <x:row r="42" ht="24" customHeight="1">
      <x:c r="A42" s="2" t="str">
        <x:v>Active presentations</x:v>
      </x:c>
      <x:c r="B42" s="10" t="n">
        <x:v>252</x:v>
      </x:c>
      <x:c r="C42" s="10" t="n">
        <x:f>B6</x:f>
        <x:v>238</x:v>
      </x:c>
      <x:c r="D42" s="2" t="str">
        <x:v>frames; short directional samples</x:v>
      </x:c>
    </x:row>
    <x:row r="43" ht="24" customHeight="1">
      <x:c r="A43" s="2" t="str">
        <x:v>Cold video restore</x:v>
      </x:c>
      <x:c r="B43" s="8" t="n">
        <x:v>201.07836929793368</x:v>
      </x:c>
      <x:c r="C43" s="8" t="n">
        <x:f>1511435.1428571432/$B$20*1000</x:f>
        <x:v>422.2422522575197</x:v>
      </x:c>
      <x:c r="D43" s="2" t="str">
        <x:v>ms/call; additional prewarm remains in cold transition</x:v>
      </x:c>
    </x:row>
    <x:row r="44" ht="24" customHeight="1">
      <x:c r="A44" s="2" t="str">
        <x:v>ROM bytes</x:v>
      </x:c>
      <x:c r="B44" s="10" t="n">
        <x:v>3932160</x:v>
      </x:c>
      <x:c r="C44" s="10" t="n">
        <x:f>4177920</x:f>
        <x:v>4177920</x:v>
      </x:c>
      <x:c r="D44" s="2" t="str">
        <x:v>bytes; both cartridges remain below the ASCII16 limit</x:v>
      </x:c>
    </x:row>
    <x:row r="45" ht="24" customHeight="1">
      <x:c r="A45" s="2"/>
      <x:c r="B45" s="2"/>
      <x:c r="C45" s="2"/>
      <x:c r="D45" s="2"/>
    </x:row>
    <x:row r="46" ht="24" customHeight="1">
      <x:c r="A46" s="2"/>
      <x:c r="B46" s="2"/>
      <x:c r="C46" s="2"/>
      <x:c r="D46" s="2"/>
    </x:row>
    <x:row r="47" ht="24" customHeight="1">
      <x:c r="A47" s="2"/>
      <x:c r="B47" s="2"/>
      <x:c r="C47" s="2"/>
      <x:c r="D47" s="2"/>
    </x:row>
    <x:row r="48" ht="36" customHeight="1">
      <x:c r="A48" s="7" t="str">
        <x:v>Remaining late frame</x:v>
      </x:c>
      <x:c r="B48" s="7" t="str">
        <x:v>CPU work ms</x:v>
      </x:c>
      <x:c r="C48" s="7" t="str">
        <x:v>Readiness margin ms</x:v>
      </x:c>
      <x:c r="D48" s="7" t="str">
        <x:v>Logic / drawing work</x:v>
      </x:c>
    </x:row>
    <x:row r="49" ht="24" customHeight="1">
      <x:c r="A49" s="2" t="n">
        <x:v>245</x:v>
      </x:c>
      <x:c r="B49" s="8" t="n">
        <x:v>35.58413150274269</x:v>
      </x:c>
      <x:c r="C49" s="8" t="n">
        <x:v>-3.056347478053319</x:v>
      </x:c>
      <x:c r="D49" s="2" t="str">
        <x:v>Game_Prepare 16.414 ms; render 17.994 ms</x:v>
      </x:c>
    </x:row>
    <x:row r="50" ht="24" customHeight="1">
      <x:c r="A50" s="2"/>
      <x:c r="B50" s="8"/>
      <x:c r="C50" s="8"/>
      <x:c r="D50" s="2"/>
    </x:row>
    <x:row r="51" ht="24" customHeight="1">
      <x:c r="A51" s="2"/>
      <x:c r="B51" s="8"/>
      <x:c r="C51" s="8"/>
      <x:c r="D51" s="2"/>
    </x:row>
    <x:row r="52" ht="24" customHeight="1">
      <x:c r="A52" s="2"/>
      <x:c r="B52" s="8"/>
      <x:c r="C52" s="8"/>
      <x:c r="D52" s="2"/>
    </x:row>
    <x:row r="53" ht="24" customHeight="1">
      <x:c r="A53" s="2"/>
      <x:c r="B53" s="8"/>
      <x:c r="C53" s="8"/>
      <x:c r="D53" s="2"/>
    </x:row>
    <x:row r="54" ht="24" customHeight="1">
      <x:c r="A54" s="2"/>
      <x:c r="B54" s="8"/>
      <x:c r="C54" s="8"/>
      <x:c r="D54" s="2"/>
    </x:row>
    <x:row r="55" ht="24" customHeight="1">
      <x:c r="A55" s="2"/>
      <x:c r="B55" s="2"/>
      <x:c r="C55" s="2"/>
      <x:c r="D55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8" hidden="0" customWidth="1"/>
    <x:col min="8" max="8" width="16" hidden="0" customWidth="1"/>
    <x:col min="9" max="9" width="16" hidden="0" customWidth="1"/>
    <x:col min="10" max="10" width="16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6" hidden="0" customWidth="1"/>
    <x:col min="18" max="18" width="16" hidden="0" customWidth="1"/>
    <x:col min="19" max="19" width="18" hidden="0" customWidth="1"/>
    <x:col min="20" max="20" width="18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4" customHeight="1">
      <x:c r="A2" s="3" t="str">
        <x:v>Measured routine costs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24" customHeight="1">
      <x:c r="A3" s="2" t="str">
        <x:v>Inclusive parents overlap children. Self time subtracts tracked descendants; do not add inclusive rows.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24" customHeight="1">
      <x:c r="A4" s="2" t="str">
        <x:v>Zero-call rows have no per-call sample; zero frame cost means the hook was not exercised on this route.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36" customHeight="1">
      <x:c r="A5" s="7" t="str">
        <x:v>Routine / hook</x:v>
      </x:c>
      <x:c r="B5" s="7" t="str">
        <x:v>Calls/frame</x:v>
      </x:c>
      <x:c r="C5" s="7" t="str">
        <x:v>Mean incl ms/frame</x:v>
      </x:c>
      <x:c r="D5" s="7" t="str">
        <x:v>P95 incl ms/frame</x:v>
      </x:c>
      <x:c r="E5" s="7" t="str">
        <x:v>Max incl ms/frame</x:v>
      </x:c>
      <x:c r="F5" s="7" t="str">
        <x:v>Self ms/frame</x:v>
      </x:c>
      <x:c r="G5" s="7" t="str">
        <x:v>Mean incl cycles/call</x:v>
      </x:c>
      <x:c r="H5" s="7" t="str">
        <x:v>P95 incl cycles/call</x:v>
      </x:c>
      <x:c r="I5" s="7" t="str">
        <x:v>Max incl cycles/call</x:v>
      </x:c>
      <x:c r="J5" s="7" t="str">
        <x:v>Self cycles/frame</x:v>
      </x:c>
      <x:c r="K5" s="7" t="str">
        <x:v>Mean incl cycles/frame</x:v>
      </x:c>
      <x:c r="L5" s="7" t="str">
        <x:v>P95 incl cycles/frame</x:v>
      </x:c>
      <x:c r="M5" s="7" t="str">
        <x:v>Max incl cycles/frame</x:v>
      </x:c>
      <x:c r="N5" s="7" t="str">
        <x:v>Mean self cycles/call</x:v>
      </x:c>
      <x:c r="O5" s="7" t="str">
        <x:v>P95 self cycles/call</x:v>
      </x:c>
      <x:c r="P5" s="7" t="str">
        <x:v>Max self cycles/call</x:v>
      </x:c>
      <x:c r="Q5" s="7" t="str">
        <x:v>P95 self ms/frame</x:v>
      </x:c>
      <x:c r="R5" s="7" t="str">
        <x:v>Max self ms/frame</x:v>
      </x:c>
      <x:c r="S5" s="7" t="str">
        <x:v>P95 self cycles/frame</x:v>
      </x:c>
      <x:c r="T5" s="7" t="str">
        <x:v>Max self cycles/frame</x:v>
      </x:c>
    </x:row>
    <x:row r="6" ht="24" customHeight="1">
      <x:c r="A6" s="2" t="str">
        <x:v>Game_Prepare</x:v>
      </x:c>
      <x:c r="B6" s="8" t="n">
        <x:v>1</x:v>
      </x:c>
      <x:c r="C6" s="8" t="n">
        <x:f>K6/'Summary'!$B$20*1000</x:f>
        <x:v>10.518725732136424</x:v>
      </x:c>
      <x:c r="D6" s="8" t="n">
        <x:f>L6/'Summary'!$B$20*1000</x:f>
        <x:v>13.422935037837183</x:v>
      </x:c>
      <x:c r="E6" s="8" t="n">
        <x:f>M6/'Summary'!$B$20*1000</x:f>
        <x:v>18.00005307937182</x:v>
      </x:c>
      <x:c r="F6" s="8" t="n">
        <x:f>J6/'Summary'!$B$20*1000</x:f>
        <x:v>0.050285720671010226</x:v>
      </x:c>
      <x:c r="G6" s="12" t="n">
        <x:v>37652.25210084028</x:v>
      </x:c>
      <x:c r="H6" s="12" t="n">
        <x:v>48048.0000000149</x:v>
      </x:c>
      <x:c r="I6" s="12" t="n">
        <x:v>64432</x:v>
      </x:c>
      <x:c r="J6" s="12" t="n">
        <x:v>179.99999999931129</x:v>
      </x:c>
      <x:c r="K6" s="2" t="n">
        <x:v>37652.25210084028</x:v>
      </x:c>
      <x:c r="L6" s="2" t="n">
        <x:v>48048.0000000149</x:v>
      </x:c>
      <x:c r="M6" s="2" t="n">
        <x:v>64432</x:v>
      </x:c>
      <x:c r="N6" s="12" t="n">
        <x:v>179.99999999931129</x:v>
      </x:c>
      <x:c r="O6" s="12" t="n">
        <x:v>180.00000002980232</x:v>
      </x:c>
      <x:c r="P6" s="12" t="n">
        <x:v>180.00000008940697</x:v>
      </x:c>
      <x:c r="Q6" s="8" t="n">
        <x:f>S6/'Summary'!$B$20*1000</x:f>
        <x:v>0.050285720679528356</x:v>
      </x:c>
      <x:c r="R6" s="8" t="n">
        <x:f>T6/'Summary'!$B$20*1000</x:f>
        <x:v>0.050285720696179814</x:v>
      </x:c>
      <x:c r="S6" s="12" t="n">
        <x:v>180.00000002980232</x:v>
      </x:c>
      <x:c r="T6" s="12" t="n">
        <x:v>180.00000008940697</x:v>
      </x:c>
    </x:row>
    <x:row r="7" ht="24" customHeight="1">
      <x:c r="A7" s="2" t="str">
        <x:v>Game_Frame</x:v>
      </x:c>
      <x:c r="B7" s="8" t="n">
        <x:v>1</x:v>
      </x:c>
      <x:c r="C7" s="8" t="n">
        <x:f>K7/'Summary'!$B$20*1000</x:f>
        <x:v>7.108655457842206</x:v>
      </x:c>
      <x:c r="D7" s="8" t="n">
        <x:f>L7/'Summary'!$B$20*1000</x:f>
        <x:v>8.577347120932968</x:v>
      </x:c>
      <x:c r="E7" s="8" t="n">
        <x:f>M7/'Summary'!$B$20*1000</x:f>
        <x:v>12.790731782950067</x:v>
      </x:c>
      <x:c r="F7" s="8" t="n">
        <x:f>J7/'Summary'!$B$20*1000</x:f>
        <x:v>0.45411973220300367</x:v>
      </x:c>
      <x:c r="G7" s="12" t="n">
        <x:v>25445.752100841775</x:v>
      </x:c>
      <x:c r="H7" s="12" t="n">
        <x:v>30703</x:v>
      </x:c>
      <x:c r="I7" s="12" t="n">
        <x:v>45785</x:v>
      </x:c>
      <x:c r="J7" s="12" t="n">
        <x:v>1625.542016808601</x:v>
      </x:c>
      <x:c r="K7" s="2" t="n">
        <x:v>25445.752100841775</x:v>
      </x:c>
      <x:c r="L7" s="2" t="n">
        <x:v>30703</x:v>
      </x:c>
      <x:c r="M7" s="2" t="n">
        <x:v>45785</x:v>
      </x:c>
      <x:c r="N7" s="12" t="n">
        <x:v>1625.542016808601</x:v>
      </x:c>
      <x:c r="O7" s="12" t="n">
        <x:v>1625.0000000745058</x:v>
      </x:c>
      <x:c r="P7" s="12" t="n">
        <x:v>3116.9999999552965</x:v>
      </x:c>
      <x:c r="Q7" s="8" t="n">
        <x:f>S7/'Summary'!$B$20*1000</x:f>
        <x:v>0.453968311635838</x:v>
      </x:c>
      <x:c r="R7" s="8" t="n">
        <x:f>T7/'Summary'!$B$20*1000</x:f>
        <x:v>0.8707810629438368</x:v>
      </x:c>
      <x:c r="S7" s="12" t="n">
        <x:v>1625.0000000745058</x:v>
      </x:c>
      <x:c r="T7" s="12" t="n">
        <x:v>3116.9999999552965</x:v>
      </x:c>
    </x:row>
    <x:row r="8" ht="24" customHeight="1">
      <x:c r="A8" s="2" t="str">
        <x:v>Game_LogicTick</x:v>
      </x:c>
      <x:c r="B8" s="8" t="n">
        <x:v>2.0126050420168067</x:v>
      </x:c>
      <x:c r="C8" s="8" t="n">
        <x:f>K8/'Summary'!$B$20*1000</x:f>
        <x:v>4.916471532676858</x:v>
      </x:c>
      <x:c r="D8" s="8" t="n">
        <x:f>L8/'Summary'!$B$20*1000</x:f>
        <x:v>6.317842072115256</x:v>
      </x:c>
      <x:c r="E8" s="8" t="n">
        <x:f>M8/'Summary'!$B$20*1000</x:f>
        <x:v>9.097245599654398</x:v>
      </x:c>
      <x:c r="F8" s="8" t="n">
        <x:f>J8/'Summary'!$B$20*1000</x:f>
        <x:v>4.635278806560856</x:v>
      </x:c>
      <x:c r="G8" s="12" t="n">
        <x:v>8744.254697285422</x:v>
      </x:c>
      <x:c r="H8" s="12" t="n">
        <x:v>18168.000000029802</x:v>
      </x:c>
      <x:c r="I8" s="12" t="n">
        <x:v>20879</x:v>
      </x:c>
      <x:c r="J8" s="12" t="n">
        <x:v>16592.18907563088</x:v>
      </x:c>
      <x:c r="K8" s="2" t="n">
        <x:v>17598.731092435784</x:v>
      </x:c>
      <x:c r="L8" s="2" t="n">
        <x:v>22615.000000029802</x:v>
      </x:c>
      <x:c r="M8" s="2" t="n">
        <x:v>32564.0000000149</x:v>
      </x:c>
      <x:c r="N8" s="12" t="n">
        <x:v>8244.135699374006</x:v>
      </x:c>
      <x:c r="O8" s="12" t="n">
        <x:v>16911.000000029802</x:v>
      </x:c>
      <x:c r="P8" s="12" t="n">
        <x:v>19622.000000029802</x:v>
      </x:c>
      <x:c r="Q8" s="8" t="n">
        <x:f>S8/'Summary'!$B$20*1000</x:f>
        <x:v>5.965562662293671</x:v>
      </x:c>
      <x:c r="R8" s="8" t="n">
        <x:f>T8/'Summary'!$B$20*1000</x:f>
        <x:v>8.782121750114861</x:v>
      </x:c>
      <x:c r="S8" s="12" t="n">
        <x:v>21354</x:v>
      </x:c>
      <x:c r="T8" s="12" t="n">
        <x:v>31436.0000000149</x:v>
      </x:c>
    </x:row>
    <x:row r="9" ht="24" customHeight="1">
      <x:c r="A9" s="2" t="str">
        <x:v>Game_Position</x:v>
      </x:c>
      <x:c r="B9" s="8" t="n">
        <x:v>1</x:v>
      </x:c>
      <x:c r="C9" s="8" t="n">
        <x:f>K9/'Summary'!$B$20*1000</x:f>
        <x:v>0.25142860335599565</x:v>
      </x:c>
      <x:c r="D9" s="8" t="n">
        <x:f>L9/'Summary'!$B$20*1000</x:f>
        <x:v>0.25142860335601314</x:v>
      </x:c>
      <x:c r="E9" s="8" t="n">
        <x:f>M9/'Summary'!$B$20*1000</x:f>
        <x:v>0.25142860336433887</x:v>
      </x:c>
      <x:c r="F9" s="8" t="n">
        <x:f>J9/'Summary'!$B$20*1000</x:f>
        <x:v>0.25142860335599565</x:v>
      </x:c>
      <x:c r="G9" s="12" t="n">
        <x:v>899.9999999999374</x:v>
      </x:c>
      <x:c r="H9" s="12" t="n">
        <x:v>900</x:v>
      </x:c>
      <x:c r="I9" s="12" t="n">
        <x:v>900.0000000298023</x:v>
      </x:c>
      <x:c r="J9" s="12" t="n">
        <x:v>899.9999999999374</x:v>
      </x:c>
      <x:c r="K9" s="2" t="n">
        <x:v>899.9999999999374</x:v>
      </x:c>
      <x:c r="L9" s="2" t="n">
        <x:v>900</x:v>
      </x:c>
      <x:c r="M9" s="2" t="n">
        <x:v>900.0000000298023</x:v>
      </x:c>
      <x:c r="N9" s="12" t="n">
        <x:v>899.9999999999374</x:v>
      </x:c>
      <x:c r="O9" s="12" t="n">
        <x:v>900</x:v>
      </x:c>
      <x:c r="P9" s="12" t="n">
        <x:v>900.0000000298023</x:v>
      </x:c>
      <x:c r="Q9" s="8" t="n">
        <x:f>S9/'Summary'!$B$20*1000</x:f>
        <x:v>0.25142860335601314</x:v>
      </x:c>
      <x:c r="R9" s="8" t="n">
        <x:f>T9/'Summary'!$B$20*1000</x:f>
        <x:v>0.25142860336433887</x:v>
      </x:c>
      <x:c r="S9" s="12" t="n">
        <x:v>900</x:v>
      </x:c>
      <x:c r="T9" s="12" t="n">
        <x:v>900.0000000298023</x:v>
      </x:c>
    </x:row>
    <x:row r="10" ht="24" customHeight="1">
      <x:c r="A10" s="2" t="str">
        <x:v>Game_Actors</x:v>
      </x:c>
      <x:c r="B10" s="8" t="n">
        <x:v>1</x:v>
      </x:c>
      <x:c r="C10" s="8" t="n">
        <x:f>K10/'Summary'!$B$20*1000</x:f>
        <x:v>1.113269982637196</x:v>
      </x:c>
      <x:c r="D10" s="8" t="n">
        <x:f>L10/'Summary'!$B$20*1000</x:f>
        <x:v>1.1132699826416208</x:v>
      </x:c>
      <x:c r="E10" s="8" t="n">
        <x:f>M10/'Summary'!$B$20*1000</x:f>
        <x:v>1.113269982645784</x:v>
      </x:c>
      <x:c r="F10" s="8" t="n">
        <x:f>J10/'Summary'!$B$20*1000</x:f>
        <x:v>1.113269982637196</x:v>
      </x:c>
      <x:c r="G10" s="12" t="n">
        <x:v>3984.999999999061</x:v>
      </x:c>
      <x:c r="H10" s="12" t="n">
        <x:v>3985.000000014901</x:v>
      </x:c>
      <x:c r="I10" s="12" t="n">
        <x:v>3985.0000000298023</x:v>
      </x:c>
      <x:c r="J10" s="12" t="n">
        <x:v>3984.999999999061</x:v>
      </x:c>
      <x:c r="K10" s="2" t="n">
        <x:v>3984.999999999061</x:v>
      </x:c>
      <x:c r="L10" s="2" t="n">
        <x:v>3985.000000014901</x:v>
      </x:c>
      <x:c r="M10" s="2" t="n">
        <x:v>3985.0000000298023</x:v>
      </x:c>
      <x:c r="N10" s="12" t="n">
        <x:v>3984.999999999061</x:v>
      </x:c>
      <x:c r="O10" s="12" t="n">
        <x:v>3985.000000014901</x:v>
      </x:c>
      <x:c r="P10" s="12" t="n">
        <x:v>3985.0000000298023</x:v>
      </x:c>
      <x:c r="Q10" s="8" t="n">
        <x:f>S10/'Summary'!$B$20*1000</x:f>
        <x:v>1.1132699826416208</x:v>
      </x:c>
      <x:c r="R10" s="8" t="n">
        <x:f>T10/'Summary'!$B$20*1000</x:f>
        <x:v>1.113269982645784</x:v>
      </x:c>
      <x:c r="S10" s="12" t="n">
        <x:v>3985.000000014901</x:v>
      </x:c>
      <x:c r="T10" s="12" t="n">
        <x:v>3985.0000000298023</x:v>
      </x:c>
    </x:row>
    <x:row r="11" ht="24" customHeight="1">
      <x:c r="A11" s="2" t="str">
        <x:v>GameSprites_Prepare</x:v>
      </x:c>
      <x:c r="B11" s="8" t="n">
        <x:v>1</x:v>
      </x:c>
      <x:c r="C11" s="8" t="n">
        <x:f>K11/'Summary'!$B$20*1000</x:f>
        <x:v>1.6414050370307014</x:v>
      </x:c>
      <x:c r="D11" s="8" t="n">
        <x:f>L11/'Summary'!$B$20*1000</x:f>
        <x:v>4.03431162340465</x:v>
      </x:c>
      <x:c r="E11" s="8" t="n">
        <x:f>M11/'Summary'!$B$20*1000</x:f>
        <x:v>9.458185328023534</x:v>
      </x:c>
      <x:c r="F11" s="8" t="n">
        <x:f>J11/'Summary'!$B$20*1000</x:f>
        <x:v>1.4811750580338758</x:v>
      </x:c>
      <x:c r="G11" s="12" t="n">
        <x:v>5875.483193278063</x:v>
      </x:c>
      <x:c r="H11" s="12" t="n">
        <x:v>14441</x:v>
      </x:c>
      <x:c r="I11" s="12" t="n">
        <x:v>33856</x:v>
      </x:c>
      <x:c r="J11" s="12" t="n">
        <x:v>5301.93277310987</x:v>
      </x:c>
      <x:c r="K11" s="2" t="n">
        <x:v>5875.483193278063</x:v>
      </x:c>
      <x:c r="L11" s="2" t="n">
        <x:v>14441</x:v>
      </x:c>
      <x:c r="M11" s="2" t="n">
        <x:v>33856</x:v>
      </x:c>
      <x:c r="N11" s="12" t="n">
        <x:v>5301.93277310987</x:v>
      </x:c>
      <x:c r="O11" s="12" t="n">
        <x:v>13617</x:v>
      </x:c>
      <x:c r="P11" s="12" t="n">
        <x:v>33273</x:v>
      </x:c>
      <x:c r="Q11" s="8" t="n">
        <x:f>S11/'Summary'!$B$20*1000</x:f>
        <x:v>3.8041147687764787</x:v>
      </x:c>
      <x:c r="R11" s="8" t="n">
        <x:f>T11/'Summary'!$B$20*1000</x:f>
        <x:v>9.295315466071804</x:v>
      </x:c>
      <x:c r="S11" s="12" t="n">
        <x:v>13617</x:v>
      </x:c>
      <x:c r="T11" s="12" t="n">
        <x:v>33273</x:v>
      </x:c>
    </x:row>
    <x:row r="12" ht="24" customHeight="1">
      <x:c r="A12" s="2" t="str">
        <x:v>GameSprites_Commit</x:v>
      </x:c>
      <x:c r="B12" s="8" t="n">
        <x:v>1</x:v>
      </x:c>
      <x:c r="C12" s="8" t="n">
        <x:f>K12/'Summary'!$B$20*1000</x:f>
        <x:v>0.5494924000424096</x:v>
      </x:c>
      <x:c r="D12" s="8" t="n">
        <x:f>L12/'Summary'!$B$20*1000</x:f>
        <x:v>0.5450413390611942</x:v>
      </x:c>
      <x:c r="E12" s="8" t="n">
        <x:f>M12/'Summary'!$B$20*1000</x:f>
        <x:v>1.0747175967936988</x:v>
      </x:c>
      <x:c r="F12" s="8" t="n">
        <x:f>J12/'Summary'!$B$20*1000</x:f>
        <x:v>0.5494924000424096</x:v>
      </x:c>
      <x:c r="G12" s="12" t="n">
        <x:v>1966.9327731098072</x:v>
      </x:c>
      <x:c r="H12" s="12" t="n">
        <x:v>1951.0000000298023</x:v>
      </x:c>
      <x:c r="I12" s="12" t="n">
        <x:v>3847.000000014901</x:v>
      </x:c>
      <x:c r="J12" s="12" t="n">
        <x:v>1966.9327731098072</x:v>
      </x:c>
      <x:c r="K12" s="2" t="n">
        <x:v>1966.9327731098072</x:v>
      </x:c>
      <x:c r="L12" s="2" t="n">
        <x:v>1951.0000000298023</x:v>
      </x:c>
      <x:c r="M12" s="2" t="n">
        <x:v>3847.000000014901</x:v>
      </x:c>
      <x:c r="N12" s="12" t="n">
        <x:v>1966.9327731098072</x:v>
      </x:c>
      <x:c r="O12" s="12" t="n">
        <x:v>1951.0000000298023</x:v>
      </x:c>
      <x:c r="P12" s="12" t="n">
        <x:v>3847.000000014901</x:v>
      </x:c>
      <x:c r="Q12" s="8" t="n">
        <x:f>S12/'Summary'!$B$20*1000</x:f>
        <x:v>0.5450413390611942</x:v>
      </x:c>
      <x:c r="R12" s="8" t="n">
        <x:f>T12/'Summary'!$B$20*1000</x:f>
        <x:v>1.0747175967936988</x:v>
      </x:c>
      <x:c r="S12" s="12" t="n">
        <x:v>1951.0000000298023</x:v>
      </x:c>
      <x:c r="T12" s="12" t="n">
        <x:v>3847.000000014901</x:v>
      </x:c>
    </x:row>
    <x:row r="13" ht="24" customHeight="1">
      <x:c r="A13" s="2" t="str">
        <x:v>GameHUD_Prepare</x:v>
      </x:c>
      <x:c r="B13" s="8" t="n">
        <x:v>1</x:v>
      </x:c>
      <x:c r="C13" s="8" t="n">
        <x:f>K13/'Summary'!$B$20*1000</x:f>
        <x:v>0.5482199975865136</x:v>
      </x:c>
      <x:c r="D13" s="8" t="n">
        <x:f>L13/'Summary'!$B$20*1000</x:f>
        <x:v>0.5651556273296752</x:v>
      </x:c>
      <x:c r="E13" s="8" t="n">
        <x:f>M13/'Summary'!$B$20*1000</x:f>
        <x:v>1.5395811478874832</x:v>
      </x:c>
      <x:c r="F13" s="8" t="n">
        <x:f>J13/'Summary'!$B$20*1000</x:f>
        <x:v>0.5482199975865136</x:v>
      </x:c>
      <x:c r="G13" s="12" t="n">
        <x:v>1962.3781512608173</x:v>
      </x:c>
      <x:c r="H13" s="12" t="n">
        <x:v>2023.0000000298023</x:v>
      </x:c>
      <x:c r="I13" s="12" t="n">
        <x:v>5511.000000014901</x:v>
      </x:c>
      <x:c r="J13" s="12" t="n">
        <x:v>1962.3781512608173</x:v>
      </x:c>
      <x:c r="K13" s="2" t="n">
        <x:v>1962.3781512608173</x:v>
      </x:c>
      <x:c r="L13" s="2" t="n">
        <x:v>2023.0000000298023</x:v>
      </x:c>
      <x:c r="M13" s="2" t="n">
        <x:v>5511.000000014901</x:v>
      </x:c>
      <x:c r="N13" s="12" t="n">
        <x:v>1962.3781512608173</x:v>
      </x:c>
      <x:c r="O13" s="12" t="n">
        <x:v>2023.0000000298023</x:v>
      </x:c>
      <x:c r="P13" s="12" t="n">
        <x:v>5511.000000014901</x:v>
      </x:c>
      <x:c r="Q13" s="8" t="n">
        <x:f>S13/'Summary'!$B$20*1000</x:f>
        <x:v>0.5651556273296752</x:v>
      </x:c>
      <x:c r="R13" s="8" t="n">
        <x:f>T13/'Summary'!$B$20*1000</x:f>
        <x:v>1.5395811478874832</x:v>
      </x:c>
      <x:c r="S13" s="12" t="n">
        <x:v>2023.0000000298023</x:v>
      </x:c>
      <x:c r="T13" s="12" t="n">
        <x:v>5511.000000014901</x:v>
      </x:c>
    </x:row>
    <x:row r="14" ht="24" customHeight="1">
      <x:c r="A14" s="2" t="str">
        <x:v>GameHUD_Commit</x:v>
      </x:c>
      <x:c r="B14" s="8" t="n">
        <x:v>1</x:v>
      </x:c>
      <x:c r="C14" s="8" t="n">
        <x:f>K14/'Summary'!$B$20*1000</x:f>
        <x:v>0.41282769014419674</x:v>
      </x:c>
      <x:c r="D14" s="8" t="n">
        <x:f>L14/'Summary'!$B$20*1000</x:f>
        <x:v>0.45340958139366944</x:v>
      </x:c>
      <x:c r="E14" s="8" t="n">
        <x:f>M14/'Summary'!$B$20*1000</x:f>
        <x:v>1.2414985703531876</x:v>
      </x:c>
      <x:c r="F14" s="8" t="n">
        <x:f>J14/'Summary'!$B$20*1000</x:f>
        <x:v>0.41282769014419674</x:v>
      </x:c>
      <x:c r="G14" s="12" t="n">
        <x:v>1477.7352941172087</x:v>
      </x:c>
      <x:c r="H14" s="12" t="n">
        <x:v>1623.0000000298023</x:v>
      </x:c>
      <x:c r="I14" s="12" t="n">
        <x:v>4444.000000014901</x:v>
      </x:c>
      <x:c r="J14" s="12" t="n">
        <x:v>1477.7352941172087</x:v>
      </x:c>
      <x:c r="K14" s="2" t="n">
        <x:v>1477.7352941172087</x:v>
      </x:c>
      <x:c r="L14" s="2" t="n">
        <x:v>1623.0000000298023</x:v>
      </x:c>
      <x:c r="M14" s="2" t="n">
        <x:v>4444.000000014901</x:v>
      </x:c>
      <x:c r="N14" s="12" t="n">
        <x:v>1477.7352941172087</x:v>
      </x:c>
      <x:c r="O14" s="12" t="n">
        <x:v>1623.0000000298023</x:v>
      </x:c>
      <x:c r="P14" s="12" t="n">
        <x:v>4444.000000014901</x:v>
      </x:c>
      <x:c r="Q14" s="8" t="n">
        <x:f>S14/'Summary'!$B$20*1000</x:f>
        <x:v>0.45340958139366944</x:v>
      </x:c>
      <x:c r="R14" s="8" t="n">
        <x:f>T14/'Summary'!$B$20*1000</x:f>
        <x:v>1.2414985703531876</x:v>
      </x:c>
      <x:c r="S14" s="12" t="n">
        <x:v>1623.0000000298023</x:v>
      </x:c>
      <x:c r="T14" s="12" t="n">
        <x:v>4444.000000014901</x:v>
      </x:c>
    </x:row>
    <x:row r="15" ht="24" customHeight="1">
      <x:c r="A15" s="2" t="str">
        <x:v>render</x:v>
      </x:c>
      <x:c r="B15" s="8" t="n">
        <x:v>1</x:v>
      </x:c>
      <x:c r="C15" s="8" t="n">
        <x:f>K15/'Summary'!$B$20*1000</x:f>
        <x:v>10.97420003300515</x:v>
      </x:c>
      <x:c r="D15" s="8" t="n">
        <x:f>L15/'Summary'!$B$20*1000</x:f>
        <x:v>18.492015046609247</x:v>
      </x:c>
      <x:c r="E15" s="8" t="n">
        <x:f>M15/'Summary'!$B$20*1000</x:f>
        <x:v>22.17432662531548</x:v>
      </x:c>
      <x:c r="F15" s="8" t="n">
        <x:f>J15/'Summary'!$B$20*1000</x:f>
        <x:v>1.1315378787808277</x:v>
      </x:c>
      <x:c r="G15" s="12" t="n">
        <x:v>39282.64285714342</x:v>
      </x:c>
      <x:c r="H15" s="12" t="n">
        <x:v>66193.0000000149</x:v>
      </x:c>
      <x:c r="I15" s="12" t="n">
        <x:v>79374.0000000149</x:v>
      </x:c>
      <x:c r="J15" s="12" t="n">
        <x:v>4050.3907563005173</x:v>
      </x:c>
      <x:c r="K15" s="2" t="n">
        <x:v>39282.64285714342</x:v>
      </x:c>
      <x:c r="L15" s="2" t="n">
        <x:v>66193.0000000149</x:v>
      </x:c>
      <x:c r="M15" s="2" t="n">
        <x:v>79374.0000000149</x:v>
      </x:c>
      <x:c r="N15" s="12" t="n">
        <x:v>4050.3907563005173</x:v>
      </x:c>
      <x:c r="O15" s="12" t="n">
        <x:v>4195.999999940395</x:v>
      </x:c>
      <x:c r="P15" s="12" t="n">
        <x:v>4225.999999970198</x:v>
      </x:c>
      <x:c r="Q15" s="8" t="n">
        <x:f>S15/'Summary'!$B$20*1000</x:f>
        <x:v>1.1722160218520496</x:v>
      </x:c>
      <x:c r="R15" s="8" t="n">
        <x:f>T15/'Summary'!$B$20*1000</x:f>
        <x:v>1.180596975305576</x:v>
      </x:c>
      <x:c r="S15" s="12" t="n">
        <x:v>4195.999999940395</x:v>
      </x:c>
      <x:c r="T15" s="12" t="n">
        <x:v>4225.999999970198</x:v>
      </x:c>
    </x:row>
    <x:row r="16" ht="24" customHeight="1">
      <x:c r="A16" s="2" t="str">
        <x:v>wait_blank</x:v>
      </x:c>
      <x:c r="B16" s="8" t="n">
        <x:v>1</x:v>
      </x:c>
      <x:c r="C16" s="8" t="n">
        <x:f>K16/'Summary'!$B$20*1000</x:f>
        <x:v>10.808930917713857</x:v>
      </x:c>
      <x:c r="D16" s="8" t="n">
        <x:f>L16/'Summary'!$B$20*1000</x:f>
        <x:v>14.644878050143245</x:v>
      </x:c>
      <x:c r="E16" s="8" t="n">
        <x:f>M16/'Summary'!$B$20*1000</x:f>
        <x:v>15.31954480248188</x:v>
      </x:c>
      <x:c r="F16" s="8" t="n">
        <x:f>J16/'Summary'!$B$20*1000</x:f>
        <x:v>10.761159483076181</x:v>
      </x:c>
      <x:c r="G16" s="12" t="n">
        <x:v>38691.05462184805</x:v>
      </x:c>
      <x:c r="H16" s="12" t="n">
        <x:v>52422</x:v>
      </x:c>
      <x:c r="I16" s="12" t="n">
        <x:v>54837</x:v>
      </x:c>
      <x:c r="J16" s="12" t="n">
        <x:v>38520.05462184793</x:v>
      </x:c>
      <x:c r="K16" s="2" t="n">
        <x:v>38691.05462184805</x:v>
      </x:c>
      <x:c r="L16" s="2" t="n">
        <x:v>52422</x:v>
      </x:c>
      <x:c r="M16" s="2" t="n">
        <x:v>54837</x:v>
      </x:c>
      <x:c r="N16" s="12" t="n">
        <x:v>38520.05462184793</x:v>
      </x:c>
      <x:c r="O16" s="12" t="n">
        <x:v>52251</x:v>
      </x:c>
      <x:c r="P16" s="12" t="n">
        <x:v>54666</x:v>
      </x:c>
      <x:c r="Q16" s="8" t="n">
        <x:f>S16/'Summary'!$B$20*1000</x:f>
        <x:v>14.597106615505602</x:v>
      </x:c>
      <x:c r="R16" s="8" t="n">
        <x:f>T16/'Summary'!$B$20*1000</x:f>
        <x:v>15.271773367844236</x:v>
      </x:c>
      <x:c r="S16" s="12" t="n">
        <x:v>52251</x:v>
      </x:c>
      <x:c r="T16" s="12" t="n">
        <x:v>54666</x:v>
      </x:c>
    </x:row>
    <x:row r="17" ht="24" customHeight="1">
      <x:c r="A17" s="2" t="str">
        <x:v>commit</x:v>
      </x:c>
      <x:c r="B17" s="8" t="n">
        <x:v>1</x:v>
      </x:c>
      <x:c r="C17" s="8" t="n">
        <x:f>K17/'Summary'!$B$20*1000</x:f>
        <x:v>1.1098248708221514</x:v>
      </x:c>
      <x:c r="D17" s="8" t="n">
        <x:f>L17/'Summary'!$B$20*1000</x:f>
        <x:v>1.1459557010820656</x:v>
      </x:c>
      <x:c r="E17" s="8" t="n">
        <x:f>M17/'Summary'!$B$20*1000</x:f>
        <x:v>1.9340446900457466</x:v>
      </x:c>
      <x:c r="F17" s="8" t="n">
        <x:f>J17/'Summary'!$B$20*1000</x:f>
        <x:v>0.1475047806355452</x:v>
      </x:c>
      <x:c r="G17" s="12" t="n">
        <x:v>3972.6680672270786</x:v>
      </x:c>
      <x:c r="H17" s="12" t="n">
        <x:v>4102.000000029802</x:v>
      </x:c>
      <x:c r="I17" s="12" t="n">
        <x:v>6923.000000029802</x:v>
      </x:c>
      <x:c r="J17" s="12" t="n">
        <x:v>528.0000000000626</x:v>
      </x:c>
      <x:c r="K17" s="2" t="n">
        <x:v>3972.6680672270786</x:v>
      </x:c>
      <x:c r="L17" s="2" t="n">
        <x:v>4102.000000029802</x:v>
      </x:c>
      <x:c r="M17" s="2" t="n">
        <x:v>6923.000000029802</x:v>
      </x:c>
      <x:c r="N17" s="12" t="n">
        <x:v>528.0000000000626</x:v>
      </x:c>
      <x:c r="O17" s="12" t="n">
        <x:v>528.0000000447035</x:v>
      </x:c>
      <x:c r="P17" s="12" t="n">
        <x:v>528.0000000596046</x:v>
      </x:c>
      <x:c r="Q17" s="8" t="n">
        <x:f>S17/'Summary'!$B$20*1000</x:f>
        <x:v>0.1475047806480163</x:v>
      </x:c>
      <x:c r="R17" s="8" t="n">
        <x:f>T17/'Summary'!$B$20*1000</x:f>
        <x:v>0.14750478065217915</x:v>
      </x:c>
      <x:c r="S17" s="12" t="n">
        <x:v>528.0000000447035</x:v>
      </x:c>
      <x:c r="T17" s="12" t="n">
        <x:v>528.0000000596046</x:v>
      </x:c>
    </x:row>
    <x:row r="18" ht="24" customHeight="1">
      <x:c r="A18" s="2" t="str">
        <x:v>Ring_Prepare</x:v>
      </x:c>
      <x:c r="B18" s="8" t="n">
        <x:v>1</x:v>
      </x:c>
      <x:c r="C18" s="8" t="n">
        <x:f>K18/'Summary'!$B$20*1000</x:f>
        <x:v>1.705516983280128</x:v>
      </x:c>
      <x:c r="D18" s="8" t="n">
        <x:f>L18/'Summary'!$B$20*1000</x:f>
        <x:v>4.7486482220505675</x:v>
      </x:c>
      <x:c r="E18" s="8" t="n">
        <x:f>M18/'Summary'!$B$20*1000</x:f>
        <x:v>5.193118119765194</x:v>
      </x:c>
      <x:c r="F18" s="8" t="n">
        <x:f>J18/'Summary'!$B$20*1000</x:f>
        <x:v>1.703509780144075</x:v>
      </x:c>
      <x:c r="G18" s="12" t="n">
        <x:v>6104.974789915465</x:v>
      </x:c>
      <x:c r="H18" s="12" t="n">
        <x:v>16998</x:v>
      </x:c>
      <x:c r="I18" s="12" t="n">
        <x:v>18589.0000000149</x:v>
      </x:c>
      <x:c r="J18" s="12" t="n">
        <x:v>6097.789915965823</x:v>
      </x:c>
      <x:c r="K18" s="2" t="n">
        <x:v>6104.974789915465</x:v>
      </x:c>
      <x:c r="L18" s="2" t="n">
        <x:v>16998</x:v>
      </x:c>
      <x:c r="M18" s="2" t="n">
        <x:v>18589.0000000149</x:v>
      </x:c>
      <x:c r="N18" s="12" t="n">
        <x:v>6097.789915965823</x:v>
      </x:c>
      <x:c r="O18" s="12" t="n">
        <x:v>16998</x:v>
      </x:c>
      <x:c r="P18" s="12" t="n">
        <x:v>18589.0000000149</x:v>
      </x:c>
      <x:c r="Q18" s="8" t="n">
        <x:f>S18/'Summary'!$B$20*1000</x:f>
        <x:v>4.7486482220505675</x:v>
      </x:c>
      <x:c r="R18" s="8" t="n">
        <x:f>T18/'Summary'!$B$20*1000</x:f>
        <x:v>5.193118119765194</x:v>
      </x:c>
      <x:c r="S18" s="12" t="n">
        <x:v>16998</x:v>
      </x:c>
      <x:c r="T18" s="12" t="n">
        <x:v>18589.0000000149</x:v>
      </x:c>
    </x:row>
    <x:row r="19" ht="24" customHeight="1">
      <x:c r="A19" s="2" t="str">
        <x:v>Game_RingPatch</x:v>
      </x:c>
      <x:c r="B19" s="8" t="n">
        <x:v>1</x:v>
      </x:c>
      <x:c r="C19" s="8" t="n">
        <x:f>K19/'Summary'!$B$20*1000</x:f>
        <x:v>0.23953445752184369</x:v>
      </x:c>
      <x:c r="D19" s="8" t="n">
        <x:f>L19/'Summary'!$B$20*1000</x:f>
        <x:v>0.43720640473294853</x:v>
      </x:c>
      <x:c r="E19" s="8" t="n">
        <x:f>M19/'Summary'!$B$20*1000</x:f>
        <x:v>0.4933587928074658</x:v>
      </x:c>
      <x:c r="F19" s="8" t="n">
        <x:f>J19/'Summary'!$B$20*1000</x:f>
        <x:v>0.23456574940790342</x:v>
      </x:c>
      <x:c r="G19" s="12" t="n">
        <x:v>857.424369750028</x:v>
      </x:c>
      <x:c r="H19" s="12" t="n">
        <x:v>1565.0000000298023</x:v>
      </x:c>
      <x:c r="I19" s="12" t="n">
        <x:v>1766</x:v>
      </x:c>
      <x:c r="J19" s="12" t="n">
        <x:v>839.6386554643136</x:v>
      </x:c>
      <x:c r="K19" s="2" t="n">
        <x:v>857.424369750028</x:v>
      </x:c>
      <x:c r="L19" s="2" t="n">
        <x:v>1565.0000000298023</x:v>
      </x:c>
      <x:c r="M19" s="2" t="n">
        <x:v>1766</x:v>
      </x:c>
      <x:c r="N19" s="12" t="n">
        <x:v>839.6386554643136</x:v>
      </x:c>
      <x:c r="O19" s="12" t="n">
        <x:v>1534.0000000298023</x:v>
      </x:c>
      <x:c r="P19" s="12" t="n">
        <x:v>1563.9999999850988</x:v>
      </x:c>
      <x:c r="Q19" s="8" t="n">
        <x:f>S19/'Summary'!$B$20*1000</x:f>
        <x:v>0.42854608617290807</x:v>
      </x:c>
      <x:c r="R19" s="8" t="n">
        <x:f>T19/'Summary'!$B$20*1000</x:f>
        <x:v>0.4369270396056199</x:v>
      </x:c>
      <x:c r="S19" s="12" t="n">
        <x:v>1534.0000000298023</x:v>
      </x:c>
      <x:c r="T19" s="12" t="n">
        <x:v>1563.9999999850988</x:v>
      </x:c>
    </x:row>
    <x:row r="20" ht="24" customHeight="1">
      <x:c r="A20" s="2" t="str">
        <x:v>Game_DirtyTileUpload</x:v>
      </x:c>
      <x:c r="B20" s="8" t="n">
        <x:v>1</x:v>
      </x:c>
      <x:c r="C20" s="8" t="n">
        <x:f>K20/'Summary'!$B$20*1000</x:f>
        <x:v>0.035758734699591836</x:v>
      </x:c>
      <x:c r="D20" s="8" t="n">
        <x:f>L20/'Summary'!$B$20*1000</x:f>
        <x:v>0.040507941655964975</x:v>
      </x:c>
      <x:c r="E20" s="8" t="n">
        <x:f>M20/'Summary'!$B$20*1000</x:f>
        <x:v>0.04050794166012784</x:v>
      </x:c>
      <x:c r="F20" s="8" t="n">
        <x:f>J20/'Summary'!$B$20*1000</x:f>
        <x:v>0.035758734699591836</x:v>
      </x:c>
      <x:c r="G20" s="12" t="n">
        <x:v>128.00000000025045</x:v>
      </x:c>
      <x:c r="H20" s="12" t="n">
        <x:v>145.00000001490116</x:v>
      </x:c>
      <x:c r="I20" s="12" t="n">
        <x:v>145.00000002980232</x:v>
      </x:c>
      <x:c r="J20" s="12" t="n">
        <x:v>128.00000000025045</x:v>
      </x:c>
      <x:c r="K20" s="2" t="n">
        <x:v>128.00000000025045</x:v>
      </x:c>
      <x:c r="L20" s="2" t="n">
        <x:v>145.00000001490116</x:v>
      </x:c>
      <x:c r="M20" s="2" t="n">
        <x:v>145.00000002980232</x:v>
      </x:c>
      <x:c r="N20" s="12" t="n">
        <x:v>128.00000000025045</x:v>
      </x:c>
      <x:c r="O20" s="12" t="n">
        <x:v>145.00000001490116</x:v>
      </x:c>
      <x:c r="P20" s="12" t="n">
        <x:v>145.00000002980232</x:v>
      </x:c>
      <x:c r="Q20" s="8" t="n">
        <x:f>S20/'Summary'!$B$20*1000</x:f>
        <x:v>0.040507941655964975</x:v>
      </x:c>
      <x:c r="R20" s="8" t="n">
        <x:f>T20/'Summary'!$B$20*1000</x:f>
        <x:v>0.04050794166012784</x:v>
      </x:c>
      <x:c r="S20" s="12" t="n">
        <x:v>145.00000001490116</x:v>
      </x:c>
      <x:c r="T20" s="12" t="n">
        <x:v>145.00000002980232</x:v>
      </x:c>
    </x:row>
    <x:row r="21" ht="24" customHeight="1">
      <x:c r="A21" s="2" t="str">
        <x:v>Game_Radar</x:v>
      </x:c>
      <x:c r="B21" s="8" t="n">
        <x:v>1</x:v>
      </x:c>
      <x:c r="C21" s="8" t="n">
        <x:f>K21/'Summary'!$B$20*1000</x:f>
        <x:v>1.3326467211789554</x:v>
      </x:c>
      <x:c r="D21" s="8" t="n">
        <x:f>L21/'Summary'!$B$20*1000</x:f>
        <x:v>1.4806351086520773</x:v>
      </x:c>
      <x:c r="E21" s="8" t="n">
        <x:f>M21/'Summary'!$B$20*1000</x:f>
        <x:v>1.8100065790484545</x:v>
      </x:c>
      <x:c r="F21" s="8" t="n">
        <x:f>J21/'Summary'!$B$20*1000</x:f>
        <x:v>0.966746501312846</x:v>
      </x:c>
      <x:c r="G21" s="12" t="n">
        <x:v>4770.268907562524</x:v>
      </x:c>
      <x:c r="H21" s="12" t="n">
        <x:v>5300</x:v>
      </x:c>
      <x:c r="I21" s="12" t="n">
        <x:v>6479</x:v>
      </x:c>
      <x:c r="J21" s="12" t="n">
        <x:v>3460.5126050418917</x:v>
      </x:c>
      <x:c r="K21" s="2" t="n">
        <x:v>4770.268907562524</x:v>
      </x:c>
      <x:c r="L21" s="2" t="n">
        <x:v>5300</x:v>
      </x:c>
      <x:c r="M21" s="2" t="n">
        <x:v>6479</x:v>
      </x:c>
      <x:c r="N21" s="12" t="n">
        <x:v>3460.5126050418917</x:v>
      </x:c>
      <x:c r="O21" s="12" t="n">
        <x:v>3853.0000000298023</x:v>
      </x:c>
      <x:c r="P21" s="12" t="n">
        <x:v>5203.000000014901</x:v>
      </x:c>
      <x:c r="Q21" s="8" t="n">
        <x:f>S21/'Summary'!$B$20*1000</x:f>
        <x:v>1.076393787486902</x:v>
      </x:c>
      <x:c r="R21" s="8" t="n">
        <x:f>T21/'Summary'!$B$20*1000</x:f>
        <x:v>1.4535366925167588</x:v>
      </x:c>
      <x:c r="S21" s="12" t="n">
        <x:v>3853.0000000298023</x:v>
      </x:c>
      <x:c r="T21" s="12" t="n">
        <x:v>5203.000000014901</x:v>
      </x:c>
    </x:row>
    <x:row r="22" ht="24" customHeight="1">
      <x:c r="A22" s="2" t="str">
        <x:v>Game_RadarUpload</x:v>
      </x:c>
      <x:c r="B22" s="8" t="n">
        <x:v>1</x:v>
      </x:c>
      <x:c r="C22" s="8" t="n">
        <x:f>K22/'Summary'!$B$20*1000</x:f>
        <x:v>0.4521853048523826</x:v>
      </x:c>
      <x:c r="D22" s="8" t="n">
        <x:f>L22/'Summary'!$B$20*1000</x:f>
        <x:v>0.5425270530193084</x:v>
      </x:c>
      <x:c r="E22" s="8" t="n">
        <x:f>M22/'Summary'!$B$20*1000</x:f>
        <x:v>0.6498032571178739</x:v>
      </x:c>
      <x:c r="F22" s="8" t="n">
        <x:f>J22/'Summary'!$B$20*1000</x:f>
        <x:v>0.45158314391157195</x:v>
      </x:c>
      <x:c r="G22" s="12" t="n">
        <x:v>1618.6176470578218</x:v>
      </x:c>
      <x:c r="H22" s="12" t="n">
        <x:v>1942</x:v>
      </x:c>
      <x:c r="I22" s="12" t="n">
        <x:v>2326</x:v>
      </x:c>
      <x:c r="J22" s="12" t="n">
        <x:v>1616.4621848729478</x:v>
      </x:c>
      <x:c r="K22" s="2" t="n">
        <x:v>1618.6176470578218</x:v>
      </x:c>
      <x:c r="L22" s="2" t="n">
        <x:v>1942</x:v>
      </x:c>
      <x:c r="M22" s="2" t="n">
        <x:v>2326</x:v>
      </x:c>
      <x:c r="N22" s="12" t="n">
        <x:v>1616.4621848729478</x:v>
      </x:c>
      <x:c r="O22" s="12" t="n">
        <x:v>1942</x:v>
      </x:c>
      <x:c r="P22" s="12" t="n">
        <x:v>2326</x:v>
      </x:c>
      <x:c r="Q22" s="8" t="n">
        <x:f>S22/'Summary'!$B$20*1000</x:f>
        <x:v>0.5425270530193084</x:v>
      </x:c>
      <x:c r="R22" s="8" t="n">
        <x:f>T22/'Summary'!$B$20*1000</x:f>
        <x:v>0.6498032571178739</x:v>
      </x:c>
      <x:c r="S22" s="12" t="n">
        <x:v>1942</x:v>
      </x:c>
      <x:c r="T22" s="12" t="n">
        <x:v>2326</x:v>
      </x:c>
    </x:row>
    <x:row r="23" ht="24" customHeight="1">
      <x:c r="A23" s="2" t="str">
        <x:v>Ring_UploadNames</x:v>
      </x:c>
      <x:c r="B23" s="8" t="n">
        <x:v>1</x:v>
      </x:c>
      <x:c r="C23" s="8" t="n">
        <x:f>K23/'Summary'!$B$20*1000</x:f>
        <x:v>4.018543927658257</x:v>
      </x:c>
      <x:c r="D23" s="8" t="n">
        <x:f>L23/'Summary'!$B$20*1000</x:f>
        <x:v>4.164775132030774</x:v>
      </x:c>
      <x:c r="E23" s="8" t="n">
        <x:f>M23/'Summary'!$B$20*1000</x:f>
        <x:v>10.713652154118721</x:v>
      </x:c>
      <x:c r="F23" s="8" t="n">
        <x:f>J23/'Summary'!$B$20*1000</x:f>
        <x:v>4.0012819806883</x:v>
      </x:c>
      <x:c r="G23" s="12" t="n">
        <x:v>14384.558823529474</x:v>
      </x:c>
      <x:c r="H23" s="12" t="n">
        <x:v>14907.999999985099</x:v>
      </x:c>
      <x:c r="I23" s="12" t="n">
        <x:v>38350.0000000149</x:v>
      </x:c>
      <x:c r="J23" s="12" t="n">
        <x:v>14322.7689075629</x:v>
      </x:c>
      <x:c r="K23" s="2" t="n">
        <x:v>14384.558823529474</x:v>
      </x:c>
      <x:c r="L23" s="2" t="n">
        <x:v>14907.999999985099</x:v>
      </x:c>
      <x:c r="M23" s="2" t="n">
        <x:v>38350.0000000149</x:v>
      </x:c>
      <x:c r="N23" s="12" t="n">
        <x:v>14322.7689075629</x:v>
      </x:c>
      <x:c r="O23" s="12" t="n">
        <x:v>14737</x:v>
      </x:c>
      <x:c r="P23" s="12" t="n">
        <x:v>38179.0000000149</x:v>
      </x:c>
      <x:c r="Q23" s="8" t="n">
        <x:f>S23/'Summary'!$B$20*1000</x:f>
        <x:v>4.117003697397295</x:v>
      </x:c>
      <x:c r="R23" s="8" t="n">
        <x:f>T23/'Summary'!$B$20*1000</x:f>
        <x:v>10.66588071948108</x:v>
      </x:c>
      <x:c r="S23" s="12" t="n">
        <x:v>14737</x:v>
      </x:c>
      <x:c r="T23" s="12" t="n">
        <x:v>38179.0000000149</x:v>
      </x:c>
    </x:row>
    <x:row r="24" ht="24" customHeight="1">
      <x:c r="A24" s="2" t="str">
        <x:v>hud_upload</x:v>
      </x:c>
      <x:c r="B24" s="8" t="n">
        <x:v>1</x:v>
      </x:c>
      <x:c r="C24" s="8" t="n">
        <x:f>K24/'Summary'!$B$20*1000</x:f>
        <x:v>0.5333044828205773</x:v>
      </x:c>
      <x:c r="D24" s="8" t="n">
        <x:f>L24/'Summary'!$B$20*1000</x:f>
        <x:v>2.987251172984276</x:v>
      </x:c>
      <x:c r="E24" s="8" t="n">
        <x:f>M24/'Summary'!$B$20*1000</x:f>
        <x:v>3.3568512199134526</x:v>
      </x:c>
      <x:c r="F24" s="8" t="n">
        <x:f>J24/'Summary'!$B$20*1000</x:f>
        <x:v>0.5298922374893346</x:v>
      </x:c>
      <x:c r="G24" s="12" t="n">
        <x:v>1908.9873949579833</x:v>
      </x:c>
      <x:c r="H24" s="12" t="n">
        <x:v>10693</x:v>
      </x:c>
      <x:c r="I24" s="12" t="n">
        <x:v>12015.999999985099</x:v>
      </x:c>
      <x:c r="J24" s="12" t="n">
        <x:v>1896.77310924376</x:v>
      </x:c>
      <x:c r="K24" s="2" t="n">
        <x:v>1908.9873949579833</x:v>
      </x:c>
      <x:c r="L24" s="2" t="n">
        <x:v>10693</x:v>
      </x:c>
      <x:c r="M24" s="2" t="n">
        <x:v>12015.999999985099</x:v>
      </x:c>
      <x:c r="N24" s="12" t="n">
        <x:v>1896.77310924376</x:v>
      </x:c>
      <x:c r="O24" s="12" t="n">
        <x:v>10693</x:v>
      </x:c>
      <x:c r="P24" s="12" t="n">
        <x:v>12015.999999985099</x:v>
      </x:c>
      <x:c r="Q24" s="8" t="n">
        <x:f>S24/'Summary'!$B$20*1000</x:f>
        <x:v>2.987251172984276</x:v>
      </x:c>
      <x:c r="R24" s="8" t="n">
        <x:f>T24/'Summary'!$B$20*1000</x:f>
        <x:v>3.3568512199134526</x:v>
      </x:c>
      <x:c r="S24" s="12" t="n">
        <x:v>10693</x:v>
      </x:c>
      <x:c r="T24" s="12" t="n">
        <x:v>12015.999999985099</x:v>
      </x:c>
    </x:row>
    <x:row r="25" ht="24" customHeight="1">
      <x:c r="A25" s="2" t="str">
        <x:v>GameAudio_Tick</x:v>
      </x:c>
      <x:c r="B25" s="8" t="n">
        <x:v>2.0126050420168067</x:v>
      </x:c>
      <x:c r="C25" s="8" t="n">
        <x:f>K25/'Summary'!$B$20*1000</x:f>
        <x:v>0.9803649637601973</x:v>
      </x:c>
      <x:c r="D25" s="8" t="n">
        <x:f>L25/'Summary'!$B$20*1000</x:f>
        <x:v>1.2093715821424231</x:v>
      </x:c>
      <x:c r="E25" s="8" t="n">
        <x:f>M25/'Summary'!$B$20*1000</x:f>
        <x:v>2.024000257015906</x:v>
      </x:c>
      <x:c r="F25" s="8" t="n">
        <x:f>J25/'Summary'!$B$20*1000</x:f>
        <x:v>0.9803649637601973</x:v>
      </x:c>
      <x:c r="G25" s="12" t="n">
        <x:v>1743.6409185810292</x:v>
      </x:c>
      <x:c r="H25" s="12" t="n">
        <x:v>4156</x:v>
      </x:c>
      <x:c r="I25" s="12" t="n">
        <x:v>7086</x:v>
      </x:c>
      <x:c r="J25" s="12" t="n">
        <x:v>3509.2605042029954</x:v>
      </x:c>
      <x:c r="K25" s="2" t="n">
        <x:v>3509.2605042029954</x:v>
      </x:c>
      <x:c r="L25" s="2" t="n">
        <x:v>4329</x:v>
      </x:c>
      <x:c r="M25" s="2" t="n">
        <x:v>7245</x:v>
      </x:c>
      <x:c r="N25" s="12" t="n">
        <x:v>1743.6409185810292</x:v>
      </x:c>
      <x:c r="O25" s="12" t="n">
        <x:v>4156</x:v>
      </x:c>
      <x:c r="P25" s="12" t="n">
        <x:v>7086</x:v>
      </x:c>
      <x:c r="Q25" s="8" t="n">
        <x:f>S25/'Summary'!$B$20*1000</x:f>
        <x:v>1.2093715821424231</x:v>
      </x:c>
      <x:c r="R25" s="8" t="n">
        <x:f>T25/'Summary'!$B$20*1000</x:f>
        <x:v>2.024000257015906</x:v>
      </x:c>
      <x:c r="S25" s="12" t="n">
        <x:v>4329</x:v>
      </x:c>
      <x:c r="T25" s="12" t="n">
        <x:v>7245</x:v>
      </x:c>
    </x:row>
    <x:row r="26" ht="24" customHeight="1">
      <x:c r="A26" s="2" t="str">
        <x:v>GameSession_PhaseSelect</x:v>
      </x:c>
      <x:c r="B26" s="8" t="n">
        <x:v>1</x:v>
      </x:c>
      <x:c r="C26" s="8" t="n">
        <x:f>K26/'Summary'!$B$20*1000</x:f>
        <x:v>0.18950345210210962</x:v>
      </x:c>
      <x:c r="D26" s="8" t="n">
        <x:f>L26/'Summary'!$B$20*1000</x:f>
        <x:v>0.7785905750591207</x:v>
      </x:c>
      <x:c r="E26" s="8" t="n">
        <x:f>M26/'Summary'!$B$20*1000</x:f>
        <x:v>0.8372572491755238</x:v>
      </x:c>
      <x:c r="F26" s="8" t="n">
        <x:f>J26/'Summary'!$B$20*1000</x:f>
        <x:v>0.1880984099069198</x:v>
      </x:c>
      <x:c r="G26" s="12" t="n">
        <x:v>678.3361344548459</x:v>
      </x:c>
      <x:c r="H26" s="12" t="n">
        <x:v>2787</x:v>
      </x:c>
      <x:c r="I26" s="12" t="n">
        <x:v>2997</x:v>
      </x:c>
      <x:c r="J26" s="12" t="n">
        <x:v>673.3067226902652</x:v>
      </x:c>
      <x:c r="K26" s="2" t="n">
        <x:v>678.3361344548459</x:v>
      </x:c>
      <x:c r="L26" s="2" t="n">
        <x:v>2787</x:v>
      </x:c>
      <x:c r="M26" s="2" t="n">
        <x:v>2997</x:v>
      </x:c>
      <x:c r="N26" s="12" t="n">
        <x:v>673.3067226902652</x:v>
      </x:c>
      <x:c r="O26" s="12" t="n">
        <x:v>2770.999999985099</x:v>
      </x:c>
      <x:c r="P26" s="12" t="n">
        <x:v>2830</x:v>
      </x:c>
      <x:c r="Q26" s="8" t="n">
        <x:f>S26/'Summary'!$B$20*1000</x:f>
        <x:v>0.7741207332175175</x:v>
      </x:c>
      <x:c r="R26" s="8" t="n">
        <x:f>T26/'Summary'!$B$20*1000</x:f>
        <x:v>0.7906032749972413</x:v>
      </x:c>
      <x:c r="S26" s="12" t="n">
        <x:v>2770.999999985099</x:v>
      </x:c>
      <x:c r="T26" s="12" t="n">
        <x:v>2830</x:v>
      </x:c>
    </x:row>
    <x:row r="27" ht="24" customHeight="1">
      <x:c r="A27" s="2" t="str">
        <x:v>Game_ReadInput</x:v>
      </x:c>
      <x:c r="B27" s="8" t="n">
        <x:v>1</x:v>
      </x:c>
      <x:c r="C27" s="8" t="n">
        <x:f>K27/'Summary'!$B$20*1000</x:f>
        <x:v>0.46353950130587296</x:v>
      </x:c>
      <x:c r="D27" s="8" t="n">
        <x:f>L27/'Summary'!$B$20*1000</x:f>
        <x:v>0.46653974178282437</x:v>
      </x:c>
      <x:c r="E27" s="8" t="n">
        <x:f>M27/'Summary'!$B$20*1000</x:f>
        <x:v>0.4665397417911501</x:v>
      </x:c>
      <x:c r="F27" s="8" t="n">
        <x:f>J27/'Summary'!$B$20*1000</x:f>
        <x:v>0.46353950130587296</x:v>
      </x:c>
      <x:c r="G27" s="12" t="n">
        <x:v>1659.260504201931</x:v>
      </x:c>
      <x:c r="H27" s="12" t="n">
        <x:v>1670</x:v>
      </x:c>
      <x:c r="I27" s="12" t="n">
        <x:v>1670.0000000298023</x:v>
      </x:c>
      <x:c r="J27" s="12" t="n">
        <x:v>1659.260504201931</x:v>
      </x:c>
      <x:c r="K27" s="2" t="n">
        <x:v>1659.260504201931</x:v>
      </x:c>
      <x:c r="L27" s="2" t="n">
        <x:v>1670</x:v>
      </x:c>
      <x:c r="M27" s="2" t="n">
        <x:v>1670.0000000298023</x:v>
      </x:c>
      <x:c r="N27" s="12" t="n">
        <x:v>1659.260504201931</x:v>
      </x:c>
      <x:c r="O27" s="12" t="n">
        <x:v>1670</x:v>
      </x:c>
      <x:c r="P27" s="12" t="n">
        <x:v>1670.0000000298023</x:v>
      </x:c>
      <x:c r="Q27" s="8" t="n">
        <x:f>S27/'Summary'!$B$20*1000</x:f>
        <x:v>0.46653974178282437</x:v>
      </x:c>
      <x:c r="R27" s="8" t="n">
        <x:f>T27/'Summary'!$B$20*1000</x:f>
        <x:v>0.4665397417911501</x:v>
      </x:c>
      <x:c r="S27" s="12" t="n">
        <x:v>1670</x:v>
      </x:c>
      <x:c r="T27" s="12" t="n">
        <x:v>1670.0000000298023</x:v>
      </x:c>
    </x:row>
    <x:row r="28" ht="24" customHeight="1">
      <x:c r="A28" s="2" t="str">
        <x:v>GameSession_InputTick</x:v>
      </x:c>
      <x:c r="B28" s="8" t="n">
        <x:v>2.0126050420168067</x:v>
      </x:c>
      <x:c r="C28" s="8" t="n">
        <x:f>K28/'Summary'!$B$20*1000</x:f>
        <x:v>0.04273112454027705</x:v>
      </x:c>
      <x:c r="D28" s="8" t="n">
        <x:f>L28/'Summary'!$B$20*1000</x:f>
        <x:v>0.042463497464007946</x:v>
      </x:c>
      <x:c r="E28" s="8" t="n">
        <x:f>M28/'Summary'!$B$20*1000</x:f>
        <x:v>0.08492699492385303</x:v>
      </x:c>
      <x:c r="F28" s="8" t="n">
        <x:f>J28/'Summary'!$B$20*1000</x:f>
        <x:v>0.04273112454027705</x:v>
      </x:c>
      <x:c r="G28" s="12" t="n">
        <x:v>75.9999999996267</x:v>
      </x:c>
      <x:c r="H28" s="12" t="n">
        <x:v>76.00000002980232</x:v>
      </x:c>
      <x:c r="I28" s="12" t="n">
        <x:v>76.00000002980232</x:v>
      </x:c>
      <x:c r="J28" s="12" t="n">
        <x:v>152.957983192526</x:v>
      </x:c>
      <x:c r="K28" s="2" t="n">
        <x:v>152.957983192526</x:v>
      </x:c>
      <x:c r="L28" s="2" t="n">
        <x:v>152.00000002980232</x:v>
      </x:c>
      <x:c r="M28" s="2" t="n">
        <x:v>304.0000000447035</x:v>
      </x:c>
      <x:c r="N28" s="12" t="n">
        <x:v>75.9999999996267</x:v>
      </x:c>
      <x:c r="O28" s="12" t="n">
        <x:v>76.00000002980232</x:v>
      </x:c>
      <x:c r="P28" s="12" t="n">
        <x:v>76.00000002980232</x:v>
      </x:c>
      <x:c r="Q28" s="8" t="n">
        <x:f>S28/'Summary'!$B$20*1000</x:f>
        <x:v>0.042463497464007946</x:v>
      </x:c>
      <x:c r="R28" s="8" t="n">
        <x:f>T28/'Summary'!$B$20*1000</x:f>
        <x:v>0.08492699492385303</x:v>
      </x:c>
      <x:c r="S28" s="12" t="n">
        <x:v>152.00000002980232</x:v>
      </x:c>
      <x:c r="T28" s="12" t="n">
        <x:v>304.0000000447035</x:v>
      </x:c>
    </x:row>
    <x:row r="29" ht="24" customHeight="1">
      <x:c r="A29" s="2" t="str">
        <x:v>GameSession_SharedSprite</x:v>
      </x:c>
      <x:c r="B29" s="8" t="n">
        <x:v>1.403361344537815</x:v>
      </x:c>
      <x:c r="C29" s="8" t="n">
        <x:f>K29/'Summary'!$B$20*1000</x:f>
        <x:v>0.1586242164879974</x:v>
      </x:c>
      <x:c r="D29" s="8" t="n">
        <x:f>L29/'Summary'!$B$20*1000</x:f>
        <x:v>0.46039370925634404</x:v>
      </x:c>
      <x:c r="E29" s="8" t="n">
        <x:f>M29/'Summary'!$B$20*1000</x:f>
        <x:v>0.516546097339187</x:v>
      </x:c>
      <x:c r="F29" s="8" t="n">
        <x:f>J29/'Summary'!$B$20*1000</x:f>
        <x:v>0.15842349617439383</x:v>
      </x:c>
      <x:c r="G29" s="12" t="n">
        <x:v>404.60179640727483</x:v>
      </x:c>
      <x:c r="H29" s="12" t="n">
        <x:v>412.00000001490116</x:v>
      </x:c>
      <x:c r="I29" s="12" t="n">
        <x:v>613</x:v>
      </x:c>
      <x:c r="J29" s="12" t="n">
        <x:v>567.0840336135706</x:v>
      </x:c>
      <x:c r="K29" s="2" t="n">
        <x:v>567.8025210085286</x:v>
      </x:c>
      <x:c r="L29" s="2" t="n">
        <x:v>1648</x:v>
      </x:c>
      <x:c r="M29" s="2" t="n">
        <x:v>1849</x:v>
      </x:c>
      <x:c r="N29" s="12" t="n">
        <x:v>404.08982035937066</x:v>
      </x:c>
      <x:c r="O29" s="12" t="n">
        <x:v>412.00000001490116</x:v>
      </x:c>
      <x:c r="P29" s="12" t="n">
        <x:v>442</x:v>
      </x:c>
      <x:c r="Q29" s="8" t="n">
        <x:f>S29/'Summary'!$B$20*1000</x:f>
        <x:v>0.46039370925634404</x:v>
      </x:c>
      <x:c r="R29" s="8" t="n">
        <x:f>T29/'Summary'!$B$20*1000</x:f>
        <x:v>0.46877466270154444</x:v>
      </x:c>
      <x:c r="S29" s="12" t="n">
        <x:v>1648</x:v>
      </x:c>
      <x:c r="T29" s="12" t="n">
        <x:v>1678</x:v>
      </x:c>
    </x:row>
    <x:row r="30" ht="24" customHeight="1">
      <x:c r="A30" s="2" t="str">
        <x:v>GameSession_FlagBlinkUpload</x:v>
      </x:c>
      <x:c r="B30" s="8" t="n">
        <x:v>0.20168067226890757</x:v>
      </x:c>
      <x:c r="C30" s="8" t="n">
        <x:f>K30/'Summary'!$B$20*1000</x:f>
        <x:v>0.02474141970830678</x:v>
      </x:c>
      <x:c r="D30" s="8" t="n">
        <x:f>L30/'Summary'!$B$20*1000</x:f>
        <x:v>0.12403811098896649</x:v>
      </x:c>
      <x:c r="E30" s="8" t="n">
        <x:f>M30/'Summary'!$B$20*1000</x:f>
        <x:v>0.12403811098896649</x:v>
      </x:c>
      <x:c r="F30" s="8" t="n">
        <x:f>J30/'Summary'!$B$20*1000</x:f>
        <x:v>0.02474141970830678</x:v>
      </x:c>
      <x:c r="G30" s="12" t="n">
        <x:v>439.1249999984478</x:v>
      </x:c>
      <x:c r="H30" s="12" t="n">
        <x:v>444</x:v>
      </x:c>
      <x:c r="I30" s="12" t="n">
        <x:v>444</x:v>
      </x:c>
      <x:c r="J30" s="12" t="n">
        <x:v>88.56302520977098</x:v>
      </x:c>
      <x:c r="K30" s="2" t="n">
        <x:v>88.56302520977098</x:v>
      </x:c>
      <x:c r="L30" s="2" t="n">
        <x:v>444</x:v>
      </x:c>
      <x:c r="M30" s="2" t="n">
        <x:v>444</x:v>
      </x:c>
      <x:c r="N30" s="12" t="n">
        <x:v>439.1249999984478</x:v>
      </x:c>
      <x:c r="O30" s="12" t="n">
        <x:v>444</x:v>
      </x:c>
      <x:c r="P30" s="12" t="n">
        <x:v>444</x:v>
      </x:c>
      <x:c r="Q30" s="8" t="n">
        <x:f>S30/'Summary'!$B$20*1000</x:f>
        <x:v>0.12403811098896649</x:v>
      </x:c>
      <x:c r="R30" s="8" t="n">
        <x:f>T30/'Summary'!$B$20*1000</x:f>
        <x:v>0.12403811098896649</x:v>
      </x:c>
      <x:c r="S30" s="12" t="n">
        <x:v>444</x:v>
      </x:c>
      <x:c r="T30" s="12" t="n">
        <x:v>444</x:v>
      </x:c>
    </x:row>
    <x:row r="31" ht="24" customHeight="1">
      <x:c r="A31" s="2" t="str">
        <x:v>GameSession_Boundaries</x:v>
      </x:c>
      <x:c r="B31" s="8" t="n">
        <x:v>1</x:v>
      </x:c>
      <x:c r="C31" s="8" t="n">
        <x:f>K31/'Summary'!$B$20*1000</x:f>
        <x:v>0.7137907802493986</x:v>
      </x:c>
      <x:c r="D31" s="8" t="n">
        <x:f>L31/'Summary'!$B$20*1000</x:f>
        <x:v>0.7654604146616399</x:v>
      </x:c>
      <x:c r="E31" s="8" t="n">
        <x:f>M31/'Summary'!$B$20*1000</x:f>
        <x:v>0.7654604146699657</x:v>
      </x:c>
      <x:c r="F31" s="8" t="n">
        <x:f>J31/'Summary'!$B$20*1000</x:f>
        <x:v>0.7099770942909138</x:v>
      </x:c>
      <x:c r="G31" s="12" t="n">
        <x:v>2555.0462184878334</x:v>
      </x:c>
      <x:c r="H31" s="12" t="n">
        <x:v>2740</x:v>
      </x:c>
      <x:c r="I31" s="12" t="n">
        <x:v>2740.0000000298023</x:v>
      </x:c>
      <x:c r="J31" s="12" t="n">
        <x:v>2541.394957983569</x:v>
      </x:c>
      <x:c r="K31" s="2" t="n">
        <x:v>2555.0462184878334</x:v>
      </x:c>
      <x:c r="L31" s="2" t="n">
        <x:v>2740</x:v>
      </x:c>
      <x:c r="M31" s="2" t="n">
        <x:v>2740.0000000298023</x:v>
      </x:c>
      <x:c r="N31" s="12" t="n">
        <x:v>2541.394957983569</x:v>
      </x:c>
      <x:c r="O31" s="12" t="n">
        <x:v>2569</x:v>
      </x:c>
      <x:c r="P31" s="12" t="n">
        <x:v>2569.0000000298023</x:v>
      </x:c>
      <x:c r="Q31" s="8" t="n">
        <x:f>S31/'Summary'!$B$20*1000</x:f>
        <x:v>0.7176889800239975</x:v>
      </x:c>
      <x:c r="R31" s="8" t="n">
        <x:f>T31/'Summary'!$B$20*1000</x:f>
        <x:v>0.7176889800323232</x:v>
      </x:c>
      <x:c r="S31" s="12" t="n">
        <x:v>2569</x:v>
      </x:c>
      <x:c r="T31" s="12" t="n">
        <x:v>2569.0000000298023</x:v>
      </x:c>
    </x:row>
    <x:row r="32" ht="24" customHeight="1">
      <x:c r="A32" s="2" t="str">
        <x:v>GameBoundary_Upload</x:v>
      </x:c>
      <x:c r="B32" s="8" t="n">
        <x:v>0.08823529411764706</x:v>
      </x:c>
      <x:c r="C32" s="8" t="n">
        <x:f>K32/'Summary'!$B$20*1000</x:f>
        <x:v>0.30348207135049615</x:v>
      </x:c>
      <x:c r="D32" s="8" t="n">
        <x:f>L32/'Summary'!$B$20*1000</x:f>
        <x:v>3.5459814026601424</x:v>
      </x:c>
      <x:c r="E32" s="8" t="n">
        <x:f>M32/'Summary'!$B$20*1000</x:f>
        <x:v>4.080406867353253</x:v>
      </x:c>
      <x:c r="F32" s="8" t="n">
        <x:f>J32/'Summary'!$B$20*1000</x:f>
        <x:v>0.30348207135049615</x:v>
      </x:c>
      <x:c r="G32" s="12" t="n">
        <x:v>12311.714285712867</x:v>
      </x:c>
      <x:c r="H32" s="12" t="n">
        <x:v>13021</x:v>
      </x:c>
      <x:c r="I32" s="12" t="n">
        <x:v>14606</x:v>
      </x:c>
      <x:c r="J32" s="12" t="n">
        <x:v>1086.3277310923118</x:v>
      </x:c>
      <x:c r="K32" s="2" t="n">
        <x:v>1086.3277310923118</x:v>
      </x:c>
      <x:c r="L32" s="2" t="n">
        <x:v>12692.999999985099</x:v>
      </x:c>
      <x:c r="M32" s="2" t="n">
        <x:v>14606</x:v>
      </x:c>
      <x:c r="N32" s="12" t="n">
        <x:v>12311.714285712867</x:v>
      </x:c>
      <x:c r="O32" s="12" t="n">
        <x:v>13021</x:v>
      </x:c>
      <x:c r="P32" s="12" t="n">
        <x:v>14606</x:v>
      </x:c>
      <x:c r="Q32" s="8" t="n">
        <x:f>S32/'Summary'!$B$20*1000</x:f>
        <x:v>3.5459814026601424</x:v>
      </x:c>
      <x:c r="R32" s="8" t="n">
        <x:f>T32/'Summary'!$B$20*1000</x:f>
        <x:v>4.080406867353253</x:v>
      </x:c>
      <x:c r="S32" s="12" t="n">
        <x:v>12692.999999985099</x:v>
      </x:c>
      <x:c r="T32" s="12" t="n">
        <x:v>14606</x:v>
      </x:c>
    </x:row>
    <x:row r="33" ht="24" customHeight="1">
      <x:c r="A33" s="2" t="str">
        <x:v>Session_SaveMotion</x:v>
      </x:c>
      <x:c r="B33" s="8" t="n">
        <x:v>1.004201680672269</x:v>
      </x:c>
      <x:c r="C33" s="8" t="n">
        <x:f>K33/'Summary'!$B$20*1000</x:f>
        <x:v>0.03380787410758592</x:v>
      </x:c>
      <x:c r="D33" s="8" t="n">
        <x:f>L33/'Summary'!$B$20*1000</x:f>
        <x:v>0.03911111608176491</x:v>
      </x:c>
      <x:c r="E33" s="8" t="n">
        <x:f>M33/'Summary'!$B$20*1000</x:f>
        <x:v>0.3419429005641778</x:v>
      </x:c>
      <x:c r="F33" s="8" t="n">
        <x:f>J33/'Summary'!$B$20*1000</x:f>
        <x:v>0.03380787410758592</x:v>
      </x:c>
      <x:c r="G33" s="12" t="n">
        <x:v>120.51046025079663</x:v>
      </x:c>
      <x:c r="H33" s="12" t="n">
        <x:v>140.00000001490116</x:v>
      </x:c>
      <x:c r="I33" s="12" t="n">
        <x:v>1224</x:v>
      </x:c>
      <x:c r="J33" s="12" t="n">
        <x:v>121.01680672243863</x:v>
      </x:c>
      <x:c r="K33" s="2" t="n">
        <x:v>121.01680672243863</x:v>
      </x:c>
      <x:c r="L33" s="2" t="n">
        <x:v>140.00000001490116</x:v>
      </x:c>
      <x:c r="M33" s="2" t="n">
        <x:v>1224</x:v>
      </x:c>
      <x:c r="N33" s="12" t="n">
        <x:v>120.51046025079663</x:v>
      </x:c>
      <x:c r="O33" s="12" t="n">
        <x:v>140.00000001490116</x:v>
      </x:c>
      <x:c r="P33" s="12" t="n">
        <x:v>1224</x:v>
      </x:c>
      <x:c r="Q33" s="8" t="n">
        <x:f>S33/'Summary'!$B$20*1000</x:f>
        <x:v>0.03911111608176491</x:v>
      </x:c>
      <x:c r="R33" s="8" t="n">
        <x:f>T33/'Summary'!$B$20*1000</x:f>
        <x:v>0.3419429005641778</x:v>
      </x:c>
      <x:c r="S33" s="12" t="n">
        <x:v>140.00000001490116</x:v>
      </x:c>
      <x:c r="T33" s="12" t="n">
        <x:v>1224</x:v>
      </x:c>
    </x:row>
    <x:row r="34" ht="24" customHeight="1">
      <x:c r="A34" s="2" t="str">
        <x:v>Session_RestoreMotion</x:v>
      </x:c>
      <x:c r="B34" s="8" t="n">
        <x:v>0</x:v>
      </x:c>
      <x:c r="C34" s="8" t="n">
        <x:f>K34/'Summary'!$B$20*1000</x:f>
        <x:v>0</x:v>
      </x:c>
      <x:c r="D34" s="8" t="n">
        <x:f>L34/'Summary'!$B$20*1000</x:f>
        <x:v>0</x:v>
      </x:c>
      <x:c r="E34" s="8" t="n">
        <x:f>M34/'Summary'!$B$20*1000</x:f>
        <x:v>0</x:v>
      </x:c>
      <x:c r="F34" s="8" t="n">
        <x:f>J34/'Summary'!$B$20*1000</x:f>
        <x:v>0</x:v>
      </x:c>
      <x:c r="G34" s="12"/>
      <x:c r="H34" s="12"/>
      <x:c r="I34" s="12"/>
      <x:c r="J34" s="12" t="n">
        <x:v>0</x:v>
      </x:c>
      <x:c r="K34" s="2" t="n">
        <x:v>0</x:v>
      </x:c>
      <x:c r="L34" s="2" t="n">
        <x:v>0</x:v>
      </x:c>
      <x:c r="M34" s="2" t="n">
        <x:v>0</x:v>
      </x:c>
      <x:c r="N34" s="13" t="str">
        <x:v>n.a.</x:v>
      </x:c>
      <x:c r="O34" s="13" t="str">
        <x:v>n.a.</x:v>
      </x:c>
      <x:c r="P34" s="13" t="str">
        <x:v>n.a.</x:v>
      </x:c>
      <x:c r="Q34" s="8" t="n">
        <x:f>S34/'Summary'!$B$20*1000</x:f>
        <x:v>0</x:v>
      </x:c>
      <x:c r="R34" s="8" t="n">
        <x:f>T34/'Summary'!$B$20*1000</x:f>
        <x:v>0</x:v>
      </x:c>
      <x:c r="S34" s="12" t="n">
        <x:v>0</x:v>
      </x:c>
      <x:c r="T34" s="12" t="n">
        <x:v>0</x:v>
      </x:c>
    </x:row>
    <x:row r="35" ht="24" customHeight="1">
      <x:c r="A35" s="2" t="str">
        <x:v>GameSession_ValidateMotion</x:v>
      </x:c>
      <x:c r="B35" s="8" t="n">
        <x:v>1.004201680672269</x:v>
      </x:c>
      <x:c r="C35" s="8" t="n">
        <x:f>K35/'Summary'!$B$20*1000</x:f>
        <x:v>0.011958704999853324</x:v>
      </x:c>
      <x:c r="D35" s="8" t="n">
        <x:f>L35/'Summary'!$B$20*1000</x:f>
        <x:v>0.008660318568366182</x:v>
      </x:c>
      <x:c r="E35" s="8" t="n">
        <x:f>M35/'Summary'!$B$20*1000</x:f>
        <x:v>0.2050539942925707</x:v>
      </x:c>
      <x:c r="F35" s="8" t="n">
        <x:f>J35/'Summary'!$B$20*1000</x:f>
        <x:v>0.011958704999853324</x:v>
      </x:c>
      <x:c r="G35" s="12" t="n">
        <x:v>42.62761506238742</x:v>
      </x:c>
      <x:c r="H35" s="12" t="n">
        <x:v>31.000000029802322</x:v>
      </x:c>
      <x:c r="I35" s="12" t="n">
        <x:v>734</x:v>
      </x:c>
      <x:c r="J35" s="12" t="n">
        <x:v>42.80672268869997</x:v>
      </x:c>
      <x:c r="K35" s="2" t="n">
        <x:v>42.80672268869997</x:v>
      </x:c>
      <x:c r="L35" s="2" t="n">
        <x:v>31.000000029802322</x:v>
      </x:c>
      <x:c r="M35" s="2" t="n">
        <x:v>734</x:v>
      </x:c>
      <x:c r="N35" s="12" t="n">
        <x:v>42.62761506238742</x:v>
      </x:c>
      <x:c r="O35" s="12" t="n">
        <x:v>31.000000029802322</x:v>
      </x:c>
      <x:c r="P35" s="12" t="n">
        <x:v>734</x:v>
      </x:c>
      <x:c r="Q35" s="8" t="n">
        <x:f>S35/'Summary'!$B$20*1000</x:f>
        <x:v>0.008660318568366182</x:v>
      </x:c>
      <x:c r="R35" s="8" t="n">
        <x:f>T35/'Summary'!$B$20*1000</x:f>
        <x:v>0.2050539942925707</x:v>
      </x:c>
      <x:c r="S35" s="12" t="n">
        <x:v>31.000000029802322</x:v>
      </x:c>
      <x:c r="T35" s="12" t="n">
        <x:v>734</x:v>
      </x:c>
    </x:row>
    <x:row r="36" ht="24" customHeight="1">
      <x:c r="A36" s="2" t="str">
        <x:v>GameSession_SpecialFrame</x:v>
      </x:c>
      <x:c r="B36" s="8" t="n">
        <x:v>1</x:v>
      </x:c>
      <x:c r="C36" s="8" t="n">
        <x:f>K36/'Summary'!$B$20*1000</x:f>
        <x:v>0.015264134258072177</x:v>
      </x:c>
      <x:c r="D36" s="8" t="n">
        <x:f>L36/'Summary'!$B$20*1000</x:f>
        <x:v>0.01843809758360383</x:v>
      </x:c>
      <x:c r="E36" s="8" t="n">
        <x:f>M36/'Summary'!$B$20*1000</x:f>
        <x:v>0.018438097587766693</x:v>
      </x:c>
      <x:c r="F36" s="8" t="n">
        <x:f>J36/'Summary'!$B$20*1000</x:f>
        <x:v>0.015264134258072177</x:v>
      </x:c>
      <x:c r="G36" s="12" t="n">
        <x:v>54.63865546281097</x:v>
      </x:c>
      <x:c r="H36" s="12" t="n">
        <x:v>66.00000001490116</x:v>
      </x:c>
      <x:c r="I36" s="12" t="n">
        <x:v>66.00000002980232</x:v>
      </x:c>
      <x:c r="J36" s="12" t="n">
        <x:v>54.63865546281097</x:v>
      </x:c>
      <x:c r="K36" s="2" t="n">
        <x:v>54.63865546281097</x:v>
      </x:c>
      <x:c r="L36" s="2" t="n">
        <x:v>66.00000001490116</x:v>
      </x:c>
      <x:c r="M36" s="2" t="n">
        <x:v>66.00000002980232</x:v>
      </x:c>
      <x:c r="N36" s="12" t="n">
        <x:v>54.63865546281097</x:v>
      </x:c>
      <x:c r="O36" s="12" t="n">
        <x:v>66.00000001490116</x:v>
      </x:c>
      <x:c r="P36" s="12" t="n">
        <x:v>66.00000002980232</x:v>
      </x:c>
      <x:c r="Q36" s="8" t="n">
        <x:f>S36/'Summary'!$B$20*1000</x:f>
        <x:v>0.01843809758360383</x:v>
      </x:c>
      <x:c r="R36" s="8" t="n">
        <x:f>T36/'Summary'!$B$20*1000</x:f>
        <x:v>0.018438097587766693</x:v>
      </x:c>
      <x:c r="S36" s="12" t="n">
        <x:v>66.00000001490116</x:v>
      </x:c>
      <x:c r="T36" s="12" t="n">
        <x:v>66.00000002980232</x:v>
      </x:c>
    </x:row>
    <x:row r="37" ht="24" customHeight="1">
      <x:c r="A37" s="2" t="str">
        <x:v>GameSession_EnemyRocks</x:v>
      </x:c>
      <x:c r="B37" s="8" t="n">
        <x:v>1.004201680672269</x:v>
      </x:c>
      <x:c r="C37" s="8" t="n">
        <x:f>K37/'Summary'!$B$20*1000</x:f>
        <x:v>0.2354261470085635</x:v>
      </x:c>
      <x:c r="D37" s="8" t="n">
        <x:f>L37/'Summary'!$B$20*1000</x:f>
        <x:v>0.3542349656129756</x:v>
      </x:c>
      <x:c r="E37" s="8" t="n">
        <x:f>M37/'Summary'!$B$20*1000</x:f>
        <x:v>0.35702861676553865</x:v>
      </x:c>
      <x:c r="F37" s="8" t="n">
        <x:f>J37/'Summary'!$B$20*1000</x:f>
        <x:v>0.12730010953507523</x:v>
      </x:c>
      <x:c r="G37" s="12" t="n">
        <x:v>839.1924686180622</x:v>
      </x:c>
      <x:c r="H37" s="12" t="n">
        <x:v>1267.9999999850988</x:v>
      </x:c>
      <x:c r="I37" s="12" t="n">
        <x:v>1278</x:v>
      </x:c>
      <x:c r="J37" s="12" t="n">
        <x:v>455.6764705857309</x:v>
      </x:c>
      <x:c r="K37" s="2" t="n">
        <x:v>842.7184873937684</x:v>
      </x:c>
      <x:c r="L37" s="2" t="n">
        <x:v>1267.9999999850988</x:v>
      </x:c>
      <x:c r="M37" s="2" t="n">
        <x:v>1278</x:v>
      </x:c>
      <x:c r="N37" s="12" t="n">
        <x:v>453.7698744744935</x:v>
      </x:c>
      <x:c r="O37" s="12" t="n">
        <x:v>539</x:v>
      </x:c>
      <x:c r="P37" s="12" t="n">
        <x:v>539.0000000298023</x:v>
      </x:c>
      <x:c r="Q37" s="8" t="n">
        <x:f>S37/'Summary'!$B$20*1000</x:f>
        <x:v>0.15057779689876785</x:v>
      </x:c>
      <x:c r="R37" s="8" t="n">
        <x:f>T37/'Summary'!$B$20*1000</x:f>
        <x:v>0.2441651103743356</x:v>
      </x:c>
      <x:c r="S37" s="12" t="n">
        <x:v>539</x:v>
      </x:c>
      <x:c r="T37" s="12" t="n">
        <x:v>874.0000000149012</x:v>
      </x:c>
    </x:row>
    <x:row r="38" ht="24" customHeight="1">
      <x:c r="A38" s="2" t="str">
        <x:v>GameSession_EnemyRockProbe</x:v>
      </x:c>
      <x:c r="B38" s="8" t="n">
        <x:v>1.5630252100840336</x:v>
      </x:c>
      <x:c r="C38" s="8" t="n">
        <x:f>K38/'Summary'!$B$20*1000</x:f>
        <x:v>0.10812603747348824</x:v>
      </x:c>
      <x:c r="D38" s="8" t="n">
        <x:f>L38/'Summary'!$B$20*1000</x:f>
        <x:v>0.23047621973884916</x:v>
      </x:c>
      <x:c r="E38" s="8" t="n">
        <x:f>M38/'Summary'!$B$20*1000</x:f>
        <x:v>0.2332698708997379</x:v>
      </x:c>
      <x:c r="F38" s="8" t="n">
        <x:f>J38/'Summary'!$B$20*1000</x:f>
        <x:v>0.10812603747348824</x:v>
      </x:c>
      <x:c r="G38" s="12" t="n">
        <x:v>247.6236559148197</x:v>
      </x:c>
      <x:c r="H38" s="12" t="n">
        <x:v>275</x:v>
      </x:c>
      <x:c r="I38" s="12" t="n">
        <x:v>285</x:v>
      </x:c>
      <x:c r="J38" s="12" t="n">
        <x:v>387.0420168080375</x:v>
      </x:c>
      <x:c r="K38" s="2" t="n">
        <x:v>387.0420168080375</x:v>
      </x:c>
      <x:c r="L38" s="2" t="n">
        <x:v>824.9999999850988</x:v>
      </x:c>
      <x:c r="M38" s="2" t="n">
        <x:v>835.0000000298023</x:v>
      </x:c>
      <x:c r="N38" s="12" t="n">
        <x:v>247.6236559148197</x:v>
      </x:c>
      <x:c r="O38" s="12" t="n">
        <x:v>275</x:v>
      </x:c>
      <x:c r="P38" s="12" t="n">
        <x:v>285</x:v>
      </x:c>
      <x:c r="Q38" s="8" t="n">
        <x:f>S38/'Summary'!$B$20*1000</x:f>
        <x:v>0.23047621973884916</x:v>
      </x:c>
      <x:c r="R38" s="8" t="n">
        <x:f>T38/'Summary'!$B$20*1000</x:f>
        <x:v>0.2332698708997379</x:v>
      </x:c>
      <x:c r="S38" s="12" t="n">
        <x:v>824.9999999850988</x:v>
      </x:c>
      <x:c r="T38" s="12" t="n">
        <x:v>835.0000000298023</x:v>
      </x:c>
    </x:row>
    <x:row r="39" ht="24" customHeight="1">
      <x:c r="A39" s="2" t="str">
        <x:v>GameSession_RadarColor</x:v>
      </x:c>
      <x:c r="B39" s="8" t="n">
        <x:v>4</x:v>
      </x:c>
      <x:c r="C39" s="8" t="n">
        <x:f>K39/'Summary'!$B$20*1000</x:f>
        <x:v>0.22573522941200136</x:v>
      </x:c>
      <x:c r="D39" s="8" t="n">
        <x:f>L39/'Summary'!$B$20*1000</x:f>
        <x:v>0.27685082880645445</x:v>
      </x:c>
      <x:c r="E39" s="8" t="n">
        <x:f>M39/'Summary'!$B$20*1000</x:f>
        <x:v>0.2821587659842518</x:v>
      </x:c>
      <x:c r="F39" s="8" t="n">
        <x:f>J39/'Summary'!$B$20*1000</x:f>
        <x:v>0.22272442470794826</x:v>
      </x:c>
      <x:c r="G39" s="12" t="n">
        <x:v>202.0073529413956</x:v>
      </x:c>
      <x:c r="H39" s="12" t="n">
        <x:v>208.00000001490116</x:v>
      </x:c>
      <x:c r="I39" s="12" t="n">
        <x:v>409</x:v>
      </x:c>
      <x:c r="J39" s="12" t="n">
        <x:v>797.2521008412127</x:v>
      </x:c>
      <x:c r="K39" s="2" t="n">
        <x:v>808.0294117655824</x:v>
      </x:c>
      <x:c r="L39" s="2" t="n">
        <x:v>991</x:v>
      </x:c>
      <x:c r="M39" s="2" t="n">
        <x:v>1009.9999999850988</x:v>
      </x:c>
      <x:c r="N39" s="12" t="n">
        <x:v>199.31302521030318</x:v>
      </x:c>
      <x:c r="O39" s="12" t="n">
        <x:v>208.00000001490116</x:v>
      </x:c>
      <x:c r="P39" s="12" t="n">
        <x:v>238</x:v>
      </x:c>
      <x:c r="Q39" s="8" t="n">
        <x:f>S39/'Summary'!$B$20*1000</x:f>
        <x:v>0.22907939416881196</x:v>
      </x:c>
      <x:c r="R39" s="8" t="n">
        <x:f>T39/'Summary'!$B$20*1000</x:f>
        <x:v>0.23438733134660938</x:v>
      </x:c>
      <x:c r="S39" s="12" t="n">
        <x:v>820</x:v>
      </x:c>
      <x:c r="T39" s="12" t="n">
        <x:v>838.9999999850988</x:v>
      </x:c>
    </x:row>
    <x:row r="40" ht="24" customHeight="1">
      <x:c r="A40" s="2" t="str">
        <x:v>GameSession_FlagNames</x:v>
      </x:c>
      <x:c r="B40" s="8" t="n">
        <x:v>1</x:v>
      </x:c>
      <x:c r="C40" s="8" t="n">
        <x:f>K40/'Summary'!$B$20*1000</x:f>
        <x:v>0.12116229362998693</x:v>
      </x:c>
      <x:c r="D40" s="8" t="n">
        <x:f>L40/'Summary'!$B$20*1000</x:f>
        <x:v>0.1251555714524894</x:v>
      </x:c>
      <x:c r="E40" s="8" t="n">
        <x:f>M40/'Summary'!$B$20*1000</x:f>
        <x:v>0.17879367349760933</x:v>
      </x:c>
      <x:c r="F40" s="8" t="n">
        <x:f>J40/'Summary'!$B$20*1000</x:f>
        <x:v>0.12076085300277986</x:v>
      </x:c>
      <x:c r="G40" s="12" t="n">
        <x:v>433.7058823517516</x:v>
      </x:c>
      <x:c r="H40" s="12" t="n">
        <x:v>448.00000001490116</x:v>
      </x:c>
      <x:c r="I40" s="12" t="n">
        <x:v>640</x:v>
      </x:c>
      <x:c r="J40" s="12" t="n">
        <x:v>432.26890756183565</x:v>
      </x:c>
      <x:c r="K40" s="2" t="n">
        <x:v>433.7058823517516</x:v>
      </x:c>
      <x:c r="L40" s="2" t="n">
        <x:v>448.00000001490116</x:v>
      </x:c>
      <x:c r="M40" s="2" t="n">
        <x:v>640</x:v>
      </x:c>
      <x:c r="N40" s="12" t="n">
        <x:v>432.26890756183565</x:v>
      </x:c>
      <x:c r="O40" s="12" t="n">
        <x:v>448.00000001490116</x:v>
      </x:c>
      <x:c r="P40" s="12" t="n">
        <x:v>469</x:v>
      </x:c>
      <x:c r="Q40" s="8" t="n">
        <x:f>S40/'Summary'!$B$20*1000</x:f>
        <x:v>0.1251555714524894</x:v>
      </x:c>
      <x:c r="R40" s="8" t="n">
        <x:f>T40/'Summary'!$B$20*1000</x:f>
        <x:v>0.13102223885996683</x:v>
      </x:c>
      <x:c r="S40" s="12" t="n">
        <x:v>448.00000001490116</x:v>
      </x:c>
      <x:c r="T40" s="12" t="n">
        <x:v>469</x:v>
      </x:c>
    </x:row>
    <x:row r="41" ht="24" customHeight="1">
      <x:c r="A41" s="2" t="str">
        <x:v>GameSession_FlagUpload</x:v>
      </x:c>
      <x:c r="B41" s="8" t="n">
        <x:v>1</x:v>
      </x:c>
      <x:c r="C41" s="8" t="n">
        <x:f>K41/'Summary'!$B$20*1000</x:f>
        <x:v>0.2980637966859242</x:v>
      </x:c>
      <x:c r="D41" s="8" t="n">
        <x:f>L41/'Summary'!$B$20*1000</x:f>
        <x:v>1.4119112903972708</x:v>
      </x:c>
      <x:c r="E41" s="8" t="n">
        <x:f>M41/'Summary'!$B$20*1000</x:f>
        <x:v>1.4119112904055966</x:v>
      </x:c>
      <x:c r="F41" s="8" t="n">
        <x:f>J41/'Summary'!$B$20*1000</x:f>
        <x:v>0.2729209363503754</x:v>
      </x:c>
      <x:c r="G41" s="12" t="n">
        <x:v>1066.9327731081166</x:v>
      </x:c>
      <x:c r="H41" s="12" t="n">
        <x:v>5053.999999985099</x:v>
      </x:c>
      <x:c r="I41" s="12" t="n">
        <x:v>5054.000000014901</x:v>
      </x:c>
      <x:c r="J41" s="12" t="n">
        <x:v>976.9327731083046</x:v>
      </x:c>
      <x:c r="K41" s="2" t="n">
        <x:v>1066.9327731081166</x:v>
      </x:c>
      <x:c r="L41" s="2" t="n">
        <x:v>5053.999999985099</x:v>
      </x:c>
      <x:c r="M41" s="2" t="n">
        <x:v>5054.000000014901</x:v>
      </x:c>
      <x:c r="N41" s="12" t="n">
        <x:v>976.9327731083046</x:v>
      </x:c>
      <x:c r="O41" s="12" t="n">
        <x:v>5053.999999985099</x:v>
      </x:c>
      <x:c r="P41" s="12" t="n">
        <x:v>5054.000000014901</x:v>
      </x:c>
      <x:c r="Q41" s="8" t="n">
        <x:f>S41/'Summary'!$B$20*1000</x:f>
        <x:v>1.4119112903972708</x:v>
      </x:c>
      <x:c r="R41" s="8" t="n">
        <x:f>T41/'Summary'!$B$20*1000</x:f>
        <x:v>1.4119112904055966</x:v>
      </x:c>
      <x:c r="S41" s="12" t="n">
        <x:v>5053.999999985099</x:v>
      </x:c>
      <x:c r="T41" s="12" t="n">
        <x:v>5054.000000014901</x:v>
      </x:c>
    </x:row>
    <x:row r="42" ht="24" customHeight="1">
      <x:c r="A42" s="2" t="str">
        <x:v>GameSession_LabelNames</x:v>
      </x:c>
      <x:c r="B42" s="8" t="n">
        <x:v>1</x:v>
      </x:c>
      <x:c r="C42" s="8" t="n">
        <x:f>K42/'Summary'!$B$20*1000</x:f>
        <x:v>0.009368121771186216</x:v>
      </x:c>
      <x:c r="D42" s="8" t="n">
        <x:f>L42/'Summary'!$B$20*1000</x:f>
        <x:v>0.008660318568366182</x:v>
      </x:c>
      <x:c r="E42" s="8" t="n">
        <x:f>M42/'Summary'!$B$20*1000</x:f>
        <x:v>0.06481270665120911</x:v>
      </x:c>
      <x:c r="F42" s="8" t="n">
        <x:f>J42/'Summary'!$B$20*1000</x:f>
        <x:v>0.008765960830375596</x:v>
      </x:c>
      <x:c r="G42" s="12" t="n">
        <x:v>33.533613445440764</x:v>
      </x:c>
      <x:c r="H42" s="12" t="n">
        <x:v>31.000000029802322</x:v>
      </x:c>
      <x:c r="I42" s="12" t="n">
        <x:v>232.00000002980232</x:v>
      </x:c>
      <x:c r="J42" s="12" t="n">
        <x:v>31.378151260566813</x:v>
      </x:c>
      <x:c r="K42" s="2" t="n">
        <x:v>33.533613445440764</x:v>
      </x:c>
      <x:c r="L42" s="2" t="n">
        <x:v>31.000000029802322</x:v>
      </x:c>
      <x:c r="M42" s="2" t="n">
        <x:v>232.00000002980232</x:v>
      </x:c>
      <x:c r="N42" s="12" t="n">
        <x:v>31.378151260566813</x:v>
      </x:c>
      <x:c r="O42" s="12" t="n">
        <x:v>31.000000029802322</x:v>
      </x:c>
      <x:c r="P42" s="12" t="n">
        <x:v>61.00000002980232</x:v>
      </x:c>
      <x:c r="Q42" s="8" t="n">
        <x:f>S42/'Summary'!$B$20*1000</x:f>
        <x:v>0.008660318568366182</x:v>
      </x:c>
      <x:c r="R42" s="8" t="n">
        <x:f>T42/'Summary'!$B$20*1000</x:f>
        <x:v>0.017041272013566616</x:v>
      </x:c>
      <x:c r="S42" s="12" t="n">
        <x:v>31.000000029802322</x:v>
      </x:c>
      <x:c r="T42" s="12" t="n">
        <x:v>61.00000002980232</x:v>
      </x:c>
    </x:row>
    <x:row r="43" ht="24" customHeight="1">
      <x:c r="A43" s="2" t="str">
        <x:v>GameSession_LabelUpload</x:v>
      </x:c>
      <x:c r="B43" s="8" t="n">
        <x:v>1</x:v>
      </x:c>
      <x:c r="C43" s="8" t="n">
        <x:f>K43/'Summary'!$B$20*1000</x:f>
        <x:v>0.008660318560232853</x:v>
      </x:c>
      <x:c r="D43" s="8" t="n">
        <x:f>L43/'Summary'!$B$20*1000</x:f>
        <x:v>0.008660318568366182</x:v>
      </x:c>
      <x:c r="E43" s="8" t="n">
        <x:f>M43/'Summary'!$B$20*1000</x:f>
        <x:v>0.008660318568366182</x:v>
      </x:c>
      <x:c r="F43" s="8" t="n">
        <x:f>J43/'Summary'!$B$20*1000</x:f>
        <x:v>0.008660318560232853</x:v>
      </x:c>
      <x:c r="G43" s="12" t="n">
        <x:v>31.000000000688708</x:v>
      </x:c>
      <x:c r="H43" s="12" t="n">
        <x:v>31.000000029802322</x:v>
      </x:c>
      <x:c r="I43" s="12" t="n">
        <x:v>31.000000029802322</x:v>
      </x:c>
      <x:c r="J43" s="12" t="n">
        <x:v>31.000000000688708</x:v>
      </x:c>
      <x:c r="K43" s="2" t="n">
        <x:v>31.000000000688708</x:v>
      </x:c>
      <x:c r="L43" s="2" t="n">
        <x:v>31.000000029802322</x:v>
      </x:c>
      <x:c r="M43" s="2" t="n">
        <x:v>31.000000029802322</x:v>
      </x:c>
      <x:c r="N43" s="12" t="n">
        <x:v>31.000000000688708</x:v>
      </x:c>
      <x:c r="O43" s="12" t="n">
        <x:v>31.000000029802322</x:v>
      </x:c>
      <x:c r="P43" s="12" t="n">
        <x:v>31.000000029802322</x:v>
      </x:c>
      <x:c r="Q43" s="8" t="n">
        <x:f>S43/'Summary'!$B$20*1000</x:f>
        <x:v>0.008660318568366182</x:v>
      </x:c>
      <x:c r="R43" s="8" t="n">
        <x:f>T43/'Summary'!$B$20*1000</x:f>
        <x:v>0.008660318568366182</x:v>
      </x:c>
      <x:c r="S43" s="12" t="n">
        <x:v>31.000000029802322</x:v>
      </x:c>
      <x:c r="T43" s="12" t="n">
        <x:v>31.000000029802322</x:v>
      </x:c>
    </x:row>
    <x:row r="44" ht="24" customHeight="1">
      <x:c r="A44" s="2" t="str">
        <x:v>GameSession_PopupFrame</x:v>
      </x:c>
      <x:c r="B44" s="8" t="n">
        <x:v>1</x:v>
      </x:c>
      <x:c r="C44" s="8" t="n">
        <x:f>K44/'Summary'!$B$20*1000</x:f>
        <x:v>0.024584130105781355</x:v>
      </x:c>
      <x:c r="D44" s="8" t="n">
        <x:f>L44/'Summary'!$B$20*1000</x:f>
        <x:v>0.024584130114247014</x:v>
      </x:c>
      <x:c r="E44" s="8" t="n">
        <x:f>M44/'Summary'!$B$20*1000</x:f>
        <x:v>0.024584130114247014</x:v>
      </x:c>
      <x:c r="F44" s="8" t="n">
        <x:f>J44/'Summary'!$B$20*1000</x:f>
        <x:v>0.024584130105781355</x:v>
      </x:c>
      <x:c r="G44" s="12" t="n">
        <x:v>87.99999999949912</x:v>
      </x:c>
      <x:c r="H44" s="12" t="n">
        <x:v>88.00000002980232</x:v>
      </x:c>
      <x:c r="I44" s="12" t="n">
        <x:v>88.00000002980232</x:v>
      </x:c>
      <x:c r="J44" s="12" t="n">
        <x:v>87.99999999949912</x:v>
      </x:c>
      <x:c r="K44" s="2" t="n">
        <x:v>87.99999999949912</x:v>
      </x:c>
      <x:c r="L44" s="2" t="n">
        <x:v>88.00000002980232</x:v>
      </x:c>
      <x:c r="M44" s="2" t="n">
        <x:v>88.00000002980232</x:v>
      </x:c>
      <x:c r="N44" s="12" t="n">
        <x:v>87.99999999949912</x:v>
      </x:c>
      <x:c r="O44" s="12" t="n">
        <x:v>88.00000002980232</x:v>
      </x:c>
      <x:c r="P44" s="12" t="n">
        <x:v>88.00000002980232</x:v>
      </x:c>
      <x:c r="Q44" s="8" t="n">
        <x:f>S44/'Summary'!$B$20*1000</x:f>
        <x:v>0.024584130114247014</x:v>
      </x:c>
      <x:c r="R44" s="8" t="n">
        <x:f>T44/'Summary'!$B$20*1000</x:f>
        <x:v>0.024584130114247014</x:v>
      </x:c>
      <x:c r="S44" s="12" t="n">
        <x:v>88.00000002980232</x:v>
      </x:c>
      <x:c r="T44" s="12" t="n">
        <x:v>88.00000002980232</x:v>
      </x:c>
    </x:row>
    <x:row r="45" ht="24" customHeight="1">
      <x:c r="A45" s="2" t="str">
        <x:v>GameSession_PopupOverlay</x:v>
      </x:c>
      <x:c r="B45" s="8" t="n">
        <x:v>0.5042016806722689</x:v>
      </x:c>
      <x:c r="C45" s="8" t="n">
        <x:f>K45/'Summary'!$B$20*1000</x:f>
        <x:v>0.004366547173129639</x:v>
      </x:c>
      <x:c r="D45" s="8" t="n">
        <x:f>L45/'Summary'!$B$20*1000</x:f>
        <x:v>0.008660318564203316</x:v>
      </x:c>
      <x:c r="E45" s="8" t="n">
        <x:f>M45/'Summary'!$B$20*1000</x:f>
        <x:v>0.008660318568366182</x:v>
      </x:c>
      <x:c r="F45" s="8" t="n">
        <x:f>J45/'Summary'!$B$20*1000</x:f>
        <x:v>0.004366547173129639</x:v>
      </x:c>
      <x:c r="G45" s="12" t="n">
        <x:v>31</x:v>
      </x:c>
      <x:c r="H45" s="12" t="n">
        <x:v>31.000000029802322</x:v>
      </x:c>
      <x:c r="I45" s="12" t="n">
        <x:v>31.000000029802322</x:v>
      </x:c>
      <x:c r="J45" s="12" t="n">
        <x:v>15.630252100840336</x:v>
      </x:c>
      <x:c r="K45" s="2" t="n">
        <x:v>15.630252100840336</x:v>
      </x:c>
      <x:c r="L45" s="2" t="n">
        <x:v>31.00000001490116</x:v>
      </x:c>
      <x:c r="M45" s="2" t="n">
        <x:v>31.000000029802322</x:v>
      </x:c>
      <x:c r="N45" s="12" t="n">
        <x:v>31</x:v>
      </x:c>
      <x:c r="O45" s="12" t="n">
        <x:v>31.000000029802322</x:v>
      </x:c>
      <x:c r="P45" s="12" t="n">
        <x:v>31.000000029802322</x:v>
      </x:c>
      <x:c r="Q45" s="8" t="n">
        <x:f>S45/'Summary'!$B$20*1000</x:f>
        <x:v>0.008660318564203316</x:v>
      </x:c>
      <x:c r="R45" s="8" t="n">
        <x:f>T45/'Summary'!$B$20*1000</x:f>
        <x:v>0.008660318568366182</x:v>
      </x:c>
      <x:c r="S45" s="12" t="n">
        <x:v>31.00000001490116</x:v>
      </x:c>
      <x:c r="T45" s="12" t="n">
        <x:v>31.000000029802322</x:v>
      </x:c>
    </x:row>
    <x:row r="46" ht="24" customHeight="1">
      <x:c r="A46" s="2" t="str">
        <x:v>GameSession_PopupUpload</x:v>
      </x:c>
      <x:c r="B46" s="8" t="n">
        <x:v>1</x:v>
      </x:c>
      <x:c r="C46" s="8" t="n">
        <x:f>K46/'Summary'!$B$20*1000</x:f>
        <x:v>0.00866031856032031</x:v>
      </x:c>
      <x:c r="D46" s="8" t="n">
        <x:f>L46/'Summary'!$B$20*1000</x:f>
        <x:v>0.008660318568366182</x:v>
      </x:c>
      <x:c r="E46" s="8" t="n">
        <x:f>M46/'Summary'!$B$20*1000</x:f>
        <x:v>0.008660318568366182</x:v>
      </x:c>
      <x:c r="F46" s="8" t="n">
        <x:f>J46/'Summary'!$B$20*1000</x:f>
        <x:v>0.00866031856032031</x:v>
      </x:c>
      <x:c r="G46" s="12" t="n">
        <x:v>31.00000000100176</x:v>
      </x:c>
      <x:c r="H46" s="12" t="n">
        <x:v>31.000000029802322</x:v>
      </x:c>
      <x:c r="I46" s="12" t="n">
        <x:v>31.000000029802322</x:v>
      </x:c>
      <x:c r="J46" s="12" t="n">
        <x:v>31.00000000100176</x:v>
      </x:c>
      <x:c r="K46" s="2" t="n">
        <x:v>31.00000000100176</x:v>
      </x:c>
      <x:c r="L46" s="2" t="n">
        <x:v>31.000000029802322</x:v>
      </x:c>
      <x:c r="M46" s="2" t="n">
        <x:v>31.000000029802322</x:v>
      </x:c>
      <x:c r="N46" s="12" t="n">
        <x:v>31.00000000100176</x:v>
      </x:c>
      <x:c r="O46" s="12" t="n">
        <x:v>31.000000029802322</x:v>
      </x:c>
      <x:c r="P46" s="12" t="n">
        <x:v>31.000000029802322</x:v>
      </x:c>
      <x:c r="Q46" s="8" t="n">
        <x:f>S46/'Summary'!$B$20*1000</x:f>
        <x:v>0.008660318568366182</x:v>
      </x:c>
      <x:c r="R46" s="8" t="n">
        <x:f>T46/'Summary'!$B$20*1000</x:f>
        <x:v>0.008660318568366182</x:v>
      </x:c>
      <x:c r="S46" s="12" t="n">
        <x:v>31.000000029802322</x:v>
      </x:c>
      <x:c r="T46" s="12" t="n">
        <x:v>31.000000029802322</x:v>
      </x:c>
    </x:row>
    <x:row r="47" ht="24" customHeight="1">
      <x:c r="A47" s="2" t="str">
        <x:v>GameSession_AfterFrame</x:v>
      </x:c>
      <x:c r="B47" s="8" t="n">
        <x:v>1</x:v>
      </x:c>
      <x:c r="C47" s="8" t="n">
        <x:f>K47/'Summary'!$B$20*1000</x:f>
        <x:v>0.056889536368797074</x:v>
      </x:c>
      <x:c r="D47" s="8" t="n">
        <x:f>L47/'Summary'!$B$20*1000</x:f>
        <x:v>0.06006349969060314</x:v>
      </x:c>
      <x:c r="E47" s="8" t="n">
        <x:f>M47/'Summary'!$B$20*1000</x:f>
        <x:v>0.060063499698928866</x:v>
      </x:c>
      <x:c r="F47" s="8" t="n">
        <x:f>J47/'Summary'!$B$20*1000</x:f>
        <x:v>0.017041272004943542</x:v>
      </x:c>
      <x:c r="G47" s="12" t="n">
        <x:v>203.63865546124572</x:v>
      </x:c>
      <x:c r="H47" s="12" t="n">
        <x:v>215</x:v>
      </x:c>
      <x:c r="I47" s="12" t="n">
        <x:v>215.00000002980232</x:v>
      </x:c>
      <x:c r="J47" s="12" t="n">
        <x:v>60.99999999893563</x:v>
      </x:c>
      <x:c r="K47" s="2" t="n">
        <x:v>203.63865546124572</x:v>
      </x:c>
      <x:c r="L47" s="2" t="n">
        <x:v>215</x:v>
      </x:c>
      <x:c r="M47" s="2" t="n">
        <x:v>215.00000002980232</x:v>
      </x:c>
      <x:c r="N47" s="12" t="n">
        <x:v>60.99999999893563</x:v>
      </x:c>
      <x:c r="O47" s="12" t="n">
        <x:v>61.00000002980232</x:v>
      </x:c>
      <x:c r="P47" s="12" t="n">
        <x:v>61.00000002980232</x:v>
      </x:c>
      <x:c r="Q47" s="8" t="n">
        <x:f>S47/'Summary'!$B$20*1000</x:f>
        <x:v>0.017041272013566616</x:v>
      </x:c>
      <x:c r="R47" s="8" t="n">
        <x:f>T47/'Summary'!$B$20*1000</x:f>
        <x:v>0.017041272013566616</x:v>
      </x:c>
      <x:c r="S47" s="12" t="n">
        <x:v>61.00000002980232</x:v>
      </x:c>
      <x:c r="T47" s="12" t="n">
        <x:v>61.00000002980232</x:v>
      </x:c>
    </x:row>
    <x:row r="48" ht="24" customHeight="1">
      <x:c r="A48" s="2" t="str">
        <x:v>clock_irq</x:v>
      </x:c>
      <x:c r="B48" s="8" t="n">
        <x:v>2.004201680672269</x:v>
      </x:c>
      <x:c r="C48" s="8" t="n">
        <x:f>K48/'Summary'!$B$20*1000</x:f>
        <x:v>0.09574358958901097</x:v>
      </x:c>
      <x:c r="D48" s="8" t="n">
        <x:f>L48/'Summary'!$B$20*1000</x:f>
        <x:v>0.0955428692836107</x:v>
      </x:c>
      <x:c r="E48" s="8" t="n">
        <x:f>M48/'Summary'!$B$20*1000</x:f>
        <x:v>0.1433143039129275</x:v>
      </x:c>
      <x:c r="F48" s="8" t="n">
        <x:f>J48/'Summary'!$B$20*1000</x:f>
        <x:v>0.09574358958901097</x:v>
      </x:c>
      <x:c r="G48" s="12" t="n">
        <x:v>171.00000000021868</x:v>
      </x:c>
      <x:c r="H48" s="12" t="n">
        <x:v>171</x:v>
      </x:c>
      <x:c r="I48" s="12" t="n">
        <x:v>171.00000002980232</x:v>
      </x:c>
      <x:c r="J48" s="12" t="n">
        <x:v>342.71848739539627</x:v>
      </x:c>
      <x:c r="K48" s="2" t="n">
        <x:v>342.71848739539627</x:v>
      </x:c>
      <x:c r="L48" s="2" t="n">
        <x:v>342.0000000298023</x:v>
      </x:c>
      <x:c r="M48" s="2" t="n">
        <x:v>513</x:v>
      </x:c>
      <x:c r="N48" s="12" t="n">
        <x:v>171.00000000021868</x:v>
      </x:c>
      <x:c r="O48" s="12" t="n">
        <x:v>171</x:v>
      </x:c>
      <x:c r="P48" s="12" t="n">
        <x:v>171.00000002980232</x:v>
      </x:c>
      <x:c r="Q48" s="8" t="n">
        <x:f>S48/'Summary'!$B$20*1000</x:f>
        <x:v>0.0955428692836107</x:v>
      </x:c>
      <x:c r="R48" s="8" t="n">
        <x:f>T48/'Summary'!$B$20*1000</x:f>
        <x:v>0.1433143039129275</x:v>
      </x:c>
      <x:c r="S48" s="12" t="n">
        <x:v>342.0000000298023</x:v>
      </x:c>
      <x:c r="T48" s="12" t="n">
        <x:v>513</x:v>
      </x:c>
    </x:row>
    <x:row r="49" ht="24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</x:row>
    <x:row r="50" ht="24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</x:row>
    <x:row r="51" ht="24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</x:row>
    <x:row r="52" ht="24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9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6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24" customHeight="1">
      <x:c r="A2" s="3" t="str">
        <x:v>Logic and publication within the raster</x:v>
      </x:c>
      <x:c r="B2" s="2"/>
      <x:c r="C2" s="2"/>
      <x:c r="D2" s="2"/>
      <x:c r="E2" s="2"/>
      <x:c r="F2" s="2"/>
      <x:c r="G2" s="2"/>
      <x:c r="H2" s="2"/>
    </x:row>
    <x:row r="3" ht="24" customHeight="1">
      <x:c r="A3" s="2" t="str">
        <x:v>Physical line0 = VSYNC;228 CPU cycles/line. Foreground routines have variable placement.</x:v>
      </x:c>
      <x:c r="B3" s="2"/>
      <x:c r="C3" s="2"/>
      <x:c r="D3" s="2"/>
      <x:c r="E3" s="2"/>
      <x:c r="F3" s="2"/>
      <x:c r="G3" s="2"/>
      <x:c r="H3" s="2"/>
    </x:row>
    <x:row r="4" ht="24" customHeight="1">
      <x:c r="A4" s="2"/>
      <x:c r="B4" s="2"/>
      <x:c r="C4" s="2"/>
      <x:c r="D4" s="2"/>
      <x:c r="E4" s="2"/>
      <x:c r="F4" s="2"/>
      <x:c r="G4" s="2"/>
      <x:c r="H4" s="2"/>
    </x:row>
    <x:row r="5" ht="36" customHeight="1">
      <x:c r="A5" s="7" t="str">
        <x:v>Routine / hook</x:v>
      </x:c>
      <x:c r="B5" s="7" t="str">
        <x:v>Start line min..max</x:v>
      </x:c>
      <x:c r="C5" s="7" t="str">
        <x:v>Start cycle min..max</x:v>
      </x:c>
      <x:c r="D5" s="7" t="str">
        <x:v>Mean in VBlank cycles/call</x:v>
      </x:c>
      <x:c r="E5" s="7" t="str">
        <x:v>Mean outside cycles/call</x:v>
      </x:c>
      <x:c r="F5" s="7" t="str">
        <x:v>Max in VBlank cycles/call</x:v>
      </x:c>
      <x:c r="G5" s="7" t="str">
        <x:v>Wholly in VBlank calls</x:v>
      </x:c>
      <x:c r="H5" s="7" t="str">
        <x:v>Wholly outside calls</x:v>
      </x:c>
    </x:row>
    <x:row r="6" ht="24" customHeight="1">
      <x:c r="A6" s="2" t="str">
        <x:v>Game_Prepare</x:v>
      </x:c>
      <x:c r="B6" s="2" t="str">
        <x:v>1..256</x:v>
      </x:c>
      <x:c r="C6" s="2" t="str">
        <x:v>86.000..175.000</x:v>
      </x:c>
      <x:c r="D6" s="12" t="n">
        <x:v>7185.670868347339</x:v>
      </x:c>
      <x:c r="E6" s="12" t="n">
        <x:v>30466.581232492936</x:v>
      </x:c>
      <x:c r="F6" s="12" t="n">
        <x:v>15868</x:v>
      </x:c>
      <x:c r="G6" s="2" t="n">
        <x:v>0</x:v>
      </x:c>
      <x:c r="H6" s="2" t="n">
        <x:v>0</x:v>
      </x:c>
    </x:row>
    <x:row r="7" ht="24" customHeight="1">
      <x:c r="A7" s="2" t="str">
        <x:v>Game_Frame</x:v>
      </x:c>
      <x:c r="B7" s="2" t="str">
        <x:v>1..257</x:v>
      </x:c>
      <x:c r="C7" s="2" t="str">
        <x:v>17.000..205.000</x:v>
      </x:c>
      <x:c r="D7" s="12" t="n">
        <x:v>6781.557422969187</x:v>
      </x:c>
      <x:c r="E7" s="12" t="n">
        <x:v>18664.194677872587</x:v>
      </x:c>
      <x:c r="F7" s="12" t="n">
        <x:v>8224.666666666666</x:v>
      </x:c>
      <x:c r="G7" s="2" t="n">
        <x:v>0</x:v>
      </x:c>
      <x:c r="H7" s="2" t="n">
        <x:v>0</x:v>
      </x:c>
    </x:row>
    <x:row r="8" ht="24" customHeight="1">
      <x:c r="A8" s="2" t="str">
        <x:v>Game_LogicTick</x:v>
      </x:c>
      <x:c r="B8" s="2" t="str">
        <x:v>13..151</x:v>
      </x:c>
      <x:c r="C8" s="2" t="str">
        <x:v>0.000..227.000</x:v>
      </x:c>
      <x:c r="D8" s="12" t="n">
        <x:v>568.6805845511482</x:v>
      </x:c>
      <x:c r="E8" s="12" t="n">
        <x:v>8175.5741127342735</x:v>
      </x:c>
      <x:c r="F8" s="12" t="n">
        <x:v>4084.6666666666665</x:v>
      </x:c>
      <x:c r="G8" s="2" t="n">
        <x:v>0</x:v>
      </x:c>
      <x:c r="H8" s="2" t="n">
        <x:v>251</x:v>
      </x:c>
    </x:row>
    <x:row r="9" ht="24" customHeight="1">
      <x:c r="A9" s="2" t="str">
        <x:v>Game_Position</x:v>
      </x:c>
      <x:c r="B9" s="2" t="str">
        <x:v>87..211</x:v>
      </x:c>
      <x:c r="C9" s="2" t="str">
        <x:v>1.000..227.000</x:v>
      </x:c>
      <x:c r="D9" s="12" t="n">
        <x:v>0</x:v>
      </x:c>
      <x:c r="E9" s="12" t="n">
        <x:v>899.9999999999374</x:v>
      </x:c>
      <x:c r="F9" s="12" t="n">
        <x:v>0</x:v>
      </x:c>
      <x:c r="G9" s="2" t="n">
        <x:v>0</x:v>
      </x:c>
      <x:c r="H9" s="2" t="n">
        <x:v>238</x:v>
      </x:c>
    </x:row>
    <x:row r="10" ht="24" customHeight="1">
      <x:c r="A10" s="2" t="str">
        <x:v>Game_Actors</x:v>
      </x:c>
      <x:c r="B10" s="2" t="str">
        <x:v>92..216</x:v>
      </x:c>
      <x:c r="C10" s="2" t="str">
        <x:v>1.000..227.000</x:v>
      </x:c>
      <x:c r="D10" s="12" t="n">
        <x:v>0</x:v>
      </x:c>
      <x:c r="E10" s="12" t="n">
        <x:v>3984.999999999061</x:v>
      </x:c>
      <x:c r="F10" s="12" t="n">
        <x:v>0</x:v>
      </x:c>
      <x:c r="G10" s="2" t="n">
        <x:v>0</x:v>
      </x:c>
      <x:c r="H10" s="2" t="n">
        <x:v>238</x:v>
      </x:c>
    </x:row>
    <x:row r="11" ht="24" customHeight="1">
      <x:c r="A11" s="2" t="str">
        <x:v>GameSprites_Prepare</x:v>
      </x:c>
      <x:c r="B11" s="2" t="str">
        <x:v>109..233</x:v>
      </x:c>
      <x:c r="C11" s="2" t="str">
        <x:v>0.000..226.000</x:v>
      </x:c>
      <x:c r="D11" s="12" t="n">
        <x:v>212.19747899159663</x:v>
      </x:c>
      <x:c r="E11" s="12" t="n">
        <x:v>5663.285714286466</x:v>
      </x:c>
      <x:c r="F11" s="12" t="n">
        <x:v>7049.333333333333</x:v>
      </x:c>
      <x:c r="G11" s="2" t="n">
        <x:v>0</x:v>
      </x:c>
      <x:c r="H11" s="2" t="n">
        <x:v>229</x:v>
      </x:c>
    </x:row>
    <x:row r="12" ht="24" customHeight="1">
      <x:c r="A12" s="2" t="str">
        <x:v>GameSprites_Commit</x:v>
      </x:c>
      <x:c r="B12" s="2" t="str">
        <x:v>4..254</x:v>
      </x:c>
      <x:c r="C12" s="2" t="str">
        <x:v>119.000..208.000</x:v>
      </x:c>
      <x:c r="D12" s="12" t="n">
        <x:v>1966.9327731092437</x:v>
      </x:c>
      <x:c r="E12" s="12" t="n">
        <x:v>3.0052762071625526e-9</x:v>
      </x:c>
      <x:c r="F12" s="12" t="n">
        <x:v>3847</x:v>
      </x:c>
      <x:c r="G12" s="2" t="n">
        <x:v>238</x:v>
      </x:c>
      <x:c r="H12" s="2" t="n">
        <x:v>0</x:v>
      </x:c>
    </x:row>
    <x:row r="13" ht="24" customHeight="1">
      <x:c r="A13" s="2" t="str">
        <x:v>GameHUD_Prepare</x:v>
      </x:c>
      <x:c r="B13" s="2" t="str">
        <x:v>0..261</x:v>
      </x:c>
      <x:c r="C13" s="2" t="str">
        <x:v>3.000..227.000</x:v>
      </x:c>
      <x:c r="D13" s="12" t="n">
        <x:v>76.5</x:v>
      </x:c>
      <x:c r="E13" s="12" t="n">
        <x:v>1885.8781512608798</x:v>
      </x:c>
      <x:c r="F13" s="12" t="n">
        <x:v>2023</x:v>
      </x:c>
      <x:c r="G13" s="2" t="n">
        <x:v>9</x:v>
      </x:c>
      <x:c r="H13" s="2" t="n">
        <x:v>229</x:v>
      </x:c>
    </x:row>
    <x:row r="14" ht="24" customHeight="1">
      <x:c r="A14" s="2" t="str">
        <x:v>GameHUD_Commit</x:v>
      </x:c>
      <x:c r="B14" s="2" t="str">
        <x:v>247..247</x:v>
      </x:c>
      <x:c r="C14" s="2" t="str">
        <x:v>74.000..78.000</x:v>
      </x:c>
      <x:c r="D14" s="12" t="n">
        <x:v>1477.735294117647</x:v>
      </x:c>
      <x:c r="E14" s="12" t="n">
        <x:v>4.820963915656595e-9</x:v>
      </x:c>
      <x:c r="F14" s="12" t="n">
        <x:v>4444</x:v>
      </x:c>
      <x:c r="G14" s="2" t="n">
        <x:v>238</x:v>
      </x:c>
      <x:c r="H14" s="2" t="n">
        <x:v>0</x:v>
      </x:c>
    </x:row>
    <x:row r="15" ht="24" customHeight="1">
      <x:c r="A15" s="2" t="str">
        <x:v>render</x:v>
      </x:c>
      <x:c r="B15" s="2" t="str">
        <x:v>7..222</x:v>
      </x:c>
      <x:c r="C15" s="2" t="str">
        <x:v>0.000..227.000</x:v>
      </x:c>
      <x:c r="D15" s="12" t="n">
        <x:v>10231.810924369747</x:v>
      </x:c>
      <x:c r="E15" s="12" t="n">
        <x:v>29050.83193277367</x:v>
      </x:c>
      <x:c r="F15" s="12" t="n">
        <x:v>15848</x:v>
      </x:c>
      <x:c r="G15" s="2" t="n">
        <x:v>0</x:v>
      </x:c>
      <x:c r="H15" s="2" t="n">
        <x:v>0</x:v>
      </x:c>
    </x:row>
    <x:row r="16" ht="24" customHeight="1">
      <x:c r="A16" s="2" t="str">
        <x:v>wait_blank</x:v>
      </x:c>
      <x:c r="B16" s="2" t="str">
        <x:v>4..241</x:v>
      </x:c>
      <x:c r="C16" s="2" t="str">
        <x:v>0.000..227.000</x:v>
      </x:c>
      <x:c r="D16" s="12" t="n">
        <x:v>906.7450980392157</x:v>
      </x:c>
      <x:c r="E16" s="12" t="n">
        <x:v>37784.309523808835</x:v>
      </x:c>
      <x:c r="F16" s="12" t="n">
        <x:v>6273</x:v>
      </x:c>
      <x:c r="G16" s="2" t="n">
        <x:v>0</x:v>
      </x:c>
      <x:c r="H16" s="2" t="n">
        <x:v>0</x:v>
      </x:c>
    </x:row>
    <x:row r="17" ht="24" customHeight="1">
      <x:c r="A17" s="2" t="str">
        <x:v>commit</x:v>
      </x:c>
      <x:c r="B17" s="2" t="str">
        <x:v>245..245</x:v>
      </x:c>
      <x:c r="C17" s="2" t="str">
        <x:v>36.000..40.000</x:v>
      </x:c>
      <x:c r="D17" s="12" t="n">
        <x:v>3972.668067226891</x:v>
      </x:c>
      <x:c r="E17" s="12" t="n">
        <x:v>4.257474626813616e-9</x:v>
      </x:c>
      <x:c r="F17" s="12" t="n">
        <x:v>6923</x:v>
      </x:c>
      <x:c r="G17" s="2" t="n">
        <x:v>238</x:v>
      </x:c>
      <x:c r="H17" s="2" t="n">
        <x:v>0</x:v>
      </x:c>
    </x:row>
    <x:row r="18" ht="24" customHeight="1">
      <x:c r="A18" s="2" t="str">
        <x:v>Ring_Prepare</x:v>
      </x:c>
      <x:c r="B18" s="2" t="str">
        <x:v>8..223</x:v>
      </x:c>
      <x:c r="C18" s="2" t="str">
        <x:v>0.000..227.000</x:v>
      </x:c>
      <x:c r="D18" s="12" t="n">
        <x:v>235.22549019607843</x:v>
      </x:c>
      <x:c r="E18" s="12" t="n">
        <x:v>5869.749299719387</x:v>
      </x:c>
      <x:c r="F18" s="12" t="n">
        <x:v>7891.333333333333</x:v>
      </x:c>
      <x:c r="G18" s="2" t="n">
        <x:v>4</x:v>
      </x:c>
      <x:c r="H18" s="2" t="n">
        <x:v>219</x:v>
      </x:c>
    </x:row>
    <x:row r="19" ht="24" customHeight="1">
      <x:c r="A19" s="2" t="str">
        <x:v>Game_RingPatch</x:v>
      </x:c>
      <x:c r="B19" s="2" t="str">
        <x:v>1..260</x:v>
      </x:c>
      <x:c r="C19" s="2" t="str">
        <x:v>1.000..227.000</x:v>
      </x:c>
      <x:c r="D19" s="12" t="n">
        <x:v>84.87394957983193</x:v>
      </x:c>
      <x:c r="E19" s="12" t="n">
        <x:v>772.550420170509</x:v>
      </x:c>
      <x:c r="F19" s="12" t="n">
        <x:v>1611.3333333333333</x:v>
      </x:c>
      <x:c r="G19" s="2" t="n">
        <x:v>14</x:v>
      </x:c>
      <x:c r="H19" s="2" t="n">
        <x:v>221</x:v>
      </x:c>
    </x:row>
    <x:row r="20" ht="24" customHeight="1">
      <x:c r="A20" s="2" t="str">
        <x:v>Game_DirtyTileUpload</x:v>
      </x:c>
      <x:c r="B20" s="2" t="str">
        <x:v>3..240</x:v>
      </x:c>
      <x:c r="C20" s="2" t="str">
        <x:v>1.000..225.000</x:v>
      </x:c>
      <x:c r="D20" s="12" t="n">
        <x:v>35.819327731092436</x:v>
      </x:c>
      <x:c r="E20" s="12" t="n">
        <x:v>92.18067227053542</x:v>
      </x:c>
      <x:c r="F20" s="12" t="n">
        <x:v>145</x:v>
      </x:c>
      <x:c r="G20" s="2" t="n">
        <x:v>67</x:v>
      </x:c>
      <x:c r="H20" s="2" t="n">
        <x:v>171</x:v>
      </x:c>
    </x:row>
    <x:row r="21" ht="24" customHeight="1">
      <x:c r="A21" s="2" t="str">
        <x:v>Game_Radar</x:v>
      </x:c>
      <x:c r="B21" s="2" t="str">
        <x:v>0..261</x:v>
      </x:c>
      <x:c r="C21" s="2" t="str">
        <x:v>1.000..227.000</x:v>
      </x:c>
      <x:c r="D21" s="12" t="n">
        <x:v>1591.2955182072828</x:v>
      </x:c>
      <x:c r="E21" s="12" t="n">
        <x:v>3178.9733893558678</x:v>
      </x:c>
      <x:c r="F21" s="12" t="n">
        <x:v>5520</x:v>
      </x:c>
      <x:c r="G21" s="2" t="n">
        <x:v>36</x:v>
      </x:c>
      <x:c r="H21" s="2" t="n">
        <x:v>124</x:v>
      </x:c>
    </x:row>
    <x:row r="22" ht="24" customHeight="1">
      <x:c r="A22" s="2" t="str">
        <x:v>Game_RadarUpload</x:v>
      </x:c>
      <x:c r="B22" s="2" t="str">
        <x:v>0..261</x:v>
      </x:c>
      <x:c r="C22" s="2" t="str">
        <x:v>3.000..227.000</x:v>
      </x:c>
      <x:c r="D22" s="12" t="n">
        <x:v>655.6246498599439</x:v>
      </x:c>
      <x:c r="E22" s="12" t="n">
        <x:v>962.9929971998813</x:v>
      </x:c>
      <x:c r="F22" s="12" t="n">
        <x:v>1942</x:v>
      </x:c>
      <x:c r="G22" s="2" t="n">
        <x:v>93</x:v>
      </x:c>
      <x:c r="H22" s="2" t="n">
        <x:v>135</x:v>
      </x:c>
    </x:row>
    <x:row r="23" ht="24" customHeight="1">
      <x:c r="A23" s="2" t="str">
        <x:v>Ring_UploadNames</x:v>
      </x:c>
      <x:c r="B23" s="2" t="str">
        <x:v>0..261</x:v>
      </x:c>
      <x:c r="C23" s="2" t="str">
        <x:v>0.000..227.000</x:v>
      </x:c>
      <x:c r="D23" s="12" t="n">
        <x:v>5296.802521008403</x:v>
      </x:c>
      <x:c r="E23" s="12" t="n">
        <x:v>9087.756302521071</x:v>
      </x:c>
      <x:c r="F23" s="12" t="n">
        <x:v>11172</x:v>
      </x:c>
      <x:c r="G23" s="2" t="n">
        <x:v>0</x:v>
      </x:c>
      <x:c r="H23" s="2" t="n">
        <x:v>58</x:v>
      </x:c>
    </x:row>
    <x:row r="24" ht="24" customHeight="1">
      <x:c r="A24" s="2" t="str">
        <x:v>hud_upload</x:v>
      </x:c>
      <x:c r="B24" s="2" t="str">
        <x:v>0..261</x:v>
      </x:c>
      <x:c r="C24" s="2" t="str">
        <x:v>1.000..226.000</x:v>
      </x:c>
      <x:c r="D24" s="12" t="n">
        <x:v>784.9859943977591</x:v>
      </x:c>
      <x:c r="E24" s="12" t="n">
        <x:v>1124.0014005619146</x:v>
      </x:c>
      <x:c r="F24" s="12" t="n">
        <x:v>10181.666666666666</x:v>
      </x:c>
      <x:c r="G24" s="2" t="n">
        <x:v>92</x:v>
      </x:c>
      <x:c r="H24" s="2" t="n">
        <x:v>117</x:v>
      </x:c>
    </x:row>
    <x:row r="25" ht="24" customHeight="1">
      <x:c r="A25" s="2" t="str">
        <x:v>GameAudio_Tick</x:v>
      </x:c>
      <x:c r="B25" s="2" t="str">
        <x:v>2..149</x:v>
      </x:c>
      <x:c r="C25" s="2" t="str">
        <x:v>1.000..226.000</x:v>
      </x:c>
      <x:c r="D25" s="12" t="n">
        <x:v>1677.679888656924</x:v>
      </x:c>
      <x:c r="E25" s="12" t="n">
        <x:v>65.96102992569148</x:v>
      </x:c>
      <x:c r="F25" s="12" t="n">
        <x:v>4363</x:v>
      </x:c>
      <x:c r="G25" s="2" t="n">
        <x:v>228</x:v>
      </x:c>
      <x:c r="H25" s="2" t="n">
        <x:v>241</x:v>
      </x:c>
    </x:row>
    <x:row r="26" ht="24" customHeight="1">
      <x:c r="A26" s="2" t="str">
        <x:v>GameSession_PhaseSelect</x:v>
      </x:c>
      <x:c r="B26" s="2" t="str">
        <x:v>0..258</x:v>
      </x:c>
      <x:c r="C26" s="2" t="str">
        <x:v>0.000..225.000</x:v>
      </x:c>
      <x:c r="D26" s="12" t="n">
        <x:v>109.57983193277312</x:v>
      </x:c>
      <x:c r="E26" s="12" t="n">
        <x:v>568.7563025222606</x:v>
      </x:c>
      <x:c r="F26" s="12" t="n">
        <x:v>2836.3333333333335</x:v>
      </x:c>
      <x:c r="G26" s="2" t="n">
        <x:v>16</x:v>
      </x:c>
      <x:c r="H26" s="2" t="n">
        <x:v>214</x:v>
      </x:c>
    </x:row>
    <x:row r="27" ht="24" customHeight="1">
      <x:c r="A27" s="2" t="str">
        <x:v>Game_ReadInput</x:v>
      </x:c>
      <x:c r="B27" s="2" t="str">
        <x:v>2..257</x:v>
      </x:c>
      <x:c r="C27" s="2" t="str">
        <x:v>40.000..129.000</x:v>
      </x:c>
      <x:c r="D27" s="12" t="n">
        <x:v>1659.2605042016808</x:v>
      </x:c>
      <x:c r="E27" s="12" t="n">
        <x:v>5.1966234415519135e-9</x:v>
      </x:c>
      <x:c r="F27" s="12" t="n">
        <x:v>1670</x:v>
      </x:c>
      <x:c r="G27" s="2" t="n">
        <x:v>238</x:v>
      </x:c>
      <x:c r="H27" s="2" t="n">
        <x:v>0</x:v>
      </x:c>
    </x:row>
    <x:row r="28" ht="24" customHeight="1">
      <x:c r="A28" s="2" t="str">
        <x:v>GameSession_InputTick</x:v>
      </x:c>
      <x:c r="B28" s="2" t="str">
        <x:v>11..150</x:v>
      </x:c>
      <x:c r="C28" s="2" t="str">
        <x:v>0.000..227.000</x:v>
      </x:c>
      <x:c r="D28" s="12" t="n">
        <x:v>36.17536534446764</x:v>
      </x:c>
      <x:c r="E28" s="12" t="n">
        <x:v>39.824634656994476</x:v>
      </x:c>
      <x:c r="F28" s="12" t="n">
        <x:v>76</x:v>
      </x:c>
      <x:c r="G28" s="2" t="n">
        <x:v>228</x:v>
      </x:c>
      <x:c r="H28" s="2" t="n">
        <x:v>251</x:v>
      </x:c>
    </x:row>
    <x:row r="29" ht="24" customHeight="1">
      <x:c r="A29" s="2" t="str">
        <x:v>GameSession_SharedSprite</x:v>
      </x:c>
      <x:c r="B29" s="2" t="str">
        <x:v>114..256</x:v>
      </x:c>
      <x:c r="C29" s="2" t="str">
        <x:v>0.000..226.000</x:v>
      </x:c>
      <x:c r="D29" s="12" t="n">
        <x:v>4.111776447105789</x:v>
      </x:c>
      <x:c r="E29" s="12" t="n">
        <x:v>400.4900199601691</x:v>
      </x:c>
      <x:c r="F29" s="12" t="n">
        <x:v>549.3333333333334</x:v>
      </x:c>
      <x:c r="G29" s="2" t="n">
        <x:v>2</x:v>
      </x:c>
      <x:c r="H29" s="2" t="n">
        <x:v>331</x:v>
      </x:c>
    </x:row>
    <x:row r="30" ht="24" customHeight="1">
      <x:c r="A30" s="2" t="str">
        <x:v>GameSession_FlagBlinkUpload</x:v>
      </x:c>
      <x:c r="B30" s="2" t="str">
        <x:v>0..258</x:v>
      </x:c>
      <x:c r="C30" s="2" t="str">
        <x:v>12.000..222.000</x:v>
      </x:c>
      <x:c r="D30" s="12" t="n">
        <x:v>229</x:v>
      </x:c>
      <x:c r="E30" s="12" t="n">
        <x:v>210.12500000062087</x:v>
      </x:c>
      <x:c r="F30" s="12" t="n">
        <x:v>444</x:v>
      </x:c>
      <x:c r="G30" s="2" t="n">
        <x:v>25</x:v>
      </x:c>
      <x:c r="H30" s="2" t="n">
        <x:v>23</x:v>
      </x:c>
    </x:row>
    <x:row r="31" ht="24" customHeight="1">
      <x:c r="A31" s="2" t="str">
        <x:v>GameSession_Boundaries</x:v>
      </x:c>
      <x:c r="B31" s="2" t="str">
        <x:v>4..261</x:v>
      </x:c>
      <x:c r="C31" s="2" t="str">
        <x:v>0.000..227.000</x:v>
      </x:c>
      <x:c r="D31" s="12" t="n">
        <x:v>418.58543417366946</x:v>
      </x:c>
      <x:c r="E31" s="12" t="n">
        <x:v>2136.460784314289</x:v>
      </x:c>
      <x:c r="F31" s="12" t="n">
        <x:v>2736.3333333333335</x:v>
      </x:c>
      <x:c r="G31" s="2" t="n">
        <x:v>26</x:v>
      </x:c>
      <x:c r="H31" s="2" t="n">
        <x:v>190</x:v>
      </x:c>
    </x:row>
    <x:row r="32" ht="24" customHeight="1">
      <x:c r="A32" s="2" t="str">
        <x:v>GameBoundary_Upload</x:v>
      </x:c>
      <x:c r="B32" s="2" t="str">
        <x:v>19..113</x:v>
      </x:c>
      <x:c r="C32" s="2" t="str">
        <x:v>20.000..221.000</x:v>
      </x:c>
      <x:c r="D32" s="12" t="n">
        <x:v>391.3333333333333</x:v>
      </x:c>
      <x:c r="E32" s="12" t="n">
        <x:v>11920.380952379533</x:v>
      </x:c>
      <x:c r="F32" s="12" t="n">
        <x:v>2619.6666666666665</x:v>
      </x:c>
      <x:c r="G32" s="2" t="n">
        <x:v>0</x:v>
      </x:c>
      <x:c r="H32" s="2" t="n">
        <x:v>15</x:v>
      </x:c>
    </x:row>
    <x:row r="33" ht="24" customHeight="1">
      <x:c r="A33" s="2" t="str">
        <x:v>Session_SaveMotion</x:v>
      </x:c>
      <x:c r="B33" s="2" t="str">
        <x:v>17..155</x:v>
      </x:c>
      <x:c r="C33" s="2" t="str">
        <x:v>1.000..227.000</x:v>
      </x:c>
      <x:c r="D33" s="12" t="n">
        <x:v>43.365411436541144</x:v>
      </x:c>
      <x:c r="E33" s="12" t="n">
        <x:v>77.14504881581419</x:v>
      </x:c>
      <x:c r="F33" s="12" t="n">
        <x:v>1224</x:v>
      </x:c>
      <x:c r="G33" s="2" t="n">
        <x:v>82</x:v>
      </x:c>
      <x:c r="H33" s="2" t="n">
        <x:v>149</x:v>
      </x:c>
    </x:row>
    <x:row r="34" ht="24" customHeight="1">
      <x:c r="A34" s="2" t="str">
        <x:v>GameSession_ValidateMotion</x:v>
      </x:c>
      <x:c r="B34" s="2" t="str">
        <x:v>41..183</x:v>
      </x:c>
      <x:c r="C34" s="2" t="str">
        <x:v>0.000..226.000</x:v>
      </x:c>
      <x:c r="D34" s="12" t="n">
        <x:v>0</x:v>
      </x:c>
      <x:c r="E34" s="12" t="n">
        <x:v>42.62761506238742</x:v>
      </x:c>
      <x:c r="F34" s="12" t="n">
        <x:v>0</x:v>
      </x:c>
      <x:c r="G34" s="2" t="n">
        <x:v>0</x:v>
      </x:c>
      <x:c r="H34" s="2" t="n">
        <x:v>239</x:v>
      </x:c>
    </x:row>
    <x:row r="35" ht="24" customHeight="1">
      <x:c r="A35" s="2" t="str">
        <x:v>GameSession_SpecialFrame</x:v>
      </x:c>
      <x:c r="B35" s="2" t="str">
        <x:v>91..215</x:v>
      </x:c>
      <x:c r="C35" s="2" t="str">
        <x:v>2.000..225.000</x:v>
      </x:c>
      <x:c r="D35" s="12" t="n">
        <x:v>0</x:v>
      </x:c>
      <x:c r="E35" s="12" t="n">
        <x:v>54.63865546281097</x:v>
      </x:c>
      <x:c r="F35" s="12" t="n">
        <x:v>0</x:v>
      </x:c>
      <x:c r="G35" s="2" t="n">
        <x:v>0</x:v>
      </x:c>
      <x:c r="H35" s="2" t="n">
        <x:v>238</x:v>
      </x:c>
    </x:row>
    <x:row r="36" ht="24" customHeight="1">
      <x:c r="A36" s="2" t="str">
        <x:v>GameSession_EnemyRocks</x:v>
      </x:c>
      <x:c r="B36" s="2" t="str">
        <x:v>47..194</x:v>
      </x:c>
      <x:c r="C36" s="2" t="str">
        <x:v>0.000..224.000</x:v>
      </x:c>
      <x:c r="D36" s="12" t="n">
        <x:v>0</x:v>
      </x:c>
      <x:c r="E36" s="12" t="n">
        <x:v>839.1924686180622</x:v>
      </x:c>
      <x:c r="F36" s="12" t="n">
        <x:v>0</x:v>
      </x:c>
      <x:c r="G36" s="2" t="n">
        <x:v>0</x:v>
      </x:c>
      <x:c r="H36" s="2" t="n">
        <x:v>239</x:v>
      </x:c>
    </x:row>
    <x:row r="37" ht="24" customHeight="1">
      <x:c r="A37" s="2" t="str">
        <x:v>GameSession_EnemyRockProbe</x:v>
      </x:c>
      <x:c r="B37" s="2" t="str">
        <x:v>55..92</x:v>
      </x:c>
      <x:c r="C37" s="2" t="str">
        <x:v>0.000..227.000</x:v>
      </x:c>
      <x:c r="D37" s="12" t="n">
        <x:v>0</x:v>
      </x:c>
      <x:c r="E37" s="12" t="n">
        <x:v>247.6236559148197</x:v>
      </x:c>
      <x:c r="F37" s="12" t="n">
        <x:v>0</x:v>
      </x:c>
      <x:c r="G37" s="2" t="n">
        <x:v>0</x:v>
      </x:c>
      <x:c r="H37" s="2" t="n">
        <x:v>372</x:v>
      </x:c>
    </x:row>
    <x:row r="38" ht="24" customHeight="1">
      <x:c r="A38" s="2" t="str">
        <x:v>GameSession_RadarColor</x:v>
      </x:c>
      <x:c r="B38" s="2" t="str">
        <x:v>0..261</x:v>
      </x:c>
      <x:c r="C38" s="2" t="str">
        <x:v>0.000..227.000</x:v>
      </x:c>
      <x:c r="D38" s="12" t="n">
        <x:v>74.87324929971989</x:v>
      </x:c>
      <x:c r="E38" s="12" t="n">
        <x:v>127.13410364299052</x:v>
      </x:c>
      <x:c r="F38" s="12" t="n">
        <x:v>356.3333333333333</x:v>
      </x:c>
      <x:c r="G38" s="2" t="n">
        <x:v>336</x:v>
      </x:c>
      <x:c r="H38" s="2" t="n">
        <x:v>599</x:v>
      </x:c>
    </x:row>
    <x:row r="39" ht="24" customHeight="1">
      <x:c r="A39" s="2" t="str">
        <x:v>GameSession_FlagNames</x:v>
      </x:c>
      <x:c r="B39" s="2" t="str">
        <x:v>0..261</x:v>
      </x:c>
      <x:c r="C39" s="2" t="str">
        <x:v>0.000..225.000</x:v>
      </x:c>
      <x:c r="D39" s="12" t="n">
        <x:v>86.88935574229691</x:v>
      </x:c>
      <x:c r="E39" s="12" t="n">
        <x:v>346.8165266101434</x:v>
      </x:c>
      <x:c r="F39" s="12" t="n">
        <x:v>487.3333333333333</x:v>
      </x:c>
      <x:c r="G39" s="2" t="n">
        <x:v>46</x:v>
      </x:c>
      <x:c r="H39" s="2" t="n">
        <x:v>190</x:v>
      </x:c>
    </x:row>
    <x:row r="40" ht="24" customHeight="1">
      <x:c r="A40" s="2" t="str">
        <x:v>GameSession_FlagUpload</x:v>
      </x:c>
      <x:c r="B40" s="2" t="str">
        <x:v>0..261</x:v>
      </x:c>
      <x:c r="C40" s="2" t="str">
        <x:v>1.000..227.000</x:v>
      </x:c>
      <x:c r="D40" s="12" t="n">
        <x:v>428.9761904761905</x:v>
      </x:c>
      <x:c r="E40" s="12" t="n">
        <x:v>637.9565826333037</x:v>
      </x:c>
      <x:c r="F40" s="12" t="n">
        <x:v>5054</x:v>
      </x:c>
      <x:c r="G40" s="2" t="n">
        <x:v>103</x:v>
      </x:c>
      <x:c r="H40" s="2" t="n">
        <x:v>126</x:v>
      </x:c>
    </x:row>
    <x:row r="41" ht="24" customHeight="1">
      <x:c r="A41" s="2" t="str">
        <x:v>GameSession_LabelNames</x:v>
      </x:c>
      <x:c r="B41" s="2" t="str">
        <x:v>0..260</x:v>
      </x:c>
      <x:c r="C41" s="2" t="str">
        <x:v>1.000..225.000</x:v>
      </x:c>
      <x:c r="D41" s="12" t="n">
        <x:v>8.936974789915967</x:v>
      </x:c>
      <x:c r="E41" s="12" t="n">
        <x:v>24.596638656526554</x:v>
      </x:c>
      <x:c r="F41" s="12" t="n">
        <x:v>220.33333333333334</x:v>
      </x:c>
      <x:c r="G41" s="2" t="n">
        <x:v>48</x:v>
      </x:c>
      <x:c r="H41" s="2" t="n">
        <x:v>187</x:v>
      </x:c>
    </x:row>
    <x:row r="42" ht="24" customHeight="1">
      <x:c r="A42" s="2" t="str">
        <x:v>GameSession_LabelUpload</x:v>
      </x:c>
      <x:c r="B42" s="2" t="str">
        <x:v>0..261</x:v>
      </x:c>
      <x:c r="C42" s="2" t="str">
        <x:v>1.000..227.000</x:v>
      </x:c>
      <x:c r="D42" s="12" t="n">
        <x:v>13.025210084033613</x:v>
      </x:c>
      <x:c r="E42" s="12" t="n">
        <x:v>17.974789918282955</x:v>
      </x:c>
      <x:c r="F42" s="12" t="n">
        <x:v>31</x:v>
      </x:c>
      <x:c r="G42" s="2" t="n">
        <x:v>100</x:v>
      </x:c>
      <x:c r="H42" s="2" t="n">
        <x:v>138</x:v>
      </x:c>
    </x:row>
    <x:row r="43" ht="24" customHeight="1">
      <x:c r="A43" s="2" t="str">
        <x:v>GameSession_PopupFrame</x:v>
      </x:c>
      <x:c r="B43" s="2" t="str">
        <x:v>91..215</x:v>
      </x:c>
      <x:c r="C43" s="2" t="str">
        <x:v>0.000..226.000</x:v>
      </x:c>
      <x:c r="D43" s="12" t="n">
        <x:v>0</x:v>
      </x:c>
      <x:c r="E43" s="12" t="n">
        <x:v>87.99999999949912</x:v>
      </x:c>
      <x:c r="F43" s="12" t="n">
        <x:v>0</x:v>
      </x:c>
      <x:c r="G43" s="2" t="n">
        <x:v>0</x:v>
      </x:c>
      <x:c r="H43" s="2" t="n">
        <x:v>238</x:v>
      </x:c>
    </x:row>
    <x:row r="44" ht="24" customHeight="1">
      <x:c r="A44" s="2" t="str">
        <x:v>GameSession_PopupOverlay</x:v>
      </x:c>
      <x:c r="B44" s="2" t="str">
        <x:v>0..260</x:v>
      </x:c>
      <x:c r="C44" s="2" t="str">
        <x:v>4.000..222.000</x:v>
      </x:c>
      <x:c r="D44" s="12" t="n">
        <x:v>3.3583333333333334</x:v>
      </x:c>
      <x:c r="E44" s="12" t="n">
        <x:v>27.641666667411723</x:v>
      </x:c>
      <x:c r="F44" s="12" t="n">
        <x:v>31</x:v>
      </x:c>
      <x:c r="G44" s="2" t="n">
        <x:v>13</x:v>
      </x:c>
      <x:c r="H44" s="2" t="n">
        <x:v>107</x:v>
      </x:c>
    </x:row>
    <x:row r="45" ht="24" customHeight="1">
      <x:c r="A45" s="2" t="str">
        <x:v>GameSession_PopupUpload</x:v>
      </x:c>
      <x:c r="B45" s="2" t="str">
        <x:v>0..261</x:v>
      </x:c>
      <x:c r="C45" s="2" t="str">
        <x:v>0.000..227.000</x:v>
      </x:c>
      <x:c r="D45" s="12" t="n">
        <x:v>13.025210084033613</x:v>
      </x:c>
      <x:c r="E45" s="12" t="n">
        <x:v>17.974789918408174</x:v>
      </x:c>
      <x:c r="F45" s="12" t="n">
        <x:v>31</x:v>
      </x:c>
      <x:c r="G45" s="2" t="n">
        <x:v>100</x:v>
      </x:c>
      <x:c r="H45" s="2" t="n">
        <x:v>138</x:v>
      </x:c>
    </x:row>
    <x:row r="46" ht="24" customHeight="1">
      <x:c r="A46" s="2" t="str">
        <x:v>GameSession_AfterFrame</x:v>
      </x:c>
      <x:c r="B46" s="2" t="str">
        <x:v>91..215</x:v>
      </x:c>
      <x:c r="C46" s="2" t="str">
        <x:v>0.000..227.000</x:v>
      </x:c>
      <x:c r="D46" s="12" t="n">
        <x:v>0</x:v>
      </x:c>
      <x:c r="E46" s="12" t="n">
        <x:v>203.63865546124572</x:v>
      </x:c>
      <x:c r="F46" s="12" t="n">
        <x:v>0</x:v>
      </x:c>
      <x:c r="G46" s="2" t="n">
        <x:v>0</x:v>
      </x:c>
      <x:c r="H46" s="2" t="n">
        <x:v>238</x:v>
      </x:c>
    </x:row>
    <x:row r="47" ht="24" customHeight="1">
      <x:c r="A47" s="2" t="str">
        <x:v>clock_irq</x:v>
      </x:c>
      <x:c r="B47" s="2" t="str">
        <x:v>244..244</x:v>
      </x:c>
      <x:c r="C47" s="2" t="str">
        <x:v>64.000..201.000</x:v>
      </x:c>
      <x:c r="D47" s="12" t="n">
        <x:v>171</x:v>
      </x:c>
      <x:c r="E47" s="12" t="n">
        <x:v>9.684192809418811e-10</x:v>
      </x:c>
      <x:c r="F47" s="12" t="n">
        <x:v>171</x:v>
      </x:c>
      <x:c r="G47" s="2" t="n">
        <x:v>477</x:v>
      </x:c>
      <x:c r="H47" s="2" t="n">
        <x:v>0</x:v>
      </x:c>
    </x:row>
    <x:row r="48" ht="24" customHeight="1">
      <x:c r="A48" s="2"/>
      <x:c r="B48" s="2"/>
      <x:c r="C48" s="2"/>
      <x:c r="D48" s="2"/>
      <x:c r="E48" s="2"/>
      <x:c r="F48" s="2"/>
      <x:c r="G48" s="2"/>
      <x:c r="H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</x:row>
    <x:row r="50" ht="24" customHeight="1">
      <x:c r="A50" s="2" t="str">
        <x:v>VR rises at line244 cycle33.667 and falls next line31 cycle33.667.</x:v>
      </x:c>
      <x:c r="B50" s="2"/>
      <x:c r="C50" s="2"/>
      <x:c r="D50" s="2"/>
      <x:c r="E50" s="2"/>
      <x:c r="F50" s="2"/>
      <x:c r="G50" s="2"/>
      <x:c r="H50" s="2"/>
    </x:row>
    <x:row r="51" ht="24" customHeight="1">
      <x:c r="A51" s="2" t="str">
        <x:v>Gameplay logic, PSG and inactive-table drawing run in foreground, including visible scanlines.</x:v>
      </x:c>
      <x:c r="B51" s="2"/>
      <x:c r="C51" s="2"/>
      <x:c r="D51" s="2"/>
      <x:c r="E51" s="2"/>
      <x:c r="F51" s="2"/>
      <x:c r="G51" s="2"/>
      <x:c r="H51" s="2"/>
    </x:row>
    <x:row r="52" ht="24" customHeight="1">
      <x:c r="A52" s="2" t="str">
        <x:v>Active VBlank IRQ acknowledges VDP status and advances the clock. UI additionally latches keys in its IRQ.</x:v>
      </x:c>
      <x:c r="B52" s="2"/>
      <x:c r="C52" s="2"/>
      <x:c r="D52" s="2"/>
      <x:c r="E52" s="2"/>
      <x:c r="F52" s="2"/>
      <x:c r="G52" s="2"/>
      <x:c r="H52" s="2"/>
    </x:row>
    <x:row r="53" ht="24" customHeight="1">
      <x:c r="A53" s="2" t="str">
        <x:v>Commit publishes display registers and sprite attribute tables after HALT. See observed endpoints above.</x:v>
      </x:c>
      <x:c r="B53" s="2"/>
      <x:c r="C53" s="2"/>
      <x:c r="D53" s="2"/>
      <x:c r="E53" s="2"/>
      <x:c r="F53" s="2"/>
      <x:c r="G53" s="2"/>
      <x:c r="H53" s="2"/>
    </x:row>
    <x:row r="54" ht="24" customHeight="1">
      <x:c r="A54" s="2" t="str">
        <x:v>Inclusive spans may cross VBlank. In/outside partitions do not establish a safe VRAM transfer allowance.</x:v>
      </x:c>
      <x:c r="B54" s="2"/>
      <x:c r="C54" s="2"/>
      <x:c r="D54" s="2"/>
      <x:c r="E54" s="2"/>
      <x:c r="F54" s="2"/>
      <x:c r="G54" s="2"/>
      <x:c r="H54" s="2"/>
    </x:row>
    <x:row r="55" ht="24" customHeight="1">
      <x:c r="A55" s="2" t="str">
        <x:v>UI/cold restoration and flag-capture costs are separate event samples in Events; excluded from active FPS.</x:v>
      </x:c>
      <x:c r="B55" s="2"/>
      <x:c r="C55" s="2"/>
      <x:c r="D55" s="2"/>
      <x:c r="E55" s="2"/>
      <x:c r="F55" s="2"/>
      <x:c r="G55" s="2"/>
      <x:c r="H55" s="2"/>
    </x:row>
    <x:row r="56" ht="24" customHeight="1">
      <x:c r="A56" s="2"/>
      <x:c r="B56" s="2"/>
      <x:c r="C56" s="2"/>
      <x:c r="D56" s="2"/>
      <x:c r="E56" s="2"/>
      <x:c r="F56" s="2"/>
      <x:c r="G56" s="2"/>
      <x:c r="H56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18" hidden="0" customWidth="1"/>
    <x:col min="5" max="5" width="19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5" hidden="0" customWidth="1"/>
    <x:col min="11" max="11" width="12" hidden="0" customWidth="1"/>
    <x:col min="12" max="12" width="12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4" customHeight="1">
      <x:c r="A2" s="3" t="str">
        <x:v>Active frame observations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4" customHeight="1">
      <x:c r="A3" s="2" t="str">
        <x:v>Raw guest cycles, native VDP cadence and camera endpoints; same recorded workload as the routine ledger.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36" customHeight="1">
      <x:c r="A5" s="7" t="str">
        <x:v>Frame</x:v>
      </x:c>
      <x:c r="B5" s="7" t="str">
        <x:v>Refreshes</x:v>
      </x:c>
      <x:c r="C5" s="7" t="str">
        <x:v>Interval cycles</x:v>
      </x:c>
      <x:c r="D5" s="7" t="str">
        <x:v>CPU work cycles</x:v>
      </x:c>
      <x:c r="E5" s="7" t="str">
        <x:v>Readiness margin cycles</x:v>
      </x:c>
      <x:c r="F5" s="7" t="str">
        <x:v>Game_Prepare cycles</x:v>
      </x:c>
      <x:c r="G5" s="7" t="str">
        <x:v>Render cycles</x:v>
      </x:c>
      <x:c r="H5" s="7" t="str">
        <x:v>Wait cycles</x:v>
      </x:c>
      <x:c r="I5" s="7" t="str">
        <x:v>Commit cycles</x:v>
      </x:c>
      <x:c r="J5" s="7" t="str">
        <x:v>Untracked cycles</x:v>
      </x:c>
      <x:c r="K5" s="7" t="str">
        <x:v>Camera X</x:v>
      </x:c>
      <x:c r="L5" s="7" t="str">
        <x:v>Camera Y</x:v>
      </x:c>
    </x:row>
    <x:row r="6" ht="24" customHeight="1">
      <x:c r="A6" s="2" t="n">
        <x:v>5</x:v>
      </x:c>
      <x:c r="B6" s="2" t="n">
        <x:v>2</x:v>
      </x:c>
      <x:c r="C6" s="12" t="n">
        <x:v>122294</x:v>
      </x:c>
      <x:c r="D6" s="12" t="n">
        <x:v>87917.0000000149</x:v>
      </x:c>
      <x:c r="E6" s="12" t="n">
        <x:v>34161.666666671634</x:v>
      </x:c>
      <x:c r="F6" s="12" t="n">
        <x:v>40994.0000000149</x:v>
      </x:c>
      <x:c r="G6" s="12" t="n">
        <x:v>39894</x:v>
      </x:c>
      <x:c r="H6" s="12" t="n">
        <x:v>34376.9999999851</x:v>
      </x:c>
      <x:c r="I6" s="12" t="n">
        <x:v>6922.999999985099</x:v>
      </x:c>
      <x:c r="J6" s="12" t="n">
        <x:v>106.00000001490116</x:v>
      </x:c>
      <x:c r="K6" s="2" t="n">
        <x:v>292</x:v>
      </x:c>
      <x:c r="L6" s="2" t="n">
        <x:v>1111</x:v>
      </x:c>
    </x:row>
    <x:row r="7" ht="24" customHeight="1">
      <x:c r="A7" s="2" t="n">
        <x:v>6</x:v>
      </x:c>
      <x:c r="B7" s="2" t="n">
        <x:v>2</x:v>
      </x:c>
      <x:c r="C7" s="12" t="n">
        <x:v>116652</x:v>
      </x:c>
      <x:c r="D7" s="12" t="n">
        <x:v>70145</x:v>
      </x:c>
      <x:c r="E7" s="12" t="n">
        <x:v>46290.666666671634</x:v>
      </x:c>
      <x:c r="F7" s="12" t="n">
        <x:v>37127</x:v>
      </x:c>
      <x:c r="G7" s="12" t="n">
        <x:v>28810</x:v>
      </x:c>
      <x:c r="H7" s="12" t="n">
        <x:v>46507</x:v>
      </x:c>
      <x:c r="I7" s="12" t="n">
        <x:v>4102.000000014901</x:v>
      </x:c>
      <x:c r="J7" s="12" t="n">
        <x:v>105.99999998509884</x:v>
      </x:c>
      <x:c r="K7" s="2" t="n">
        <x:v>292</x:v>
      </x:c>
      <x:c r="L7" s="2" t="n">
        <x:v>1107</x:v>
      </x:c>
    </x:row>
    <x:row r="8" ht="24" customHeight="1">
      <x:c r="A8" s="2" t="n">
        <x:v>7</x:v>
      </x:c>
      <x:c r="B8" s="2" t="n">
        <x:v>2</x:v>
      </x:c>
      <x:c r="C8" s="12" t="n">
        <x:v>119468</x:v>
      </x:c>
      <x:c r="D8" s="12" t="n">
        <x:v>79536</x:v>
      </x:c>
      <x:c r="E8" s="12" t="n">
        <x:v>39719.666666671634</x:v>
      </x:c>
      <x:c r="F8" s="12" t="n">
        <x:v>35434</x:v>
      </x:c>
      <x:c r="G8" s="12" t="n">
        <x:v>39894</x:v>
      </x:c>
      <x:c r="H8" s="12" t="n">
        <x:v>39932</x:v>
      </x:c>
      <x:c r="I8" s="12" t="n">
        <x:v>4102</x:v>
      </x:c>
      <x:c r="J8" s="12" t="n">
        <x:v>106</x:v>
      </x:c>
      <x:c r="K8" s="2" t="n">
        <x:v>292</x:v>
      </x:c>
      <x:c r="L8" s="2" t="n">
        <x:v>1103</x:v>
      </x:c>
    </x:row>
    <x:row r="9" ht="24" customHeight="1">
      <x:c r="A9" s="2" t="n">
        <x:v>8</x:v>
      </x:c>
      <x:c r="B9" s="2" t="n">
        <x:v>2</x:v>
      </x:c>
      <x:c r="C9" s="12" t="n">
        <x:v>119475</x:v>
      </x:c>
      <x:c r="D9" s="12" t="n">
        <x:v>70388</x:v>
      </x:c>
      <x:c r="E9" s="12" t="n">
        <x:v>48871.666666671634</x:v>
      </x:c>
      <x:c r="F9" s="12" t="n">
        <x:v>36880</x:v>
      </x:c>
      <x:c r="G9" s="12" t="n">
        <x:v>29299.9999999851</x:v>
      </x:c>
      <x:c r="H9" s="12" t="n">
        <x:v>49087</x:v>
      </x:c>
      <x:c r="I9" s="12" t="n">
        <x:v>4101.999999985099</x:v>
      </x:c>
      <x:c r="J9" s="12" t="n">
        <x:v>106.00000002980232</x:v>
      </x:c>
      <x:c r="K9" s="2" t="n">
        <x:v>292</x:v>
      </x:c>
      <x:c r="L9" s="2" t="n">
        <x:v>1099</x:v>
      </x:c>
    </x:row>
    <x:row r="10" ht="24" customHeight="1">
      <x:c r="A10" s="2" t="n">
        <x:v>9</x:v>
      </x:c>
      <x:c r="B10" s="2" t="n">
        <x:v>2</x:v>
      </x:c>
      <x:c r="C10" s="12" t="n">
        <x:v>119470</x:v>
      </x:c>
      <x:c r="D10" s="12" t="n">
        <x:v>81283</x:v>
      </x:c>
      <x:c r="E10" s="12" t="n">
        <x:v>37973.666666671634</x:v>
      </x:c>
      <x:c r="F10" s="12" t="n">
        <x:v>36691.0000000149</x:v>
      </x:c>
      <x:c r="G10" s="12" t="n">
        <x:v>40384.0000000149</x:v>
      </x:c>
      <x:c r="H10" s="12" t="n">
        <x:v>38187</x:v>
      </x:c>
      <x:c r="I10" s="12" t="n">
        <x:v>4101.999999985099</x:v>
      </x:c>
      <x:c r="J10" s="12" t="n">
        <x:v>105.99999998509884</x:v>
      </x:c>
      <x:c r="K10" s="2" t="n">
        <x:v>292</x:v>
      </x:c>
      <x:c r="L10" s="2" t="n">
        <x:v>1095</x:v>
      </x:c>
    </x:row>
    <x:row r="11" ht="24" customHeight="1">
      <x:c r="A11" s="2" t="n">
        <x:v>10</x:v>
      </x:c>
      <x:c r="B11" s="2" t="n">
        <x:v>2</x:v>
      </x:c>
      <x:c r="C11" s="12" t="n">
        <x:v>119473</x:v>
      </x:c>
      <x:c r="D11" s="12" t="n">
        <x:v>69441.0000000149</x:v>
      </x:c>
      <x:c r="E11" s="12" t="n">
        <x:v>49817.666666671634</x:v>
      </x:c>
      <x:c r="F11" s="12" t="n">
        <x:v>36435.0000000149</x:v>
      </x:c>
      <x:c r="G11" s="12" t="n">
        <x:v>28797.9999999851</x:v>
      </x:c>
      <x:c r="H11" s="12" t="n">
        <x:v>50031.9999999851</x:v>
      </x:c>
      <x:c r="I11" s="12" t="n">
        <x:v>4102</x:v>
      </x:c>
      <x:c r="J11" s="12" t="n">
        <x:v>106.00000001490116</x:v>
      </x:c>
      <x:c r="K11" s="2" t="n">
        <x:v>292</x:v>
      </x:c>
      <x:c r="L11" s="2" t="n">
        <x:v>1091</x:v>
      </x:c>
    </x:row>
    <x:row r="12" ht="24" customHeight="1">
      <x:c r="A12" s="2" t="n">
        <x:v>11</x:v>
      </x:c>
      <x:c r="B12" s="2" t="n">
        <x:v>2</x:v>
      </x:c>
      <x:c r="C12" s="12" t="n">
        <x:v>119470</x:v>
      </x:c>
      <x:c r="D12" s="12" t="n">
        <x:v>79528.0000000149</x:v>
      </x:c>
      <x:c r="E12" s="12" t="n">
        <x:v>39729.666666671634</x:v>
      </x:c>
      <x:c r="F12" s="12" t="n">
        <x:v>35411.9999999851</x:v>
      </x:c>
      <x:c r="G12" s="12" t="n">
        <x:v>39908</x:v>
      </x:c>
      <x:c r="H12" s="12" t="n">
        <x:v>39941.9999999851</x:v>
      </x:c>
      <x:c r="I12" s="12" t="n">
        <x:v>4102</x:v>
      </x:c>
      <x:c r="J12" s="12" t="n">
        <x:v>106.00000002980232</x:v>
      </x:c>
      <x:c r="K12" s="2" t="n">
        <x:v>292</x:v>
      </x:c>
      <x:c r="L12" s="2" t="n">
        <x:v>1087</x:v>
      </x:c>
    </x:row>
    <x:row r="13" ht="24" customHeight="1">
      <x:c r="A13" s="2" t="n">
        <x:v>12</x:v>
      </x:c>
      <x:c r="B13" s="2" t="n">
        <x:v>2</x:v>
      </x:c>
      <x:c r="C13" s="12" t="n">
        <x:v>119475</x:v>
      </x:c>
      <x:c r="D13" s="12" t="n">
        <x:v>69738.0000000149</x:v>
      </x:c>
      <x:c r="E13" s="12" t="n">
        <x:v>49521.666666671634</x:v>
      </x:c>
      <x:c r="F13" s="12" t="n">
        <x:v>36732</x:v>
      </x:c>
      <x:c r="G13" s="12" t="n">
        <x:v>28798</x:v>
      </x:c>
      <x:c r="H13" s="12" t="n">
        <x:v>49736.9999999851</x:v>
      </x:c>
      <x:c r="I13" s="12" t="n">
        <x:v>4102</x:v>
      </x:c>
      <x:c r="J13" s="12" t="n">
        <x:v>106.00000001490116</x:v>
      </x:c>
      <x:c r="K13" s="2" t="n">
        <x:v>292</x:v>
      </x:c>
      <x:c r="L13" s="2" t="n">
        <x:v>1083</x:v>
      </x:c>
    </x:row>
    <x:row r="14" ht="24" customHeight="1">
      <x:c r="A14" s="2" t="n">
        <x:v>13</x:v>
      </x:c>
      <x:c r="B14" s="2" t="n">
        <x:v>2</x:v>
      </x:c>
      <x:c r="C14" s="12" t="n">
        <x:v>119472</x:v>
      </x:c>
      <x:c r="D14" s="12" t="n">
        <x:v>109045</x:v>
      </x:c>
      <x:c r="E14" s="12" t="n">
        <x:v>10211.666666671634</x:v>
      </x:c>
      <x:c r="F14" s="12" t="n">
        <x:v>64267</x:v>
      </x:c>
      <x:c r="G14" s="12" t="n">
        <x:v>40570.0000000149</x:v>
      </x:c>
      <x:c r="H14" s="12" t="n">
        <x:v>10427</x:v>
      </x:c>
      <x:c r="I14" s="12" t="n">
        <x:v>4102</x:v>
      </x:c>
      <x:c r="J14" s="12" t="n">
        <x:v>105.99999998509884</x:v>
      </x:c>
      <x:c r="K14" s="2" t="n">
        <x:v>292</x:v>
      </x:c>
      <x:c r="L14" s="2" t="n">
        <x:v>1079</x:v>
      </x:c>
    </x:row>
    <x:row r="15" ht="24" customHeight="1">
      <x:c r="A15" s="2" t="n">
        <x:v>14</x:v>
      </x:c>
      <x:c r="B15" s="2" t="n">
        <x:v>2</x:v>
      </x:c>
      <x:c r="C15" s="12" t="n">
        <x:v>119471.9999999851</x:v>
      </x:c>
      <x:c r="D15" s="12" t="n">
        <x:v>96670</x:v>
      </x:c>
      <x:c r="E15" s="12" t="n">
        <x:v>22586.666666671634</x:v>
      </x:c>
      <x:c r="F15" s="12" t="n">
        <x:v>63865</x:v>
      </x:c>
      <x:c r="G15" s="12" t="n">
        <x:v>28597</x:v>
      </x:c>
      <x:c r="H15" s="12" t="n">
        <x:v>22801.9999999851</x:v>
      </x:c>
      <x:c r="I15" s="12" t="n">
        <x:v>4102</x:v>
      </x:c>
      <x:c r="J15" s="12" t="n">
        <x:v>106</x:v>
      </x:c>
      <x:c r="K15" s="2" t="n">
        <x:v>292</x:v>
      </x:c>
      <x:c r="L15" s="2" t="n">
        <x:v>1075</x:v>
      </x:c>
    </x:row>
    <x:row r="16" ht="24" customHeight="1">
      <x:c r="A16" s="2" t="n">
        <x:v>15</x:v>
      </x:c>
      <x:c r="B16" s="2" t="n">
        <x:v>2</x:v>
      </x:c>
      <x:c r="C16" s="12" t="n">
        <x:v>119470.0000000149</x:v>
      </x:c>
      <x:c r="D16" s="12" t="n">
        <x:v>105888.0000000298</x:v>
      </x:c>
      <x:c r="E16" s="12" t="n">
        <x:v>13368.666666671634</x:v>
      </x:c>
      <x:c r="F16" s="12" t="n">
        <x:v>61109.9999999851</x:v>
      </x:c>
      <x:c r="G16" s="12" t="n">
        <x:v>40570</x:v>
      </x:c>
      <x:c r="H16" s="12" t="n">
        <x:v>13581.999999985099</x:v>
      </x:c>
      <x:c r="I16" s="12" t="n">
        <x:v>4102</x:v>
      </x:c>
      <x:c r="J16" s="12" t="n">
        <x:v>106.00000004470348</x:v>
      </x:c>
      <x:c r="K16" s="2" t="n">
        <x:v>292</x:v>
      </x:c>
      <x:c r="L16" s="2" t="n">
        <x:v>1071</x:v>
      </x:c>
    </x:row>
    <x:row r="17" ht="24" customHeight="1">
      <x:c r="A17" s="2" t="n">
        <x:v>16</x:v>
      </x:c>
      <x:c r="B17" s="2" t="n">
        <x:v>2</x:v>
      </x:c>
      <x:c r="C17" s="12" t="n">
        <x:v>119472</x:v>
      </x:c>
      <x:c r="D17" s="12" t="n">
        <x:v>95649.9999999851</x:v>
      </x:c>
      <x:c r="E17" s="12" t="n">
        <x:v>23608.666666671634</x:v>
      </x:c>
      <x:c r="F17" s="12" t="n">
        <x:v>62322</x:v>
      </x:c>
      <x:c r="G17" s="12" t="n">
        <x:v>29120.0000000149</x:v>
      </x:c>
      <x:c r="H17" s="12" t="n">
        <x:v>23822.0000000149</x:v>
      </x:c>
      <x:c r="I17" s="12" t="n">
        <x:v>4102</x:v>
      </x:c>
      <x:c r="J17" s="12" t="n">
        <x:v>105.99999997019768</x:v>
      </x:c>
      <x:c r="K17" s="2" t="n">
        <x:v>292</x:v>
      </x:c>
      <x:c r="L17" s="2" t="n">
        <x:v>1067</x:v>
      </x:c>
    </x:row>
    <x:row r="18" ht="24" customHeight="1">
      <x:c r="A18" s="2" t="n">
        <x:v>17</x:v>
      </x:c>
      <x:c r="B18" s="2" t="n">
        <x:v>2</x:v>
      </x:c>
      <x:c r="C18" s="12" t="n">
        <x:v>119470.9999999851</x:v>
      </x:c>
      <x:c r="D18" s="12" t="n">
        <x:v>80663.9999999851</x:v>
      </x:c>
      <x:c r="E18" s="12" t="n">
        <x:v>38594.666666671634</x:v>
      </x:c>
      <x:c r="F18" s="12" t="n">
        <x:v>35162</x:v>
      </x:c>
      <x:c r="G18" s="12" t="n">
        <x:v>41294</x:v>
      </x:c>
      <x:c r="H18" s="12" t="n">
        <x:v>38807</x:v>
      </x:c>
      <x:c r="I18" s="12" t="n">
        <x:v>4102.000000014901</x:v>
      </x:c>
      <x:c r="J18" s="12" t="n">
        <x:v>105.99999997019768</x:v>
      </x:c>
      <x:c r="K18" s="2" t="n">
        <x:v>292</x:v>
      </x:c>
      <x:c r="L18" s="2" t="n">
        <x:v>1063</x:v>
      </x:c>
    </x:row>
    <x:row r="19" ht="24" customHeight="1">
      <x:c r="A19" s="2" t="n">
        <x:v>18</x:v>
      </x:c>
      <x:c r="B19" s="2" t="n">
        <x:v>2</x:v>
      </x:c>
      <x:c r="C19" s="12" t="n">
        <x:v>119472.0000000149</x:v>
      </x:c>
      <x:c r="D19" s="12" t="n">
        <x:v>67990.0000000298</x:v>
      </x:c>
      <x:c r="E19" s="12" t="n">
        <x:v>51269.666666671634</x:v>
      </x:c>
      <x:c r="F19" s="12" t="n">
        <x:v>34972</x:v>
      </x:c>
      <x:c r="G19" s="12" t="n">
        <x:v>28810</x:v>
      </x:c>
      <x:c r="H19" s="12" t="n">
        <x:v>51481.9999999851</x:v>
      </x:c>
      <x:c r="I19" s="12" t="n">
        <x:v>4102</x:v>
      </x:c>
      <x:c r="J19" s="12" t="n">
        <x:v>106.00000002980232</x:v>
      </x:c>
      <x:c r="K19" s="2" t="n">
        <x:v>292</x:v>
      </x:c>
      <x:c r="L19" s="2" t="n">
        <x:v>1059</x:v>
      </x:c>
    </x:row>
    <x:row r="20" ht="24" customHeight="1">
      <x:c r="A20" s="2" t="n">
        <x:v>19</x:v>
      </x:c>
      <x:c r="B20" s="2" t="n">
        <x:v>2</x:v>
      </x:c>
      <x:c r="C20" s="12" t="n">
        <x:v>119474</x:v>
      </x:c>
      <x:c r="D20" s="12" t="n">
        <x:v>78302.0000000149</x:v>
      </x:c>
      <x:c r="E20" s="12" t="n">
        <x:v>40957.666666671634</x:v>
      </x:c>
      <x:c r="F20" s="12" t="n">
        <x:v>33336.9999999851</x:v>
      </x:c>
      <x:c r="G20" s="12" t="n">
        <x:v>40757</x:v>
      </x:c>
      <x:c r="H20" s="12" t="n">
        <x:v>41171.9999999851</x:v>
      </x:c>
      <x:c r="I20" s="12" t="n">
        <x:v>4102</x:v>
      </x:c>
      <x:c r="J20" s="12" t="n">
        <x:v>106.00000002980232</x:v>
      </x:c>
      <x:c r="K20" s="2" t="n">
        <x:v>292</x:v>
      </x:c>
      <x:c r="L20" s="2" t="n">
        <x:v>1055</x:v>
      </x:c>
    </x:row>
    <x:row r="21" ht="24" customHeight="1">
      <x:c r="A21" s="2" t="n">
        <x:v>20</x:v>
      </x:c>
      <x:c r="B21" s="2" t="n">
        <x:v>2</x:v>
      </x:c>
      <x:c r="C21" s="12" t="n">
        <x:v>119473.9999999851</x:v>
      </x:c>
      <x:c r="D21" s="12" t="n">
        <x:v>67601.9999999851</x:v>
      </x:c>
      <x:c r="E21" s="12" t="n">
        <x:v>51655.666666671634</x:v>
      </x:c>
      <x:c r="F21" s="12" t="n">
        <x:v>34583.9999999851</x:v>
      </x:c>
      <x:c r="G21" s="12" t="n">
        <x:v>28810</x:v>
      </x:c>
      <x:c r="H21" s="12" t="n">
        <x:v>51872</x:v>
      </x:c>
      <x:c r="I21" s="12" t="n">
        <x:v>4102</x:v>
      </x:c>
      <x:c r="J21" s="12" t="n">
        <x:v>106</x:v>
      </x:c>
      <x:c r="K21" s="2" t="n">
        <x:v>292</x:v>
      </x:c>
      <x:c r="L21" s="2" t="n">
        <x:v>1051</x:v>
      </x:c>
    </x:row>
    <x:row r="22" ht="24" customHeight="1">
      <x:c r="A22" s="2" t="n">
        <x:v>21</x:v>
      </x:c>
      <x:c r="B22" s="2" t="n">
        <x:v>2</x:v>
      </x:c>
      <x:c r="C22" s="12" t="n">
        <x:v>119471.0000000149</x:v>
      </x:c>
      <x:c r="D22" s="12" t="n">
        <x:v>79454.0000000298</x:v>
      </x:c>
      <x:c r="E22" s="12" t="n">
        <x:v>39801.666666671634</x:v>
      </x:c>
      <x:c r="F22" s="12" t="n">
        <x:v>34489</x:v>
      </x:c>
      <x:c r="G22" s="12" t="n">
        <x:v>40757</x:v>
      </x:c>
      <x:c r="H22" s="12" t="n">
        <x:v>40016.9999999851</x:v>
      </x:c>
      <x:c r="I22" s="12" t="n">
        <x:v>4102</x:v>
      </x:c>
      <x:c r="J22" s="12" t="n">
        <x:v>106.00000002980232</x:v>
      </x:c>
      <x:c r="K22" s="2" t="n">
        <x:v>292</x:v>
      </x:c>
      <x:c r="L22" s="2" t="n">
        <x:v>1047</x:v>
      </x:c>
    </x:row>
    <x:row r="23" ht="24" customHeight="1">
      <x:c r="A23" s="2" t="n">
        <x:v>22</x:v>
      </x:c>
      <x:c r="B23" s="2" t="n">
        <x:v>2</x:v>
      </x:c>
      <x:c r="C23" s="12" t="n">
        <x:v>119472</x:v>
      </x:c>
      <x:c r="D23" s="12" t="n">
        <x:v>67344.9999999851</x:v>
      </x:c>
      <x:c r="E23" s="12" t="n">
        <x:v>51911.666666671634</x:v>
      </x:c>
      <x:c r="F23" s="12" t="n">
        <x:v>34327</x:v>
      </x:c>
      <x:c r="G23" s="12" t="n">
        <x:v>28810</x:v>
      </x:c>
      <x:c r="H23" s="12" t="n">
        <x:v>52127.0000000149</x:v>
      </x:c>
      <x:c r="I23" s="12" t="n">
        <x:v>4102</x:v>
      </x:c>
      <x:c r="J23" s="12" t="n">
        <x:v>105.99999998509884</x:v>
      </x:c>
      <x:c r="K23" s="2" t="n">
        <x:v>292</x:v>
      </x:c>
      <x:c r="L23" s="2" t="n">
        <x:v>1043</x:v>
      </x:c>
    </x:row>
    <x:row r="24" ht="24" customHeight="1">
      <x:c r="A24" s="2" t="n">
        <x:v>23</x:v>
      </x:c>
      <x:c r="B24" s="2" t="n">
        <x:v>2</x:v>
      </x:c>
      <x:c r="C24" s="12" t="n">
        <x:v>119470.9999999851</x:v>
      </x:c>
      <x:c r="D24" s="12" t="n">
        <x:v>78243.9999999702</x:v>
      </x:c>
      <x:c r="E24" s="12" t="n">
        <x:v>41012.666666671634</x:v>
      </x:c>
      <x:c r="F24" s="12" t="n">
        <x:v>33278.9999999851</x:v>
      </x:c>
      <x:c r="G24" s="12" t="n">
        <x:v>40757</x:v>
      </x:c>
      <x:c r="H24" s="12" t="n">
        <x:v>41227.0000000149</x:v>
      </x:c>
      <x:c r="I24" s="12" t="n">
        <x:v>4102</x:v>
      </x:c>
      <x:c r="J24" s="12" t="n">
        <x:v>105.99999998509884</x:v>
      </x:c>
      <x:c r="K24" s="2" t="n">
        <x:v>292</x:v>
      </x:c>
      <x:c r="L24" s="2" t="n">
        <x:v>1039</x:v>
      </x:c>
    </x:row>
    <x:row r="25" ht="24" customHeight="1">
      <x:c r="A25" s="2" t="n">
        <x:v>24</x:v>
      </x:c>
      <x:c r="B25" s="2" t="n">
        <x:v>2</x:v>
      </x:c>
      <x:c r="C25" s="12" t="n">
        <x:v>119470</x:v>
      </x:c>
      <x:c r="D25" s="12" t="n">
        <x:v>68063</x:v>
      </x:c>
      <x:c r="E25" s="12" t="n">
        <x:v>51194.666666671634</x:v>
      </x:c>
      <x:c r="F25" s="12" t="n">
        <x:v>34554.9999999851</x:v>
      </x:c>
      <x:c r="G25" s="12" t="n">
        <x:v>29299.9999999851</x:v>
      </x:c>
      <x:c r="H25" s="12" t="n">
        <x:v>51407</x:v>
      </x:c>
      <x:c r="I25" s="12" t="n">
        <x:v>4102</x:v>
      </x:c>
      <x:c r="J25" s="12" t="n">
        <x:v>106.00000002980232</x:v>
      </x:c>
      <x:c r="K25" s="2" t="n">
        <x:v>292</x:v>
      </x:c>
      <x:c r="L25" s="2" t="n">
        <x:v>1035</x:v>
      </x:c>
    </x:row>
    <x:row r="26" ht="24" customHeight="1">
      <x:c r="A26" s="2" t="n">
        <x:v>25</x:v>
      </x:c>
      <x:c r="B26" s="2" t="n">
        <x:v>2</x:v>
      </x:c>
      <x:c r="C26" s="12" t="n">
        <x:v>119476.0000000149</x:v>
      </x:c>
      <x:c r="D26" s="12" t="n">
        <x:v>80679.0000000149</x:v>
      </x:c>
      <x:c r="E26" s="12" t="n">
        <x:v>38580.666666671634</x:v>
      </x:c>
      <x:c r="F26" s="12" t="n">
        <x:v>35224</x:v>
      </x:c>
      <x:c r="G26" s="12" t="n">
        <x:v>41247.0000000149</x:v>
      </x:c>
      <x:c r="H26" s="12" t="n">
        <x:v>38797</x:v>
      </x:c>
      <x:c r="I26" s="12" t="n">
        <x:v>4102</x:v>
      </x:c>
      <x:c r="J26" s="12" t="n">
        <x:v>106</x:v>
      </x:c>
      <x:c r="K26" s="2" t="n">
        <x:v>292</x:v>
      </x:c>
      <x:c r="L26" s="2" t="n">
        <x:v>1031</x:v>
      </x:c>
    </x:row>
    <x:row r="27" ht="24" customHeight="1">
      <x:c r="A27" s="2" t="n">
        <x:v>26</x:v>
      </x:c>
      <x:c r="B27" s="2" t="n">
        <x:v>2</x:v>
      </x:c>
      <x:c r="C27" s="12" t="n">
        <x:v>119472</x:v>
      </x:c>
      <x:c r="D27" s="12" t="n">
        <x:v>67944.9999999851</x:v>
      </x:c>
      <x:c r="E27" s="12" t="n">
        <x:v>51310.666666671634</x:v>
      </x:c>
      <x:c r="F27" s="12" t="n">
        <x:v>34939</x:v>
      </x:c>
      <x:c r="G27" s="12" t="n">
        <x:v>28798.0000000149</x:v>
      </x:c>
      <x:c r="H27" s="12" t="n">
        <x:v>51527.0000000149</x:v>
      </x:c>
      <x:c r="I27" s="12" t="n">
        <x:v>4102</x:v>
      </x:c>
      <x:c r="J27" s="12" t="n">
        <x:v>105.99999997019768</x:v>
      </x:c>
      <x:c r="K27" s="2" t="n">
        <x:v>292</x:v>
      </x:c>
      <x:c r="L27" s="2" t="n">
        <x:v>1027</x:v>
      </x:c>
    </x:row>
    <x:row r="28" ht="24" customHeight="1">
      <x:c r="A28" s="2" t="n">
        <x:v>27</x:v>
      </x:c>
      <x:c r="B28" s="2" t="n">
        <x:v>2</x:v>
      </x:c>
      <x:c r="C28" s="12" t="n">
        <x:v>119468</x:v>
      </x:c>
      <x:c r="D28" s="12" t="n">
        <x:v>77526</x:v>
      </x:c>
      <x:c r="E28" s="12" t="n">
        <x:v>41729.666666671634</x:v>
      </x:c>
      <x:c r="F28" s="12" t="n">
        <x:v>32548.9999999851</x:v>
      </x:c>
      <x:c r="G28" s="12" t="n">
        <x:v>40769</x:v>
      </x:c>
      <x:c r="H28" s="12" t="n">
        <x:v>41942</x:v>
      </x:c>
      <x:c r="I28" s="12" t="n">
        <x:v>4102</x:v>
      </x:c>
      <x:c r="J28" s="12" t="n">
        <x:v>106.00000001490116</x:v>
      </x:c>
      <x:c r="K28" s="2" t="n">
        <x:v>292</x:v>
      </x:c>
      <x:c r="L28" s="2" t="n">
        <x:v>1023</x:v>
      </x:c>
    </x:row>
    <x:row r="29" ht="24" customHeight="1">
      <x:c r="A29" s="2" t="n">
        <x:v>28</x:v>
      </x:c>
      <x:c r="B29" s="2" t="n">
        <x:v>2</x:v>
      </x:c>
      <x:c r="C29" s="12" t="n">
        <x:v>119474</x:v>
      </x:c>
      <x:c r="D29" s="12" t="n">
        <x:v>66932.0000000149</x:v>
      </x:c>
      <x:c r="E29" s="12" t="n">
        <x:v>52327.666666671634</x:v>
      </x:c>
      <x:c r="F29" s="12" t="n">
        <x:v>33926</x:v>
      </x:c>
      <x:c r="G29" s="12" t="n">
        <x:v>28798</x:v>
      </x:c>
      <x:c r="H29" s="12" t="n">
        <x:v>52541.9999999851</x:v>
      </x:c>
      <x:c r="I29" s="12" t="n">
        <x:v>4102</x:v>
      </x:c>
      <x:c r="J29" s="12" t="n">
        <x:v>106.00000001490116</x:v>
      </x:c>
      <x:c r="K29" s="2" t="n">
        <x:v>292</x:v>
      </x:c>
      <x:c r="L29" s="2" t="n">
        <x:v>1019</x:v>
      </x:c>
    </x:row>
    <x:row r="30" ht="24" customHeight="1">
      <x:c r="A30" s="2" t="n">
        <x:v>29</x:v>
      </x:c>
      <x:c r="B30" s="2" t="n">
        <x:v>2</x:v>
      </x:c>
      <x:c r="C30" s="12" t="n">
        <x:v>119473.9999999851</x:v>
      </x:c>
      <x:c r="D30" s="12" t="n">
        <x:v>80081.9999999851</x:v>
      </x:c>
      <x:c r="E30" s="12" t="n">
        <x:v>39175.666666671634</x:v>
      </x:c>
      <x:c r="F30" s="12" t="n">
        <x:v>35105</x:v>
      </x:c>
      <x:c r="G30" s="12" t="n">
        <x:v>40769.0000000149</x:v>
      </x:c>
      <x:c r="H30" s="12" t="n">
        <x:v>39392</x:v>
      </x:c>
      <x:c r="I30" s="12" t="n">
        <x:v>4102</x:v>
      </x:c>
      <x:c r="J30" s="12" t="n">
        <x:v>105.99999997019768</x:v>
      </x:c>
      <x:c r="K30" s="2" t="n">
        <x:v>292</x:v>
      </x:c>
      <x:c r="L30" s="2" t="n">
        <x:v>1015</x:v>
      </x:c>
    </x:row>
    <x:row r="31" ht="24" customHeight="1">
      <x:c r="A31" s="2" t="n">
        <x:v>30</x:v>
      </x:c>
      <x:c r="B31" s="2" t="n">
        <x:v>2</x:v>
      </x:c>
      <x:c r="C31" s="12" t="n">
        <x:v>119471.0000000149</x:v>
      </x:c>
      <x:c r="D31" s="12" t="n">
        <x:v>67864.0000000298</x:v>
      </x:c>
      <x:c r="E31" s="12" t="n">
        <x:v>51391.666666671634</x:v>
      </x:c>
      <x:c r="F31" s="12" t="n">
        <x:v>34858</x:v>
      </x:c>
      <x:c r="G31" s="12" t="n">
        <x:v>28798</x:v>
      </x:c>
      <x:c r="H31" s="12" t="n">
        <x:v>51606.9999999851</x:v>
      </x:c>
      <x:c r="I31" s="12" t="n">
        <x:v>4102</x:v>
      </x:c>
      <x:c r="J31" s="12" t="n">
        <x:v>106.00000002980232</x:v>
      </x:c>
      <x:c r="K31" s="2" t="n">
        <x:v>292</x:v>
      </x:c>
      <x:c r="L31" s="2" t="n">
        <x:v>1011</x:v>
      </x:c>
    </x:row>
    <x:row r="32" ht="24" customHeight="1">
      <x:c r="A32" s="2" t="n">
        <x:v>31</x:v>
      </x:c>
      <x:c r="B32" s="2" t="n">
        <x:v>2</x:v>
      </x:c>
      <x:c r="C32" s="12" t="n">
        <x:v>119468.9999999851</x:v>
      </x:c>
      <x:c r="D32" s="12" t="n">
        <x:v>78256.9999999851</x:v>
      </x:c>
      <x:c r="E32" s="12" t="n">
        <x:v>40999.666666671634</x:v>
      </x:c>
      <x:c r="F32" s="12" t="n">
        <x:v>33280</x:v>
      </x:c>
      <x:c r="G32" s="12" t="n">
        <x:v>40769</x:v>
      </x:c>
      <x:c r="H32" s="12" t="n">
        <x:v>41212</x:v>
      </x:c>
      <x:c r="I32" s="12" t="n">
        <x:v>4102</x:v>
      </x:c>
      <x:c r="J32" s="12" t="n">
        <x:v>105.99999998509884</x:v>
      </x:c>
      <x:c r="K32" s="2" t="n">
        <x:v>292</x:v>
      </x:c>
      <x:c r="L32" s="2" t="n">
        <x:v>1007</x:v>
      </x:c>
    </x:row>
    <x:row r="33" ht="24" customHeight="1">
      <x:c r="A33" s="2" t="n">
        <x:v>32</x:v>
      </x:c>
      <x:c r="B33" s="2" t="n">
        <x:v>2</x:v>
      </x:c>
      <x:c r="C33" s="12" t="n">
        <x:v>119472.0000000149</x:v>
      </x:c>
      <x:c r="D33" s="12" t="n">
        <x:v>68170.0000000149</x:v>
      </x:c>
      <x:c r="E33" s="12" t="n">
        <x:v>51089.666666671634</x:v>
      </x:c>
      <x:c r="F33" s="12" t="n">
        <x:v>34640.9999999851</x:v>
      </x:c>
      <x:c r="G33" s="12" t="n">
        <x:v>29320.9999999851</x:v>
      </x:c>
      <x:c r="H33" s="12" t="n">
        <x:v>51302</x:v>
      </x:c>
      <x:c r="I33" s="12" t="n">
        <x:v>4101.999999985099</x:v>
      </x:c>
      <x:c r="J33" s="12" t="n">
        <x:v>106.00000005960464</x:v>
      </x:c>
      <x:c r="K33" s="2" t="n">
        <x:v>292</x:v>
      </x:c>
      <x:c r="L33" s="2" t="n">
        <x:v>1003</x:v>
      </x:c>
    </x:row>
    <x:row r="34" ht="24" customHeight="1">
      <x:c r="A34" s="2" t="n">
        <x:v>33</x:v>
      </x:c>
      <x:c r="B34" s="2" t="n">
        <x:v>2</x:v>
      </x:c>
      <x:c r="C34" s="12" t="n">
        <x:v>119471.9999999851</x:v>
      </x:c>
      <x:c r="D34" s="12" t="n">
        <x:v>79874.9999999851</x:v>
      </x:c>
      <x:c r="E34" s="12" t="n">
        <x:v>39384.666666671634</x:v>
      </x:c>
      <x:c r="F34" s="12" t="n">
        <x:v>34375</x:v>
      </x:c>
      <x:c r="G34" s="12" t="n">
        <x:v>41292</x:v>
      </x:c>
      <x:c r="H34" s="12" t="n">
        <x:v>39597</x:v>
      </x:c>
      <x:c r="I34" s="12" t="n">
        <x:v>4102</x:v>
      </x:c>
      <x:c r="J34" s="12" t="n">
        <x:v>105.99999998509884</x:v>
      </x:c>
      <x:c r="K34" s="2" t="n">
        <x:v>292</x:v>
      </x:c>
      <x:c r="L34" s="2" t="n">
        <x:v>999</x:v>
      </x:c>
    </x:row>
    <x:row r="35" ht="24" customHeight="1">
      <x:c r="A35" s="2" t="n">
        <x:v>34</x:v>
      </x:c>
      <x:c r="B35" s="2" t="n">
        <x:v>2</x:v>
      </x:c>
      <x:c r="C35" s="12" t="n">
        <x:v>119476.0000000149</x:v>
      </x:c>
      <x:c r="D35" s="12" t="n">
        <x:v>67224.0000000298</x:v>
      </x:c>
      <x:c r="E35" s="12" t="n">
        <x:v>52035.666666671634</x:v>
      </x:c>
      <x:c r="F35" s="12" t="n">
        <x:v>34206</x:v>
      </x:c>
      <x:c r="G35" s="12" t="n">
        <x:v>28810</x:v>
      </x:c>
      <x:c r="H35" s="12" t="n">
        <x:v>52251.9999999851</x:v>
      </x:c>
      <x:c r="I35" s="12" t="n">
        <x:v>4102</x:v>
      </x:c>
      <x:c r="J35" s="12" t="n">
        <x:v>106.00000002980232</x:v>
      </x:c>
      <x:c r="K35" s="2" t="n">
        <x:v>292</x:v>
      </x:c>
      <x:c r="L35" s="2" t="n">
        <x:v>995</x:v>
      </x:c>
    </x:row>
    <x:row r="36" ht="24" customHeight="1">
      <x:c r="A36" s="2" t="n">
        <x:v>35</x:v>
      </x:c>
      <x:c r="B36" s="2" t="n">
        <x:v>2</x:v>
      </x:c>
      <x:c r="C36" s="12" t="n">
        <x:v>119468</x:v>
      </x:c>
      <x:c r="D36" s="12" t="n">
        <x:v>78146</x:v>
      </x:c>
      <x:c r="E36" s="12" t="n">
        <x:v>41109.666666671634</x:v>
      </x:c>
      <x:c r="F36" s="12" t="n">
        <x:v>33182.9999999851</x:v>
      </x:c>
      <x:c r="G36" s="12" t="n">
        <x:v>40754.9999999851</x:v>
      </x:c>
      <x:c r="H36" s="12" t="n">
        <x:v>41322</x:v>
      </x:c>
      <x:c r="I36" s="12" t="n">
        <x:v>4101.999999985099</x:v>
      </x:c>
      <x:c r="J36" s="12" t="n">
        <x:v>106.00000004470348</x:v>
      </x:c>
      <x:c r="K36" s="2" t="n">
        <x:v>292</x:v>
      </x:c>
      <x:c r="L36" s="2" t="n">
        <x:v>991</x:v>
      </x:c>
    </x:row>
    <x:row r="37" ht="24" customHeight="1">
      <x:c r="A37" s="2" t="n">
        <x:v>36</x:v>
      </x:c>
      <x:c r="B37" s="2" t="n">
        <x:v>2</x:v>
      </x:c>
      <x:c r="C37" s="12" t="n">
        <x:v>119474.9999999851</x:v>
      </x:c>
      <x:c r="D37" s="12" t="n">
        <x:v>66967.9999999702</x:v>
      </x:c>
      <x:c r="E37" s="12" t="n">
        <x:v>52291.666666671634</x:v>
      </x:c>
      <x:c r="F37" s="12" t="n">
        <x:v>33950.0000000149</x:v>
      </x:c>
      <x:c r="G37" s="12" t="n">
        <x:v>28810.0000000149</x:v>
      </x:c>
      <x:c r="H37" s="12" t="n">
        <x:v>52507.0000000149</x:v>
      </x:c>
      <x:c r="I37" s="12" t="n">
        <x:v>4102.000000014901</x:v>
      </x:c>
      <x:c r="J37" s="12" t="n">
        <x:v>105.9999999254942</x:v>
      </x:c>
      <x:c r="K37" s="2" t="n">
        <x:v>292</x:v>
      </x:c>
      <x:c r="L37" s="2" t="n">
        <x:v>987</x:v>
      </x:c>
    </x:row>
    <x:row r="38" ht="24" customHeight="1">
      <x:c r="A38" s="2" t="n">
        <x:v>37</x:v>
      </x:c>
      <x:c r="B38" s="2" t="n">
        <x:v>2</x:v>
      </x:c>
      <x:c r="C38" s="12" t="n">
        <x:v>119472.0000000149</x:v>
      </x:c>
      <x:c r="D38" s="12" t="n">
        <x:v>80195.0000000149</x:v>
      </x:c>
      <x:c r="E38" s="12" t="n">
        <x:v>39061.666666671634</x:v>
      </x:c>
      <x:c r="F38" s="12" t="n">
        <x:v>35231.9999999851</x:v>
      </x:c>
      <x:c r="G38" s="12" t="n">
        <x:v>40755</x:v>
      </x:c>
      <x:c r="H38" s="12" t="n">
        <x:v>39277</x:v>
      </x:c>
      <x:c r="I38" s="12" t="n">
        <x:v>4102</x:v>
      </x:c>
      <x:c r="J38" s="12" t="n">
        <x:v>106.00000002980232</x:v>
      </x:c>
      <x:c r="K38" s="2" t="n">
        <x:v>292</x:v>
      </x:c>
      <x:c r="L38" s="2" t="n">
        <x:v>983</x:v>
      </x:c>
    </x:row>
    <x:row r="39" ht="24" customHeight="1">
      <x:c r="A39" s="2" t="n">
        <x:v>38</x:v>
      </x:c>
      <x:c r="B39" s="2" t="n">
        <x:v>2</x:v>
      </x:c>
      <x:c r="C39" s="12" t="n">
        <x:v>119469.9999999851</x:v>
      </x:c>
      <x:c r="D39" s="12" t="n">
        <x:v>67917.9999999851</x:v>
      </x:c>
      <x:c r="E39" s="12" t="n">
        <x:v>51338.666666671634</x:v>
      </x:c>
      <x:c r="F39" s="12" t="n">
        <x:v>34900</x:v>
      </x:c>
      <x:c r="G39" s="12" t="n">
        <x:v>28809.9999999851</x:v>
      </x:c>
      <x:c r="H39" s="12" t="n">
        <x:v>51552</x:v>
      </x:c>
      <x:c r="I39" s="12" t="n">
        <x:v>4101.999999985099</x:v>
      </x:c>
      <x:c r="J39" s="12" t="n">
        <x:v>106.00000001490116</x:v>
      </x:c>
      <x:c r="K39" s="2" t="n">
        <x:v>292</x:v>
      </x:c>
      <x:c r="L39" s="2" t="n">
        <x:v>979</x:v>
      </x:c>
    </x:row>
    <x:row r="40" ht="24" customHeight="1">
      <x:c r="A40" s="2" t="n">
        <x:v>39</x:v>
      </x:c>
      <x:c r="B40" s="2" t="n">
        <x:v>2</x:v>
      </x:c>
      <x:c r="C40" s="12" t="n">
        <x:v>119471.0000000298</x:v>
      </x:c>
      <x:c r="D40" s="12" t="n">
        <x:v>76249.0000000149</x:v>
      </x:c>
      <x:c r="E40" s="12" t="n">
        <x:v>43009.666666671634</x:v>
      </x:c>
      <x:c r="F40" s="12" t="n">
        <x:v>31286.0000000149</x:v>
      </x:c>
      <x:c r="G40" s="12" t="n">
        <x:v>40754.9999999851</x:v>
      </x:c>
      <x:c r="H40" s="12" t="n">
        <x:v>43222.0000000149</x:v>
      </x:c>
      <x:c r="I40" s="12" t="n">
        <x:v>4101.999999985099</x:v>
      </x:c>
      <x:c r="J40" s="12" t="n">
        <x:v>106.00000002980232</x:v>
      </x:c>
      <x:c r="K40" s="2" t="n">
        <x:v>292</x:v>
      </x:c>
      <x:c r="L40" s="2" t="n">
        <x:v>975</x:v>
      </x:c>
    </x:row>
    <x:row r="41" ht="24" customHeight="1">
      <x:c r="A41" s="2" t="n">
        <x:v>40</x:v>
      </x:c>
      <x:c r="B41" s="2" t="n">
        <x:v>2</x:v>
      </x:c>
      <x:c r="C41" s="12" t="n">
        <x:v>119473.9999999702</x:v>
      </x:c>
      <x:c r="D41" s="12" t="n">
        <x:v>67446.9999999553</x:v>
      </x:c>
      <x:c r="E41" s="12" t="n">
        <x:v>51812.666666671634</x:v>
      </x:c>
      <x:c r="F41" s="12" t="n">
        <x:v>33939.0000000149</x:v>
      </x:c>
      <x:c r="G41" s="12" t="n">
        <x:v>29300</x:v>
      </x:c>
      <x:c r="H41" s="12" t="n">
        <x:v>52027.0000000149</x:v>
      </x:c>
      <x:c r="I41" s="12" t="n">
        <x:v>4101.999999985099</x:v>
      </x:c>
      <x:c r="J41" s="12" t="n">
        <x:v>105.99999995529652</x:v>
      </x:c>
      <x:c r="K41" s="2" t="n">
        <x:v>292</x:v>
      </x:c>
      <x:c r="L41" s="2" t="n">
        <x:v>971</x:v>
      </x:c>
    </x:row>
    <x:row r="42" ht="24" customHeight="1">
      <x:c r="A42" s="2" t="n">
        <x:v>41</x:v>
      </x:c>
      <x:c r="B42" s="2" t="n">
        <x:v>2</x:v>
      </x:c>
      <x:c r="C42" s="12" t="n">
        <x:v>119470.0000000149</x:v>
      </x:c>
      <x:c r="D42" s="12" t="n">
        <x:v>80663.0000000298</x:v>
      </x:c>
      <x:c r="E42" s="12" t="n">
        <x:v>38594.666666671634</x:v>
      </x:c>
      <x:c r="F42" s="12" t="n">
        <x:v>35210</x:v>
      </x:c>
      <x:c r="G42" s="12" t="n">
        <x:v>41244.9999999851</x:v>
      </x:c>
      <x:c r="H42" s="12" t="n">
        <x:v>38806.9999999851</x:v>
      </x:c>
      <x:c r="I42" s="12" t="n">
        <x:v>4102</x:v>
      </x:c>
      <x:c r="J42" s="12" t="n">
        <x:v>106.00000004470348</x:v>
      </x:c>
      <x:c r="K42" s="2" t="n">
        <x:v>292</x:v>
      </x:c>
      <x:c r="L42" s="2" t="n">
        <x:v>967</x:v>
      </x:c>
    </x:row>
    <x:row r="43" ht="24" customHeight="1">
      <x:c r="A43" s="2" t="n">
        <x:v>42</x:v>
      </x:c>
      <x:c r="B43" s="2" t="n">
        <x:v>2</x:v>
      </x:c>
      <x:c r="C43" s="12" t="n">
        <x:v>119472.9999999851</x:v>
      </x:c>
      <x:c r="D43" s="12" t="n">
        <x:v>67235.9999999851</x:v>
      </x:c>
      <x:c r="E43" s="12" t="n">
        <x:v>52023.666666671634</x:v>
      </x:c>
      <x:c r="F43" s="12" t="n">
        <x:v>34230</x:v>
      </x:c>
      <x:c r="G43" s="12" t="n">
        <x:v>28798</x:v>
      </x:c>
      <x:c r="H43" s="12" t="n">
        <x:v>52237</x:v>
      </x:c>
      <x:c r="I43" s="12" t="n">
        <x:v>4102.000000014901</x:v>
      </x:c>
      <x:c r="J43" s="12" t="n">
        <x:v>105.99999997019768</x:v>
      </x:c>
      <x:c r="K43" s="2" t="n">
        <x:v>292</x:v>
      </x:c>
      <x:c r="L43" s="2" t="n">
        <x:v>963</x:v>
      </x:c>
    </x:row>
    <x:row r="44" ht="24" customHeight="1">
      <x:c r="A44" s="2" t="n">
        <x:v>43</x:v>
      </x:c>
      <x:c r="B44" s="2" t="n">
        <x:v>2</x:v>
      </x:c>
      <x:c r="C44" s="12" t="n">
        <x:v>119472.0000000149</x:v>
      </x:c>
      <x:c r="D44" s="12" t="n">
        <x:v>78120.0000000149</x:v>
      </x:c>
      <x:c r="E44" s="12" t="n">
        <x:v>41138.666666671634</x:v>
      </x:c>
      <x:c r="F44" s="12" t="n">
        <x:v>33143</x:v>
      </x:c>
      <x:c r="G44" s="12" t="n">
        <x:v>40769</x:v>
      </x:c>
      <x:c r="H44" s="12" t="n">
        <x:v>41352</x:v>
      </x:c>
      <x:c r="I44" s="12" t="n">
        <x:v>4102.000000014901</x:v>
      </x:c>
      <x:c r="J44" s="12" t="n">
        <x:v>106</x:v>
      </x:c>
      <x:c r="K44" s="2" t="n">
        <x:v>292</x:v>
      </x:c>
      <x:c r="L44" s="2" t="n">
        <x:v>959</x:v>
      </x:c>
    </x:row>
    <x:row r="45" ht="24" customHeight="1">
      <x:c r="A45" s="2" t="n">
        <x:v>44</x:v>
      </x:c>
      <x:c r="B45" s="2" t="n">
        <x:v>2</x:v>
      </x:c>
      <x:c r="C45" s="12" t="n">
        <x:v>119470.9999999851</x:v>
      </x:c>
      <x:c r="D45" s="12" t="n">
        <x:v>67528.9999999702</x:v>
      </x:c>
      <x:c r="E45" s="12" t="n">
        <x:v>51729.666666671634</x:v>
      </x:c>
      <x:c r="F45" s="12" t="n">
        <x:v>34523</x:v>
      </x:c>
      <x:c r="G45" s="12" t="n">
        <x:v>28798</x:v>
      </x:c>
      <x:c r="H45" s="12" t="n">
        <x:v>51942.0000000149</x:v>
      </x:c>
      <x:c r="I45" s="12" t="n">
        <x:v>4102.000000014901</x:v>
      </x:c>
      <x:c r="J45" s="12" t="n">
        <x:v>105.99999995529652</x:v>
      </x:c>
      <x:c r="K45" s="2" t="n">
        <x:v>292</x:v>
      </x:c>
      <x:c r="L45" s="2" t="n">
        <x:v>955</x:v>
      </x:c>
    </x:row>
    <x:row r="46" ht="24" customHeight="1">
      <x:c r="A46" s="2" t="n">
        <x:v>45</x:v>
      </x:c>
      <x:c r="B46" s="2" t="n">
        <x:v>2</x:v>
      </x:c>
      <x:c r="C46" s="12" t="n">
        <x:v>122295</x:v>
      </x:c>
      <x:c r="D46" s="12" t="n">
        <x:v>85808</x:v>
      </x:c>
      <x:c r="E46" s="12" t="n">
        <x:v>36272.666666671634</x:v>
      </x:c>
      <x:c r="F46" s="12" t="n">
        <x:v>38010</x:v>
      </x:c>
      <x:c r="G46" s="12" t="n">
        <x:v>40769.0000000149</x:v>
      </x:c>
      <x:c r="H46" s="12" t="n">
        <x:v>36487</x:v>
      </x:c>
      <x:c r="I46" s="12" t="n">
        <x:v>6923.000000014901</x:v>
      </x:c>
      <x:c r="J46" s="12" t="n">
        <x:v>105.99999997019768</x:v>
      </x:c>
      <x:c r="K46" s="2" t="n">
        <x:v>292</x:v>
      </x:c>
      <x:c r="L46" s="2" t="n">
        <x:v>951</x:v>
      </x:c>
    </x:row>
    <x:row r="47" ht="24" customHeight="1">
      <x:c r="A47" s="2" t="n">
        <x:v>46</x:v>
      </x:c>
      <x:c r="B47" s="2" t="n">
        <x:v>2</x:v>
      </x:c>
      <x:c r="C47" s="12" t="n">
        <x:v>116649.0000000149</x:v>
      </x:c>
      <x:c r="D47" s="12" t="n">
        <x:v>67332</x:v>
      </x:c>
      <x:c r="E47" s="12" t="n">
        <x:v>49104.666666671634</x:v>
      </x:c>
      <x:c r="F47" s="12" t="n">
        <x:v>34326</x:v>
      </x:c>
      <x:c r="G47" s="12" t="n">
        <x:v>28798.0000000149</x:v>
      </x:c>
      <x:c r="H47" s="12" t="n">
        <x:v>49317.0000000149</x:v>
      </x:c>
      <x:c r="I47" s="12" t="n">
        <x:v>4101.999999985099</x:v>
      </x:c>
      <x:c r="J47" s="12" t="n">
        <x:v>106</x:v>
      </x:c>
      <x:c r="K47" s="2" t="n">
        <x:v>292</x:v>
      </x:c>
      <x:c r="L47" s="2" t="n">
        <x:v>947</x:v>
      </x:c>
    </x:row>
    <x:row r="48" ht="24" customHeight="1">
      <x:c r="A48" s="2" t="n">
        <x:v>47</x:v>
      </x:c>
      <x:c r="B48" s="2" t="n">
        <x:v>2</x:v>
      </x:c>
      <x:c r="C48" s="12" t="n">
        <x:v>119476</x:v>
      </x:c>
      <x:c r="D48" s="12" t="n">
        <x:v>78244</x:v>
      </x:c>
      <x:c r="E48" s="12" t="n">
        <x:v>41015.666666671634</x:v>
      </x:c>
      <x:c r="F48" s="12" t="n">
        <x:v>33267</x:v>
      </x:c>
      <x:c r="G48" s="12" t="n">
        <x:v>40769</x:v>
      </x:c>
      <x:c r="H48" s="12" t="n">
        <x:v>41232</x:v>
      </x:c>
      <x:c r="I48" s="12" t="n">
        <x:v>4101.999999985099</x:v>
      </x:c>
      <x:c r="J48" s="12" t="n">
        <x:v>106.00000001490116</x:v>
      </x:c>
      <x:c r="K48" s="2" t="n">
        <x:v>292</x:v>
      </x:c>
      <x:c r="L48" s="2" t="n">
        <x:v>943</x:v>
      </x:c>
    </x:row>
    <x:row r="49" ht="24" customHeight="1">
      <x:c r="A49" s="2" t="n">
        <x:v>48</x:v>
      </x:c>
      <x:c r="B49" s="2" t="n">
        <x:v>2</x:v>
      </x:c>
      <x:c r="C49" s="12" t="n">
        <x:v>119471</x:v>
      </x:c>
      <x:c r="D49" s="12" t="n">
        <x:v>68214.0000000149</x:v>
      </x:c>
      <x:c r="E49" s="12" t="n">
        <x:v>51041.666666671634</x:v>
      </x:c>
      <x:c r="F49" s="12" t="n">
        <x:v>34685</x:v>
      </x:c>
      <x:c r="G49" s="12" t="n">
        <x:v>29320.9999999851</x:v>
      </x:c>
      <x:c r="H49" s="12" t="n">
        <x:v>51256.9999999851</x:v>
      </x:c>
      <x:c r="I49" s="12" t="n">
        <x:v>4102.000000014901</x:v>
      </x:c>
      <x:c r="J49" s="12" t="n">
        <x:v>106.00000001490116</x:v>
      </x:c>
      <x:c r="K49" s="2" t="n">
        <x:v>292</x:v>
      </x:c>
      <x:c r="L49" s="2" t="n">
        <x:v>939</x:v>
      </x:c>
    </x:row>
    <x:row r="50" ht="24" customHeight="1">
      <x:c r="A50" s="2" t="n">
        <x:v>49</x:v>
      </x:c>
      <x:c r="B50" s="2" t="n">
        <x:v>2</x:v>
      </x:c>
      <x:c r="C50" s="12" t="n">
        <x:v>117919.9999999851</x:v>
      </x:c>
      <x:c r="D50" s="12" t="n">
        <x:v>115947.9999999702</x:v>
      </x:c>
      <x:c r="E50" s="12" t="n">
        <x:v>1756.6666666716337</x:v>
      </x:c>
      <x:c r="F50" s="12" t="n">
        <x:v>33918</x:v>
      </x:c>
      <x:c r="G50" s="12" t="n">
        <x:v>79374.0000000149</x:v>
      </x:c>
      <x:c r="H50" s="12" t="n">
        <x:v>1972.0000000149012</x:v>
      </x:c>
      <x:c r="I50" s="12" t="n">
        <x:v>2549.999999985099</x:v>
      </x:c>
      <x:c r="J50" s="12" t="n">
        <x:v>105.99999997019768</x:v>
      </x:c>
      <x:c r="K50" s="2" t="n">
        <x:v>296</x:v>
      </x:c>
      <x:c r="L50" s="2" t="n">
        <x:v>939</x:v>
      </x:c>
    </x:row>
    <x:row r="51" ht="24" customHeight="1">
      <x:c r="A51" s="2" t="n">
        <x:v>50</x:v>
      </x:c>
      <x:c r="B51" s="2" t="n">
        <x:v>2</x:v>
      </x:c>
      <x:c r="C51" s="12" t="n">
        <x:v>119473.0000000149</x:v>
      </x:c>
      <x:c r="D51" s="12" t="n">
        <x:v>68431.0000000149</x:v>
      </x:c>
      <x:c r="E51" s="12" t="n">
        <x:v>50825.666666671634</x:v>
      </x:c>
      <x:c r="F51" s="12" t="n">
        <x:v>34185.0000000149</x:v>
      </x:c>
      <x:c r="G51" s="12" t="n">
        <x:v>31589.9999999851</x:v>
      </x:c>
      <x:c r="H51" s="12" t="n">
        <x:v>51042</x:v>
      </x:c>
      <x:c r="I51" s="12" t="n">
        <x:v>2550.000000014901</x:v>
      </x:c>
      <x:c r="J51" s="12" t="n">
        <x:v>106</x:v>
      </x:c>
      <x:c r="K51" s="2" t="n">
        <x:v>300</x:v>
      </x:c>
      <x:c r="L51" s="2" t="n">
        <x:v>939</x:v>
      </x:c>
    </x:row>
    <x:row r="52" ht="24" customHeight="1">
      <x:c r="A52" s="2" t="n">
        <x:v>51</x:v>
      </x:c>
      <x:c r="B52" s="2" t="n">
        <x:v>2</x:v>
      </x:c>
      <x:c r="C52" s="12" t="n">
        <x:v>119472</x:v>
      </x:c>
      <x:c r="D52" s="12" t="n">
        <x:v>84550</x:v>
      </x:c>
      <x:c r="E52" s="12" t="n">
        <x:v>34705.666666671634</x:v>
      </x:c>
      <x:c r="F52" s="12" t="n">
        <x:v>31327</x:v>
      </x:c>
      <x:c r="G52" s="12" t="n">
        <x:v>50566.9999999851</x:v>
      </x:c>
      <x:c r="H52" s="12" t="n">
        <x:v>34922</x:v>
      </x:c>
      <x:c r="I52" s="12" t="n">
        <x:v>2549.999999985099</x:v>
      </x:c>
      <x:c r="J52" s="12" t="n">
        <x:v>106.00000002980232</x:v>
      </x:c>
      <x:c r="K52" s="2" t="n">
        <x:v>304</x:v>
      </x:c>
      <x:c r="L52" s="2" t="n">
        <x:v>939</x:v>
      </x:c>
    </x:row>
    <x:row r="53" ht="24" customHeight="1">
      <x:c r="A53" s="2" t="n">
        <x:v>52</x:v>
      </x:c>
      <x:c r="B53" s="2" t="n">
        <x:v>2</x:v>
      </x:c>
      <x:c r="C53" s="12" t="n">
        <x:v>119471.9999999851</x:v>
      </x:c>
      <x:c r="D53" s="12" t="n">
        <x:v>66329.9999999851</x:v>
      </x:c>
      <x:c r="E53" s="12" t="n">
        <x:v>52925.666666671634</x:v>
      </x:c>
      <x:c r="F53" s="12" t="n">
        <x:v>32084</x:v>
      </x:c>
      <x:c r="G53" s="12" t="n">
        <x:v>31590</x:v>
      </x:c>
      <x:c r="H53" s="12" t="n">
        <x:v>53142</x:v>
      </x:c>
      <x:c r="I53" s="12" t="n">
        <x:v>2550.000000014901</x:v>
      </x:c>
      <x:c r="J53" s="12" t="n">
        <x:v>105.99999997019768</x:v>
      </x:c>
      <x:c r="K53" s="2" t="n">
        <x:v>308</x:v>
      </x:c>
      <x:c r="L53" s="2" t="n">
        <x:v>939</x:v>
      </x:c>
    </x:row>
    <x:row r="54" ht="24" customHeight="1">
      <x:c r="A54" s="2" t="n">
        <x:v>53</x:v>
      </x:c>
      <x:c r="B54" s="2" t="n">
        <x:v>2</x:v>
      </x:c>
      <x:c r="C54" s="12" t="n">
        <x:v>119471</x:v>
      </x:c>
      <x:c r="D54" s="12" t="n">
        <x:v>88843.9999999851</x:v>
      </x:c>
      <x:c r="E54" s="12" t="n">
        <x:v>30411.666666671634</x:v>
      </x:c>
      <x:c r="F54" s="12" t="n">
        <x:v>34030</x:v>
      </x:c>
      <x:c r="G54" s="12" t="n">
        <x:v>52158.0000000149</x:v>
      </x:c>
      <x:c r="H54" s="12" t="n">
        <x:v>30627.0000000149</x:v>
      </x:c>
      <x:c r="I54" s="12" t="n">
        <x:v>2550</x:v>
      </x:c>
      <x:c r="J54" s="12" t="n">
        <x:v>105.99999997019768</x:v>
      </x:c>
      <x:c r="K54" s="2" t="n">
        <x:v>312</x:v>
      </x:c>
      <x:c r="L54" s="2" t="n">
        <x:v>939</x:v>
      </x:c>
    </x:row>
    <x:row r="55" ht="24" customHeight="1">
      <x:c r="A55" s="2" t="n">
        <x:v>54</x:v>
      </x:c>
      <x:c r="B55" s="2" t="n">
        <x:v>2</x:v>
      </x:c>
      <x:c r="C55" s="12" t="n">
        <x:v>119472.0000000149</x:v>
      </x:c>
      <x:c r="D55" s="12" t="n">
        <x:v>68060.0000000149</x:v>
      </x:c>
      <x:c r="E55" s="12" t="n">
        <x:v>51196.666666671634</x:v>
      </x:c>
      <x:c r="F55" s="12" t="n">
        <x:v>33814</x:v>
      </x:c>
      <x:c r="G55" s="12" t="n">
        <x:v>31589.9999999851</x:v>
      </x:c>
      <x:c r="H55" s="12" t="n">
        <x:v>51412</x:v>
      </x:c>
      <x:c r="I55" s="12" t="n">
        <x:v>2550.000000014901</x:v>
      </x:c>
      <x:c r="J55" s="12" t="n">
        <x:v>106.00000001490116</x:v>
      </x:c>
      <x:c r="K55" s="2" t="n">
        <x:v>316</x:v>
      </x:c>
      <x:c r="L55" s="2" t="n">
        <x:v>939</x:v>
      </x:c>
    </x:row>
    <x:row r="56" ht="24" customHeight="1">
      <x:c r="A56" s="2" t="n">
        <x:v>55</x:v>
      </x:c>
      <x:c r="B56" s="2" t="n">
        <x:v>2</x:v>
      </x:c>
      <x:c r="C56" s="12" t="n">
        <x:v>119472</x:v>
      </x:c>
      <x:c r="D56" s="12" t="n">
        <x:v>84245.0000000149</x:v>
      </x:c>
      <x:c r="E56" s="12" t="n">
        <x:v>35011.666666671634</x:v>
      </x:c>
      <x:c r="F56" s="12" t="n">
        <x:v>32004</x:v>
      </x:c>
      <x:c r="G56" s="12" t="n">
        <x:v>49584.9999999851</x:v>
      </x:c>
      <x:c r="H56" s="12" t="n">
        <x:v>35226.9999999851</x:v>
      </x:c>
      <x:c r="I56" s="12" t="n">
        <x:v>2550</x:v>
      </x:c>
      <x:c r="J56" s="12" t="n">
        <x:v>106.00000002980232</x:v>
      </x:c>
      <x:c r="K56" s="2" t="n">
        <x:v>320</x:v>
      </x:c>
      <x:c r="L56" s="2" t="n">
        <x:v>939</x:v>
      </x:c>
    </x:row>
    <x:row r="57" ht="24" customHeight="1">
      <x:c r="A57" s="2" t="n">
        <x:v>56</x:v>
      </x:c>
      <x:c r="B57" s="2" t="n">
        <x:v>2</x:v>
      </x:c>
      <x:c r="C57" s="12" t="n">
        <x:v>119472.9999999851</x:v>
      </x:c>
      <x:c r="D57" s="12" t="n">
        <x:v>65365.9999999851</x:v>
      </x:c>
      <x:c r="E57" s="12" t="n">
        <x:v>53890.666666671634</x:v>
      </x:c>
      <x:c r="F57" s="12" t="n">
        <x:v>33202.9999999851</x:v>
      </x:c>
      <x:c r="G57" s="12" t="n">
        <x:v>29506.9999999851</x:v>
      </x:c>
      <x:c r="H57" s="12" t="n">
        <x:v>54107</x:v>
      </x:c>
      <x:c r="I57" s="12" t="n">
        <x:v>2550.000000014901</x:v>
      </x:c>
      <x:c r="J57" s="12" t="n">
        <x:v>106</x:v>
      </x:c>
      <x:c r="K57" s="2" t="n">
        <x:v>324</x:v>
      </x:c>
      <x:c r="L57" s="2" t="n">
        <x:v>939</x:v>
      </x:c>
    </x:row>
    <x:row r="58" ht="24" customHeight="1">
      <x:c r="A58" s="2" t="n">
        <x:v>57</x:v>
      </x:c>
      <x:c r="B58" s="2" t="n">
        <x:v>2</x:v>
      </x:c>
      <x:c r="C58" s="12" t="n">
        <x:v>119472.0000000149</x:v>
      </x:c>
      <x:c r="D58" s="12" t="n">
        <x:v>84265.0000000298</x:v>
      </x:c>
      <x:c r="E58" s="12" t="n">
        <x:v>34990.666666671634</x:v>
      </x:c>
      <x:c r="F58" s="12" t="n">
        <x:v>33125</x:v>
      </x:c>
      <x:c r="G58" s="12" t="n">
        <x:v>48483.9999999851</x:v>
      </x:c>
      <x:c r="H58" s="12" t="n">
        <x:v>35206.9999999851</x:v>
      </x:c>
      <x:c r="I58" s="12" t="n">
        <x:v>2550</x:v>
      </x:c>
      <x:c r="J58" s="12" t="n">
        <x:v>106.00000004470348</x:v>
      </x:c>
      <x:c r="K58" s="2" t="n">
        <x:v>328</x:v>
      </x:c>
      <x:c r="L58" s="2" t="n">
        <x:v>939</x:v>
      </x:c>
    </x:row>
    <x:row r="59" ht="24" customHeight="1">
      <x:c r="A59" s="2" t="n">
        <x:v>58</x:v>
      </x:c>
      <x:c r="B59" s="2" t="n">
        <x:v>2</x:v>
      </x:c>
      <x:c r="C59" s="12" t="n">
        <x:v>119469.9999999851</x:v>
      </x:c>
      <x:c r="D59" s="12" t="n">
        <x:v>64632.9999999851</x:v>
      </x:c>
      <x:c r="E59" s="12" t="n">
        <x:v>54622.666666671634</x:v>
      </x:c>
      <x:c r="F59" s="12" t="n">
        <x:v>32971.9999999851</x:v>
      </x:c>
      <x:c r="G59" s="12" t="n">
        <x:v>29005.0000000149</x:v>
      </x:c>
      <x:c r="H59" s="12" t="n">
        <x:v>54837</x:v>
      </x:c>
      <x:c r="I59" s="12" t="n">
        <x:v>2550</x:v>
      </x:c>
      <x:c r="J59" s="12" t="n">
        <x:v>105.99999998509884</x:v>
      </x:c>
      <x:c r="K59" s="2" t="n">
        <x:v>332</x:v>
      </x:c>
      <x:c r="L59" s="2" t="n">
        <x:v>939</x:v>
      </x:c>
    </x:row>
    <x:row r="60" ht="24" customHeight="1">
      <x:c r="A60" s="2" t="n">
        <x:v>59</x:v>
      </x:c>
      <x:c r="B60" s="2" t="n">
        <x:v>2</x:v>
      </x:c>
      <x:c r="C60" s="12" t="n">
        <x:v>119471.0000000298</x:v>
      </x:c>
      <x:c r="D60" s="12" t="n">
        <x:v>82639.0000000298</x:v>
      </x:c>
      <x:c r="E60" s="12" t="n">
        <x:v>36618.666666671634</x:v>
      </x:c>
      <x:c r="F60" s="12" t="n">
        <x:v>32001.0000000149</x:v>
      </x:c>
      <x:c r="G60" s="12" t="n">
        <x:v>47982</x:v>
      </x:c>
      <x:c r="H60" s="12" t="n">
        <x:v>36832</x:v>
      </x:c>
      <x:c r="I60" s="12" t="n">
        <x:v>2549.999999985099</x:v>
      </x:c>
      <x:c r="J60" s="12" t="n">
        <x:v>106.00000002980232</x:v>
      </x:c>
      <x:c r="K60" s="2" t="n">
        <x:v>336</x:v>
      </x:c>
      <x:c r="L60" s="2" t="n">
        <x:v>939</x:v>
      </x:c>
    </x:row>
    <x:row r="61" ht="24" customHeight="1">
      <x:c r="A61" s="2" t="n">
        <x:v>60</x:v>
      </x:c>
      <x:c r="B61" s="2" t="n">
        <x:v>2</x:v>
      </x:c>
      <x:c r="C61" s="12" t="n">
        <x:v>119470.9999999851</x:v>
      </x:c>
      <x:c r="D61" s="12" t="n">
        <x:v>64928.9999999851</x:v>
      </x:c>
      <x:c r="E61" s="12" t="n">
        <x:v>54329.666666671634</x:v>
      </x:c>
      <x:c r="F61" s="12" t="n">
        <x:v>33268.0000000149</x:v>
      </x:c>
      <x:c r="G61" s="12" t="n">
        <x:v>29005</x:v>
      </x:c>
      <x:c r="H61" s="12" t="n">
        <x:v>54542</x:v>
      </x:c>
      <x:c r="I61" s="12" t="n">
        <x:v>2549.999999985099</x:v>
      </x:c>
      <x:c r="J61" s="12" t="n">
        <x:v>105.99999998509884</x:v>
      </x:c>
      <x:c r="K61" s="2" t="n">
        <x:v>340</x:v>
      </x:c>
      <x:c r="L61" s="2" t="n">
        <x:v>939</x:v>
      </x:c>
    </x:row>
    <x:row r="62" ht="24" customHeight="1">
      <x:c r="A62" s="2" t="n">
        <x:v>61</x:v>
      </x:c>
      <x:c r="B62" s="2" t="n">
        <x:v>2</x:v>
      </x:c>
      <x:c r="C62" s="12" t="n">
        <x:v>119474.9999999851</x:v>
      </x:c>
      <x:c r="D62" s="12" t="n">
        <x:v>91152.9999999702</x:v>
      </x:c>
      <x:c r="E62" s="12" t="n">
        <x:v>28106.666666671634</x:v>
      </x:c>
      <x:c r="F62" s="12" t="n">
        <x:v>40515.0000000149</x:v>
      </x:c>
      <x:c r="G62" s="12" t="n">
        <x:v>47982</x:v>
      </x:c>
      <x:c r="H62" s="12" t="n">
        <x:v>28322.0000000149</x:v>
      </x:c>
      <x:c r="I62" s="12" t="n">
        <x:v>2550.000000014901</x:v>
      </x:c>
      <x:c r="J62" s="12" t="n">
        <x:v>105.99999994039536</x:v>
      </x:c>
      <x:c r="K62" s="2" t="n">
        <x:v>344</x:v>
      </x:c>
      <x:c r="L62" s="2" t="n">
        <x:v>939</x:v>
      </x:c>
    </x:row>
    <x:row r="63" ht="24" customHeight="1">
      <x:c r="A63" s="2" t="n">
        <x:v>62</x:v>
      </x:c>
      <x:c r="B63" s="2" t="n">
        <x:v>2</x:v>
      </x:c>
      <x:c r="C63" s="12" t="n">
        <x:v>119472.0000000149</x:v>
      </x:c>
      <x:c r="D63" s="12" t="n">
        <x:v>67280.0000000149</x:v>
      </x:c>
      <x:c r="E63" s="12" t="n">
        <x:v>51976.666666671634</x:v>
      </x:c>
      <x:c r="F63" s="12" t="n">
        <x:v>35619</x:v>
      </x:c>
      <x:c r="G63" s="12" t="n">
        <x:v>29005</x:v>
      </x:c>
      <x:c r="H63" s="12" t="n">
        <x:v>52192</x:v>
      </x:c>
      <x:c r="I63" s="12" t="n">
        <x:v>2550</x:v>
      </x:c>
      <x:c r="J63" s="12" t="n">
        <x:v>106.00000001490116</x:v>
      </x:c>
      <x:c r="K63" s="2" t="n">
        <x:v>348</x:v>
      </x:c>
      <x:c r="L63" s="2" t="n">
        <x:v>939</x:v>
      </x:c>
    </x:row>
    <x:row r="64" ht="24" customHeight="1">
      <x:c r="A64" s="2" t="n">
        <x:v>63</x:v>
      </x:c>
      <x:c r="B64" s="2" t="n">
        <x:v>2</x:v>
      </x:c>
      <x:c r="C64" s="12" t="n">
        <x:v>119469.9999999851</x:v>
      </x:c>
      <x:c r="D64" s="12" t="n">
        <x:v>83927.9999999851</x:v>
      </x:c>
      <x:c r="E64" s="12" t="n">
        <x:v>35328.666666671634</x:v>
      </x:c>
      <x:c r="F64" s="12" t="n">
        <x:v>33289.9999999851</x:v>
      </x:c>
      <x:c r="G64" s="12" t="n">
        <x:v>47982</x:v>
      </x:c>
      <x:c r="H64" s="12" t="n">
        <x:v>35542</x:v>
      </x:c>
      <x:c r="I64" s="12" t="n">
        <x:v>2549.999999985099</x:v>
      </x:c>
      <x:c r="J64" s="12" t="n">
        <x:v>106.00000001490116</x:v>
      </x:c>
      <x:c r="K64" s="2" t="n">
        <x:v>352</x:v>
      </x:c>
      <x:c r="L64" s="2" t="n">
        <x:v>939</x:v>
      </x:c>
    </x:row>
    <x:row r="65" ht="24" customHeight="1">
      <x:c r="A65" s="2" t="n">
        <x:v>64</x:v>
      </x:c>
      <x:c r="B65" s="2" t="n">
        <x:v>2</x:v>
      </x:c>
      <x:c r="C65" s="12" t="n">
        <x:v>119471.0000000149</x:v>
      </x:c>
      <x:c r="D65" s="12" t="n">
        <x:v>67049.0000000149</x:v>
      </x:c>
      <x:c r="E65" s="12" t="n">
        <x:v>52209.666666671634</x:v>
      </x:c>
      <x:c r="F65" s="12" t="n">
        <x:v>34865</x:v>
      </x:c>
      <x:c r="G65" s="12" t="n">
        <x:v>29528.0000000149</x:v>
      </x:c>
      <x:c r="H65" s="12" t="n">
        <x:v>52422</x:v>
      </x:c>
      <x:c r="I65" s="12" t="n">
        <x:v>2549.999999985099</x:v>
      </x:c>
      <x:c r="J65" s="12" t="n">
        <x:v>106.00000001490116</x:v>
      </x:c>
      <x:c r="K65" s="2" t="n">
        <x:v>356</x:v>
      </x:c>
      <x:c r="L65" s="2" t="n">
        <x:v>939</x:v>
      </x:c>
    </x:row>
    <x:row r="66" ht="24" customHeight="1">
      <x:c r="A66" s="2" t="n">
        <x:v>65</x:v>
      </x:c>
      <x:c r="B66" s="2" t="n">
        <x:v>2</x:v>
      </x:c>
      <x:c r="C66" s="12" t="n">
        <x:v>119473.9999999851</x:v>
      </x:c>
      <x:c r="D66" s="12" t="n">
        <x:v>87156.9999999851</x:v>
      </x:c>
      <x:c r="E66" s="12" t="n">
        <x:v>32102.666666671634</x:v>
      </x:c>
      <x:c r="F66" s="12" t="n">
        <x:v>35996</x:v>
      </x:c>
      <x:c r="G66" s="12" t="n">
        <x:v>48505</x:v>
      </x:c>
      <x:c r="H66" s="12" t="n">
        <x:v>32317</x:v>
      </x:c>
      <x:c r="I66" s="12" t="n">
        <x:v>2549.999999985099</x:v>
      </x:c>
      <x:c r="J66" s="12" t="n">
        <x:v>106</x:v>
      </x:c>
      <x:c r="K66" s="2" t="n">
        <x:v>360</x:v>
      </x:c>
      <x:c r="L66" s="2" t="n">
        <x:v>939</x:v>
      </x:c>
    </x:row>
    <x:row r="67" ht="24" customHeight="1">
      <x:c r="A67" s="2" t="n">
        <x:v>66</x:v>
      </x:c>
      <x:c r="B67" s="2" t="n">
        <x:v>2</x:v>
      </x:c>
      <x:c r="C67" s="12" t="n">
        <x:v>119472</x:v>
      </x:c>
      <x:c r="D67" s="12" t="n">
        <x:v>71470</x:v>
      </x:c>
      <x:c r="E67" s="12" t="n">
        <x:v>47787.666666671634</x:v>
      </x:c>
      <x:c r="F67" s="12" t="n">
        <x:v>39797</x:v>
      </x:c>
      <x:c r="G67" s="12" t="n">
        <x:v>29017</x:v>
      </x:c>
      <x:c r="H67" s="12" t="n">
        <x:v>48002</x:v>
      </x:c>
      <x:c r="I67" s="12" t="n">
        <x:v>2550.000000014901</x:v>
      </x:c>
      <x:c r="J67" s="12" t="n">
        <x:v>105.99999998509884</x:v>
      </x:c>
      <x:c r="K67" s="2" t="n">
        <x:v>364</x:v>
      </x:c>
      <x:c r="L67" s="2" t="n">
        <x:v>939</x:v>
      </x:c>
    </x:row>
    <x:row r="68" ht="24" customHeight="1">
      <x:c r="A68" s="2" t="n">
        <x:v>67</x:v>
      </x:c>
      <x:c r="B68" s="2" t="n">
        <x:v>2</x:v>
      </x:c>
      <x:c r="C68" s="12" t="n">
        <x:v>121024.0000000149</x:v>
      </x:c>
      <x:c r="D68" s="12" t="n">
        <x:v>83747.0000000298</x:v>
      </x:c>
      <x:c r="E68" s="12" t="n">
        <x:v>37062.666666671634</x:v>
      </x:c>
      <x:c r="F68" s="12" t="n">
        <x:v>40819.9999999851</x:v>
      </x:c>
      <x:c r="G68" s="12" t="n">
        <x:v>38719.0000000149</x:v>
      </x:c>
      <x:c r="H68" s="12" t="n">
        <x:v>37276.9999999851</x:v>
      </x:c>
      <x:c r="I68" s="12" t="n">
        <x:v>4102</x:v>
      </x:c>
      <x:c r="J68" s="12" t="n">
        <x:v>106.00000002980232</x:v>
      </x:c>
      <x:c r="K68" s="2" t="n">
        <x:v>364</x:v>
      </x:c>
      <x:c r="L68" s="2" t="n">
        <x:v>935</x:v>
      </x:c>
    </x:row>
    <x:row r="69" ht="24" customHeight="1">
      <x:c r="A69" s="2" t="n">
        <x:v>68</x:v>
      </x:c>
      <x:c r="B69" s="2" t="n">
        <x:v>2</x:v>
      </x:c>
      <x:c r="C69" s="12" t="n">
        <x:v>119474</x:v>
      </x:c>
      <x:c r="D69" s="12" t="n">
        <x:v>96357.0000000149</x:v>
      </x:c>
      <x:c r="E69" s="12" t="n">
        <x:v>22900.666666671634</x:v>
      </x:c>
      <x:c r="F69" s="12" t="n">
        <x:v>36966</x:v>
      </x:c>
      <x:c r="G69" s="12" t="n">
        <x:v>55183.0000000149</x:v>
      </x:c>
      <x:c r="H69" s="12" t="n">
        <x:v>23116.9999999851</x:v>
      </x:c>
      <x:c r="I69" s="12" t="n">
        <x:v>4102</x:v>
      </x:c>
      <x:c r="J69" s="12" t="n">
        <x:v>106</x:v>
      </x:c>
      <x:c r="K69" s="2" t="n">
        <x:v>365</x:v>
      </x:c>
      <x:c r="L69" s="2" t="n">
        <x:v>931</x:v>
      </x:c>
    </x:row>
    <x:row r="70" ht="24" customHeight="1">
      <x:c r="A70" s="2" t="n">
        <x:v>69</x:v>
      </x:c>
      <x:c r="B70" s="2" t="n">
        <x:v>2</x:v>
      </x:c>
      <x:c r="C70" s="12" t="n">
        <x:v>119467.9999999851</x:v>
      </x:c>
      <x:c r="D70" s="12" t="n">
        <x:v>106075.9999999851</x:v>
      </x:c>
      <x:c r="E70" s="12" t="n">
        <x:v>13179.666666671634</x:v>
      </x:c>
      <x:c r="F70" s="12" t="n">
        <x:v>36631</x:v>
      </x:c>
      <x:c r="G70" s="12" t="n">
        <x:v>65237.0000000149</x:v>
      </x:c>
      <x:c r="H70" s="12" t="n">
        <x:v>13392</x:v>
      </x:c>
      <x:c r="I70" s="12" t="n">
        <x:v>4102.000000014901</x:v>
      </x:c>
      <x:c r="J70" s="12" t="n">
        <x:v>105.99999995529652</x:v>
      </x:c>
      <x:c r="K70" s="2" t="n">
        <x:v>365</x:v>
      </x:c>
      <x:c r="L70" s="2" t="n">
        <x:v>927</x:v>
      </x:c>
    </x:row>
    <x:row r="71" ht="24" customHeight="1">
      <x:c r="A71" s="2" t="n">
        <x:v>70</x:v>
      </x:c>
      <x:c r="B71" s="2" t="n">
        <x:v>2</x:v>
      </x:c>
      <x:c r="C71" s="12" t="n">
        <x:v>119476</x:v>
      </x:c>
      <x:c r="D71" s="12" t="n">
        <x:v>94909</x:v>
      </x:c>
      <x:c r="E71" s="12" t="n">
        <x:v>24350.666666671634</x:v>
      </x:c>
      <x:c r="F71" s="12" t="n">
        <x:v>36621</x:v>
      </x:c>
      <x:c r="G71" s="12" t="n">
        <x:v>54079.9999999851</x:v>
      </x:c>
      <x:c r="H71" s="12" t="n">
        <x:v>24567</x:v>
      </x:c>
      <x:c r="I71" s="12" t="n">
        <x:v>4102.000000014901</x:v>
      </x:c>
      <x:c r="J71" s="12" t="n">
        <x:v>106</x:v>
      </x:c>
      <x:c r="K71" s="2" t="n">
        <x:v>366</x:v>
      </x:c>
      <x:c r="L71" s="2" t="n">
        <x:v>923</x:v>
      </x:c>
    </x:row>
    <x:row r="72" ht="24" customHeight="1">
      <x:c r="A72" s="2" t="n">
        <x:v>71</x:v>
      </x:c>
      <x:c r="B72" s="2" t="n">
        <x:v>2</x:v>
      </x:c>
      <x:c r="C72" s="12" t="n">
        <x:v>119469</x:v>
      </x:c>
      <x:c r="D72" s="12" t="n">
        <x:v>107096.9999999851</x:v>
      </x:c>
      <x:c r="E72" s="12" t="n">
        <x:v>12158.666666671634</x:v>
      </x:c>
      <x:c r="F72" s="12" t="n">
        <x:v>36131</x:v>
      </x:c>
      <x:c r="G72" s="12" t="n">
        <x:v>66758.0000000149</x:v>
      </x:c>
      <x:c r="H72" s="12" t="n">
        <x:v>12372.000000014901</x:v>
      </x:c>
      <x:c r="I72" s="12" t="n">
        <x:v>4102.000000014901</x:v>
      </x:c>
      <x:c r="J72" s="12" t="n">
        <x:v>105.99999995529652</x:v>
      </x:c>
      <x:c r="K72" s="2" t="n">
        <x:v>366</x:v>
      </x:c>
      <x:c r="L72" s="2" t="n">
        <x:v>919</x:v>
      </x:c>
    </x:row>
    <x:row r="73" ht="24" customHeight="1">
      <x:c r="A73" s="2" t="n">
        <x:v>72</x:v>
      </x:c>
      <x:c r="B73" s="2" t="n">
        <x:v>2</x:v>
      </x:c>
      <x:c r="C73" s="12" t="n">
        <x:v>119474</x:v>
      </x:c>
      <x:c r="D73" s="12" t="n">
        <x:v>97017</x:v>
      </x:c>
      <x:c r="E73" s="12" t="n">
        <x:v>22241.666666671634</x:v>
      </x:c>
      <x:c r="F73" s="12" t="n">
        <x:v>37264.9999999851</x:v>
      </x:c>
      <x:c r="G73" s="12" t="n">
        <x:v>55543.9999999851</x:v>
      </x:c>
      <x:c r="H73" s="12" t="n">
        <x:v>22457</x:v>
      </x:c>
      <x:c r="I73" s="12" t="n">
        <x:v>4102.000000014901</x:v>
      </x:c>
      <x:c r="J73" s="12" t="n">
        <x:v>106.00000001490116</x:v>
      </x:c>
      <x:c r="K73" s="2" t="n">
        <x:v>367</x:v>
      </x:c>
      <x:c r="L73" s="2" t="n">
        <x:v>915</x:v>
      </x:c>
    </x:row>
    <x:row r="74" ht="24" customHeight="1">
      <x:c r="A74" s="2" t="n">
        <x:v>73</x:v>
      </x:c>
      <x:c r="B74" s="2" t="n">
        <x:v>2</x:v>
      </x:c>
      <x:c r="C74" s="12" t="n">
        <x:v>119470.0000000149</x:v>
      </x:c>
      <x:c r="D74" s="12" t="n">
        <x:v>113998.0000000149</x:v>
      </x:c>
      <x:c r="E74" s="12" t="n">
        <x:v>5258.666666671634</x:v>
      </x:c>
      <x:c r="F74" s="12" t="n">
        <x:v>42552</x:v>
      </x:c>
      <x:c r="G74" s="12" t="n">
        <x:v>67237.9999999851</x:v>
      </x:c>
      <x:c r="H74" s="12" t="n">
        <x:v>5472</x:v>
      </x:c>
      <x:c r="I74" s="12" t="n">
        <x:v>4101.999999985099</x:v>
      </x:c>
      <x:c r="J74" s="12" t="n">
        <x:v>106.00000004470348</x:v>
      </x:c>
      <x:c r="K74" s="2" t="n">
        <x:v>367</x:v>
      </x:c>
      <x:c r="L74" s="2" t="n">
        <x:v>911</x:v>
      </x:c>
    </x:row>
    <x:row r="75" ht="24" customHeight="1">
      <x:c r="A75" s="2" t="n">
        <x:v>74</x:v>
      </x:c>
      <x:c r="B75" s="2" t="n">
        <x:v>2</x:v>
      </x:c>
      <x:c r="C75" s="12" t="n">
        <x:v>119471.9999999851</x:v>
      </x:c>
      <x:c r="D75" s="12" t="n">
        <x:v>70419.9999999702</x:v>
      </x:c>
      <x:c r="E75" s="12" t="n">
        <x:v>48838.666666671634</x:v>
      </x:c>
      <x:c r="F75" s="12" t="n">
        <x:v>39086</x:v>
      </x:c>
      <x:c r="G75" s="12" t="n">
        <x:v>27126</x:v>
      </x:c>
      <x:c r="H75" s="12" t="n">
        <x:v>49052.0000000149</x:v>
      </x:c>
      <x:c r="I75" s="12" t="n">
        <x:v>4101.999999985099</x:v>
      </x:c>
      <x:c r="J75" s="12" t="n">
        <x:v>105.99999998509884</x:v>
      </x:c>
      <x:c r="K75" s="2" t="n">
        <x:v>367</x:v>
      </x:c>
      <x:c r="L75" s="2" t="n">
        <x:v>907</x:v>
      </x:c>
    </x:row>
    <x:row r="76" ht="24" customHeight="1">
      <x:c r="A76" s="2" t="n">
        <x:v>75</x:v>
      </x:c>
      <x:c r="B76" s="2" t="n">
        <x:v>2</x:v>
      </x:c>
      <x:c r="C76" s="12" t="n">
        <x:v>119474</x:v>
      </x:c>
      <x:c r="D76" s="12" t="n">
        <x:v>76377</x:v>
      </x:c>
      <x:c r="E76" s="12" t="n">
        <x:v>42881.666666671634</x:v>
      </x:c>
      <x:c r="F76" s="12" t="n">
        <x:v>33120</x:v>
      </x:c>
      <x:c r="G76" s="12" t="n">
        <x:v>39049</x:v>
      </x:c>
      <x:c r="H76" s="12" t="n">
        <x:v>43097</x:v>
      </x:c>
      <x:c r="I76" s="12" t="n">
        <x:v>4102.000000014901</x:v>
      </x:c>
      <x:c r="J76" s="12" t="n">
        <x:v>105.99999998509884</x:v>
      </x:c>
      <x:c r="K76" s="2" t="n">
        <x:v>367</x:v>
      </x:c>
      <x:c r="L76" s="2" t="n">
        <x:v>903</x:v>
      </x:c>
    </x:row>
    <x:row r="77" ht="24" customHeight="1">
      <x:c r="A77" s="2" t="n">
        <x:v>76</x:v>
      </x:c>
      <x:c r="B77" s="2" t="n">
        <x:v>2</x:v>
      </x:c>
      <x:c r="C77" s="12" t="n">
        <x:v>119473.0000000149</x:v>
      </x:c>
      <x:c r="D77" s="12" t="n">
        <x:v>65906.0000000149</x:v>
      </x:c>
      <x:c r="E77" s="12" t="n">
        <x:v>53350.666666671634</x:v>
      </x:c>
      <x:c r="F77" s="12" t="n">
        <x:v>34572</x:v>
      </x:c>
      <x:c r="G77" s="12" t="n">
        <x:v>27126.0000000149</x:v>
      </x:c>
      <x:c r="H77" s="12" t="n">
        <x:v>53567</x:v>
      </x:c>
      <x:c r="I77" s="12" t="n">
        <x:v>4101.999999985099</x:v>
      </x:c>
      <x:c r="J77" s="12" t="n">
        <x:v>106.00000001490116</x:v>
      </x:c>
      <x:c r="K77" s="2" t="n">
        <x:v>367</x:v>
      </x:c>
      <x:c r="L77" s="2" t="n">
        <x:v>899</x:v>
      </x:c>
    </x:row>
    <x:row r="78" ht="24" customHeight="1">
      <x:c r="A78" s="2" t="n">
        <x:v>77</x:v>
      </x:c>
      <x:c r="B78" s="2" t="n">
        <x:v>2</x:v>
      </x:c>
      <x:c r="C78" s="12" t="n">
        <x:v>119468</x:v>
      </x:c>
      <x:c r="D78" s="12" t="n">
        <x:v>80616.0000000149</x:v>
      </x:c>
      <x:c r="E78" s="12" t="n">
        <x:v>38639.666666671634</x:v>
      </x:c>
      <x:c r="F78" s="12" t="n">
        <x:v>37333</x:v>
      </x:c>
      <x:c r="G78" s="12" t="n">
        <x:v>39074.9999999851</x:v>
      </x:c>
      <x:c r="H78" s="12" t="n">
        <x:v>38851.9999999851</x:v>
      </x:c>
      <x:c r="I78" s="12" t="n">
        <x:v>4102</x:v>
      </x:c>
      <x:c r="J78" s="12" t="n">
        <x:v>106.00000002980232</x:v>
      </x:c>
      <x:c r="K78" s="2" t="n">
        <x:v>367</x:v>
      </x:c>
      <x:c r="L78" s="2" t="n">
        <x:v>895</x:v>
      </x:c>
    </x:row>
    <x:row r="79" ht="24" customHeight="1">
      <x:c r="A79" s="2" t="n">
        <x:v>78</x:v>
      </x:c>
      <x:c r="B79" s="2" t="n">
        <x:v>2</x:v>
      </x:c>
      <x:c r="C79" s="12" t="n">
        <x:v>117920</x:v>
      </x:c>
      <x:c r="D79" s="12" t="n">
        <x:v>116887.9999999851</x:v>
      </x:c>
      <x:c r="E79" s="12" t="n">
        <x:v>819.6666666716337</x:v>
      </x:c>
      <x:c r="F79" s="12" t="n">
        <x:v>36212</x:v>
      </x:c>
      <x:c r="G79" s="12" t="n">
        <x:v>78020.0000000149</x:v>
      </x:c>
      <x:c r="H79" s="12" t="n">
        <x:v>1032.0000000149012</x:v>
      </x:c>
      <x:c r="I79" s="12" t="n">
        <x:v>2549.999999985099</x:v>
      </x:c>
      <x:c r="J79" s="12" t="n">
        <x:v>105.99999998509884</x:v>
      </x:c>
      <x:c r="K79" s="2" t="n">
        <x:v>371</x:v>
      </x:c>
      <x:c r="L79" s="2" t="n">
        <x:v>895</x:v>
      </x:c>
    </x:row>
    <x:row r="80" ht="24" customHeight="1">
      <x:c r="A80" s="2" t="n">
        <x:v>79</x:v>
      </x:c>
      <x:c r="B80" s="2" t="n">
        <x:v>2</x:v>
      </x:c>
      <x:c r="C80" s="12" t="n">
        <x:v>121028</x:v>
      </x:c>
      <x:c r="D80" s="12" t="n">
        <x:v>87216</x:v>
      </x:c>
      <x:c r="E80" s="12" t="n">
        <x:v>33595.666666671634</x:v>
      </x:c>
      <x:c r="F80" s="12" t="n">
        <x:v>35490.0000000149</x:v>
      </x:c>
      <x:c r="G80" s="12" t="n">
        <x:v>47518</x:v>
      </x:c>
      <x:c r="H80" s="12" t="n">
        <x:v>33812</x:v>
      </x:c>
      <x:c r="I80" s="12" t="n">
        <x:v>4102</x:v>
      </x:c>
      <x:c r="J80" s="12" t="n">
        <x:v>105.99999998509884</x:v>
      </x:c>
      <x:c r="K80" s="2" t="n">
        <x:v>375</x:v>
      </x:c>
      <x:c r="L80" s="2" t="n">
        <x:v>894</x:v>
      </x:c>
    </x:row>
    <x:row r="81" ht="24" customHeight="1">
      <x:c r="A81" s="2" t="n">
        <x:v>80</x:v>
      </x:c>
      <x:c r="B81" s="2" t="n">
        <x:v>2</x:v>
      </x:c>
      <x:c r="C81" s="12" t="n">
        <x:v>117919</x:v>
      </x:c>
      <x:c r="D81" s="12" t="n">
        <x:v>111222</x:v>
      </x:c>
      <x:c r="E81" s="12" t="n">
        <x:v>6481.666666671634</x:v>
      </x:c>
      <x:c r="F81" s="12" t="n">
        <x:v>42373</x:v>
      </x:c>
      <x:c r="G81" s="12" t="n">
        <x:v>66193.0000000149</x:v>
      </x:c>
      <x:c r="H81" s="12" t="n">
        <x:v>6697</x:v>
      </x:c>
      <x:c r="I81" s="12" t="n">
        <x:v>2550</x:v>
      </x:c>
      <x:c r="J81" s="12" t="n">
        <x:v>105.99999998509884</x:v>
      </x:c>
      <x:c r="K81" s="2" t="n">
        <x:v>379</x:v>
      </x:c>
      <x:c r="L81" s="2" t="n">
        <x:v>894</x:v>
      </x:c>
    </x:row>
    <x:row r="82" ht="24" customHeight="1">
      <x:c r="A82" s="2" t="n">
        <x:v>81</x:v>
      </x:c>
      <x:c r="B82" s="2" t="n">
        <x:v>2</x:v>
      </x:c>
      <x:c r="C82" s="12" t="n">
        <x:v>121024.9999999851</x:v>
      </x:c>
      <x:c r="D82" s="12" t="n">
        <x:v>88707.9999999851</x:v>
      </x:c>
      <x:c r="E82" s="12" t="n">
        <x:v>32100.666666671634</x:v>
      </x:c>
      <x:c r="F82" s="12" t="n">
        <x:v>38575</x:v>
      </x:c>
      <x:c r="G82" s="12" t="n">
        <x:v>45925.0000000149</x:v>
      </x:c>
      <x:c r="H82" s="12" t="n">
        <x:v>32317</x:v>
      </x:c>
      <x:c r="I82" s="12" t="n">
        <x:v>4102.000000014901</x:v>
      </x:c>
      <x:c r="J82" s="12" t="n">
        <x:v>105.99999995529652</x:v>
      </x:c>
      <x:c r="K82" s="2" t="n">
        <x:v>383</x:v>
      </x:c>
      <x:c r="L82" s="2" t="n">
        <x:v>893</x:v>
      </x:c>
    </x:row>
    <x:row r="83" ht="24" customHeight="1">
      <x:c r="A83" s="2" t="n">
        <x:v>82</x:v>
      </x:c>
      <x:c r="B83" s="2" t="n">
        <x:v>2</x:v>
      </x:c>
      <x:c r="C83" s="12" t="n">
        <x:v>117918.0000000149</x:v>
      </x:c>
      <x:c r="D83" s="12" t="n">
        <x:v>105026.0000000298</x:v>
      </x:c>
      <x:c r="E83" s="12" t="n">
        <x:v>12677.666666671634</x:v>
      </x:c>
      <x:c r="F83" s="12" t="n">
        <x:v>37487</x:v>
      </x:c>
      <x:c r="G83" s="12" t="n">
        <x:v>64883</x:v>
      </x:c>
      <x:c r="H83" s="12" t="n">
        <x:v>12891.999999985099</x:v>
      </x:c>
      <x:c r="I83" s="12" t="n">
        <x:v>2549.999999985099</x:v>
      </x:c>
      <x:c r="J83" s="12" t="n">
        <x:v>106.00000004470348</x:v>
      </x:c>
      <x:c r="K83" s="2" t="n">
        <x:v>387</x:v>
      </x:c>
      <x:c r="L83" s="2" t="n">
        <x:v>893</x:v>
      </x:c>
    </x:row>
    <x:row r="84" ht="24" customHeight="1">
      <x:c r="A84" s="2" t="n">
        <x:v>83</x:v>
      </x:c>
      <x:c r="B84" s="2" t="n">
        <x:v>2</x:v>
      </x:c>
      <x:c r="C84" s="12" t="n">
        <x:v>121025</x:v>
      </x:c>
      <x:c r="D84" s="12" t="n">
        <x:v>86608.0000000298</x:v>
      </x:c>
      <x:c r="E84" s="12" t="n">
        <x:v>34201.666666671634</x:v>
      </x:c>
      <x:c r="F84" s="12" t="n">
        <x:v>37498.0000000149</x:v>
      </x:c>
      <x:c r="G84" s="12" t="n">
        <x:v>44902</x:v>
      </x:c>
      <x:c r="H84" s="12" t="n">
        <x:v>34416.9999999702</x:v>
      </x:c>
      <x:c r="I84" s="12" t="n">
        <x:v>4102.000000014901</x:v>
      </x:c>
      <x:c r="J84" s="12" t="n">
        <x:v>106</x:v>
      </x:c>
      <x:c r="K84" s="2" t="n">
        <x:v>391</x:v>
      </x:c>
      <x:c r="L84" s="2" t="n">
        <x:v>892</x:v>
      </x:c>
    </x:row>
    <x:row r="85" ht="24" customHeight="1">
      <x:c r="A85" s="2" t="n">
        <x:v>84</x:v>
      </x:c>
      <x:c r="B85" s="2" t="n">
        <x:v>2</x:v>
      </x:c>
      <x:c r="C85" s="12" t="n">
        <x:v>117918.9999999851</x:v>
      </x:c>
      <x:c r="D85" s="12" t="n">
        <x:v>99106.9999999851</x:v>
      </x:c>
      <x:c r="E85" s="12" t="n">
        <x:v>18597.666666671634</x:v>
      </x:c>
      <x:c r="F85" s="12" t="n">
        <x:v>33768</x:v>
      </x:c>
      <x:c r="G85" s="12" t="n">
        <x:v>62683</x:v>
      </x:c>
      <x:c r="H85" s="12" t="n">
        <x:v>18812</x:v>
      </x:c>
      <x:c r="I85" s="12" t="n">
        <x:v>2550.000000014901</x:v>
      </x:c>
      <x:c r="J85" s="12" t="n">
        <x:v>105.99999997019768</x:v>
      </x:c>
      <x:c r="K85" s="2" t="n">
        <x:v>395</x:v>
      </x:c>
      <x:c r="L85" s="2" t="n">
        <x:v>892</x:v>
      </x:c>
    </x:row>
    <x:row r="86" ht="24" customHeight="1">
      <x:c r="A86" s="2" t="n">
        <x:v>85</x:v>
      </x:c>
      <x:c r="B86" s="2" t="n">
        <x:v>2</x:v>
      </x:c>
      <x:c r="C86" s="12" t="n">
        <x:v>123843.0000000149</x:v>
      </x:c>
      <x:c r="D86" s="12" t="n">
        <x:v>95866.0000000298</x:v>
      </x:c>
      <x:c r="E86" s="12" t="n">
        <x:v>27764.666666671634</x:v>
      </x:c>
      <x:c r="F86" s="12" t="n">
        <x:v>41184</x:v>
      </x:c>
      <x:c r="G86" s="12" t="n">
        <x:v>47653.0000000149</x:v>
      </x:c>
      <x:c r="H86" s="12" t="n">
        <x:v>27976.9999999851</x:v>
      </x:c>
      <x:c r="I86" s="12" t="n">
        <x:v>6923</x:v>
      </x:c>
      <x:c r="J86" s="12" t="n">
        <x:v>106.00000001490116</x:v>
      </x:c>
      <x:c r="K86" s="2" t="n">
        <x:v>399</x:v>
      </x:c>
      <x:c r="L86" s="2" t="n">
        <x:v>891</x:v>
      </x:c>
    </x:row>
    <x:row r="87" ht="24" customHeight="1">
      <x:c r="A87" s="2" t="n">
        <x:v>86</x:v>
      </x:c>
      <x:c r="B87" s="2" t="n">
        <x:v>2</x:v>
      </x:c>
      <x:c r="C87" s="12" t="n">
        <x:v>115101.9999999851</x:v>
      </x:c>
      <x:c r="D87" s="12" t="n">
        <x:v>108554.9999999702</x:v>
      </x:c>
      <x:c r="E87" s="12" t="n">
        <x:v>6331.666666671634</x:v>
      </x:c>
      <x:c r="F87" s="12" t="n">
        <x:v>40573.9999999851</x:v>
      </x:c>
      <x:c r="G87" s="12" t="n">
        <x:v>65325</x:v>
      </x:c>
      <x:c r="H87" s="12" t="n">
        <x:v>6547.000000014901</x:v>
      </x:c>
      <x:c r="I87" s="12" t="n">
        <x:v>2550.000000014901</x:v>
      </x:c>
      <x:c r="J87" s="12" t="n">
        <x:v>105.99999997019768</x:v>
      </x:c>
      <x:c r="K87" s="2" t="n">
        <x:v>403</x:v>
      </x:c>
      <x:c r="L87" s="2" t="n">
        <x:v>891</x:v>
      </x:c>
    </x:row>
    <x:row r="88" ht="24" customHeight="1">
      <x:c r="A88" s="2" t="n">
        <x:v>87</x:v>
      </x:c>
      <x:c r="B88" s="2" t="n">
        <x:v>2</x:v>
      </x:c>
      <x:c r="C88" s="12" t="n">
        <x:v>119470.0000000149</x:v>
      </x:c>
      <x:c r="D88" s="12" t="n">
        <x:v>68643.0000000298</x:v>
      </x:c>
      <x:c r="E88" s="12" t="n">
        <x:v>50613.666666671634</x:v>
      </x:c>
      <x:c r="F88" s="12" t="n">
        <x:v>36128</x:v>
      </x:c>
      <x:c r="G88" s="12" t="n">
        <x:v>29859</x:v>
      </x:c>
      <x:c r="H88" s="12" t="n">
        <x:v>50826.9999999851</x:v>
      </x:c>
      <x:c r="I88" s="12" t="n">
        <x:v>2549.999999985099</x:v>
      </x:c>
      <x:c r="J88" s="12" t="n">
        <x:v>106.00000004470348</x:v>
      </x:c>
      <x:c r="K88" s="2" t="n">
        <x:v>407</x:v>
      </x:c>
      <x:c r="L88" s="2" t="n">
        <x:v>891</x:v>
      </x:c>
    </x:row>
    <x:row r="89" ht="24" customHeight="1">
      <x:c r="A89" s="2" t="n">
        <x:v>88</x:v>
      </x:c>
      <x:c r="B89" s="2" t="n">
        <x:v>2</x:v>
      </x:c>
      <x:c r="C89" s="12" t="n">
        <x:v>119471.9999999851</x:v>
      </x:c>
      <x:c r="D89" s="12" t="n">
        <x:v>83944.9999999851</x:v>
      </x:c>
      <x:c r="E89" s="12" t="n">
        <x:v>35313.666666671634</x:v>
      </x:c>
      <x:c r="F89" s="12" t="n">
        <x:v>33625.0000000149</x:v>
      </x:c>
      <x:c r="G89" s="12" t="n">
        <x:v>47664</x:v>
      </x:c>
      <x:c r="H89" s="12" t="n">
        <x:v>35527</x:v>
      </x:c>
      <x:c r="I89" s="12" t="n">
        <x:v>2549.999999985099</x:v>
      </x:c>
      <x:c r="J89" s="12" t="n">
        <x:v>105.99999998509884</x:v>
      </x:c>
      <x:c r="K89" s="2" t="n">
        <x:v>411</x:v>
      </x:c>
      <x:c r="L89" s="2" t="n">
        <x:v>891</x:v>
      </x:c>
    </x:row>
    <x:row r="90" ht="24" customHeight="1">
      <x:c r="A90" s="2" t="n">
        <x:v>89</x:v>
      </x:c>
      <x:c r="B90" s="2" t="n">
        <x:v>2</x:v>
      </x:c>
      <x:c r="C90" s="12" t="n">
        <x:v>119474</x:v>
      </x:c>
      <x:c r="D90" s="12" t="n">
        <x:v>68837</x:v>
      </x:c>
      <x:c r="E90" s="12" t="n">
        <x:v>50421.666666671634</x:v>
      </x:c>
      <x:c r="F90" s="12" t="n">
        <x:v>35832.0000000298</x:v>
      </x:c>
      <x:c r="G90" s="12" t="n">
        <x:v>30349.0000000149</x:v>
      </x:c>
      <x:c r="H90" s="12" t="n">
        <x:v>50637</x:v>
      </x:c>
      <x:c r="I90" s="12" t="n">
        <x:v>2549.999999985099</x:v>
      </x:c>
      <x:c r="J90" s="12" t="n">
        <x:v>105.99999997019768</x:v>
      </x:c>
      <x:c r="K90" s="2" t="n">
        <x:v>415</x:v>
      </x:c>
      <x:c r="L90" s="2" t="n">
        <x:v>891</x:v>
      </x:c>
    </x:row>
    <x:row r="91" ht="24" customHeight="1">
      <x:c r="A91" s="2" t="n">
        <x:v>90</x:v>
      </x:c>
      <x:c r="B91" s="2" t="n">
        <x:v>2</x:v>
      </x:c>
      <x:c r="C91" s="12" t="n">
        <x:v>119473.0000000149</x:v>
      </x:c>
      <x:c r="D91" s="12" t="n">
        <x:v>84476.0000000298</x:v>
      </x:c>
      <x:c r="E91" s="12" t="n">
        <x:v>34780.666666671634</x:v>
      </x:c>
      <x:c r="F91" s="12" t="n">
        <x:v>34658.0000000149</x:v>
      </x:c>
      <x:c r="G91" s="12" t="n">
        <x:v>47161.9999999851</x:v>
      </x:c>
      <x:c r="H91" s="12" t="n">
        <x:v>34996.9999999851</x:v>
      </x:c>
      <x:c r="I91" s="12" t="n">
        <x:v>2549.999999985099</x:v>
      </x:c>
      <x:c r="J91" s="12" t="n">
        <x:v>106.00000004470348</x:v>
      </x:c>
      <x:c r="K91" s="2" t="n">
        <x:v>419</x:v>
      </x:c>
      <x:c r="L91" s="2" t="n">
        <x:v>891</x:v>
      </x:c>
    </x:row>
    <x:row r="92" ht="24" customHeight="1">
      <x:c r="A92" s="2" t="n">
        <x:v>91</x:v>
      </x:c>
      <x:c r="B92" s="2" t="n">
        <x:v>2</x:v>
      </x:c>
      <x:c r="C92" s="12" t="n">
        <x:v>119469.9999999851</x:v>
      </x:c>
      <x:c r="D92" s="12" t="n">
        <x:v>66447.9999999702</x:v>
      </x:c>
      <x:c r="E92" s="12" t="n">
        <x:v>52807.666666671634</x:v>
      </x:c>
      <x:c r="F92" s="12" t="n">
        <x:v>33945.0000000149</x:v>
      </x:c>
      <x:c r="G92" s="12" t="n">
        <x:v>29847</x:v>
      </x:c>
      <x:c r="H92" s="12" t="n">
        <x:v>53022.0000000149</x:v>
      </x:c>
      <x:c r="I92" s="12" t="n">
        <x:v>2550.000000014901</x:v>
      </x:c>
      <x:c r="J92" s="12" t="n">
        <x:v>105.99999994039536</x:v>
      </x:c>
      <x:c r="K92" s="2" t="n">
        <x:v>423</x:v>
      </x:c>
      <x:c r="L92" s="2" t="n">
        <x:v>891</x:v>
      </x:c>
    </x:row>
    <x:row r="93" ht="24" customHeight="1">
      <x:c r="A93" s="2" t="n">
        <x:v>92</x:v>
      </x:c>
      <x:c r="B93" s="2" t="n">
        <x:v>2</x:v>
      </x:c>
      <x:c r="C93" s="12" t="n">
        <x:v>119474</x:v>
      </x:c>
      <x:c r="D93" s="12" t="n">
        <x:v>90886.9999999851</x:v>
      </x:c>
      <x:c r="E93" s="12" t="n">
        <x:v>28370.666666671634</x:v>
      </x:c>
      <x:c r="F93" s="12" t="n">
        <x:v>41069</x:v>
      </x:c>
      <x:c r="G93" s="12" t="n">
        <x:v>47162</x:v>
      </x:c>
      <x:c r="H93" s="12" t="n">
        <x:v>28587.0000000149</x:v>
      </x:c>
      <x:c r="I93" s="12" t="n">
        <x:v>2550.000000014901</x:v>
      </x:c>
      <x:c r="J93" s="12" t="n">
        <x:v>105.99999997019768</x:v>
      </x:c>
      <x:c r="K93" s="2" t="n">
        <x:v>427</x:v>
      </x:c>
      <x:c r="L93" s="2" t="n">
        <x:v>891</x:v>
      </x:c>
    </x:row>
    <x:row r="94" ht="24" customHeight="1">
      <x:c r="A94" s="2" t="n">
        <x:v>93</x:v>
      </x:c>
      <x:c r="B94" s="2" t="n">
        <x:v>2</x:v>
      </x:c>
      <x:c r="C94" s="12" t="n">
        <x:v>119471</x:v>
      </x:c>
      <x:c r="D94" s="12" t="n">
        <x:v>69904</x:v>
      </x:c>
      <x:c r="E94" s="12" t="n">
        <x:v>49351.666666671634</x:v>
      </x:c>
      <x:c r="F94" s="12" t="n">
        <x:v>37400.9999999851</x:v>
      </x:c>
      <x:c r="G94" s="12" t="n">
        <x:v>29847</x:v>
      </x:c>
      <x:c r="H94" s="12" t="n">
        <x:v>49567</x:v>
      </x:c>
      <x:c r="I94" s="12" t="n">
        <x:v>2550.000000014901</x:v>
      </x:c>
      <x:c r="J94" s="12" t="n">
        <x:v>106</x:v>
      </x:c>
      <x:c r="K94" s="2" t="n">
        <x:v>431</x:v>
      </x:c>
      <x:c r="L94" s="2" t="n">
        <x:v>891</x:v>
      </x:c>
    </x:row>
    <x:row r="95" ht="24" customHeight="1">
      <x:c r="A95" s="2" t="n">
        <x:v>94</x:v>
      </x:c>
      <x:c r="B95" s="2" t="n">
        <x:v>2</x:v>
      </x:c>
      <x:c r="C95" s="12" t="n">
        <x:v>119470.0000000149</x:v>
      </x:c>
      <x:c r="D95" s="12" t="n">
        <x:v>85713.0000000298</x:v>
      </x:c>
      <x:c r="E95" s="12" t="n">
        <x:v>33543.666666671634</x:v>
      </x:c>
      <x:c r="F95" s="12" t="n">
        <x:v>35895</x:v>
      </x:c>
      <x:c r="G95" s="12" t="n">
        <x:v>47161.9999999851</x:v>
      </x:c>
      <x:c r="H95" s="12" t="n">
        <x:v>33756.9999999851</x:v>
      </x:c>
      <x:c r="I95" s="12" t="n">
        <x:v>2550</x:v>
      </x:c>
      <x:c r="J95" s="12" t="n">
        <x:v>106.00000004470348</x:v>
      </x:c>
      <x:c r="K95" s="2" t="n">
        <x:v>435</x:v>
      </x:c>
      <x:c r="L95" s="2" t="n">
        <x:v>891</x:v>
      </x:c>
    </x:row>
    <x:row r="96" ht="24" customHeight="1">
      <x:c r="A96" s="2" t="n">
        <x:v>95</x:v>
      </x:c>
      <x:c r="B96" s="2" t="n">
        <x:v>2</x:v>
      </x:c>
      <x:c r="C96" s="12" t="n">
        <x:v>119471</x:v>
      </x:c>
      <x:c r="D96" s="12" t="n">
        <x:v>68849</x:v>
      </x:c>
      <x:c r="E96" s="12" t="n">
        <x:v>50409.666666671634</x:v>
      </x:c>
      <x:c r="F96" s="12" t="n">
        <x:v>36346</x:v>
      </x:c>
      <x:c r="G96" s="12" t="n">
        <x:v>29847</x:v>
      </x:c>
      <x:c r="H96" s="12" t="n">
        <x:v>50622</x:v>
      </x:c>
      <x:c r="I96" s="12" t="n">
        <x:v>2550.000000014901</x:v>
      </x:c>
      <x:c r="J96" s="12" t="n">
        <x:v>105.99999998509884</x:v>
      </x:c>
      <x:c r="K96" s="2" t="n">
        <x:v>439</x:v>
      </x:c>
      <x:c r="L96" s="2" t="n">
        <x:v>891</x:v>
      </x:c>
    </x:row>
    <x:row r="97" ht="24" customHeight="1">
      <x:c r="A97" s="2" t="n">
        <x:v>96</x:v>
      </x:c>
      <x:c r="B97" s="2" t="n">
        <x:v>2</x:v>
      </x:c>
      <x:c r="C97" s="12" t="n">
        <x:v>121028</x:v>
      </x:c>
      <x:c r="D97" s="12" t="n">
        <x:v>88511</x:v>
      </x:c>
      <x:c r="E97" s="12" t="n">
        <x:v>32300.666666671634</x:v>
      </x:c>
      <x:c r="F97" s="12" t="n">
        <x:v>40786</x:v>
      </x:c>
      <x:c r="G97" s="12" t="n">
        <x:v>43516.9999999851</x:v>
      </x:c>
      <x:c r="H97" s="12" t="n">
        <x:v>32517</x:v>
      </x:c>
      <x:c r="I97" s="12" t="n">
        <x:v>4102.000000014901</x:v>
      </x:c>
      <x:c r="J97" s="12" t="n">
        <x:v>106</x:v>
      </x:c>
      <x:c r="K97" s="2" t="n">
        <x:v>439</x:v>
      </x:c>
      <x:c r="L97" s="2" t="n">
        <x:v>895</x:v>
      </x:c>
    </x:row>
    <x:row r="98" ht="24" customHeight="1">
      <x:c r="A98" s="2" t="n">
        <x:v>97</x:v>
      </x:c>
      <x:c r="B98" s="2" t="n">
        <x:v>2</x:v>
      </x:c>
      <x:c r="C98" s="12" t="n">
        <x:v>119470.9999999851</x:v>
      </x:c>
      <x:c r="D98" s="12" t="n">
        <x:v>110713.9999999702</x:v>
      </x:c>
      <x:c r="E98" s="12" t="n">
        <x:v>8541.666666671634</x:v>
      </x:c>
      <x:c r="F98" s="12" t="n">
        <x:v>39460.9999999851</x:v>
      </x:c>
      <x:c r="G98" s="12" t="n">
        <x:v>67045.0000000149</x:v>
      </x:c>
      <x:c r="H98" s="12" t="n">
        <x:v>8757.000000014901</x:v>
      </x:c>
      <x:c r="I98" s="12" t="n">
        <x:v>4102.000000014901</x:v>
      </x:c>
      <x:c r="J98" s="12" t="n">
        <x:v>105.99999995529652</x:v>
      </x:c>
      <x:c r="K98" s="2" t="n">
        <x:v>438</x:v>
      </x:c>
      <x:c r="L98" s="2" t="n">
        <x:v>899</x:v>
      </x:c>
    </x:row>
    <x:row r="99" ht="24" customHeight="1">
      <x:c r="A99" s="2" t="n">
        <x:v>98</x:v>
      </x:c>
      <x:c r="B99" s="2" t="n">
        <x:v>2</x:v>
      </x:c>
      <x:c r="C99" s="12" t="n">
        <x:v>119473.0000000149</x:v>
      </x:c>
      <x:c r="D99" s="12" t="n">
        <x:v>99071</x:v>
      </x:c>
      <x:c r="E99" s="12" t="n">
        <x:v>20185.666666671634</x:v>
      </x:c>
      <x:c r="F99" s="12" t="n">
        <x:v>39580</x:v>
      </x:c>
      <x:c r="G99" s="12" t="n">
        <x:v>55283.0000000149</x:v>
      </x:c>
      <x:c r="H99" s="12" t="n">
        <x:v>20402.0000000149</x:v>
      </x:c>
      <x:c r="I99" s="12" t="n">
        <x:v>4101.999999985099</x:v>
      </x:c>
      <x:c r="J99" s="12" t="n">
        <x:v>106</x:v>
      </x:c>
      <x:c r="K99" s="2" t="n">
        <x:v>438</x:v>
      </x:c>
      <x:c r="L99" s="2" t="n">
        <x:v>903</x:v>
      </x:c>
    </x:row>
    <x:row r="100" ht="24" customHeight="1">
      <x:c r="A100" s="2" t="n">
        <x:v>99</x:v>
      </x:c>
      <x:c r="B100" s="2" t="n">
        <x:v>2</x:v>
      </x:c>
      <x:c r="C100" s="12" t="n">
        <x:v>119471</x:v>
      </x:c>
      <x:c r="D100" s="12" t="n">
        <x:v>110464</x:v>
      </x:c>
      <x:c r="E100" s="12" t="n">
        <x:v>8791.666666671634</x:v>
      </x:c>
      <x:c r="F100" s="12" t="n">
        <x:v>40213.0000000149</x:v>
      </x:c>
      <x:c r="G100" s="12" t="n">
        <x:v>66043.0000000149</x:v>
      </x:c>
      <x:c r="H100" s="12" t="n">
        <x:v>9007</x:v>
      </x:c>
      <x:c r="I100" s="12" t="n">
        <x:v>4101.999999985099</x:v>
      </x:c>
      <x:c r="J100" s="12" t="n">
        <x:v>105.99999998509884</x:v>
      </x:c>
      <x:c r="K100" s="2" t="n">
        <x:v>437</x:v>
      </x:c>
      <x:c r="L100" s="2" t="n">
        <x:v>907</x:v>
      </x:c>
    </x:row>
    <x:row r="101" ht="24" customHeight="1">
      <x:c r="A101" s="2" t="n">
        <x:v>100</x:v>
      </x:c>
      <x:c r="B101" s="2" t="n">
        <x:v>2</x:v>
      </x:c>
      <x:c r="C101" s="12" t="n">
        <x:v>119469.9999999851</x:v>
      </x:c>
      <x:c r="D101" s="12" t="n">
        <x:v>95772.9999999851</x:v>
      </x:c>
      <x:c r="E101" s="12" t="n">
        <x:v>23483.666666671634</x:v>
      </x:c>
      <x:c r="F101" s="12" t="n">
        <x:v>36269</x:v>
      </x:c>
      <x:c r="G101" s="12" t="n">
        <x:v>55296</x:v>
      </x:c>
      <x:c r="H101" s="12" t="n">
        <x:v>23697</x:v>
      </x:c>
      <x:c r="I101" s="12" t="n">
        <x:v>4102.000000014901</x:v>
      </x:c>
      <x:c r="J101" s="12" t="n">
        <x:v>105.99999997019768</x:v>
      </x:c>
      <x:c r="K101" s="2" t="n">
        <x:v>437</x:v>
      </x:c>
      <x:c r="L101" s="2" t="n">
        <x:v>911</x:v>
      </x:c>
    </x:row>
    <x:row r="102" ht="24" customHeight="1">
      <x:c r="A102" s="2" t="n">
        <x:v>101</x:v>
      </x:c>
      <x:c r="B102" s="2" t="n">
        <x:v>2</x:v>
      </x:c>
      <x:c r="C102" s="12" t="n">
        <x:v>119472.0000000149</x:v>
      </x:c>
      <x:c r="D102" s="12" t="n">
        <x:v>80220.0000000149</x:v>
      </x:c>
      <x:c r="E102" s="12" t="n">
        <x:v>39038.666666671634</x:v>
      </x:c>
      <x:c r="F102" s="12" t="n">
        <x:v>36971.9999999851</x:v>
      </x:c>
      <x:c r="G102" s="12" t="n">
        <x:v>39040.0000000149</x:v>
      </x:c>
      <x:c r="H102" s="12" t="n">
        <x:v>39252</x:v>
      </x:c>
      <x:c r="I102" s="12" t="n">
        <x:v>4102</x:v>
      </x:c>
      <x:c r="J102" s="12" t="n">
        <x:v>106.00000001490116</x:v>
      </x:c>
      <x:c r="K102" s="2" t="n">
        <x:v>436</x:v>
      </x:c>
      <x:c r="L102" s="2" t="n">
        <x:v>915</x:v>
      </x:c>
    </x:row>
    <x:row r="103" ht="24" customHeight="1">
      <x:c r="A103" s="2" t="n">
        <x:v>102</x:v>
      </x:c>
      <x:c r="B103" s="2" t="n">
        <x:v>2</x:v>
      </x:c>
      <x:c r="C103" s="12" t="n">
        <x:v>119472.9999999851</x:v>
      </x:c>
      <x:c r="D103" s="12" t="n">
        <x:v>84140.9999999851</x:v>
      </x:c>
      <x:c r="E103" s="12" t="n">
        <x:v>35117.666666671634</x:v>
      </x:c>
      <x:c r="F103" s="12" t="n">
        <x:v>36700.9999999851</x:v>
      </x:c>
      <x:c r="G103" s="12" t="n">
        <x:v>43232.0000000149</x:v>
      </x:c>
      <x:c r="H103" s="12" t="n">
        <x:v>35332</x:v>
      </x:c>
      <x:c r="I103" s="12" t="n">
        <x:v>4102.000000014901</x:v>
      </x:c>
      <x:c r="J103" s="12" t="n">
        <x:v>105.99999997019768</x:v>
      </x:c>
      <x:c r="K103" s="2" t="n">
        <x:v>436</x:v>
      </x:c>
      <x:c r="L103" s="2" t="n">
        <x:v>919</x:v>
      </x:c>
    </x:row>
    <x:row r="104" ht="24" customHeight="1">
      <x:c r="A104" s="2" t="n">
        <x:v>103</x:v>
      </x:c>
      <x:c r="B104" s="2" t="n">
        <x:v>2</x:v>
      </x:c>
      <x:c r="C104" s="12" t="n">
        <x:v>119470.0000000149</x:v>
      </x:c>
      <x:c r="D104" s="12" t="n">
        <x:v>77483.0000000149</x:v>
      </x:c>
      <x:c r="E104" s="12" t="n">
        <x:v>41774.666666671634</x:v>
      </x:c>
      <x:c r="F104" s="12" t="n">
        <x:v>35107</x:v>
      </x:c>
      <x:c r="G104" s="12" t="n">
        <x:v>38168.0000000149</x:v>
      </x:c>
      <x:c r="H104" s="12" t="n">
        <x:v>41987</x:v>
      </x:c>
      <x:c r="I104" s="12" t="n">
        <x:v>4101.999999985099</x:v>
      </x:c>
      <x:c r="J104" s="12" t="n">
        <x:v>106.00000001490116</x:v>
      </x:c>
      <x:c r="K104" s="2" t="n">
        <x:v>436</x:v>
      </x:c>
      <x:c r="L104" s="2" t="n">
        <x:v>923</x:v>
      </x:c>
    </x:row>
    <x:row r="105" ht="24" customHeight="1">
      <x:c r="A105" s="2" t="n">
        <x:v>104</x:v>
      </x:c>
      <x:c r="B105" s="2" t="n">
        <x:v>2</x:v>
      </x:c>
      <x:c r="C105" s="12" t="n">
        <x:v>119474</x:v>
      </x:c>
      <x:c r="D105" s="12" t="n">
        <x:v>67372</x:v>
      </x:c>
      <x:c r="E105" s="12" t="n">
        <x:v>51887.666666671634</x:v>
      </x:c>
      <x:c r="F105" s="12" t="n">
        <x:v>36411.9999999851</x:v>
      </x:c>
      <x:c r="G105" s="12" t="n">
        <x:v>26752</x:v>
      </x:c>
      <x:c r="H105" s="12" t="n">
        <x:v>52102</x:v>
      </x:c>
      <x:c r="I105" s="12" t="n">
        <x:v>4101.999999985099</x:v>
      </x:c>
      <x:c r="J105" s="12" t="n">
        <x:v>106.00000002980232</x:v>
      </x:c>
      <x:c r="K105" s="2" t="n">
        <x:v>436</x:v>
      </x:c>
      <x:c r="L105" s="2" t="n">
        <x:v>927</x:v>
      </x:c>
    </x:row>
    <x:row r="106" ht="24" customHeight="1">
      <x:c r="A106" s="2" t="n">
        <x:v>105</x:v>
      </x:c>
      <x:c r="B106" s="2" t="n">
        <x:v>2</x:v>
      </x:c>
      <x:c r="C106" s="12" t="n">
        <x:v>119473</x:v>
      </x:c>
      <x:c r="D106" s="12" t="n">
        <x:v>84121.0000000298</x:v>
      </x:c>
      <x:c r="E106" s="12" t="n">
        <x:v>35136.666666671634</x:v>
      </x:c>
      <x:c r="F106" s="12" t="n">
        <x:v>41229.0000000149</x:v>
      </x:c>
      <x:c r="G106" s="12" t="n">
        <x:v>38684</x:v>
      </x:c>
      <x:c r="H106" s="12" t="n">
        <x:v>35351.9999999702</x:v>
      </x:c>
      <x:c r="I106" s="12" t="n">
        <x:v>4102.000000014901</x:v>
      </x:c>
      <x:c r="J106" s="12" t="n">
        <x:v>106</x:v>
      </x:c>
      <x:c r="K106" s="2" t="n">
        <x:v>436</x:v>
      </x:c>
      <x:c r="L106" s="2" t="n">
        <x:v>931</x:v>
      </x:c>
    </x:row>
    <x:row r="107" ht="24" customHeight="1">
      <x:c r="A107" s="2" t="n">
        <x:v>106</x:v>
      </x:c>
      <x:c r="B107" s="2" t="n">
        <x:v>2</x:v>
      </x:c>
      <x:c r="C107" s="12" t="n">
        <x:v>119470.9999999851</x:v>
      </x:c>
      <x:c r="D107" s="12" t="n">
        <x:v>69333.9999999702</x:v>
      </x:c>
      <x:c r="E107" s="12" t="n">
        <x:v>49922.666666671634</x:v>
      </x:c>
      <x:c r="F107" s="12" t="n">
        <x:v>38875.9999999851</x:v>
      </x:c>
      <x:c r="G107" s="12" t="n">
        <x:v>26250</x:v>
      </x:c>
      <x:c r="H107" s="12" t="n">
        <x:v>50137.0000000149</x:v>
      </x:c>
      <x:c r="I107" s="12" t="n">
        <x:v>4102.000000014901</x:v>
      </x:c>
      <x:c r="J107" s="12" t="n">
        <x:v>105.99999997019768</x:v>
      </x:c>
      <x:c r="K107" s="2" t="n">
        <x:v>436</x:v>
      </x:c>
      <x:c r="L107" s="2" t="n">
        <x:v>935</x:v>
      </x:c>
    </x:row>
    <x:row r="108" ht="24" customHeight="1">
      <x:c r="A108" s="2" t="n">
        <x:v>107</x:v>
      </x:c>
      <x:c r="B108" s="2" t="n">
        <x:v>2</x:v>
      </x:c>
      <x:c r="C108" s="12" t="n">
        <x:v>119473</x:v>
      </x:c>
      <x:c r="D108" s="12" t="n">
        <x:v>88096</x:v>
      </x:c>
      <x:c r="E108" s="12" t="n">
        <x:v>31161.666666671634</x:v>
      </x:c>
      <x:c r="F108" s="12" t="n">
        <x:v>44804.9999999851</x:v>
      </x:c>
      <x:c r="G108" s="12" t="n">
        <x:v>39083</x:v>
      </x:c>
      <x:c r="H108" s="12" t="n">
        <x:v>31377</x:v>
      </x:c>
      <x:c r="I108" s="12" t="n">
        <x:v>4101.999999985099</x:v>
      </x:c>
      <x:c r="J108" s="12" t="n">
        <x:v>106.00000002980232</x:v>
      </x:c>
      <x:c r="K108" s="2" t="n">
        <x:v>436</x:v>
      </x:c>
      <x:c r="L108" s="2" t="n">
        <x:v>939</x:v>
      </x:c>
    </x:row>
    <x:row r="109" ht="24" customHeight="1">
      <x:c r="A109" s="2" t="n">
        <x:v>108</x:v>
      </x:c>
      <x:c r="B109" s="2" t="n">
        <x:v>2</x:v>
      </x:c>
      <x:c r="C109" s="12" t="n">
        <x:v>119473.0000000149</x:v>
      </x:c>
      <x:c r="D109" s="12" t="n">
        <x:v>76691.0000000298</x:v>
      </x:c>
      <x:c r="E109" s="12" t="n">
        <x:v>42565.666666671634</x:v>
      </x:c>
      <x:c r="F109" s="12" t="n">
        <x:v>46233.0000000149</x:v>
      </x:c>
      <x:c r="G109" s="12" t="n">
        <x:v>26250</x:v>
      </x:c>
      <x:c r="H109" s="12" t="n">
        <x:v>42781.9999999851</x:v>
      </x:c>
      <x:c r="I109" s="12" t="n">
        <x:v>4101.999999985099</x:v>
      </x:c>
      <x:c r="J109" s="12" t="n">
        <x:v>106.00000002980232</x:v>
      </x:c>
      <x:c r="K109" s="2" t="n">
        <x:v>436</x:v>
      </x:c>
      <x:c r="L109" s="2" t="n">
        <x:v>943</x:v>
      </x:c>
    </x:row>
    <x:row r="110" ht="24" customHeight="1">
      <x:c r="A110" s="2" t="n">
        <x:v>109</x:v>
      </x:c>
      <x:c r="B110" s="2" t="n">
        <x:v>2</x:v>
      </x:c>
      <x:c r="C110" s="12" t="n">
        <x:v>119471</x:v>
      </x:c>
      <x:c r="D110" s="12" t="n">
        <x:v>90979.0000000149</x:v>
      </x:c>
      <x:c r="E110" s="12" t="n">
        <x:v>28276.666666671634</x:v>
      </x:c>
      <x:c r="F110" s="12" t="n">
        <x:v>47687.9999999851</x:v>
      </x:c>
      <x:c r="G110" s="12" t="n">
        <x:v>39083</x:v>
      </x:c>
      <x:c r="H110" s="12" t="n">
        <x:v>28491.9999999851</x:v>
      </x:c>
      <x:c r="I110" s="12" t="n">
        <x:v>4102</x:v>
      </x:c>
      <x:c r="J110" s="12" t="n">
        <x:v>106.00000002980232</x:v>
      </x:c>
      <x:c r="K110" s="2" t="n">
        <x:v>436</x:v>
      </x:c>
      <x:c r="L110" s="2" t="n">
        <x:v>947</x:v>
      </x:c>
    </x:row>
    <x:row r="111" ht="24" customHeight="1">
      <x:c r="A111" s="2" t="n">
        <x:v>110</x:v>
      </x:c>
      <x:c r="B111" s="2" t="n">
        <x:v>2</x:v>
      </x:c>
      <x:c r="C111" s="12" t="n">
        <x:v>119469</x:v>
      </x:c>
      <x:c r="D111" s="12" t="n">
        <x:v>77852</x:v>
      </x:c>
      <x:c r="E111" s="12" t="n">
        <x:v>41404.666666671634</x:v>
      </x:c>
      <x:c r="F111" s="12" t="n">
        <x:v>47394</x:v>
      </x:c>
      <x:c r="G111" s="12" t="n">
        <x:v>26250</x:v>
      </x:c>
      <x:c r="H111" s="12" t="n">
        <x:v>41617</x:v>
      </x:c>
      <x:c r="I111" s="12" t="n">
        <x:v>4102</x:v>
      </x:c>
      <x:c r="J111" s="12" t="n">
        <x:v>106</x:v>
      </x:c>
      <x:c r="K111" s="2" t="n">
        <x:v>436</x:v>
      </x:c>
      <x:c r="L111" s="2" t="n">
        <x:v>951</x:v>
      </x:c>
    </x:row>
    <x:row r="112" ht="24" customHeight="1">
      <x:c r="A112" s="2" t="n">
        <x:v>111</x:v>
      </x:c>
      <x:c r="B112" s="2" t="n">
        <x:v>2</x:v>
      </x:c>
      <x:c r="C112" s="12" t="n">
        <x:v>119472.9999999851</x:v>
      </x:c>
      <x:c r="D112" s="12" t="n">
        <x:v>87300.9999999851</x:v>
      </x:c>
      <x:c r="E112" s="12" t="n">
        <x:v>31958.666666671634</x:v>
      </x:c>
      <x:c r="F112" s="12" t="n">
        <x:v>44010</x:v>
      </x:c>
      <x:c r="G112" s="12" t="n">
        <x:v>39083</x:v>
      </x:c>
      <x:c r="H112" s="12" t="n">
        <x:v>32172</x:v>
      </x:c>
      <x:c r="I112" s="12" t="n">
        <x:v>4102.000000014901</x:v>
      </x:c>
      <x:c r="J112" s="12" t="n">
        <x:v>105.99999997019768</x:v>
      </x:c>
      <x:c r="K112" s="2" t="n">
        <x:v>436</x:v>
      </x:c>
      <x:c r="L112" s="2" t="n">
        <x:v>955</x:v>
      </x:c>
    </x:row>
    <x:row r="113" ht="24" customHeight="1">
      <x:c r="A113" s="2" t="n">
        <x:v>112</x:v>
      </x:c>
      <x:c r="B113" s="2" t="n">
        <x:v>2</x:v>
      </x:c>
      <x:c r="C113" s="12" t="n">
        <x:v>119473</x:v>
      </x:c>
      <x:c r="D113" s="12" t="n">
        <x:v>80906</x:v>
      </x:c>
      <x:c r="E113" s="12" t="n">
        <x:v>38352.666666671634</x:v>
      </x:c>
      <x:c r="F113" s="12" t="n">
        <x:v>49909</x:v>
      </x:c>
      <x:c r="G113" s="12" t="n">
        <x:v>26789.0000000149</x:v>
      </x:c>
      <x:c r="H113" s="12" t="n">
        <x:v>38567</x:v>
      </x:c>
      <x:c r="I113" s="12" t="n">
        <x:v>4101.999999985099</x:v>
      </x:c>
      <x:c r="J113" s="12" t="n">
        <x:v>106</x:v>
      </x:c>
      <x:c r="K113" s="2" t="n">
        <x:v>436</x:v>
      </x:c>
      <x:c r="L113" s="2" t="n">
        <x:v>959</x:v>
      </x:c>
    </x:row>
    <x:row r="114" ht="24" customHeight="1">
      <x:c r="A114" s="2" t="n">
        <x:v>113</x:v>
      </x:c>
      <x:c r="B114" s="2" t="n">
        <x:v>2</x:v>
      </x:c>
      <x:c r="C114" s="12" t="n">
        <x:v>119470.0000000149</x:v>
      </x:c>
      <x:c r="D114" s="12" t="n">
        <x:v>82073.0000000149</x:v>
      </x:c>
      <x:c r="E114" s="12" t="n">
        <x:v>37184.666666671634</x:v>
      </x:c>
      <x:c r="F114" s="12" t="n">
        <x:v>38260</x:v>
      </x:c>
      <x:c r="G114" s="12" t="n">
        <x:v>39605</x:v>
      </x:c>
      <x:c r="H114" s="12" t="n">
        <x:v>37397</x:v>
      </x:c>
      <x:c r="I114" s="12" t="n">
        <x:v>4102.000000014901</x:v>
      </x:c>
      <x:c r="J114" s="12" t="n">
        <x:v>106</x:v>
      </x:c>
      <x:c r="K114" s="2" t="n">
        <x:v>436</x:v>
      </x:c>
      <x:c r="L114" s="2" t="n">
        <x:v>963</x:v>
      </x:c>
    </x:row>
    <x:row r="115" ht="24" customHeight="1">
      <x:c r="A115" s="2" t="n">
        <x:v>114</x:v>
      </x:c>
      <x:c r="B115" s="2" t="n">
        <x:v>2</x:v>
      </x:c>
      <x:c r="C115" s="12" t="n">
        <x:v>119472.9999999851</x:v>
      </x:c>
      <x:c r="D115" s="12" t="n">
        <x:v>68500.9999999851</x:v>
      </x:c>
      <x:c r="E115" s="12" t="n">
        <x:v>50758.666666671634</x:v>
      </x:c>
      <x:c r="F115" s="12" t="n">
        <x:v>38015</x:v>
      </x:c>
      <x:c r="G115" s="12" t="n">
        <x:v>26278.0000000149</x:v>
      </x:c>
      <x:c r="H115" s="12" t="n">
        <x:v>50972</x:v>
      </x:c>
      <x:c r="I115" s="12" t="n">
        <x:v>4102.000000014901</x:v>
      </x:c>
      <x:c r="J115" s="12" t="n">
        <x:v>105.99999995529652</x:v>
      </x:c>
      <x:c r="K115" s="2" t="n">
        <x:v>436</x:v>
      </x:c>
      <x:c r="L115" s="2" t="n">
        <x:v>967</x:v>
      </x:c>
    </x:row>
    <x:row r="116" ht="24" customHeight="1">
      <x:c r="A116" s="2" t="n">
        <x:v>115</x:v>
      </x:c>
      <x:c r="B116" s="2" t="n">
        <x:v>2</x:v>
      </x:c>
      <x:c r="C116" s="12" t="n">
        <x:v>119472.0000000149</x:v>
      </x:c>
      <x:c r="D116" s="12" t="n">
        <x:v>79820.0000000298</x:v>
      </x:c>
      <x:c r="E116" s="12" t="n">
        <x:v>39438.666666671634</x:v>
      </x:c>
      <x:c r="F116" s="12" t="n">
        <x:v>36518</x:v>
      </x:c>
      <x:c r="G116" s="12" t="n">
        <x:v>39094.0000000149</x:v>
      </x:c>
      <x:c r="H116" s="12" t="n">
        <x:v>39651.9999999851</x:v>
      </x:c>
      <x:c r="I116" s="12" t="n">
        <x:v>4102.000000014901</x:v>
      </x:c>
      <x:c r="J116" s="12" t="n">
        <x:v>106</x:v>
      </x:c>
      <x:c r="K116" s="2" t="n">
        <x:v>436</x:v>
      </x:c>
      <x:c r="L116" s="2" t="n">
        <x:v>971</x:v>
      </x:c>
    </x:row>
    <x:row r="117" ht="24" customHeight="1">
      <x:c r="A117" s="2" t="n">
        <x:v>116</x:v>
      </x:c>
      <x:c r="B117" s="2" t="n">
        <x:v>2</x:v>
      </x:c>
      <x:c r="C117" s="12" t="n">
        <x:v>121369.9999999851</x:v>
      </x:c>
      <x:c r="D117" s="12" t="n">
        <x:v>78313</x:v>
      </x:c>
      <x:c r="E117" s="12" t="n">
        <x:v>42841.666666671634</x:v>
      </x:c>
      <x:c r="F117" s="12" t="n">
        <x:v>45931</x:v>
      </x:c>
      <x:c r="G117" s="12" t="n">
        <x:v>26277.9999999851</x:v>
      </x:c>
      <x:c r="H117" s="12" t="n">
        <x:v>43056.9999999851</x:v>
      </x:c>
      <x:c r="I117" s="12" t="n">
        <x:v>5998</x:v>
      </x:c>
      <x:c r="J117" s="12" t="n">
        <x:v>106.00000001490116</x:v>
      </x:c>
      <x:c r="K117" s="2" t="n">
        <x:v>436</x:v>
      </x:c>
      <x:c r="L117" s="2" t="n">
        <x:v>975</x:v>
      </x:c>
    </x:row>
    <x:row r="118" ht="24" customHeight="1">
      <x:c r="A118" s="2" t="n">
        <x:v>117</x:v>
      </x:c>
      <x:c r="B118" s="2" t="n">
        <x:v>2</x:v>
      </x:c>
      <x:c r="C118" s="12" t="n">
        <x:v>117576.0000000149</x:v>
      </x:c>
      <x:c r="D118" s="12" t="n">
        <x:v>87909</x:v>
      </x:c>
      <x:c r="E118" s="12" t="n">
        <x:v>29451.666666671634</x:v>
      </x:c>
      <x:c r="F118" s="12" t="n">
        <x:v>44606.9999999851</x:v>
      </x:c>
      <x:c r="G118" s="12" t="n">
        <x:v>39094</x:v>
      </x:c>
      <x:c r="H118" s="12" t="n">
        <x:v>29667.0000000149</x:v>
      </x:c>
      <x:c r="I118" s="12" t="n">
        <x:v>4101.999999985099</x:v>
      </x:c>
      <x:c r="J118" s="12" t="n">
        <x:v>106.00000002980232</x:v>
      </x:c>
      <x:c r="K118" s="2" t="n">
        <x:v>436</x:v>
      </x:c>
      <x:c r="L118" s="2" t="n">
        <x:v>979</x:v>
      </x:c>
    </x:row>
    <x:row r="119" ht="24" customHeight="1">
      <x:c r="A119" s="2" t="n">
        <x:v>118</x:v>
      </x:c>
      <x:c r="B119" s="2" t="n">
        <x:v>2</x:v>
      </x:c>
      <x:c r="C119" s="12" t="n">
        <x:v>121368</x:v>
      </x:c>
      <x:c r="D119" s="12" t="n">
        <x:v>82696</x:v>
      </x:c>
      <x:c r="E119" s="12" t="n">
        <x:v>38456.666666671634</x:v>
      </x:c>
      <x:c r="F119" s="12" t="n">
        <x:v>50314.0000000149</x:v>
      </x:c>
      <x:c r="G119" s="12" t="n">
        <x:v>26277.9999999851</x:v>
      </x:c>
      <x:c r="H119" s="12" t="n">
        <x:v>38672</x:v>
      </x:c>
      <x:c r="I119" s="12" t="n">
        <x:v>5997.999999985099</x:v>
      </x:c>
      <x:c r="J119" s="12" t="n">
        <x:v>106.00000001490116</x:v>
      </x:c>
      <x:c r="K119" s="2" t="n">
        <x:v>436</x:v>
      </x:c>
      <x:c r="L119" s="2" t="n">
        <x:v>983</x:v>
      </x:c>
    </x:row>
    <x:row r="120" ht="24" customHeight="1">
      <x:c r="A120" s="2" t="n">
        <x:v>119</x:v>
      </x:c>
      <x:c r="B120" s="2" t="n">
        <x:v>2</x:v>
      </x:c>
      <x:c r="C120" s="12" t="n">
        <x:v>117574</x:v>
      </x:c>
      <x:c r="D120" s="12" t="n">
        <x:v>92197</x:v>
      </x:c>
      <x:c r="E120" s="12" t="n">
        <x:v>25163.666666671634</x:v>
      </x:c>
      <x:c r="F120" s="12" t="n">
        <x:v>48048.0000000149</x:v>
      </x:c>
      <x:c r="G120" s="12" t="n">
        <x:v>39941</x:v>
      </x:c>
      <x:c r="H120" s="12" t="n">
        <x:v>25377</x:v>
      </x:c>
      <x:c r="I120" s="12" t="n">
        <x:v>4102</x:v>
      </x:c>
      <x:c r="J120" s="12" t="n">
        <x:v>105.99999998509884</x:v>
      </x:c>
      <x:c r="K120" s="2" t="n">
        <x:v>436</x:v>
      </x:c>
      <x:c r="L120" s="2" t="n">
        <x:v>987</x:v>
      </x:c>
    </x:row>
    <x:row r="121" ht="24" customHeight="1">
      <x:c r="A121" s="2" t="n">
        <x:v>120</x:v>
      </x:c>
      <x:c r="B121" s="2" t="n">
        <x:v>2</x:v>
      </x:c>
      <x:c r="C121" s="12" t="n">
        <x:v>119474</x:v>
      </x:c>
      <x:c r="D121" s="12" t="n">
        <x:v>87072.0000000149</x:v>
      </x:c>
      <x:c r="E121" s="12" t="n">
        <x:v>32186.666666671634</x:v>
      </x:c>
      <x:c r="F121" s="12" t="n">
        <x:v>42654.9999999851</x:v>
      </x:c>
      <x:c r="G121" s="12" t="n">
        <x:v>40209</x:v>
      </x:c>
      <x:c r="H121" s="12" t="n">
        <x:v>32401.9999999851</x:v>
      </x:c>
      <x:c r="I121" s="12" t="n">
        <x:v>4102</x:v>
      </x:c>
      <x:c r="J121" s="12" t="n">
        <x:v>106.00000002980232</x:v>
      </x:c>
      <x:c r="K121" s="2" t="n">
        <x:v>432</x:v>
      </x:c>
      <x:c r="L121" s="2" t="n">
        <x:v>988</x:v>
      </x:c>
    </x:row>
    <x:row r="122" ht="24" customHeight="1">
      <x:c r="A122" s="2" t="n">
        <x:v>121</x:v>
      </x:c>
      <x:c r="B122" s="2" t="n">
        <x:v>2</x:v>
      </x:c>
      <x:c r="C122" s="12" t="n">
        <x:v>117920.9999999851</x:v>
      </x:c>
      <x:c r="D122" s="12" t="n">
        <x:v>107868.9999999851</x:v>
      </x:c>
      <x:c r="E122" s="12" t="n">
        <x:v>9835.666666671634</x:v>
      </x:c>
      <x:c r="F122" s="12" t="n">
        <x:v>41503</x:v>
      </x:c>
      <x:c r="G122" s="12" t="n">
        <x:v>63710.0000000149</x:v>
      </x:c>
      <x:c r="H122" s="12" t="n">
        <x:v>10052</x:v>
      </x:c>
      <x:c r="I122" s="12" t="n">
        <x:v>2550.000000014901</x:v>
      </x:c>
      <x:c r="J122" s="12" t="n">
        <x:v>105.99999995529652</x:v>
      </x:c>
      <x:c r="K122" s="2" t="n">
        <x:v>428</x:v>
      </x:c>
      <x:c r="L122" s="2" t="n">
        <x:v>988</x:v>
      </x:c>
    </x:row>
    <x:row r="123" ht="24" customHeight="1">
      <x:c r="A123" s="2" t="n">
        <x:v>122</x:v>
      </x:c>
      <x:c r="B123" s="2" t="n">
        <x:v>2</x:v>
      </x:c>
      <x:c r="C123" s="12" t="n">
        <x:v>121021.0000000149</x:v>
      </x:c>
      <x:c r="D123" s="12" t="n">
        <x:v>90124.0000000298</x:v>
      </x:c>
      <x:c r="E123" s="12" t="n">
        <x:v>30683.666666671634</x:v>
      </x:c>
      <x:c r="F123" s="12" t="n">
        <x:v>42508.9999999851</x:v>
      </x:c>
      <x:c r="G123" s="12" t="n">
        <x:v>43407</x:v>
      </x:c>
      <x:c r="H123" s="12" t="n">
        <x:v>30896.9999999851</x:v>
      </x:c>
      <x:c r="I123" s="12" t="n">
        <x:v>4102.000000014901</x:v>
      </x:c>
      <x:c r="J123" s="12" t="n">
        <x:v>106.00000002980232</x:v>
      </x:c>
      <x:c r="K123" s="2" t="n">
        <x:v>424</x:v>
      </x:c>
      <x:c r="L123" s="2" t="n">
        <x:v>989</x:v>
      </x:c>
    </x:row>
    <x:row r="124" ht="24" customHeight="1">
      <x:c r="A124" s="2" t="n">
        <x:v>123</x:v>
      </x:c>
      <x:c r="B124" s="2" t="n">
        <x:v>2</x:v>
      </x:c>
      <x:c r="C124" s="12" t="n">
        <x:v>117920.9999999851</x:v>
      </x:c>
      <x:c r="D124" s="12" t="n">
        <x:v>105928.9999999702</x:v>
      </x:c>
      <x:c r="E124" s="12" t="n">
        <x:v>11777.666666671634</x:v>
      </x:c>
      <x:c r="F124" s="12" t="n">
        <x:v>38719.9999999851</x:v>
      </x:c>
      <x:c r="G124" s="12" t="n">
        <x:v>64553</x:v>
      </x:c>
      <x:c r="H124" s="12" t="n">
        <x:v>11992.000000014901</x:v>
      </x:c>
      <x:c r="I124" s="12" t="n">
        <x:v>2550</x:v>
      </x:c>
      <x:c r="J124" s="12" t="n">
        <x:v>105.99999998509884</x:v>
      </x:c>
      <x:c r="K124" s="2" t="n">
        <x:v>420</x:v>
      </x:c>
      <x:c r="L124" s="2" t="n">
        <x:v>989</x:v>
      </x:c>
    </x:row>
    <x:row r="125" ht="24" customHeight="1">
      <x:c r="A125" s="2" t="n">
        <x:v>124</x:v>
      </x:c>
      <x:c r="B125" s="2" t="n">
        <x:v>2</x:v>
      </x:c>
      <x:c r="C125" s="12" t="n">
        <x:v>121025.0000000149</x:v>
      </x:c>
      <x:c r="D125" s="12" t="n">
        <x:v>91833.0000000298</x:v>
      </x:c>
      <x:c r="E125" s="12" t="n">
        <x:v>28976.666666671634</x:v>
      </x:c>
      <x:c r="F125" s="12" t="n">
        <x:v>43112</x:v>
      </x:c>
      <x:c r="G125" s="12" t="n">
        <x:v>44513</x:v>
      </x:c>
      <x:c r="H125" s="12" t="n">
        <x:v>29191.9999999851</x:v>
      </x:c>
      <x:c r="I125" s="12" t="n">
        <x:v>4101.999999985099</x:v>
      </x:c>
      <x:c r="J125" s="12" t="n">
        <x:v>106.00000004470348</x:v>
      </x:c>
      <x:c r="K125" s="2" t="n">
        <x:v>416</x:v>
      </x:c>
      <x:c r="L125" s="2" t="n">
        <x:v>990</x:v>
      </x:c>
    </x:row>
    <x:row r="126" ht="24" customHeight="1">
      <x:c r="A126" s="2" t="n">
        <x:v>125</x:v>
      </x:c>
      <x:c r="B126" s="2" t="n">
        <x:v>2</x:v>
      </x:c>
      <x:c r="C126" s="12" t="n">
        <x:v>122293.9999999851</x:v>
      </x:c>
      <x:c r="D126" s="12" t="n">
        <x:v>121487</x:v>
      </x:c>
      <x:c r="E126" s="12" t="n">
        <x:v>590.6666666716337</x:v>
      </x:c>
      <x:c r="F126" s="12" t="n">
        <x:v>46529</x:v>
      </x:c>
      <x:c r="G126" s="12" t="n">
        <x:v>67929</x:v>
      </x:c>
      <x:c r="H126" s="12" t="n">
        <x:v>806.9999999850988</x:v>
      </x:c>
      <x:c r="I126" s="12" t="n">
        <x:v>6923.000000014901</x:v>
      </x:c>
      <x:c r="J126" s="12" t="n">
        <x:v>105.99999998509884</x:v>
      </x:c>
      <x:c r="K126" s="2" t="n">
        <x:v>412</x:v>
      </x:c>
      <x:c r="L126" s="2" t="n">
        <x:v>990</x:v>
      </x:c>
    </x:row>
    <x:row r="127" ht="24" customHeight="1">
      <x:c r="A127" s="2" t="n">
        <x:v>126</x:v>
      </x:c>
      <x:c r="B127" s="2" t="n">
        <x:v>2</x:v>
      </x:c>
      <x:c r="C127" s="12" t="n">
        <x:v>115099.0000000149</x:v>
      </x:c>
      <x:c r="D127" s="12" t="n">
        <x:v>71892.0000000149</x:v>
      </x:c>
      <x:c r="E127" s="12" t="n">
        <x:v>42990.666666671634</x:v>
      </x:c>
      <x:c r="F127" s="12" t="n">
        <x:v>40242</x:v>
      </x:c>
      <x:c r="G127" s="12" t="n">
        <x:v>28994.0000000149</x:v>
      </x:c>
      <x:c r="H127" s="12" t="n">
        <x:v>43207</x:v>
      </x:c>
      <x:c r="I127" s="12" t="n">
        <x:v>2549.999999985099</x:v>
      </x:c>
      <x:c r="J127" s="12" t="n">
        <x:v>106.00000001490116</x:v>
      </x:c>
      <x:c r="K127" s="2" t="n">
        <x:v>408</x:v>
      </x:c>
      <x:c r="L127" s="2" t="n">
        <x:v>990</x:v>
      </x:c>
    </x:row>
    <x:row r="128" ht="24" customHeight="1">
      <x:c r="A128" s="2" t="n">
        <x:v>245</x:v>
      </x:c>
      <x:c r="B128" s="2" t="n">
        <x:v>3</x:v>
      </x:c>
      <x:c r="C128" s="12" t="n">
        <x:v>176387</x:v>
      </x:c>
      <x:c r="D128" s="12" t="n">
        <x:v>127374.9999999851</x:v>
      </x:c>
      <x:c r="E128" s="12" t="n">
        <x:v>-10940.333333328366</x:v>
      </x:c>
      <x:c r="F128" s="12" t="n">
        <x:v>58755</x:v>
      </x:c>
      <x:c r="G128" s="12" t="n">
        <x:v>64411.9999999851</x:v>
      </x:c>
      <x:c r="H128" s="12" t="n">
        <x:v>49012.0000000149</x:v>
      </x:c>
      <x:c r="I128" s="12" t="n">
        <x:v>4102.000000014901</x:v>
      </x:c>
      <x:c r="J128" s="12" t="n">
        <x:v>105.99999998509884</x:v>
      </x:c>
      <x:c r="K128" s="2" t="n">
        <x:v>291</x:v>
      </x:c>
      <x:c r="L128" s="2" t="n">
        <x:v>1123</x:v>
      </x:c>
    </x:row>
    <x:row r="129" ht="24" customHeight="1">
      <x:c r="A129" s="2" t="n">
        <x:v>246</x:v>
      </x:c>
      <x:c r="B129" s="2" t="n">
        <x:v>2</x:v>
      </x:c>
      <x:c r="C129" s="12" t="n">
        <x:v>119468.0000000149</x:v>
      </x:c>
      <x:c r="D129" s="12" t="n">
        <x:v>115776.0000000149</x:v>
      </x:c>
      <x:c r="E129" s="12" t="n">
        <x:v>3479.6666666716337</x:v>
      </x:c>
      <x:c r="F129" s="12" t="n">
        <x:v>40373.9999999851</x:v>
      </x:c>
      <x:c r="G129" s="12" t="n">
        <x:v>71194</x:v>
      </x:c>
      <x:c r="H129" s="12" t="n">
        <x:v>3692</x:v>
      </x:c>
      <x:c r="I129" s="12" t="n">
        <x:v>4101.999999985099</x:v>
      </x:c>
      <x:c r="J129" s="12" t="n">
        <x:v>106.00000004470348</x:v>
      </x:c>
      <x:c r="K129" s="2" t="n">
        <x:v>291</x:v>
      </x:c>
      <x:c r="L129" s="2" t="n">
        <x:v>1119</x:v>
      </x:c>
    </x:row>
    <x:row r="130" ht="24" customHeight="1">
      <x:c r="A130" s="2" t="n">
        <x:v>247</x:v>
      </x:c>
      <x:c r="B130" s="2" t="n">
        <x:v>2</x:v>
      </x:c>
      <x:c r="C130" s="12" t="n">
        <x:v>122295.9999999851</x:v>
      </x:c>
      <x:c r="D130" s="12" t="n">
        <x:v>106688.9999999702</x:v>
      </x:c>
      <x:c r="E130" s="12" t="n">
        <x:v>15391.666666671634</x:v>
      </x:c>
      <x:c r="F130" s="12" t="n">
        <x:v>41729</x:v>
      </x:c>
      <x:c r="G130" s="12" t="n">
        <x:v>57930.9999999851</x:v>
      </x:c>
      <x:c r="H130" s="12" t="n">
        <x:v>15607.000000014901</x:v>
      </x:c>
      <x:c r="I130" s="12" t="n">
        <x:v>6923</x:v>
      </x:c>
      <x:c r="J130" s="12" t="n">
        <x:v>105.99999998509884</x:v>
      </x:c>
      <x:c r="K130" s="2" t="n">
        <x:v>290</x:v>
      </x:c>
      <x:c r="L130" s="2" t="n">
        <x:v>1115</x:v>
      </x:c>
    </x:row>
    <x:row r="131" ht="24" customHeight="1">
      <x:c r="A131" s="2" t="n">
        <x:v>248</x:v>
      </x:c>
      <x:c r="B131" s="2" t="n">
        <x:v>2</x:v>
      </x:c>
      <x:c r="C131" s="12" t="n">
        <x:v>116650</x:v>
      </x:c>
      <x:c r="D131" s="12" t="n">
        <x:v>109983</x:v>
      </x:c>
      <x:c r="E131" s="12" t="n">
        <x:v>6452.666666671634</x:v>
      </x:c>
      <x:c r="F131" s="12" t="n">
        <x:v>37100.0000000149</x:v>
      </x:c>
      <x:c r="G131" s="12" t="n">
        <x:v>68675</x:v>
      </x:c>
      <x:c r="H131" s="12" t="n">
        <x:v>6667</x:v>
      </x:c>
      <x:c r="I131" s="12" t="n">
        <x:v>4102.000000014901</x:v>
      </x:c>
      <x:c r="J131" s="12" t="n">
        <x:v>105.99999997019768</x:v>
      </x:c>
      <x:c r="K131" s="2" t="n">
        <x:v>290</x:v>
      </x:c>
      <x:c r="L131" s="2" t="n">
        <x:v>1111</x:v>
      </x:c>
    </x:row>
    <x:row r="132" ht="24" customHeight="1">
      <x:c r="A132" s="2" t="n">
        <x:v>249</x:v>
      </x:c>
      <x:c r="B132" s="2" t="n">
        <x:v>2</x:v>
      </x:c>
      <x:c r="C132" s="12" t="n">
        <x:v>119470.0000000149</x:v>
      </x:c>
      <x:c r="D132" s="12" t="n">
        <x:v>102393.0000000298</x:v>
      </x:c>
      <x:c r="E132" s="12" t="n">
        <x:v>16864.666666671634</x:v>
      </x:c>
      <x:c r="F132" s="12" t="n">
        <x:v>38327</x:v>
      </x:c>
      <x:c r="G132" s="12" t="n">
        <x:v>59858</x:v>
      </x:c>
      <x:c r="H132" s="12" t="n">
        <x:v>17076.9999999851</x:v>
      </x:c>
      <x:c r="I132" s="12" t="n">
        <x:v>4102</x:v>
      </x:c>
      <x:c r="J132" s="12" t="n">
        <x:v>106.00000002980232</x:v>
      </x:c>
      <x:c r="K132" s="2" t="n">
        <x:v>289</x:v>
      </x:c>
      <x:c r="L132" s="2" t="n">
        <x:v>1107</x:v>
      </x:c>
    </x:row>
    <x:row r="133" ht="24" customHeight="1">
      <x:c r="A133" s="2" t="n">
        <x:v>250</x:v>
      </x:c>
      <x:c r="B133" s="2" t="n">
        <x:v>2</x:v>
      </x:c>
      <x:c r="C133" s="12" t="n">
        <x:v>119476</x:v>
      </x:c>
      <x:c r="D133" s="12" t="n">
        <x:v>112329.0000000149</x:v>
      </x:c>
      <x:c r="E133" s="12" t="n">
        <x:v>6930.666666671634</x:v>
      </x:c>
      <x:c r="F133" s="12" t="n">
        <x:v>37072.9999999851</x:v>
      </x:c>
      <x:c r="G133" s="12" t="n">
        <x:v>71048</x:v>
      </x:c>
      <x:c r="H133" s="12" t="n">
        <x:v>7146.999999985099</x:v>
      </x:c>
      <x:c r="I133" s="12" t="n">
        <x:v>4102</x:v>
      </x:c>
      <x:c r="J133" s="12" t="n">
        <x:v>106.00000002980232</x:v>
      </x:c>
      <x:c r="K133" s="2" t="n">
        <x:v>289</x:v>
      </x:c>
      <x:c r="L133" s="2" t="n">
        <x:v>1103</x:v>
      </x:c>
    </x:row>
    <x:row r="134" ht="24" customHeight="1">
      <x:c r="A134" s="2" t="n">
        <x:v>251</x:v>
      </x:c>
      <x:c r="B134" s="2" t="n">
        <x:v>2</x:v>
      </x:c>
      <x:c r="C134" s="12" t="n">
        <x:v>119471</x:v>
      </x:c>
      <x:c r="D134" s="12" t="n">
        <x:v>72749</x:v>
      </x:c>
      <x:c r="E134" s="12" t="n">
        <x:v>46506.666666671634</x:v>
      </x:c>
      <x:c r="F134" s="12" t="n">
        <x:v>38915.9999999851</x:v>
      </x:c>
      <x:c r="G134" s="12" t="n">
        <x:v>29625</x:v>
      </x:c>
      <x:c r="H134" s="12" t="n">
        <x:v>46722</x:v>
      </x:c>
      <x:c r="I134" s="12" t="n">
        <x:v>4102.000000014901</x:v>
      </x:c>
      <x:c r="J134" s="12" t="n">
        <x:v>106</x:v>
      </x:c>
      <x:c r="K134" s="2" t="n">
        <x:v>289</x:v>
      </x:c>
      <x:c r="L134" s="2" t="n">
        <x:v>1099</x:v>
      </x:c>
    </x:row>
    <x:row r="135" ht="24" customHeight="1">
      <x:c r="A135" s="2" t="n">
        <x:v>252</x:v>
      </x:c>
      <x:c r="B135" s="2" t="n">
        <x:v>2</x:v>
      </x:c>
      <x:c r="C135" s="12" t="n">
        <x:v>119469</x:v>
      </x:c>
      <x:c r="D135" s="12" t="n">
        <x:v>80262</x:v>
      </x:c>
      <x:c r="E135" s="12" t="n">
        <x:v>38994.666666671634</x:v>
      </x:c>
      <x:c r="F135" s="12" t="n">
        <x:v>35216.9999999851</x:v>
      </x:c>
      <x:c r="G135" s="12" t="n">
        <x:v>40837</x:v>
      </x:c>
      <x:c r="H135" s="12" t="n">
        <x:v>39207</x:v>
      </x:c>
      <x:c r="I135" s="12" t="n">
        <x:v>4102.000000014901</x:v>
      </x:c>
      <x:c r="J135" s="12" t="n">
        <x:v>106</x:v>
      </x:c>
      <x:c r="K135" s="2" t="n">
        <x:v>289</x:v>
      </x:c>
      <x:c r="L135" s="2" t="n">
        <x:v>1095</x:v>
      </x:c>
    </x:row>
    <x:row r="136" ht="24" customHeight="1">
      <x:c r="A136" s="2" t="n">
        <x:v>253</x:v>
      </x:c>
      <x:c r="B136" s="2" t="n">
        <x:v>2</x:v>
      </x:c>
      <x:c r="C136" s="12" t="n">
        <x:v>119472.9999999851</x:v>
      </x:c>
      <x:c r="D136" s="12" t="n">
        <x:v>70395.9999999702</x:v>
      </x:c>
      <x:c r="E136" s="12" t="n">
        <x:v>48863.666666671634</x:v>
      </x:c>
      <x:c r="F136" s="12" t="n">
        <x:v>36562.9999999851</x:v>
      </x:c>
      <x:c r="G136" s="12" t="n">
        <x:v>29625</x:v>
      </x:c>
      <x:c r="H136" s="12" t="n">
        <x:v>49077.0000000149</x:v>
      </x:c>
      <x:c r="I136" s="12" t="n">
        <x:v>4102.000000014901</x:v>
      </x:c>
      <x:c r="J136" s="12" t="n">
        <x:v>105.99999997019768</x:v>
      </x:c>
      <x:c r="K136" s="2" t="n">
        <x:v>289</x:v>
      </x:c>
      <x:c r="L136" s="2" t="n">
        <x:v>1091</x:v>
      </x:c>
    </x:row>
    <x:row r="137" ht="24" customHeight="1">
      <x:c r="A137" s="2" t="n">
        <x:v>254</x:v>
      </x:c>
      <x:c r="B137" s="2" t="n">
        <x:v>2</x:v>
      </x:c>
      <x:c r="C137" s="12" t="n">
        <x:v>119473.0000000149</x:v>
      </x:c>
      <x:c r="D137" s="12" t="n">
        <x:v>82061.0000000149</x:v>
      </x:c>
      <x:c r="E137" s="12" t="n">
        <x:v>37197.666666671634</x:v>
      </x:c>
      <x:c r="F137" s="12" t="n">
        <x:v>36989.9999999851</x:v>
      </x:c>
      <x:c r="G137" s="12" t="n">
        <x:v>40862.9999999851</x:v>
      </x:c>
      <x:c r="H137" s="12" t="n">
        <x:v>37412</x:v>
      </x:c>
      <x:c r="I137" s="12" t="n">
        <x:v>4101.999999985099</x:v>
      </x:c>
      <x:c r="J137" s="12" t="n">
        <x:v>106.00000005960464</x:v>
      </x:c>
      <x:c r="K137" s="2" t="n">
        <x:v>289</x:v>
      </x:c>
      <x:c r="L137" s="2" t="n">
        <x:v>1087</x:v>
      </x:c>
    </x:row>
    <x:row r="138" ht="24" customHeight="1">
      <x:c r="A138" s="2" t="n">
        <x:v>255</x:v>
      </x:c>
      <x:c r="B138" s="2" t="n">
        <x:v>2</x:v>
      </x:c>
      <x:c r="C138" s="12" t="n">
        <x:v>119469.9999999851</x:v>
      </x:c>
      <x:c r="D138" s="12" t="n">
        <x:v>73677.9999999702</x:v>
      </x:c>
      <x:c r="E138" s="12" t="n">
        <x:v>45579.666666671634</x:v>
      </x:c>
      <x:c r="F138" s="12" t="n">
        <x:v>39845</x:v>
      </x:c>
      <x:c r="G138" s="12" t="n">
        <x:v>29625</x:v>
      </x:c>
      <x:c r="H138" s="12" t="n">
        <x:v>45792.0000000149</x:v>
      </x:c>
      <x:c r="I138" s="12" t="n">
        <x:v>4102.000000014901</x:v>
      </x:c>
      <x:c r="J138" s="12" t="n">
        <x:v>105.99999995529652</x:v>
      </x:c>
      <x:c r="K138" s="2" t="n">
        <x:v>289</x:v>
      </x:c>
      <x:c r="L138" s="2" t="n">
        <x:v>1083</x:v>
      </x:c>
    </x:row>
    <x:row r="139" ht="24" customHeight="1">
      <x:c r="A139" s="2" t="n">
        <x:v>256</x:v>
      </x:c>
      <x:c r="B139" s="2" t="n">
        <x:v>2</x:v>
      </x:c>
      <x:c r="C139" s="12" t="n">
        <x:v>119474.0000000149</x:v>
      </x:c>
      <x:c r="D139" s="12" t="n">
        <x:v>110142.0000000447</x:v>
      </x:c>
      <x:c r="E139" s="12" t="n">
        <x:v>9117.666666686535</x:v>
      </x:c>
      <x:c r="F139" s="12" t="n">
        <x:v>63919</x:v>
      </x:c>
      <x:c r="G139" s="12" t="n">
        <x:v>42014.9999999702</x:v>
      </x:c>
      <x:c r="H139" s="12" t="n">
        <x:v>9331.999999970198</x:v>
      </x:c>
      <x:c r="I139" s="12" t="n">
        <x:v>4102</x:v>
      </x:c>
      <x:c r="J139" s="12" t="n">
        <x:v>106.0000000745058</x:v>
      </x:c>
      <x:c r="K139" s="2" t="n">
        <x:v>289</x:v>
      </x:c>
      <x:c r="L139" s="2" t="n">
        <x:v>1079</x:v>
      </x:c>
    </x:row>
    <x:row r="140" ht="24" customHeight="1">
      <x:c r="A140" s="2" t="n">
        <x:v>257</x:v>
      </x:c>
      <x:c r="B140" s="2" t="n">
        <x:v>2</x:v>
      </x:c>
      <x:c r="C140" s="12" t="n">
        <x:v>119471</x:v>
      </x:c>
      <x:c r="D140" s="12" t="n">
        <x:v>98214</x:v>
      </x:c>
      <x:c r="E140" s="12" t="n">
        <x:v>21043.666666656733</x:v>
      </x:c>
      <x:c r="F140" s="12" t="n">
        <x:v>64092</x:v>
      </x:c>
      <x:c r="G140" s="12" t="n">
        <x:v>29914</x:v>
      </x:c>
      <x:c r="H140" s="12" t="n">
        <x:v>21257</x:v>
      </x:c>
      <x:c r="I140" s="12" t="n">
        <x:v>4102</x:v>
      </x:c>
      <x:c r="J140" s="12" t="n">
        <x:v>106</x:v>
      </x:c>
      <x:c r="K140" s="2" t="n">
        <x:v>289</x:v>
      </x:c>
      <x:c r="L140" s="2" t="n">
        <x:v>1075</x:v>
      </x:c>
    </x:row>
    <x:row r="141" ht="24" customHeight="1">
      <x:c r="A141" s="2" t="n">
        <x:v>258</x:v>
      </x:c>
      <x:c r="B141" s="2" t="n">
        <x:v>2</x:v>
      </x:c>
      <x:c r="C141" s="12" t="n">
        <x:v>119474</x:v>
      </x:c>
      <x:c r="D141" s="12" t="n">
        <x:v>107092.0000000298</x:v>
      </x:c>
      <x:c r="E141" s="12" t="n">
        <x:v>12166.666666656733</x:v>
      </x:c>
      <x:c r="F141" s="12" t="n">
        <x:v>61371</x:v>
      </x:c>
      <x:c r="G141" s="12" t="n">
        <x:v>41513</x:v>
      </x:c>
      <x:c r="H141" s="12" t="n">
        <x:v>12381.999999970198</x:v>
      </x:c>
      <x:c r="I141" s="12" t="n">
        <x:v>4102</x:v>
      </x:c>
      <x:c r="J141" s="12" t="n">
        <x:v>106.00000002980232</x:v>
      </x:c>
      <x:c r="K141" s="2" t="n">
        <x:v>289</x:v>
      </x:c>
      <x:c r="L141" s="2" t="n">
        <x:v>1071</x:v>
      </x:c>
    </x:row>
    <x:row r="142" ht="24" customHeight="1">
      <x:c r="A142" s="2" t="n">
        <x:v>259</x:v>
      </x:c>
      <x:c r="B142" s="2" t="n">
        <x:v>2</x:v>
      </x:c>
      <x:c r="C142" s="12" t="n">
        <x:v>119469</x:v>
      </x:c>
      <x:c r="D142" s="12" t="n">
        <x:v>98052.0000000298</x:v>
      </x:c>
      <x:c r="E142" s="12" t="n">
        <x:v>21204.666666656733</x:v>
      </x:c>
      <x:c r="F142" s="12" t="n">
        <x:v>64432</x:v>
      </x:c>
      <x:c r="G142" s="12" t="n">
        <x:v>29412</x:v>
      </x:c>
      <x:c r="H142" s="12" t="n">
        <x:v>21416.999999970198</x:v>
      </x:c>
      <x:c r="I142" s="12" t="n">
        <x:v>4102</x:v>
      </x:c>
      <x:c r="J142" s="12" t="n">
        <x:v>106.00000002980232</x:v>
      </x:c>
      <x:c r="K142" s="2" t="n">
        <x:v>289</x:v>
      </x:c>
      <x:c r="L142" s="2" t="n">
        <x:v>1067</x:v>
      </x:c>
    </x:row>
    <x:row r="143" ht="24" customHeight="1">
      <x:c r="A143" s="2" t="n">
        <x:v>260</x:v>
      </x:c>
      <x:c r="B143" s="2" t="n">
        <x:v>2</x:v>
      </x:c>
      <x:c r="C143" s="12" t="n">
        <x:v>119476</x:v>
      </x:c>
      <x:c r="D143" s="12" t="n">
        <x:v>79174</x:v>
      </x:c>
      <x:c r="E143" s="12" t="n">
        <x:v>40085.66666665673</x:v>
      </x:c>
      <x:c r="F143" s="12" t="n">
        <x:v>33252</x:v>
      </x:c>
      <x:c r="G143" s="12" t="n">
        <x:v>41714</x:v>
      </x:c>
      <x:c r="H143" s="12" t="n">
        <x:v>40302</x:v>
      </x:c>
      <x:c r="I143" s="12" t="n">
        <x:v>4102</x:v>
      </x:c>
      <x:c r="J143" s="12" t="n">
        <x:v>106</x:v>
      </x:c>
      <x:c r="K143" s="2" t="n">
        <x:v>289</x:v>
      </x:c>
      <x:c r="L143" s="2" t="n">
        <x:v>1063</x:v>
      </x:c>
    </x:row>
    <x:row r="144" ht="24" customHeight="1">
      <x:c r="A144" s="2" t="n">
        <x:v>261</x:v>
      </x:c>
      <x:c r="B144" s="2" t="n">
        <x:v>2</x:v>
      </x:c>
      <x:c r="C144" s="12" t="n">
        <x:v>119469</x:v>
      </x:c>
      <x:c r="D144" s="12" t="n">
        <x:v>98217.0000000298</x:v>
      </x:c>
      <x:c r="E144" s="12" t="n">
        <x:v>21038.666666656733</x:v>
      </x:c>
      <x:c r="F144" s="12" t="n">
        <x:v>34626</x:v>
      </x:c>
      <x:c r="G144" s="12" t="n">
        <x:v>59383</x:v>
      </x:c>
      <x:c r="H144" s="12" t="n">
        <x:v>21251.999999970198</x:v>
      </x:c>
      <x:c r="I144" s="12" t="n">
        <x:v>4102</x:v>
      </x:c>
      <x:c r="J144" s="12" t="n">
        <x:v>106.00000002980232</x:v>
      </x:c>
      <x:c r="K144" s="2" t="n">
        <x:v>290</x:v>
      </x:c>
      <x:c r="L144" s="2" t="n">
        <x:v>1059</x:v>
      </x:c>
    </x:row>
    <x:row r="145" ht="24" customHeight="1">
      <x:c r="A145" s="2" t="n">
        <x:v>262</x:v>
      </x:c>
      <x:c r="B145" s="2" t="n">
        <x:v>2</x:v>
      </x:c>
      <x:c r="C145" s="12" t="n">
        <x:v>119472.9999999702</x:v>
      </x:c>
      <x:c r="D145" s="12" t="n">
        <x:v>108900.9999999702</x:v>
      </x:c>
      <x:c r="E145" s="12" t="n">
        <x:v>10357.666666656733</x:v>
      </x:c>
      <x:c r="F145" s="12" t="n">
        <x:v>33416</x:v>
      </x:c>
      <x:c r="G145" s="12" t="n">
        <x:v>71277</x:v>
      </x:c>
      <x:c r="H145" s="12" t="n">
        <x:v>10572</x:v>
      </x:c>
      <x:c r="I145" s="12" t="n">
        <x:v>4102</x:v>
      </x:c>
      <x:c r="J145" s="12" t="n">
        <x:v>105.99999997019768</x:v>
      </x:c>
      <x:c r="K145" s="2" t="n">
        <x:v>290</x:v>
      </x:c>
      <x:c r="L145" s="2" t="n">
        <x:v>1055</x:v>
      </x:c>
    </x:row>
    <x:row r="146" ht="24" customHeight="1">
      <x:c r="A146" s="2" t="n">
        <x:v>263</x:v>
      </x:c>
      <x:c r="B146" s="2" t="n">
        <x:v>2</x:v>
      </x:c>
      <x:c r="C146" s="12" t="n">
        <x:v>119474.0000000298</x:v>
      </x:c>
      <x:c r="D146" s="12" t="n">
        <x:v>97517.0000000298</x:v>
      </x:c>
      <x:c r="E146" s="12" t="n">
        <x:v>21740.666666656733</x:v>
      </x:c>
      <x:c r="F146" s="12" t="n">
        <x:v>36191</x:v>
      </x:c>
      <x:c r="G146" s="12" t="n">
        <x:v>57118</x:v>
      </x:c>
      <x:c r="H146" s="12" t="n">
        <x:v>21957</x:v>
      </x:c>
      <x:c r="I146" s="12" t="n">
        <x:v>4102.000000029802</x:v>
      </x:c>
      <x:c r="J146" s="12" t="n">
        <x:v>106</x:v>
      </x:c>
      <x:c r="K146" s="2" t="n">
        <x:v>291</x:v>
      </x:c>
      <x:c r="L146" s="2" t="n">
        <x:v>1051</x:v>
      </x:c>
    </x:row>
    <x:row r="147" ht="24" customHeight="1">
      <x:c r="A147" s="2" t="n">
        <x:v>264</x:v>
      </x:c>
      <x:c r="B147" s="2" t="n">
        <x:v>2</x:v>
      </x:c>
      <x:c r="C147" s="12" t="n">
        <x:v>119468</x:v>
      </x:c>
      <x:c r="D147" s="12" t="n">
        <x:v>105016</x:v>
      </x:c>
      <x:c r="E147" s="12" t="n">
        <x:v>14239.666666656733</x:v>
      </x:c>
      <x:c r="F147" s="12" t="n">
        <x:v>31435</x:v>
      </x:c>
      <x:c r="G147" s="12" t="n">
        <x:v>69373.0000000298</x:v>
      </x:c>
      <x:c r="H147" s="12" t="n">
        <x:v>14452</x:v>
      </x:c>
      <x:c r="I147" s="12" t="n">
        <x:v>4102</x:v>
      </x:c>
      <x:c r="J147" s="12" t="n">
        <x:v>105.99999997019768</x:v>
      </x:c>
      <x:c r="K147" s="2" t="n">
        <x:v>291</x:v>
      </x:c>
      <x:c r="L147" s="2" t="n">
        <x:v>1047</x:v>
      </x:c>
    </x:row>
    <x:row r="148" ht="24" customHeight="1">
      <x:c r="A148" s="2" t="n">
        <x:v>265</x:v>
      </x:c>
      <x:c r="B148" s="2" t="n">
        <x:v>2</x:v>
      </x:c>
      <x:c r="C148" s="12" t="n">
        <x:v>119472</x:v>
      </x:c>
      <x:c r="D148" s="12" t="n">
        <x:v>83850</x:v>
      </x:c>
      <x:c r="E148" s="12" t="n">
        <x:v>35409.66666665673</x:v>
      </x:c>
      <x:c r="F148" s="12" t="n">
        <x:v>32723.000000029802</x:v>
      </x:c>
      <x:c r="G148" s="12" t="n">
        <x:v>46919</x:v>
      </x:c>
      <x:c r="H148" s="12" t="n">
        <x:v>35622</x:v>
      </x:c>
      <x:c r="I148" s="12" t="n">
        <x:v>4102.000000029802</x:v>
      </x:c>
      <x:c r="J148" s="12" t="n">
        <x:v>105.99999994039536</x:v>
      </x:c>
      <x:c r="K148" s="2" t="n">
        <x:v>292</x:v>
      </x:c>
      <x:c r="L148" s="2" t="n">
        <x:v>1043</x:v>
      </x:c>
    </x:row>
    <x:row r="149" ht="24" customHeight="1">
      <x:c r="A149" s="2" t="n">
        <x:v>266</x:v>
      </x:c>
      <x:c r="B149" s="2" t="n">
        <x:v>2</x:v>
      </x:c>
      <x:c r="C149" s="12" t="n">
        <x:v>119472</x:v>
      </x:c>
      <x:c r="D149" s="12" t="n">
        <x:v>95995.0000000298</x:v>
      </x:c>
      <x:c r="E149" s="12" t="n">
        <x:v>23264.666666656733</x:v>
      </x:c>
      <x:c r="F149" s="12" t="n">
        <x:v>33279</x:v>
      </x:c>
      <x:c r="G149" s="12" t="n">
        <x:v>58507.9999999702</x:v>
      </x:c>
      <x:c r="H149" s="12" t="n">
        <x:v>23476.999999970198</x:v>
      </x:c>
      <x:c r="I149" s="12" t="n">
        <x:v>4102</x:v>
      </x:c>
      <x:c r="J149" s="12" t="n">
        <x:v>106.00000005960464</x:v>
      </x:c>
      <x:c r="K149" s="2" t="n">
        <x:v>292</x:v>
      </x:c>
      <x:c r="L149" s="2" t="n">
        <x:v>1039</x:v>
      </x:c>
    </x:row>
    <x:row r="150" ht="24" customHeight="1">
      <x:c r="A150" s="2" t="n">
        <x:v>267</x:v>
      </x:c>
      <x:c r="B150" s="2" t="n">
        <x:v>2</x:v>
      </x:c>
      <x:c r="C150" s="12" t="n">
        <x:v>119475</x:v>
      </x:c>
      <x:c r="D150" s="12" t="n">
        <x:v>69063</x:v>
      </x:c>
      <x:c r="E150" s="12" t="n">
        <x:v>50196.66666665673</x:v>
      </x:c>
      <x:c r="F150" s="12" t="n">
        <x:v>36108.9999999702</x:v>
      </x:c>
      <x:c r="G150" s="12" t="n">
        <x:v>28746</x:v>
      </x:c>
      <x:c r="H150" s="12" t="n">
        <x:v>50412</x:v>
      </x:c>
      <x:c r="I150" s="12" t="n">
        <x:v>4102</x:v>
      </x:c>
      <x:c r="J150" s="12" t="n">
        <x:v>106.00000002980232</x:v>
      </x:c>
      <x:c r="K150" s="2" t="n">
        <x:v>292</x:v>
      </x:c>
      <x:c r="L150" s="2" t="n">
        <x:v>1035</x:v>
      </x:c>
    </x:row>
    <x:row r="151" ht="24" customHeight="1">
      <x:c r="A151" s="2" t="n">
        <x:v>268</x:v>
      </x:c>
      <x:c r="B151" s="2" t="n">
        <x:v>2</x:v>
      </x:c>
      <x:c r="C151" s="12" t="n">
        <x:v>119470</x:v>
      </x:c>
      <x:c r="D151" s="12" t="n">
        <x:v>78313</x:v>
      </x:c>
      <x:c r="E151" s="12" t="n">
        <x:v>40943.66666665673</x:v>
      </x:c>
      <x:c r="F151" s="12" t="n">
        <x:v>33284</x:v>
      </x:c>
      <x:c r="G151" s="12" t="n">
        <x:v>40821</x:v>
      </x:c>
      <x:c r="H151" s="12" t="n">
        <x:v>41157</x:v>
      </x:c>
      <x:c r="I151" s="12" t="n">
        <x:v>4102</x:v>
      </x:c>
      <x:c r="J151" s="12" t="n">
        <x:v>106</x:v>
      </x:c>
      <x:c r="K151" s="2" t="n">
        <x:v>292</x:v>
      </x:c>
      <x:c r="L151" s="2" t="n">
        <x:v>1031</x:v>
      </x:c>
    </x:row>
    <x:row r="152" ht="24" customHeight="1">
      <x:c r="A152" s="2" t="n">
        <x:v>269</x:v>
      </x:c>
      <x:c r="B152" s="2" t="n">
        <x:v>2</x:v>
      </x:c>
      <x:c r="C152" s="12" t="n">
        <x:v>119474</x:v>
      </x:c>
      <x:c r="D152" s="12" t="n">
        <x:v>67432.0000000298</x:v>
      </x:c>
      <x:c r="E152" s="12" t="n">
        <x:v>51826.66666665673</x:v>
      </x:c>
      <x:c r="F152" s="12" t="n">
        <x:v>34478</x:v>
      </x:c>
      <x:c r="G152" s="12" t="n">
        <x:v>28746</x:v>
      </x:c>
      <x:c r="H152" s="12" t="n">
        <x:v>52041.9999999702</x:v>
      </x:c>
      <x:c r="I152" s="12" t="n">
        <x:v>4102</x:v>
      </x:c>
      <x:c r="J152" s="12" t="n">
        <x:v>106.00000002980232</x:v>
      </x:c>
      <x:c r="K152" s="2" t="n">
        <x:v>292</x:v>
      </x:c>
      <x:c r="L152" s="2" t="n">
        <x:v>1027</x:v>
      </x:c>
    </x:row>
    <x:row r="153" ht="24" customHeight="1">
      <x:c r="A153" s="2" t="n">
        <x:v>270</x:v>
      </x:c>
      <x:c r="B153" s="2" t="n">
        <x:v>2</x:v>
      </x:c>
      <x:c r="C153" s="12" t="n">
        <x:v>119471</x:v>
      </x:c>
      <x:c r="D153" s="12" t="n">
        <x:v>77584</x:v>
      </x:c>
      <x:c r="E153" s="12" t="n">
        <x:v>41672.66666665673</x:v>
      </x:c>
      <x:c r="F153" s="12" t="n">
        <x:v>32530.999999970198</x:v>
      </x:c>
      <x:c r="G153" s="12" t="n">
        <x:v>40845</x:v>
      </x:c>
      <x:c r="H153" s="12" t="n">
        <x:v>41887</x:v>
      </x:c>
      <x:c r="I153" s="12" t="n">
        <x:v>4102</x:v>
      </x:c>
      <x:c r="J153" s="12" t="n">
        <x:v>106.00000002980232</x:v>
      </x:c>
      <x:c r="K153" s="2" t="n">
        <x:v>292</x:v>
      </x:c>
      <x:c r="L153" s="2" t="n">
        <x:v>1023</x:v>
      </x:c>
    </x:row>
    <x:row r="154" ht="24" customHeight="1">
      <x:c r="A154" s="2" t="n">
        <x:v>271</x:v>
      </x:c>
      <x:c r="B154" s="2" t="n">
        <x:v>2</x:v>
      </x:c>
      <x:c r="C154" s="12" t="n">
        <x:v>119472</x:v>
      </x:c>
      <x:c r="D154" s="12" t="n">
        <x:v>68390</x:v>
      </x:c>
      <x:c r="E154" s="12" t="n">
        <x:v>50867.66666665673</x:v>
      </x:c>
      <x:c r="F154" s="12" t="n">
        <x:v>35436</x:v>
      </x:c>
      <x:c r="G154" s="12" t="n">
        <x:v>28746</x:v>
      </x:c>
      <x:c r="H154" s="12" t="n">
        <x:v>51082</x:v>
      </x:c>
      <x:c r="I154" s="12" t="n">
        <x:v>4102</x:v>
      </x:c>
      <x:c r="J154" s="12" t="n">
        <x:v>106</x:v>
      </x:c>
      <x:c r="K154" s="2" t="n">
        <x:v>292</x:v>
      </x:c>
      <x:c r="L154" s="2" t="n">
        <x:v>1019</x:v>
      </x:c>
    </x:row>
    <x:row r="155" ht="24" customHeight="1">
      <x:c r="A155" s="2" t="n">
        <x:v>272</x:v>
      </x:c>
      <x:c r="B155" s="2" t="n">
        <x:v>2</x:v>
      </x:c>
      <x:c r="C155" s="12" t="n">
        <x:v>119473</x:v>
      </x:c>
      <x:c r="D155" s="12" t="n">
        <x:v>78721</x:v>
      </x:c>
      <x:c r="E155" s="12" t="n">
        <x:v>40536.66666665673</x:v>
      </x:c>
      <x:c r="F155" s="12" t="n">
        <x:v>33178</x:v>
      </x:c>
      <x:c r="G155" s="12" t="n">
        <x:v>41335</x:v>
      </x:c>
      <x:c r="H155" s="12" t="n">
        <x:v>40752</x:v>
      </x:c>
      <x:c r="I155" s="12" t="n">
        <x:v>4102</x:v>
      </x:c>
      <x:c r="J155" s="12" t="n">
        <x:v>106</x:v>
      </x:c>
      <x:c r="K155" s="2" t="n">
        <x:v>292</x:v>
      </x:c>
      <x:c r="L155" s="2" t="n">
        <x:v>1015</x:v>
      </x:c>
    </x:row>
    <x:row r="156" ht="24" customHeight="1">
      <x:c r="A156" s="2" t="n">
        <x:v>273</x:v>
      </x:c>
      <x:c r="B156" s="2" t="n">
        <x:v>2</x:v>
      </x:c>
      <x:c r="C156" s="12" t="n">
        <x:v>119471</x:v>
      </x:c>
      <x:c r="D156" s="12" t="n">
        <x:v>67859</x:v>
      </x:c>
      <x:c r="E156" s="12" t="n">
        <x:v>51397.66666665673</x:v>
      </x:c>
      <x:c r="F156" s="12" t="n">
        <x:v>34415</x:v>
      </x:c>
      <x:c r="G156" s="12" t="n">
        <x:v>29236.000000029802</x:v>
      </x:c>
      <x:c r="H156" s="12" t="n">
        <x:v>51612</x:v>
      </x:c>
      <x:c r="I156" s="12" t="n">
        <x:v>4102.000000029802</x:v>
      </x:c>
      <x:c r="J156" s="12" t="n">
        <x:v>105.99999994039536</x:v>
      </x:c>
      <x:c r="K156" s="2" t="n">
        <x:v>292</x:v>
      </x:c>
      <x:c r="L156" s="2" t="n">
        <x:v>1011</x:v>
      </x:c>
    </x:row>
    <x:row r="157" ht="24" customHeight="1">
      <x:c r="A157" s="2" t="n">
        <x:v>274</x:v>
      </x:c>
      <x:c r="B157" s="2" t="n">
        <x:v>2</x:v>
      </x:c>
      <x:c r="C157" s="12" t="n">
        <x:v>119473</x:v>
      </x:c>
      <x:c r="D157" s="12" t="n">
        <x:v>78246</x:v>
      </x:c>
      <x:c r="E157" s="12" t="n">
        <x:v>41011.66666665673</x:v>
      </x:c>
      <x:c r="F157" s="12" t="n">
        <x:v>33205</x:v>
      </x:c>
      <x:c r="G157" s="12" t="n">
        <x:v>40833</x:v>
      </x:c>
      <x:c r="H157" s="12" t="n">
        <x:v>41227</x:v>
      </x:c>
      <x:c r="I157" s="12" t="n">
        <x:v>4101.999999970198</x:v>
      </x:c>
      <x:c r="J157" s="12" t="n">
        <x:v>106.00000002980232</x:v>
      </x:c>
      <x:c r="K157" s="2" t="n">
        <x:v>292</x:v>
      </x:c>
      <x:c r="L157" s="2" t="n">
        <x:v>1007</x:v>
      </x:c>
    </x:row>
    <x:row r="158" ht="24" customHeight="1">
      <x:c r="A158" s="2" t="n">
        <x:v>275</x:v>
      </x:c>
      <x:c r="B158" s="2" t="n">
        <x:v>2</x:v>
      </x:c>
      <x:c r="C158" s="12" t="n">
        <x:v>119469</x:v>
      </x:c>
      <x:c r="D158" s="12" t="n">
        <x:v>69062</x:v>
      </x:c>
      <x:c r="E158" s="12" t="n">
        <x:v>50194.66666665673</x:v>
      </x:c>
      <x:c r="F158" s="12" t="n">
        <x:v>36120.0000000298</x:v>
      </x:c>
      <x:c r="G158" s="12" t="n">
        <x:v>28734</x:v>
      </x:c>
      <x:c r="H158" s="12" t="n">
        <x:v>50407</x:v>
      </x:c>
      <x:c r="I158" s="12" t="n">
        <x:v>4102</x:v>
      </x:c>
      <x:c r="J158" s="12" t="n">
        <x:v>105.99999997019768</x:v>
      </x:c>
      <x:c r="K158" s="2" t="n">
        <x:v>292</x:v>
      </x:c>
      <x:c r="L158" s="2" t="n">
        <x:v>1003</x:v>
      </x:c>
    </x:row>
    <x:row r="159" ht="24" customHeight="1">
      <x:c r="A159" s="2" t="n">
        <x:v>276</x:v>
      </x:c>
      <x:c r="B159" s="2" t="n">
        <x:v>2</x:v>
      </x:c>
      <x:c r="C159" s="12" t="n">
        <x:v>119475</x:v>
      </x:c>
      <x:c r="D159" s="12" t="n">
        <x:v>77533</x:v>
      </x:c>
      <x:c r="E159" s="12" t="n">
        <x:v>41726.66666665673</x:v>
      </x:c>
      <x:c r="F159" s="12" t="n">
        <x:v>32492</x:v>
      </x:c>
      <x:c r="G159" s="12" t="n">
        <x:v>40833.0000000298</x:v>
      </x:c>
      <x:c r="H159" s="12" t="n">
        <x:v>41942</x:v>
      </x:c>
      <x:c r="I159" s="12" t="n">
        <x:v>4102</x:v>
      </x:c>
      <x:c r="J159" s="12" t="n">
        <x:v>105.99999997019768</x:v>
      </x:c>
      <x:c r="K159" s="2" t="n">
        <x:v>292</x:v>
      </x:c>
      <x:c r="L159" s="2" t="n">
        <x:v>999</x:v>
      </x:c>
    </x:row>
    <x:row r="160" ht="24" customHeight="1">
      <x:c r="A160" s="2" t="n">
        <x:v>277</x:v>
      </x:c>
      <x:c r="B160" s="2" t="n">
        <x:v>2</x:v>
      </x:c>
      <x:c r="C160" s="12" t="n">
        <x:v>119472.9999999702</x:v>
      </x:c>
      <x:c r="D160" s="12" t="n">
        <x:v>65555.9999999702</x:v>
      </x:c>
      <x:c r="E160" s="12" t="n">
        <x:v>53700.66666665673</x:v>
      </x:c>
      <x:c r="F160" s="12" t="n">
        <x:v>32614</x:v>
      </x:c>
      <x:c r="G160" s="12" t="n">
        <x:v>28734</x:v>
      </x:c>
      <x:c r="H160" s="12" t="n">
        <x:v>53917</x:v>
      </x:c>
      <x:c r="I160" s="12" t="n">
        <x:v>4102</x:v>
      </x:c>
      <x:c r="J160" s="12" t="n">
        <x:v>105.99999997019768</x:v>
      </x:c>
      <x:c r="K160" s="2" t="n">
        <x:v>292</x:v>
      </x:c>
      <x:c r="L160" s="2" t="n">
        <x:v>995</x:v>
      </x:c>
    </x:row>
    <x:row r="161" ht="24" customHeight="1">
      <x:c r="A161" s="2" t="n">
        <x:v>278</x:v>
      </x:c>
      <x:c r="B161" s="2" t="n">
        <x:v>2</x:v>
      </x:c>
      <x:c r="C161" s="12" t="n">
        <x:v>119472.0000000298</x:v>
      </x:c>
      <x:c r="D161" s="12" t="n">
        <x:v>78180.0000000298</x:v>
      </x:c>
      <x:c r="E161" s="12" t="n">
        <x:v>41075.66666665673</x:v>
      </x:c>
      <x:c r="F161" s="12" t="n">
        <x:v>33165</x:v>
      </x:c>
      <x:c r="G161" s="12" t="n">
        <x:v>40807</x:v>
      </x:c>
      <x:c r="H161" s="12" t="n">
        <x:v>41292</x:v>
      </x:c>
      <x:c r="I161" s="12" t="n">
        <x:v>4102</x:v>
      </x:c>
      <x:c r="J161" s="12" t="n">
        <x:v>106.00000002980232</x:v>
      </x:c>
      <x:c r="K161" s="2" t="n">
        <x:v>292</x:v>
      </x:c>
      <x:c r="L161" s="2" t="n">
        <x:v>991</x:v>
      </x:c>
    </x:row>
    <x:row r="162" ht="24" customHeight="1">
      <x:c r="A162" s="2" t="n">
        <x:v>279</x:v>
      </x:c>
      <x:c r="B162" s="2" t="n">
        <x:v>2</x:v>
      </x:c>
      <x:c r="C162" s="12" t="n">
        <x:v>119469</x:v>
      </x:c>
      <x:c r="D162" s="12" t="n">
        <x:v>68402.0000000298</x:v>
      </x:c>
      <x:c r="E162" s="12" t="n">
        <x:v>50853.66666665673</x:v>
      </x:c>
      <x:c r="F162" s="12" t="n">
        <x:v>35460</x:v>
      </x:c>
      <x:c r="G162" s="12" t="n">
        <x:v>28734</x:v>
      </x:c>
      <x:c r="H162" s="12" t="n">
        <x:v>51066.9999999702</x:v>
      </x:c>
      <x:c r="I162" s="12" t="n">
        <x:v>4102</x:v>
      </x:c>
      <x:c r="J162" s="12" t="n">
        <x:v>106.00000002980232</x:v>
      </x:c>
      <x:c r="K162" s="2" t="n">
        <x:v>292</x:v>
      </x:c>
      <x:c r="L162" s="2" t="n">
        <x:v>987</x:v>
      </x:c>
    </x:row>
    <x:row r="163" ht="24" customHeight="1">
      <x:c r="A163" s="2" t="n">
        <x:v>280</x:v>
      </x:c>
      <x:c r="B163" s="2" t="n">
        <x:v>2</x:v>
      </x:c>
      <x:c r="C163" s="12" t="n">
        <x:v>119472.9999999702</x:v>
      </x:c>
      <x:c r="D163" s="12" t="n">
        <x:v>78830.9999999404</x:v>
      </x:c>
      <x:c r="E163" s="12" t="n">
        <x:v>40427.66666665673</x:v>
      </x:c>
      <x:c r="F163" s="12" t="n">
        <x:v>33293</x:v>
      </x:c>
      <x:c r="G163" s="12" t="n">
        <x:v>41330</x:v>
      </x:c>
      <x:c r="H163" s="12" t="n">
        <x:v>40642.0000000298</x:v>
      </x:c>
      <x:c r="I163" s="12" t="n">
        <x:v>4102</x:v>
      </x:c>
      <x:c r="J163" s="12" t="n">
        <x:v>105.99999994039536</x:v>
      </x:c>
      <x:c r="K163" s="2" t="n">
        <x:v>292</x:v>
      </x:c>
      <x:c r="L163" s="2" t="n">
        <x:v>983</x:v>
      </x:c>
    </x:row>
    <x:row r="164" ht="24" customHeight="1">
      <x:c r="A164" s="2" t="n">
        <x:v>281</x:v>
      </x:c>
      <x:c r="B164" s="2" t="n">
        <x:v>2</x:v>
      </x:c>
      <x:c r="C164" s="12" t="n">
        <x:v>119474.0000000298</x:v>
      </x:c>
      <x:c r="D164" s="12" t="n">
        <x:v>67922.0000000298</x:v>
      </x:c>
      <x:c r="E164" s="12" t="n">
        <x:v>51335.66666665673</x:v>
      </x:c>
      <x:c r="F164" s="12" t="n">
        <x:v>34457</x:v>
      </x:c>
      <x:c r="G164" s="12" t="n">
        <x:v>29257</x:v>
      </x:c>
      <x:c r="H164" s="12" t="n">
        <x:v>51552</x:v>
      </x:c>
      <x:c r="I164" s="12" t="n">
        <x:v>4102.000000029802</x:v>
      </x:c>
      <x:c r="J164" s="12" t="n">
        <x:v>106</x:v>
      </x:c>
      <x:c r="K164" s="2" t="n">
        <x:v>292</x:v>
      </x:c>
      <x:c r="L164" s="2" t="n">
        <x:v>979</x:v>
      </x:c>
    </x:row>
    <x:row r="165" ht="24" customHeight="1">
      <x:c r="A165" s="2" t="n">
        <x:v>282</x:v>
      </x:c>
      <x:c r="B165" s="2" t="n">
        <x:v>2</x:v>
      </x:c>
      <x:c r="C165" s="12" t="n">
        <x:v>119470</x:v>
      </x:c>
      <x:c r="D165" s="12" t="n">
        <x:v>76313</x:v>
      </x:c>
      <x:c r="E165" s="12" t="n">
        <x:v>42942.66666665673</x:v>
      </x:c>
      <x:c r="F165" s="12" t="n">
        <x:v>31286</x:v>
      </x:c>
      <x:c r="G165" s="12" t="n">
        <x:v>40819</x:v>
      </x:c>
      <x:c r="H165" s="12" t="n">
        <x:v>43157</x:v>
      </x:c>
      <x:c r="I165" s="12" t="n">
        <x:v>4102</x:v>
      </x:c>
      <x:c r="J165" s="12" t="n">
        <x:v>106</x:v>
      </x:c>
      <x:c r="K165" s="2" t="n">
        <x:v>292</x:v>
      </x:c>
      <x:c r="L165" s="2" t="n">
        <x:v>975</x:v>
      </x:c>
    </x:row>
    <x:row r="166" ht="24" customHeight="1">
      <x:c r="A166" s="2" t="n">
        <x:v>283</x:v>
      </x:c>
      <x:c r="B166" s="2" t="n">
        <x:v>2</x:v>
      </x:c>
      <x:c r="C166" s="12" t="n">
        <x:v>119473</x:v>
      </x:c>
      <x:c r="D166" s="12" t="n">
        <x:v>67166</x:v>
      </x:c>
      <x:c r="E166" s="12" t="n">
        <x:v>52091.66666665673</x:v>
      </x:c>
      <x:c r="F166" s="12" t="n">
        <x:v>34212</x:v>
      </x:c>
      <x:c r="G166" s="12" t="n">
        <x:v>28746</x:v>
      </x:c>
      <x:c r="H166" s="12" t="n">
        <x:v>52307</x:v>
      </x:c>
      <x:c r="I166" s="12" t="n">
        <x:v>4102</x:v>
      </x:c>
      <x:c r="J166" s="12" t="n">
        <x:v>106</x:v>
      </x:c>
      <x:c r="K166" s="2" t="n">
        <x:v>292</x:v>
      </x:c>
      <x:c r="L166" s="2" t="n">
        <x:v>971</x:v>
      </x:c>
    </x:row>
    <x:row r="167" ht="24" customHeight="1">
      <x:c r="A167" s="2" t="n">
        <x:v>284</x:v>
      </x:c>
      <x:c r="B167" s="2" t="n">
        <x:v>2</x:v>
      </x:c>
      <x:c r="C167" s="12" t="n">
        <x:v>119469</x:v>
      </x:c>
      <x:c r="D167" s="12" t="n">
        <x:v>78267.0000000298</x:v>
      </x:c>
      <x:c r="E167" s="12" t="n">
        <x:v>40989.66666665673</x:v>
      </x:c>
      <x:c r="F167" s="12" t="n">
        <x:v>33240</x:v>
      </x:c>
      <x:c r="G167" s="12" t="n">
        <x:v>40819</x:v>
      </x:c>
      <x:c r="H167" s="12" t="n">
        <x:v>41201.9999999702</x:v>
      </x:c>
      <x:c r="I167" s="12" t="n">
        <x:v>4102</x:v>
      </x:c>
      <x:c r="J167" s="12" t="n">
        <x:v>106.00000002980232</x:v>
      </x:c>
      <x:c r="K167" s="2" t="n">
        <x:v>292</x:v>
      </x:c>
      <x:c r="L167" s="2" t="n">
        <x:v>967</x:v>
      </x:c>
    </x:row>
    <x:row r="168" ht="24" customHeight="1">
      <x:c r="A168" s="2" t="n">
        <x:v>285</x:v>
      </x:c>
      <x:c r="B168" s="2" t="n">
        <x:v>2</x:v>
      </x:c>
      <x:c r="C168" s="12" t="n">
        <x:v>119475</x:v>
      </x:c>
      <x:c r="D168" s="12" t="n">
        <x:v>66798</x:v>
      </x:c>
      <x:c r="E168" s="12" t="n">
        <x:v>52461.66666665673</x:v>
      </x:c>
      <x:c r="F168" s="12" t="n">
        <x:v>33844</x:v>
      </x:c>
      <x:c r="G168" s="12" t="n">
        <x:v>28746</x:v>
      </x:c>
      <x:c r="H168" s="12" t="n">
        <x:v>52677</x:v>
      </x:c>
      <x:c r="I168" s="12" t="n">
        <x:v>4102</x:v>
      </x:c>
      <x:c r="J168" s="12" t="n">
        <x:v>106</x:v>
      </x:c>
      <x:c r="K168" s="2" t="n">
        <x:v>292</x:v>
      </x:c>
      <x:c r="L168" s="2" t="n">
        <x:v>963</x:v>
      </x:c>
    </x:row>
    <x:row r="169" ht="24" customHeight="1">
      <x:c r="A169" s="2" t="n">
        <x:v>286</x:v>
      </x:c>
      <x:c r="B169" s="2" t="n">
        <x:v>2</x:v>
      </x:c>
      <x:c r="C169" s="12" t="n">
        <x:v>119470</x:v>
      </x:c>
      <x:c r="D169" s="12" t="n">
        <x:v>78178</x:v>
      </x:c>
      <x:c r="E169" s="12" t="n">
        <x:v>41078.66666665673</x:v>
      </x:c>
      <x:c r="F169" s="12" t="n">
        <x:v>33124.9999999702</x:v>
      </x:c>
      <x:c r="G169" s="12" t="n">
        <x:v>40845</x:v>
      </x:c>
      <x:c r="H169" s="12" t="n">
        <x:v>41292</x:v>
      </x:c>
      <x:c r="I169" s="12" t="n">
        <x:v>4102</x:v>
      </x:c>
      <x:c r="J169" s="12" t="n">
        <x:v>106.00000002980232</x:v>
      </x:c>
      <x:c r="K169" s="2" t="n">
        <x:v>292</x:v>
      </x:c>
      <x:c r="L169" s="2" t="n">
        <x:v>959</x:v>
      </x:c>
    </x:row>
    <x:row r="170" ht="24" customHeight="1">
      <x:c r="A170" s="2" t="n">
        <x:v>287</x:v>
      </x:c>
      <x:c r="B170" s="2" t="n">
        <x:v>2</x:v>
      </x:c>
      <x:c r="C170" s="12" t="n">
        <x:v>122294</x:v>
      </x:c>
      <x:c r="D170" s="12" t="n">
        <x:v>75407</x:v>
      </x:c>
      <x:c r="E170" s="12" t="n">
        <x:v>46672.66666665673</x:v>
      </x:c>
      <x:c r="F170" s="12" t="n">
        <x:v>39632</x:v>
      </x:c>
      <x:c r="G170" s="12" t="n">
        <x:v>28746</x:v>
      </x:c>
      <x:c r="H170" s="12" t="n">
        <x:v>46887</x:v>
      </x:c>
      <x:c r="I170" s="12" t="n">
        <x:v>6922.999999970198</x:v>
      </x:c>
      <x:c r="J170" s="12" t="n">
        <x:v>106.00000002980232</x:v>
      </x:c>
      <x:c r="K170" s="2" t="n">
        <x:v>292</x:v>
      </x:c>
      <x:c r="L170" s="2" t="n">
        <x:v>955</x:v>
      </x:c>
    </x:row>
    <x:row r="171" ht="24" customHeight="1">
      <x:c r="A171" s="2" t="n">
        <x:v>288</x:v>
      </x:c>
      <x:c r="B171" s="2" t="n">
        <x:v>2</x:v>
      </x:c>
      <x:c r="C171" s="12" t="n">
        <x:v>116650</x:v>
      </x:c>
      <x:c r="D171" s="12" t="n">
        <x:v>78167.9999999702</x:v>
      </x:c>
      <x:c r="E171" s="12" t="n">
        <x:v>38268.66666665673</x:v>
      </x:c>
      <x:c r="F171" s="12" t="n">
        <x:v>32625.000000029802</x:v>
      </x:c>
      <x:c r="G171" s="12" t="n">
        <x:v>41335</x:v>
      </x:c>
      <x:c r="H171" s="12" t="n">
        <x:v>38482.0000000298</x:v>
      </x:c>
      <x:c r="I171" s="12" t="n">
        <x:v>4102</x:v>
      </x:c>
      <x:c r="J171" s="12" t="n">
        <x:v>105.99999994039536</x:v>
      </x:c>
      <x:c r="K171" s="2" t="n">
        <x:v>292</x:v>
      </x:c>
      <x:c r="L171" s="2" t="n">
        <x:v>951</x:v>
      </x:c>
    </x:row>
    <x:row r="172" ht="24" customHeight="1">
      <x:c r="A172" s="2" t="n">
        <x:v>289</x:v>
      </x:c>
      <x:c r="B172" s="2" t="n">
        <x:v>2</x:v>
      </x:c>
      <x:c r="C172" s="12" t="n">
        <x:v>119473</x:v>
      </x:c>
      <x:c r="D172" s="12" t="n">
        <x:v>67366</x:v>
      </x:c>
      <x:c r="E172" s="12" t="n">
        <x:v>51892.66666665673</x:v>
      </x:c>
      <x:c r="F172" s="12" t="n">
        <x:v>33922</x:v>
      </x:c>
      <x:c r="G172" s="12" t="n">
        <x:v>29236</x:v>
      </x:c>
      <x:c r="H172" s="12" t="n">
        <x:v>52107</x:v>
      </x:c>
      <x:c r="I172" s="12" t="n">
        <x:v>4102</x:v>
      </x:c>
      <x:c r="J172" s="12" t="n">
        <x:v>106</x:v>
      </x:c>
      <x:c r="K172" s="2" t="n">
        <x:v>292</x:v>
      </x:c>
      <x:c r="L172" s="2" t="n">
        <x:v>947</x:v>
      </x:c>
    </x:row>
    <x:row r="173" ht="24" customHeight="1">
      <x:c r="A173" s="2" t="n">
        <x:v>290</x:v>
      </x:c>
      <x:c r="B173" s="2" t="n">
        <x:v>2</x:v>
      </x:c>
      <x:c r="C173" s="12" t="n">
        <x:v>119469.9999999702</x:v>
      </x:c>
      <x:c r="D173" s="12" t="n">
        <x:v>78307.9999999702</x:v>
      </x:c>
      <x:c r="E173" s="12" t="n">
        <x:v>40949.66666665673</x:v>
      </x:c>
      <x:c r="F173" s="12" t="n">
        <x:v>33266.9999999702</x:v>
      </x:c>
      <x:c r="G173" s="12" t="n">
        <x:v>40832.9999999702</x:v>
      </x:c>
      <x:c r="H173" s="12" t="n">
        <x:v>41162</x:v>
      </x:c>
      <x:c r="I173" s="12" t="n">
        <x:v>4102</x:v>
      </x:c>
      <x:c r="J173" s="12" t="n">
        <x:v>106.00000002980232</x:v>
      </x:c>
      <x:c r="K173" s="2" t="n">
        <x:v>292</x:v>
      </x:c>
      <x:c r="L173" s="2" t="n">
        <x:v>943</x:v>
      </x:c>
    </x:row>
    <x:row r="174" ht="24" customHeight="1">
      <x:c r="A174" s="2" t="n">
        <x:v>291</x:v>
      </x:c>
      <x:c r="B174" s="2" t="n">
        <x:v>2</x:v>
      </x:c>
      <x:c r="C174" s="12" t="n">
        <x:v>119476.0000000298</x:v>
      </x:c>
      <x:c r="D174" s="12" t="n">
        <x:v>69039.0000000298</x:v>
      </x:c>
      <x:c r="E174" s="12" t="n">
        <x:v>50220.66666665673</x:v>
      </x:c>
      <x:c r="F174" s="12" t="n">
        <x:v>36097</x:v>
      </x:c>
      <x:c r="G174" s="12" t="n">
        <x:v>28734</x:v>
      </x:c>
      <x:c r="H174" s="12" t="n">
        <x:v>50437</x:v>
      </x:c>
      <x:c r="I174" s="12" t="n">
        <x:v>4102</x:v>
      </x:c>
      <x:c r="J174" s="12" t="n">
        <x:v>106.00000002980232</x:v>
      </x:c>
      <x:c r="K174" s="2" t="n">
        <x:v>292</x:v>
      </x:c>
      <x:c r="L174" s="2" t="n">
        <x:v>939</x:v>
      </x:c>
    </x:row>
    <x:row r="175" ht="24" customHeight="1">
      <x:c r="A175" s="2" t="n">
        <x:v>292</x:v>
      </x:c>
      <x:c r="B175" s="2" t="n">
        <x:v>2</x:v>
      </x:c>
      <x:c r="C175" s="12" t="n">
        <x:v>119468.9999999702</x:v>
      </x:c>
      <x:c r="D175" s="12" t="n">
        <x:v>78426.9999999702</x:v>
      </x:c>
      <x:c r="E175" s="12" t="n">
        <x:v>40828.66666665673</x:v>
      </x:c>
      <x:c r="F175" s="12" t="n">
        <x:v>33386</x:v>
      </x:c>
      <x:c r="G175" s="12" t="n">
        <x:v>40833</x:v>
      </x:c>
      <x:c r="H175" s="12" t="n">
        <x:v>41042</x:v>
      </x:c>
      <x:c r="I175" s="12" t="n">
        <x:v>4102</x:v>
      </x:c>
      <x:c r="J175" s="12" t="n">
        <x:v>105.99999997019768</x:v>
      </x:c>
      <x:c r="K175" s="2" t="n">
        <x:v>292</x:v>
      </x:c>
      <x:c r="L175" s="2" t="n">
        <x:v>935</x:v>
      </x:c>
    </x:row>
    <x:row r="176" ht="24" customHeight="1">
      <x:c r="A176" s="2" t="n">
        <x:v>293</x:v>
      </x:c>
      <x:c r="B176" s="2" t="n">
        <x:v>2</x:v>
      </x:c>
      <x:c r="C176" s="12" t="n">
        <x:v>119474</x:v>
      </x:c>
      <x:c r="D176" s="12" t="n">
        <x:v>67637</x:v>
      </x:c>
      <x:c r="E176" s="12" t="n">
        <x:v>51621.66666665673</x:v>
      </x:c>
      <x:c r="F176" s="12" t="n">
        <x:v>34695</x:v>
      </x:c>
      <x:c r="G176" s="12" t="n">
        <x:v>28734</x:v>
      </x:c>
      <x:c r="H176" s="12" t="n">
        <x:v>51837</x:v>
      </x:c>
      <x:c r="I176" s="12" t="n">
        <x:v>4102</x:v>
      </x:c>
      <x:c r="J176" s="12" t="n">
        <x:v>106</x:v>
      </x:c>
      <x:c r="K176" s="2" t="n">
        <x:v>292</x:v>
      </x:c>
      <x:c r="L176" s="2" t="n">
        <x:v>931</x:v>
      </x:c>
    </x:row>
    <x:row r="177" ht="24" customHeight="1">
      <x:c r="A177" s="2" t="n">
        <x:v>294</x:v>
      </x:c>
      <x:c r="B177" s="2" t="n">
        <x:v>2</x:v>
      </x:c>
      <x:c r="C177" s="12" t="n">
        <x:v>119470.0000000298</x:v>
      </x:c>
      <x:c r="D177" s="12" t="n">
        <x:v>77688.0000000298</x:v>
      </x:c>
      <x:c r="E177" s="12" t="n">
        <x:v>41568.66666665673</x:v>
      </x:c>
      <x:c r="F177" s="12" t="n">
        <x:v>32673</x:v>
      </x:c>
      <x:c r="G177" s="12" t="n">
        <x:v>40807</x:v>
      </x:c>
      <x:c r="H177" s="12" t="n">
        <x:v>41782</x:v>
      </x:c>
      <x:c r="I177" s="12" t="n">
        <x:v>4102</x:v>
      </x:c>
      <x:c r="J177" s="12" t="n">
        <x:v>106.00000002980232</x:v>
      </x:c>
      <x:c r="K177" s="2" t="n">
        <x:v>292</x:v>
      </x:c>
      <x:c r="L177" s="2" t="n">
        <x:v>927</x:v>
      </x:c>
    </x:row>
    <x:row r="178" ht="24" customHeight="1">
      <x:c r="A178" s="2" t="n">
        <x:v>295</x:v>
      </x:c>
      <x:c r="B178" s="2" t="n">
        <x:v>2</x:v>
      </x:c>
      <x:c r="C178" s="12" t="n">
        <x:v>119472</x:v>
      </x:c>
      <x:c r="D178" s="12" t="n">
        <x:v>67335</x:v>
      </x:c>
      <x:c r="E178" s="12" t="n">
        <x:v>51923.66666665673</x:v>
      </x:c>
      <x:c r="F178" s="12" t="n">
        <x:v>34393</x:v>
      </x:c>
      <x:c r="G178" s="12" t="n">
        <x:v>28734</x:v>
      </x:c>
      <x:c r="H178" s="12" t="n">
        <x:v>52137</x:v>
      </x:c>
      <x:c r="I178" s="12" t="n">
        <x:v>4102</x:v>
      </x:c>
      <x:c r="J178" s="12" t="n">
        <x:v>106</x:v>
      </x:c>
      <x:c r="K178" s="2" t="n">
        <x:v>292</x:v>
      </x:c>
      <x:c r="L178" s="2" t="n">
        <x:v>923</x:v>
      </x:c>
    </x:row>
    <x:row r="179" ht="24" customHeight="1">
      <x:c r="A179" s="2" t="n">
        <x:v>296</x:v>
      </x:c>
      <x:c r="B179" s="2" t="n">
        <x:v>2</x:v>
      </x:c>
      <x:c r="C179" s="12" t="n">
        <x:v>119475</x:v>
      </x:c>
      <x:c r="D179" s="12" t="n">
        <x:v>79072.9999999702</x:v>
      </x:c>
      <x:c r="E179" s="12" t="n">
        <x:v>40185.66666665673</x:v>
      </x:c>
      <x:c r="F179" s="12" t="n">
        <x:v>33535.0000000298</x:v>
      </x:c>
      <x:c r="G179" s="12" t="n">
        <x:v>41330</x:v>
      </x:c>
      <x:c r="H179" s="12" t="n">
        <x:v>40402.0000000298</x:v>
      </x:c>
      <x:c r="I179" s="12" t="n">
        <x:v>4102</x:v>
      </x:c>
      <x:c r="J179" s="12" t="n">
        <x:v>105.99999994039536</x:v>
      </x:c>
      <x:c r="K179" s="2" t="n">
        <x:v>292</x:v>
      </x:c>
      <x:c r="L179" s="2" t="n">
        <x:v>919</x:v>
      </x:c>
    </x:row>
    <x:row r="180" ht="24" customHeight="1">
      <x:c r="A180" s="2" t="n">
        <x:v>297</x:v>
      </x:c>
      <x:c r="B180" s="2" t="n">
        <x:v>2</x:v>
      </x:c>
      <x:c r="C180" s="12" t="n">
        <x:v>119467.9999999702</x:v>
      </x:c>
      <x:c r="D180" s="12" t="n">
        <x:v>68100.9999999702</x:v>
      </x:c>
      <x:c r="E180" s="12" t="n">
        <x:v>51154.66666665673</x:v>
      </x:c>
      <x:c r="F180" s="12" t="n">
        <x:v>34636</x:v>
      </x:c>
      <x:c r="G180" s="12" t="n">
        <x:v>29256.999999970198</x:v>
      </x:c>
      <x:c r="H180" s="12" t="n">
        <x:v>51367</x:v>
      </x:c>
      <x:c r="I180" s="12" t="n">
        <x:v>4102</x:v>
      </x:c>
      <x:c r="J180" s="12" t="n">
        <x:v>106</x:v>
      </x:c>
      <x:c r="K180" s="2" t="n">
        <x:v>292</x:v>
      </x:c>
      <x:c r="L180" s="2" t="n">
        <x:v>915</x:v>
      </x:c>
    </x:row>
    <x:row r="181" ht="24" customHeight="1">
      <x:c r="A181" s="2" t="n">
        <x:v>298</x:v>
      </x:c>
      <x:c r="B181" s="2" t="n">
        <x:v>2</x:v>
      </x:c>
      <x:c r="C181" s="12" t="n">
        <x:v>119473.0000000298</x:v>
      </x:c>
      <x:c r="D181" s="12" t="n">
        <x:v>78506.0000000298</x:v>
      </x:c>
      <x:c r="E181" s="12" t="n">
        <x:v>40753.66666665673</x:v>
      </x:c>
      <x:c r="F181" s="12" t="n">
        <x:v>33479</x:v>
      </x:c>
      <x:c r="G181" s="12" t="n">
        <x:v>40819</x:v>
      </x:c>
      <x:c r="H181" s="12" t="n">
        <x:v>40967</x:v>
      </x:c>
      <x:c r="I181" s="12" t="n">
        <x:v>4102</x:v>
      </x:c>
      <x:c r="J181" s="12" t="n">
        <x:v>106.00000002980232</x:v>
      </x:c>
      <x:c r="K181" s="2" t="n">
        <x:v>292</x:v>
      </x:c>
      <x:c r="L181" s="2" t="n">
        <x:v>911</x:v>
      </x:c>
    </x:row>
    <x:row r="182" ht="24" customHeight="1">
      <x:c r="A182" s="2" t="n">
        <x:v>299</x:v>
      </x:c>
      <x:c r="B182" s="2" t="n">
        <x:v>2</x:v>
      </x:c>
      <x:c r="C182" s="12" t="n">
        <x:v>119472</x:v>
      </x:c>
      <x:c r="D182" s="12" t="n">
        <x:v>69265</x:v>
      </x:c>
      <x:c r="E182" s="12" t="n">
        <x:v>49993.66666665673</x:v>
      </x:c>
      <x:c r="F182" s="12" t="n">
        <x:v>36311</x:v>
      </x:c>
      <x:c r="G182" s="12" t="n">
        <x:v>28746.000000029802</x:v>
      </x:c>
      <x:c r="H182" s="12" t="n">
        <x:v>50207</x:v>
      </x:c>
      <x:c r="I182" s="12" t="n">
        <x:v>4102</x:v>
      </x:c>
      <x:c r="J182" s="12" t="n">
        <x:v>105.99999997019768</x:v>
      </x:c>
      <x:c r="K182" s="2" t="n">
        <x:v>292</x:v>
      </x:c>
      <x:c r="L182" s="2" t="n">
        <x:v>907</x:v>
      </x:c>
    </x:row>
    <x:row r="183" ht="24" customHeight="1">
      <x:c r="A183" s="2" t="n">
        <x:v>300</x:v>
      </x:c>
      <x:c r="B183" s="2" t="n">
        <x:v>2</x:v>
      </x:c>
      <x:c r="C183" s="12" t="n">
        <x:v>119473.9999999702</x:v>
      </x:c>
      <x:c r="D183" s="12" t="n">
        <x:v>76511.9999999702</x:v>
      </x:c>
      <x:c r="E183" s="12" t="n">
        <x:v>42746.66666665673</x:v>
      </x:c>
      <x:c r="F183" s="12" t="n">
        <x:v>31485</x:v>
      </x:c>
      <x:c r="G183" s="12" t="n">
        <x:v>40818.9999999702</x:v>
      </x:c>
      <x:c r="H183" s="12" t="n">
        <x:v>42962</x:v>
      </x:c>
      <x:c r="I183" s="12" t="n">
        <x:v>4102</x:v>
      </x:c>
      <x:c r="J183" s="12" t="n">
        <x:v>106</x:v>
      </x:c>
      <x:c r="K183" s="2" t="n">
        <x:v>292</x:v>
      </x:c>
      <x:c r="L183" s="2" t="n">
        <x:v>903</x:v>
      </x:c>
    </x:row>
    <x:row r="184" ht="24" customHeight="1">
      <x:c r="A184" s="2" t="n">
        <x:v>301</x:v>
      </x:c>
      <x:c r="B184" s="2" t="n">
        <x:v>2</x:v>
      </x:c>
      <x:c r="C184" s="12" t="n">
        <x:v>119471.0000000298</x:v>
      </x:c>
      <x:c r="D184" s="12" t="n">
        <x:v>65749.0000000298</x:v>
      </x:c>
      <x:c r="E184" s="12" t="n">
        <x:v>53507.66666665673</x:v>
      </x:c>
      <x:c r="F184" s="12" t="n">
        <x:v>32795</x:v>
      </x:c>
      <x:c r="G184" s="12" t="n">
        <x:v>28746</x:v>
      </x:c>
      <x:c r="H184" s="12" t="n">
        <x:v>53722</x:v>
      </x:c>
      <x:c r="I184" s="12" t="n">
        <x:v>4102</x:v>
      </x:c>
      <x:c r="J184" s="12" t="n">
        <x:v>106.00000002980232</x:v>
      </x:c>
      <x:c r="K184" s="2" t="n">
        <x:v>292</x:v>
      </x:c>
      <x:c r="L184" s="2" t="n">
        <x:v>899</x:v>
      </x:c>
    </x:row>
    <x:row r="185" ht="24" customHeight="1">
      <x:c r="A185" s="2" t="n">
        <x:v>302</x:v>
      </x:c>
      <x:c r="B185" s="2" t="n">
        <x:v>2</x:v>
      </x:c>
      <x:c r="C185" s="12" t="n">
        <x:v>119473.9999999702</x:v>
      </x:c>
      <x:c r="D185" s="12" t="n">
        <x:v>78491.9999999702</x:v>
      </x:c>
      <x:c r="E185" s="12" t="n">
        <x:v>40765.66666665673</x:v>
      </x:c>
      <x:c r="F185" s="12" t="n">
        <x:v>33439</x:v>
      </x:c>
      <x:c r="G185" s="12" t="n">
        <x:v>40845.0000000298</x:v>
      </x:c>
      <x:c r="H185" s="12" t="n">
        <x:v>40982</x:v>
      </x:c>
      <x:c r="I185" s="12" t="n">
        <x:v>4102</x:v>
      </x:c>
      <x:c r="J185" s="12" t="n">
        <x:v>105.99999994039536</x:v>
      </x:c>
      <x:c r="K185" s="2" t="n">
        <x:v>292</x:v>
      </x:c>
      <x:c r="L185" s="2" t="n">
        <x:v>895</x:v>
      </x:c>
    </x:row>
    <x:row r="186" ht="24" customHeight="1">
      <x:c r="A186" s="2" t="n">
        <x:v>303</x:v>
      </x:c>
      <x:c r="B186" s="2" t="n">
        <x:v>2</x:v>
      </x:c>
      <x:c r="C186" s="12" t="n">
        <x:v>119468.0000000298</x:v>
      </x:c>
      <x:c r="D186" s="12" t="n">
        <x:v>74161</x:v>
      </x:c>
      <x:c r="E186" s="12" t="n">
        <x:v>45094.66666665673</x:v>
      </x:c>
      <x:c r="F186" s="12" t="n">
        <x:v>41207</x:v>
      </x:c>
      <x:c r="G186" s="12" t="n">
        <x:v>28746.000000029802</x:v>
      </x:c>
      <x:c r="H186" s="12" t="n">
        <x:v>45307.0000000298</x:v>
      </x:c>
      <x:c r="I186" s="12" t="n">
        <x:v>4102</x:v>
      </x:c>
      <x:c r="J186" s="12" t="n">
        <x:v>105.99999997019768</x:v>
      </x:c>
      <x:c r="K186" s="2" t="n">
        <x:v>292</x:v>
      </x:c>
      <x:c r="L186" s="2" t="n">
        <x:v>891</x:v>
      </x:c>
    </x:row>
    <x:row r="187" ht="24" customHeight="1">
      <x:c r="A187" s="2" t="n">
        <x:v>304</x:v>
      </x:c>
      <x:c r="B187" s="2" t="n">
        <x:v>2</x:v>
      </x:c>
      <x:c r="C187" s="12" t="n">
        <x:v>119472</x:v>
      </x:c>
      <x:c r="D187" s="12" t="n">
        <x:v>83775</x:v>
      </x:c>
      <x:c r="E187" s="12" t="n">
        <x:v>35484.66666665673</x:v>
      </x:c>
      <x:c r="F187" s="12" t="n">
        <x:v>38232</x:v>
      </x:c>
      <x:c r="G187" s="12" t="n">
        <x:v>41334.9999999702</x:v>
      </x:c>
      <x:c r="H187" s="12" t="n">
        <x:v>35697</x:v>
      </x:c>
      <x:c r="I187" s="12" t="n">
        <x:v>4102</x:v>
      </x:c>
      <x:c r="J187" s="12" t="n">
        <x:v>106.00000002980232</x:v>
      </x:c>
      <x:c r="K187" s="2" t="n">
        <x:v>292</x:v>
      </x:c>
      <x:c r="L187" s="2" t="n">
        <x:v>887</x:v>
      </x:c>
    </x:row>
    <x:row r="188" ht="24" customHeight="1">
      <x:c r="A188" s="2" t="n">
        <x:v>305</x:v>
      </x:c>
      <x:c r="B188" s="2" t="n">
        <x:v>2</x:v>
      </x:c>
      <x:c r="C188" s="12" t="n">
        <x:v>119473.9999999702</x:v>
      </x:c>
      <x:c r="D188" s="12" t="n">
        <x:v>70461.9999999702</x:v>
      </x:c>
      <x:c r="E188" s="12" t="n">
        <x:v>48797.66666665673</x:v>
      </x:c>
      <x:c r="F188" s="12" t="n">
        <x:v>37018</x:v>
      </x:c>
      <x:c r="G188" s="12" t="n">
        <x:v>29236</x:v>
      </x:c>
      <x:c r="H188" s="12" t="n">
        <x:v>49012</x:v>
      </x:c>
      <x:c r="I188" s="12" t="n">
        <x:v>4102</x:v>
      </x:c>
      <x:c r="J188" s="12" t="n">
        <x:v>105.99999997019768</x:v>
      </x:c>
      <x:c r="K188" s="2" t="n">
        <x:v>292</x:v>
      </x:c>
      <x:c r="L188" s="2" t="n">
        <x:v>883</x:v>
      </x:c>
    </x:row>
    <x:row r="189" ht="24" customHeight="1">
      <x:c r="A189" s="2" t="n">
        <x:v>306</x:v>
      </x:c>
      <x:c r="B189" s="2" t="n">
        <x:v>2</x:v>
      </x:c>
      <x:c r="C189" s="12" t="n">
        <x:v>119473.0000000298</x:v>
      </x:c>
      <x:c r="D189" s="12" t="n">
        <x:v>78906.0000000298</x:v>
      </x:c>
      <x:c r="E189" s="12" t="n">
        <x:v>40351.66666665673</x:v>
      </x:c>
      <x:c r="F189" s="12" t="n">
        <x:v>33865</x:v>
      </x:c>
      <x:c r="G189" s="12" t="n">
        <x:v>40833</x:v>
      </x:c>
      <x:c r="H189" s="12" t="n">
        <x:v>40567</x:v>
      </x:c>
      <x:c r="I189" s="12" t="n">
        <x:v>4101.999999970198</x:v>
      </x:c>
      <x:c r="J189" s="12" t="n">
        <x:v>106.00000005960464</x:v>
      </x:c>
      <x:c r="K189" s="2" t="n">
        <x:v>292</x:v>
      </x:c>
      <x:c r="L189" s="2" t="n">
        <x:v>879</x:v>
      </x:c>
    </x:row>
    <x:row r="190" ht="24" customHeight="1">
      <x:c r="A190" s="2" t="n">
        <x:v>307</x:v>
      </x:c>
      <x:c r="B190" s="2" t="n">
        <x:v>2</x:v>
      </x:c>
      <x:c r="C190" s="12" t="n">
        <x:v>119469</x:v>
      </x:c>
      <x:c r="D190" s="12" t="n">
        <x:v>71106.9999999702</x:v>
      </x:c>
      <x:c r="E190" s="12" t="n">
        <x:v>48149.66666665673</x:v>
      </x:c>
      <x:c r="F190" s="12" t="n">
        <x:v>38165</x:v>
      </x:c>
      <x:c r="G190" s="12" t="n">
        <x:v>28734</x:v>
      </x:c>
      <x:c r="H190" s="12" t="n">
        <x:v>48362.0000000298</x:v>
      </x:c>
      <x:c r="I190" s="12" t="n">
        <x:v>4101.999999970198</x:v>
      </x:c>
      <x:c r="J190" s="12" t="n">
        <x:v>106</x:v>
      </x:c>
      <x:c r="K190" s="2" t="n">
        <x:v>292</x:v>
      </x:c>
      <x:c r="L190" s="2" t="n">
        <x:v>875</x:v>
      </x:c>
    </x:row>
    <x:row r="191" ht="24" customHeight="1">
      <x:c r="A191" s="2" t="n">
        <x:v>308</x:v>
      </x:c>
      <x:c r="B191" s="2" t="n">
        <x:v>2</x:v>
      </x:c>
      <x:c r="C191" s="12" t="n">
        <x:v>119471.9999999702</x:v>
      </x:c>
      <x:c r="D191" s="12" t="n">
        <x:v>80979.9999999702</x:v>
      </x:c>
      <x:c r="E191" s="12" t="n">
        <x:v>38279.66666665673</x:v>
      </x:c>
      <x:c r="F191" s="12" t="n">
        <x:v>35939.0000000298</x:v>
      </x:c>
      <x:c r="G191" s="12" t="n">
        <x:v>40833</x:v>
      </x:c>
      <x:c r="H191" s="12" t="n">
        <x:v>38492</x:v>
      </x:c>
      <x:c r="I191" s="12" t="n">
        <x:v>4102</x:v>
      </x:c>
      <x:c r="J191" s="12" t="n">
        <x:v>105.99999994039536</x:v>
      </x:c>
      <x:c r="K191" s="2" t="n">
        <x:v>292</x:v>
      </x:c>
      <x:c r="L191" s="2" t="n">
        <x:v>871</x:v>
      </x:c>
    </x:row>
    <x:row r="192" ht="24" customHeight="1">
      <x:c r="A192" s="2" t="n">
        <x:v>309</x:v>
      </x:c>
      <x:c r="B192" s="2" t="n">
        <x:v>2</x:v>
      </x:c>
      <x:c r="C192" s="12" t="n">
        <x:v>119475.0000000298</x:v>
      </x:c>
      <x:c r="D192" s="12" t="n">
        <x:v>70038.0000000298</x:v>
      </x:c>
      <x:c r="E192" s="12" t="n">
        <x:v>49221.66666665673</x:v>
      </x:c>
      <x:c r="F192" s="12" t="n">
        <x:v>37096</x:v>
      </x:c>
      <x:c r="G192" s="12" t="n">
        <x:v>28734</x:v>
      </x:c>
      <x:c r="H192" s="12" t="n">
        <x:v>49437</x:v>
      </x:c>
      <x:c r="I192" s="12" t="n">
        <x:v>4102</x:v>
      </x:c>
      <x:c r="J192" s="12" t="n">
        <x:v>106.00000002980232</x:v>
      </x:c>
      <x:c r="K192" s="2" t="n">
        <x:v>292</x:v>
      </x:c>
      <x:c r="L192" s="2" t="n">
        <x:v>867</x:v>
      </x:c>
    </x:row>
    <x:row r="193" ht="24" customHeight="1">
      <x:c r="A193" s="2" t="n">
        <x:v>310</x:v>
      </x:c>
      <x:c r="B193" s="2" t="n">
        <x:v>2</x:v>
      </x:c>
      <x:c r="C193" s="12" t="n">
        <x:v>119472</x:v>
      </x:c>
      <x:c r="D193" s="12" t="n">
        <x:v>85534.9999999702</x:v>
      </x:c>
      <x:c r="E193" s="12" t="n">
        <x:v>33721.66666665673</x:v>
      </x:c>
      <x:c r="F193" s="12" t="n">
        <x:v>40520</x:v>
      </x:c>
      <x:c r="G193" s="12" t="n">
        <x:v>40807</x:v>
      </x:c>
      <x:c r="H193" s="12" t="n">
        <x:v>33937.0000000298</x:v>
      </x:c>
      <x:c r="I193" s="12" t="n">
        <x:v>4101.999999970198</x:v>
      </x:c>
      <x:c r="J193" s="12" t="n">
        <x:v>106</x:v>
      </x:c>
      <x:c r="K193" s="2" t="n">
        <x:v>292</x:v>
      </x:c>
      <x:c r="L193" s="2" t="n">
        <x:v>863</x:v>
      </x:c>
    </x:row>
    <x:row r="194" ht="24" customHeight="1">
      <x:c r="A194" s="2" t="n">
        <x:v>311</x:v>
      </x:c>
      <x:c r="B194" s="2" t="n">
        <x:v>2</x:v>
      </x:c>
      <x:c r="C194" s="12" t="n">
        <x:v>119470</x:v>
      </x:c>
      <x:c r="D194" s="12" t="n">
        <x:v>71633</x:v>
      </x:c>
      <x:c r="E194" s="12" t="n">
        <x:v>47623.66666665673</x:v>
      </x:c>
      <x:c r="F194" s="12" t="n">
        <x:v>38691.0000000298</x:v>
      </x:c>
      <x:c r="G194" s="12" t="n">
        <x:v>28733.999999970198</x:v>
      </x:c>
      <x:c r="H194" s="12" t="n">
        <x:v>47837</x:v>
      </x:c>
      <x:c r="I194" s="12" t="n">
        <x:v>4102</x:v>
      </x:c>
      <x:c r="J194" s="12" t="n">
        <x:v>106</x:v>
      </x:c>
      <x:c r="K194" s="2" t="n">
        <x:v>292</x:v>
      </x:c>
      <x:c r="L194" s="2" t="n">
        <x:v>859</x:v>
      </x:c>
    </x:row>
    <x:row r="195" ht="24" customHeight="1">
      <x:c r="A195" s="2" t="n">
        <x:v>312</x:v>
      </x:c>
      <x:c r="B195" s="2" t="n">
        <x:v>2</x:v>
      </x:c>
      <x:c r="C195" s="12" t="n">
        <x:v>119472</x:v>
      </x:c>
      <x:c r="D195" s="12" t="n">
        <x:v>80640</x:v>
      </x:c>
      <x:c r="E195" s="12" t="n">
        <x:v>38618.66666665673</x:v>
      </x:c>
      <x:c r="F195" s="12" t="n">
        <x:v>35102</x:v>
      </x:c>
      <x:c r="G195" s="12" t="n">
        <x:v>41330.0000000298</x:v>
      </x:c>
      <x:c r="H195" s="12" t="n">
        <x:v>38832</x:v>
      </x:c>
      <x:c r="I195" s="12" t="n">
        <x:v>4102</x:v>
      </x:c>
      <x:c r="J195" s="12" t="n">
        <x:v>105.99999997019768</x:v>
      </x:c>
      <x:c r="K195" s="2" t="n">
        <x:v>292</x:v>
      </x:c>
      <x:c r="L195" s="2" t="n">
        <x:v>855</x:v>
      </x:c>
    </x:row>
    <x:row r="196" ht="24" customHeight="1">
      <x:c r="A196" s="2" t="n">
        <x:v>313</x:v>
      </x:c>
      <x:c r="B196" s="2" t="n">
        <x:v>2</x:v>
      </x:c>
      <x:c r="C196" s="12" t="n">
        <x:v>119474.9999999702</x:v>
      </x:c>
      <x:c r="D196" s="12" t="n">
        <x:v>68777.9999999702</x:v>
      </x:c>
      <x:c r="E196" s="12" t="n">
        <x:v>50480.66666665673</x:v>
      </x:c>
      <x:c r="F196" s="12" t="n">
        <x:v>35313</x:v>
      </x:c>
      <x:c r="G196" s="12" t="n">
        <x:v>29257</x:v>
      </x:c>
      <x:c r="H196" s="12" t="n">
        <x:v>50697</x:v>
      </x:c>
      <x:c r="I196" s="12" t="n">
        <x:v>4102</x:v>
      </x:c>
      <x:c r="J196" s="12" t="n">
        <x:v>105.99999997019768</x:v>
      </x:c>
      <x:c r="K196" s="2" t="n">
        <x:v>292</x:v>
      </x:c>
      <x:c r="L196" s="2" t="n">
        <x:v>851</x:v>
      </x:c>
    </x:row>
    <x:row r="197" ht="24" customHeight="1">
      <x:c r="A197" s="2" t="n">
        <x:v>314</x:v>
      </x:c>
      <x:c r="B197" s="2" t="n">
        <x:v>2</x:v>
      </x:c>
      <x:c r="C197" s="12" t="n">
        <x:v>119468.0000000298</x:v>
      </x:c>
      <x:c r="D197" s="12" t="n">
        <x:v>80891.0000000298</x:v>
      </x:c>
      <x:c r="E197" s="12" t="n">
        <x:v>38364.66666665673</x:v>
      </x:c>
      <x:c r="F197" s="12" t="n">
        <x:v>35864</x:v>
      </x:c>
      <x:c r="G197" s="12" t="n">
        <x:v>40819</x:v>
      </x:c>
      <x:c r="H197" s="12" t="n">
        <x:v>38577</x:v>
      </x:c>
      <x:c r="I197" s="12" t="n">
        <x:v>4101.999999970198</x:v>
      </x:c>
      <x:c r="J197" s="12" t="n">
        <x:v>106.00000005960464</x:v>
      </x:c>
      <x:c r="K197" s="2" t="n">
        <x:v>292</x:v>
      </x:c>
      <x:c r="L197" s="2" t="n">
        <x:v>847</x:v>
      </x:c>
    </x:row>
    <x:row r="198" ht="24" customHeight="1">
      <x:c r="A198" s="2" t="n">
        <x:v>315</x:v>
      </x:c>
      <x:c r="B198" s="2" t="n">
        <x:v>2</x:v>
      </x:c>
      <x:c r="C198" s="12" t="n">
        <x:v>119475</x:v>
      </x:c>
      <x:c r="D198" s="12" t="n">
        <x:v>71648</x:v>
      </x:c>
      <x:c r="E198" s="12" t="n">
        <x:v>47611.66666665673</x:v>
      </x:c>
      <x:c r="F198" s="12" t="n">
        <x:v>38694</x:v>
      </x:c>
      <x:c r="G198" s="12" t="n">
        <x:v>28745.999999970198</x:v>
      </x:c>
      <x:c r="H198" s="12" t="n">
        <x:v>47827</x:v>
      </x:c>
      <x:c r="I198" s="12" t="n">
        <x:v>4102.000000029802</x:v>
      </x:c>
      <x:c r="J198" s="12" t="n">
        <x:v>106</x:v>
      </x:c>
      <x:c r="K198" s="2" t="n">
        <x:v>292</x:v>
      </x:c>
      <x:c r="L198" s="2" t="n">
        <x:v>843</x:v>
      </x:c>
    </x:row>
    <x:row r="199" ht="24" customHeight="1">
      <x:c r="A199" s="2" t="n">
        <x:v>316</x:v>
      </x:c>
      <x:c r="B199" s="2" t="n">
        <x:v>2</x:v>
      </x:c>
      <x:c r="C199" s="12" t="n">
        <x:v>119469</x:v>
      </x:c>
      <x:c r="D199" s="12" t="n">
        <x:v>85662</x:v>
      </x:c>
      <x:c r="E199" s="12" t="n">
        <x:v>33594.66666665673</x:v>
      </x:c>
      <x:c r="F199" s="12" t="n">
        <x:v>40635</x:v>
      </x:c>
      <x:c r="G199" s="12" t="n">
        <x:v>40819</x:v>
      </x:c>
      <x:c r="H199" s="12" t="n">
        <x:v>33807</x:v>
      </x:c>
      <x:c r="I199" s="12" t="n">
        <x:v>4102</x:v>
      </x:c>
      <x:c r="J199" s="12" t="n">
        <x:v>106</x:v>
      </x:c>
      <x:c r="K199" s="2" t="n">
        <x:v>292</x:v>
      </x:c>
      <x:c r="L199" s="2" t="n">
        <x:v>839</x:v>
      </x:c>
    </x:row>
    <x:row r="200" ht="24" customHeight="1">
      <x:c r="A200" s="2" t="n">
        <x:v>317</x:v>
      </x:c>
      <x:c r="B200" s="2" t="n">
        <x:v>2</x:v>
      </x:c>
      <x:c r="C200" s="12" t="n">
        <x:v>119476</x:v>
      </x:c>
      <x:c r="D200" s="12" t="n">
        <x:v>72404</x:v>
      </x:c>
      <x:c r="E200" s="12" t="n">
        <x:v>46855.66666665673</x:v>
      </x:c>
      <x:c r="F200" s="12" t="n">
        <x:v>39450</x:v>
      </x:c>
      <x:c r="G200" s="12" t="n">
        <x:v>28746</x:v>
      </x:c>
      <x:c r="H200" s="12" t="n">
        <x:v>47072</x:v>
      </x:c>
      <x:c r="I200" s="12" t="n">
        <x:v>4102.000000029802</x:v>
      </x:c>
      <x:c r="J200" s="12" t="n">
        <x:v>105.99999997019768</x:v>
      </x:c>
      <x:c r="K200" s="2" t="n">
        <x:v>292</x:v>
      </x:c>
      <x:c r="L200" s="2" t="n">
        <x:v>835</x:v>
      </x:c>
    </x:row>
    <x:row r="201" ht="24" customHeight="1">
      <x:c r="A201" s="2" t="n">
        <x:v>318</x:v>
      </x:c>
      <x:c r="B201" s="2" t="n">
        <x:v>2</x:v>
      </x:c>
      <x:c r="C201" s="12" t="n">
        <x:v>119468</x:v>
      </x:c>
      <x:c r="D201" s="12" t="n">
        <x:v>78936</x:v>
      </x:c>
      <x:c r="E201" s="12" t="n">
        <x:v>40319.66666665673</x:v>
      </x:c>
      <x:c r="F201" s="12" t="n">
        <x:v>33882.9999999702</x:v>
      </x:c>
      <x:c r="G201" s="12" t="n">
        <x:v>40845</x:v>
      </x:c>
      <x:c r="H201" s="12" t="n">
        <x:v>40532</x:v>
      </x:c>
      <x:c r="I201" s="12" t="n">
        <x:v>4101.999999970198</x:v>
      </x:c>
      <x:c r="J201" s="12" t="n">
        <x:v>106.00000005960464</x:v>
      </x:c>
      <x:c r="K201" s="2" t="n">
        <x:v>292</x:v>
      </x:c>
      <x:c r="L201" s="2" t="n">
        <x:v>831</x:v>
      </x:c>
    </x:row>
    <x:row r="202" ht="24" customHeight="1">
      <x:c r="A202" s="2" t="n">
        <x:v>319</x:v>
      </x:c>
      <x:c r="B202" s="2" t="n">
        <x:v>2</x:v>
      </x:c>
      <x:c r="C202" s="12" t="n">
        <x:v>119475</x:v>
      </x:c>
      <x:c r="D202" s="12" t="n">
        <x:v>69763</x:v>
      </x:c>
      <x:c r="E202" s="12" t="n">
        <x:v>49496.66666665673</x:v>
      </x:c>
      <x:c r="F202" s="12" t="n">
        <x:v>36809.0000000298</x:v>
      </x:c>
      <x:c r="G202" s="12" t="n">
        <x:v>28746.000000029802</x:v>
      </x:c>
      <x:c r="H202" s="12" t="n">
        <x:v>49712</x:v>
      </x:c>
      <x:c r="I202" s="12" t="n">
        <x:v>4102</x:v>
      </x:c>
      <x:c r="J202" s="12" t="n">
        <x:v>105.99999994039536</x:v>
      </x:c>
      <x:c r="K202" s="2" t="n">
        <x:v>292</x:v>
      </x:c>
      <x:c r="L202" s="2" t="n">
        <x:v>827</x:v>
      </x:c>
    </x:row>
    <x:row r="203" ht="24" customHeight="1">
      <x:c r="A203" s="2" t="n">
        <x:v>320</x:v>
      </x:c>
      <x:c r="B203" s="2" t="n">
        <x:v>2</x:v>
      </x:c>
      <x:c r="C203" s="12" t="n">
        <x:v>119472</x:v>
      </x:c>
      <x:c r="D203" s="12" t="n">
        <x:v>81495</x:v>
      </x:c>
      <x:c r="E203" s="12" t="n">
        <x:v>37761.66666665673</x:v>
      </x:c>
      <x:c r="F203" s="12" t="n">
        <x:v>35952</x:v>
      </x:c>
      <x:c r="G203" s="12" t="n">
        <x:v>41334.9999999702</x:v>
      </x:c>
      <x:c r="H203" s="12" t="n">
        <x:v>37977</x:v>
      </x:c>
      <x:c r="I203" s="12" t="n">
        <x:v>4102</x:v>
      </x:c>
      <x:c r="J203" s="12" t="n">
        <x:v>106.00000002980232</x:v>
      </x:c>
      <x:c r="K203" s="2" t="n">
        <x:v>292</x:v>
      </x:c>
      <x:c r="L203" s="2" t="n">
        <x:v>823</x:v>
      </x:c>
    </x:row>
    <x:row r="204" ht="24" customHeight="1">
      <x:c r="A204" s="2" t="n">
        <x:v>321</x:v>
      </x:c>
      <x:c r="B204" s="2" t="n">
        <x:v>2</x:v>
      </x:c>
      <x:c r="C204" s="12" t="n">
        <x:v>119472</x:v>
      </x:c>
      <x:c r="D204" s="12" t="n">
        <x:v>70615</x:v>
      </x:c>
      <x:c r="E204" s="12" t="n">
        <x:v>48641.66666665673</x:v>
      </x:c>
      <x:c r="F204" s="12" t="n">
        <x:v>37171</x:v>
      </x:c>
      <x:c r="G204" s="12" t="n">
        <x:v>29236</x:v>
      </x:c>
      <x:c r="H204" s="12" t="n">
        <x:v>48857</x:v>
      </x:c>
      <x:c r="I204" s="12" t="n">
        <x:v>4102</x:v>
      </x:c>
      <x:c r="J204" s="12" t="n">
        <x:v>106</x:v>
      </x:c>
      <x:c r="K204" s="2" t="n">
        <x:v>292</x:v>
      </x:c>
      <x:c r="L204" s="2" t="n">
        <x:v>819</x:v>
      </x:c>
    </x:row>
    <x:row r="205" ht="24" customHeight="1">
      <x:c r="A205" s="2" t="n">
        <x:v>322</x:v>
      </x:c>
      <x:c r="B205" s="2" t="n">
        <x:v>2</x:v>
      </x:c>
      <x:c r="C205" s="12" t="n">
        <x:v>119472</x:v>
      </x:c>
      <x:c r="D205" s="12" t="n">
        <x:v>80944.9999999702</x:v>
      </x:c>
      <x:c r="E205" s="12" t="n">
        <x:v>38311.66666665673</x:v>
      </x:c>
      <x:c r="F205" s="12" t="n">
        <x:v>35904.0000000298</x:v>
      </x:c>
      <x:c r="G205" s="12" t="n">
        <x:v>40833</x:v>
      </x:c>
      <x:c r="H205" s="12" t="n">
        <x:v>38527.0000000298</x:v>
      </x:c>
      <x:c r="I205" s="12" t="n">
        <x:v>4102.000000029802</x:v>
      </x:c>
      <x:c r="J205" s="12" t="n">
        <x:v>105.99999991059303</x:v>
      </x:c>
      <x:c r="K205" s="2" t="n">
        <x:v>292</x:v>
      </x:c>
      <x:c r="L205" s="2" t="n">
        <x:v>815</x:v>
      </x:c>
    </x:row>
    <x:row r="206" ht="24" customHeight="1">
      <x:c r="A206" s="2" t="n">
        <x:v>323</x:v>
      </x:c>
      <x:c r="B206" s="2" t="n">
        <x:v>2</x:v>
      </x:c>
      <x:c r="C206" s="12" t="n">
        <x:v>119469</x:v>
      </x:c>
      <x:c r="D206" s="12" t="n">
        <x:v>76272</x:v>
      </x:c>
      <x:c r="E206" s="12" t="n">
        <x:v>42984.66666665673</x:v>
      </x:c>
      <x:c r="F206" s="12" t="n">
        <x:v>43330</x:v>
      </x:c>
      <x:c r="G206" s="12" t="n">
        <x:v>28734</x:v>
      </x:c>
      <x:c r="H206" s="12" t="n">
        <x:v>43197</x:v>
      </x:c>
      <x:c r="I206" s="12" t="n">
        <x:v>4102.000000029802</x:v>
      </x:c>
      <x:c r="J206" s="12" t="n">
        <x:v>105.99999997019768</x:v>
      </x:c>
      <x:c r="K206" s="2" t="n">
        <x:v>292</x:v>
      </x:c>
      <x:c r="L206" s="2" t="n">
        <x:v>811</x:v>
      </x:c>
    </x:row>
    <x:row r="207" ht="24" customHeight="1">
      <x:c r="A207" s="2" t="n">
        <x:v>324</x:v>
      </x:c>
      <x:c r="B207" s="2" t="n">
        <x:v>2</x:v>
      </x:c>
      <x:c r="C207" s="12" t="n">
        <x:v>119473</x:v>
      </x:c>
      <x:c r="D207" s="12" t="n">
        <x:v>78926</x:v>
      </x:c>
      <x:c r="E207" s="12" t="n">
        <x:v>40333.66666665673</x:v>
      </x:c>
      <x:c r="F207" s="12" t="n">
        <x:v>33885</x:v>
      </x:c>
      <x:c r="G207" s="12" t="n">
        <x:v>40833</x:v>
      </x:c>
      <x:c r="H207" s="12" t="n">
        <x:v>40547</x:v>
      </x:c>
      <x:c r="I207" s="12" t="n">
        <x:v>4102</x:v>
      </x:c>
      <x:c r="J207" s="12" t="n">
        <x:v>106</x:v>
      </x:c>
      <x:c r="K207" s="2" t="n">
        <x:v>292</x:v>
      </x:c>
      <x:c r="L207" s="2" t="n">
        <x:v>807</x:v>
      </x:c>
    </x:row>
    <x:row r="208" ht="24" customHeight="1">
      <x:c r="A208" s="2" t="n">
        <x:v>325</x:v>
      </x:c>
      <x:c r="B208" s="2" t="n">
        <x:v>2</x:v>
      </x:c>
      <x:c r="C208" s="12" t="n">
        <x:v>119471</x:v>
      </x:c>
      <x:c r="D208" s="12" t="n">
        <x:v>69359</x:v>
      </x:c>
      <x:c r="E208" s="12" t="n">
        <x:v>49899.66666665673</x:v>
      </x:c>
      <x:c r="F208" s="12" t="n">
        <x:v>36417</x:v>
      </x:c>
      <x:c r="G208" s="12" t="n">
        <x:v>28734</x:v>
      </x:c>
      <x:c r="H208" s="12" t="n">
        <x:v>50112</x:v>
      </x:c>
      <x:c r="I208" s="12" t="n">
        <x:v>4101.999999970198</x:v>
      </x:c>
      <x:c r="J208" s="12" t="n">
        <x:v>106.00000002980232</x:v>
      </x:c>
      <x:c r="K208" s="2" t="n">
        <x:v>292</x:v>
      </x:c>
      <x:c r="L208" s="2" t="n">
        <x:v>803</x:v>
      </x:c>
    </x:row>
    <x:row r="209" ht="24" customHeight="1">
      <x:c r="A209" s="2" t="n">
        <x:v>326</x:v>
      </x:c>
      <x:c r="B209" s="2" t="n">
        <x:v>2</x:v>
      </x:c>
      <x:c r="C209" s="12" t="n">
        <x:v>119474</x:v>
      </x:c>
      <x:c r="D209" s="12" t="n">
        <x:v>80972</x:v>
      </x:c>
      <x:c r="E209" s="12" t="n">
        <x:v>38287.66666665673</x:v>
      </x:c>
      <x:c r="F209" s="12" t="n">
        <x:v>35957.0000000298</x:v>
      </x:c>
      <x:c r="G209" s="12" t="n">
        <x:v>40807</x:v>
      </x:c>
      <x:c r="H209" s="12" t="n">
        <x:v>38502</x:v>
      </x:c>
      <x:c r="I209" s="12" t="n">
        <x:v>4102</x:v>
      </x:c>
      <x:c r="J209" s="12" t="n">
        <x:v>105.99999997019768</x:v>
      </x:c>
      <x:c r="K209" s="2" t="n">
        <x:v>292</x:v>
      </x:c>
      <x:c r="L209" s="2" t="n">
        <x:v>799</x:v>
      </x:c>
    </x:row>
    <x:row r="210" ht="24" customHeight="1">
      <x:c r="A210" s="2" t="n">
        <x:v>327</x:v>
      </x:c>
      <x:c r="B210" s="2" t="n">
        <x:v>2</x:v>
      </x:c>
      <x:c r="C210" s="12" t="n">
        <x:v>122293</x:v>
      </x:c>
      <x:c r="D210" s="12" t="n">
        <x:v>76230.9999999702</x:v>
      </x:c>
      <x:c r="E210" s="12" t="n">
        <x:v>45847.66666665673</x:v>
      </x:c>
      <x:c r="F210" s="12" t="n">
        <x:v>40468.0000000298</x:v>
      </x:c>
      <x:c r="G210" s="12" t="n">
        <x:v>28734</x:v>
      </x:c>
      <x:c r="H210" s="12" t="n">
        <x:v>46062.0000000298</x:v>
      </x:c>
      <x:c r="I210" s="12" t="n">
        <x:v>6923.000000029802</x:v>
      </x:c>
      <x:c r="J210" s="12" t="n">
        <x:v>105.99999991059303</x:v>
      </x:c>
      <x:c r="K210" s="2" t="n">
        <x:v>292</x:v>
      </x:c>
      <x:c r="L210" s="2" t="n">
        <x:v>795</x:v>
      </x:c>
    </x:row>
    <x:row r="211" ht="24" customHeight="1">
      <x:c r="A211" s="2" t="n">
        <x:v>328</x:v>
      </x:c>
      <x:c r="B211" s="2" t="n">
        <x:v>2</x:v>
      </x:c>
      <x:c r="C211" s="12" t="n">
        <x:v>116649.9999999702</x:v>
      </x:c>
      <x:c r="D211" s="12" t="n">
        <x:v>81512.9999999702</x:v>
      </x:c>
      <x:c r="E211" s="12" t="n">
        <x:v>34923.66666665673</x:v>
      </x:c>
      <x:c r="F211" s="12" t="n">
        <x:v>35975</x:v>
      </x:c>
      <x:c r="G211" s="12" t="n">
        <x:v>41330</x:v>
      </x:c>
      <x:c r="H211" s="12" t="n">
        <x:v>35137</x:v>
      </x:c>
      <x:c r="I211" s="12" t="n">
        <x:v>4102</x:v>
      </x:c>
      <x:c r="J211" s="12" t="n">
        <x:v>105.99999997019768</x:v>
      </x:c>
      <x:c r="K211" s="2" t="n">
        <x:v>292</x:v>
      </x:c>
      <x:c r="L211" s="2" t="n">
        <x:v>791</x:v>
      </x:c>
    </x:row>
    <x:row r="212" ht="24" customHeight="1">
      <x:c r="A212" s="2" t="n">
        <x:v>329</x:v>
      </x:c>
      <x:c r="B212" s="2" t="n">
        <x:v>2</x:v>
      </x:c>
      <x:c r="C212" s="12" t="n">
        <x:v>119471.0000000298</x:v>
      </x:c>
      <x:c r="D212" s="12" t="n">
        <x:v>75219.0000000298</x:v>
      </x:c>
      <x:c r="E212" s="12" t="n">
        <x:v>44039.66666665673</x:v>
      </x:c>
      <x:c r="F212" s="12" t="n">
        <x:v>41754</x:v>
      </x:c>
      <x:c r="G212" s="12" t="n">
        <x:v>29257</x:v>
      </x:c>
      <x:c r="H212" s="12" t="n">
        <x:v>44252</x:v>
      </x:c>
      <x:c r="I212" s="12" t="n">
        <x:v>4102</x:v>
      </x:c>
      <x:c r="J212" s="12" t="n">
        <x:v>106.00000002980232</x:v>
      </x:c>
      <x:c r="K212" s="2" t="n">
        <x:v>292</x:v>
      </x:c>
      <x:c r="L212" s="2" t="n">
        <x:v>787</x:v>
      </x:c>
    </x:row>
    <x:row r="213" ht="24" customHeight="1">
      <x:c r="A213" s="2" t="n">
        <x:v>330</x:v>
      </x:c>
      <x:c r="B213" s="2" t="n">
        <x:v>2</x:v>
      </x:c>
      <x:c r="C213" s="12" t="n">
        <x:v>119475</x:v>
      </x:c>
      <x:c r="D213" s="12" t="n">
        <x:v>82473</x:v>
      </x:c>
      <x:c r="E213" s="12" t="n">
        <x:v>36786.66666665673</x:v>
      </x:c>
      <x:c r="F213" s="12" t="n">
        <x:v>37446</x:v>
      </x:c>
      <x:c r="G213" s="12" t="n">
        <x:v>40819</x:v>
      </x:c>
      <x:c r="H213" s="12" t="n">
        <x:v>37002</x:v>
      </x:c>
      <x:c r="I213" s="12" t="n">
        <x:v>4102</x:v>
      </x:c>
      <x:c r="J213" s="12" t="n">
        <x:v>106</x:v>
      </x:c>
      <x:c r="K213" s="2" t="n">
        <x:v>292</x:v>
      </x:c>
      <x:c r="L213" s="2" t="n">
        <x:v>783</x:v>
      </x:c>
    </x:row>
    <x:row r="214" ht="24" customHeight="1">
      <x:c r="A214" s="2" t="n">
        <x:v>331</x:v>
      </x:c>
      <x:c r="B214" s="2" t="n">
        <x:v>2</x:v>
      </x:c>
      <x:c r="C214" s="12" t="n">
        <x:v>119472.9999999702</x:v>
      </x:c>
      <x:c r="D214" s="12" t="n">
        <x:v>70950.9999999702</x:v>
      </x:c>
      <x:c r="E214" s="12" t="n">
        <x:v>48305.66666665673</x:v>
      </x:c>
      <x:c r="F214" s="12" t="n">
        <x:v>37997</x:v>
      </x:c>
      <x:c r="G214" s="12" t="n">
        <x:v>28746</x:v>
      </x:c>
      <x:c r="H214" s="12" t="n">
        <x:v>48522</x:v>
      </x:c>
      <x:c r="I214" s="12" t="n">
        <x:v>4102</x:v>
      </x:c>
      <x:c r="J214" s="12" t="n">
        <x:v>105.99999997019768</x:v>
      </x:c>
      <x:c r="K214" s="2" t="n">
        <x:v>292</x:v>
      </x:c>
      <x:c r="L214" s="2" t="n">
        <x:v>779</x:v>
      </x:c>
    </x:row>
    <x:row r="215" ht="24" customHeight="1">
      <x:c r="A215" s="2" t="n">
        <x:v>332</x:v>
      </x:c>
      <x:c r="B215" s="2" t="n">
        <x:v>2</x:v>
      </x:c>
      <x:c r="C215" s="12" t="n">
        <x:v>119471.0000000298</x:v>
      </x:c>
      <x:c r="D215" s="12" t="n">
        <x:v>80789.0000000298</x:v>
      </x:c>
      <x:c r="E215" s="12" t="n">
        <x:v>38466.66666665673</x:v>
      </x:c>
      <x:c r="F215" s="12" t="n">
        <x:v>35762</x:v>
      </x:c>
      <x:c r="G215" s="12" t="n">
        <x:v>40819</x:v>
      </x:c>
      <x:c r="H215" s="12" t="n">
        <x:v>38682</x:v>
      </x:c>
      <x:c r="I215" s="12" t="n">
        <x:v>4102</x:v>
      </x:c>
      <x:c r="J215" s="12" t="n">
        <x:v>106.00000002980232</x:v>
      </x:c>
      <x:c r="K215" s="2" t="n">
        <x:v>292</x:v>
      </x:c>
      <x:c r="L215" s="2" t="n">
        <x:v>775</x:v>
      </x:c>
    </x:row>
    <x:row r="216" ht="24" customHeight="1">
      <x:c r="A216" s="2" t="n">
        <x:v>333</x:v>
      </x:c>
      <x:c r="B216" s="2" t="n">
        <x:v>2</x:v>
      </x:c>
      <x:c r="C216" s="12" t="n">
        <x:v>119471</x:v>
      </x:c>
      <x:c r="D216" s="12" t="n">
        <x:v>68309</x:v>
      </x:c>
      <x:c r="E216" s="12" t="n">
        <x:v>50947.66666665673</x:v>
      </x:c>
      <x:c r="F216" s="12" t="n">
        <x:v>35355</x:v>
      </x:c>
      <x:c r="G216" s="12" t="n">
        <x:v>28746</x:v>
      </x:c>
      <x:c r="H216" s="12" t="n">
        <x:v>51162</x:v>
      </x:c>
      <x:c r="I216" s="12" t="n">
        <x:v>4101.999999970198</x:v>
      </x:c>
      <x:c r="J216" s="12" t="n">
        <x:v>106.00000002980232</x:v>
      </x:c>
      <x:c r="K216" s="2" t="n">
        <x:v>292</x:v>
      </x:c>
      <x:c r="L216" s="2" t="n">
        <x:v>771</x:v>
      </x:c>
    </x:row>
    <x:row r="217" ht="24" customHeight="1">
      <x:c r="A217" s="2" t="n">
        <x:v>334</x:v>
      </x:c>
      <x:c r="B217" s="2" t="n">
        <x:v>2</x:v>
      </x:c>
      <x:c r="C217" s="12" t="n">
        <x:v>119474</x:v>
      </x:c>
      <x:c r="D217" s="12" t="n">
        <x:v>80952</x:v>
      </x:c>
      <x:c r="E217" s="12" t="n">
        <x:v>38305.66666665673</x:v>
      </x:c>
      <x:c r="F217" s="12" t="n">
        <x:v>35899.0000000298</x:v>
      </x:c>
      <x:c r="G217" s="12" t="n">
        <x:v>40845.0000000298</x:v>
      </x:c>
      <x:c r="H217" s="12" t="n">
        <x:v>38522</x:v>
      </x:c>
      <x:c r="I217" s="12" t="n">
        <x:v>4102</x:v>
      </x:c>
      <x:c r="J217" s="12" t="n">
        <x:v>105.99999994039536</x:v>
      </x:c>
      <x:c r="K217" s="2" t="n">
        <x:v>292</x:v>
      </x:c>
      <x:c r="L217" s="2" t="n">
        <x:v>767</x:v>
      </x:c>
    </x:row>
    <x:row r="218" ht="24" customHeight="1">
      <x:c r="A218" s="2" t="n">
        <x:v>335</x:v>
      </x:c>
      <x:c r="B218" s="2" t="n">
        <x:v>2</x:v>
      </x:c>
      <x:c r="C218" s="12" t="n">
        <x:v>119471</x:v>
      </x:c>
      <x:c r="D218" s="12" t="n">
        <x:v>76543.9999999702</x:v>
      </x:c>
      <x:c r="E218" s="12" t="n">
        <x:v>42711.66666665673</x:v>
      </x:c>
      <x:c r="F218" s="12" t="n">
        <x:v>43590</x:v>
      </x:c>
      <x:c r="G218" s="12" t="n">
        <x:v>28746.000000029802</x:v>
      </x:c>
      <x:c r="H218" s="12" t="n">
        <x:v>42927.0000000298</x:v>
      </x:c>
      <x:c r="I218" s="12" t="n">
        <x:v>4101.999999970198</x:v>
      </x:c>
      <x:c r="J218" s="12" t="n">
        <x:v>105.99999997019768</x:v>
      </x:c>
      <x:c r="K218" s="2" t="n">
        <x:v>292</x:v>
      </x:c>
      <x:c r="L218" s="2" t="n">
        <x:v>763</x:v>
      </x:c>
    </x:row>
    <x:row r="219" ht="24" customHeight="1">
      <x:c r="A219" s="2" t="n">
        <x:v>336</x:v>
      </x:c>
      <x:c r="B219" s="2" t="n">
        <x:v>2</x:v>
      </x:c>
      <x:c r="C219" s="12" t="n">
        <x:v>119471</x:v>
      </x:c>
      <x:c r="D219" s="12" t="n">
        <x:v>81814</x:v>
      </x:c>
      <x:c r="E219" s="12" t="n">
        <x:v>37442.66666665673</x:v>
      </x:c>
      <x:c r="F219" s="12" t="n">
        <x:v>36271.0000000298</x:v>
      </x:c>
      <x:c r="G219" s="12" t="n">
        <x:v>41335.0000000298</x:v>
      </x:c>
      <x:c r="H219" s="12" t="n">
        <x:v>37657</x:v>
      </x:c>
      <x:c r="I219" s="12" t="n">
        <x:v>4102</x:v>
      </x:c>
      <x:c r="J219" s="12" t="n">
        <x:v>105.99999994039536</x:v>
      </x:c>
      <x:c r="K219" s="2" t="n">
        <x:v>292</x:v>
      </x:c>
      <x:c r="L219" s="2" t="n">
        <x:v>759</x:v>
      </x:c>
    </x:row>
    <x:row r="220" ht="24" customHeight="1">
      <x:c r="A220" s="2" t="n">
        <x:v>337</x:v>
      </x:c>
      <x:c r="B220" s="2" t="n">
        <x:v>2</x:v>
      </x:c>
      <x:c r="C220" s="12" t="n">
        <x:v>119471</x:v>
      </x:c>
      <x:c r="D220" s="12" t="n">
        <x:v>69904.0000000298</x:v>
      </x:c>
      <x:c r="E220" s="12" t="n">
        <x:v>49353.66666665673</x:v>
      </x:c>
      <x:c r="F220" s="12" t="n">
        <x:v>36460</x:v>
      </x:c>
      <x:c r="G220" s="12" t="n">
        <x:v>29236</x:v>
      </x:c>
      <x:c r="H220" s="12" t="n">
        <x:v>49566.9999999702</x:v>
      </x:c>
      <x:c r="I220" s="12" t="n">
        <x:v>4102</x:v>
      </x:c>
      <x:c r="J220" s="12" t="n">
        <x:v>106.00000002980232</x:v>
      </x:c>
      <x:c r="K220" s="2" t="n">
        <x:v>292</x:v>
      </x:c>
      <x:c r="L220" s="2" t="n">
        <x:v>755</x:v>
      </x:c>
    </x:row>
    <x:row r="221" ht="24" customHeight="1">
      <x:c r="A221" s="2" t="n">
        <x:v>338</x:v>
      </x:c>
      <x:c r="B221" s="2" t="n">
        <x:v>2</x:v>
      </x:c>
      <x:c r="C221" s="12" t="n">
        <x:v>119475</x:v>
      </x:c>
      <x:c r="D221" s="12" t="n">
        <x:v>80618</x:v>
      </x:c>
      <x:c r="E221" s="12" t="n">
        <x:v>38640.66666665673</x:v>
      </x:c>
      <x:c r="F221" s="12" t="n">
        <x:v>35577</x:v>
      </x:c>
      <x:c r="G221" s="12" t="n">
        <x:v>40833</x:v>
      </x:c>
      <x:c r="H221" s="12" t="n">
        <x:v>38857</x:v>
      </x:c>
      <x:c r="I221" s="12" t="n">
        <x:v>4102</x:v>
      </x:c>
      <x:c r="J221" s="12" t="n">
        <x:v>106</x:v>
      </x:c>
      <x:c r="K221" s="2" t="n">
        <x:v>292</x:v>
      </x:c>
      <x:c r="L221" s="2" t="n">
        <x:v>751</x:v>
      </x:c>
    </x:row>
    <x:row r="222" ht="24" customHeight="1">
      <x:c r="A222" s="2" t="n">
        <x:v>339</x:v>
      </x:c>
      <x:c r="B222" s="2" t="n">
        <x:v>2</x:v>
      </x:c>
      <x:c r="C222" s="12" t="n">
        <x:v>119470</x:v>
      </x:c>
      <x:c r="D222" s="12" t="n">
        <x:v>73043.0000000298</x:v>
      </x:c>
      <x:c r="E222" s="12" t="n">
        <x:v>46212.66666665673</x:v>
      </x:c>
      <x:c r="F222" s="12" t="n">
        <x:v>40101</x:v>
      </x:c>
      <x:c r="G222" s="12" t="n">
        <x:v>28734</x:v>
      </x:c>
      <x:c r="H222" s="12" t="n">
        <x:v>46426.9999999702</x:v>
      </x:c>
      <x:c r="I222" s="12" t="n">
        <x:v>4102</x:v>
      </x:c>
      <x:c r="J222" s="12" t="n">
        <x:v>106.00000002980232</x:v>
      </x:c>
      <x:c r="K222" s="2" t="n">
        <x:v>292</x:v>
      </x:c>
      <x:c r="L222" s="2" t="n">
        <x:v>747</x:v>
      </x:c>
    </x:row>
    <x:row r="223" ht="24" customHeight="1">
      <x:c r="A223" s="2" t="n">
        <x:v>340</x:v>
      </x:c>
      <x:c r="B223" s="2" t="n">
        <x:v>2</x:v>
      </x:c>
      <x:c r="C223" s="12" t="n">
        <x:v>119473</x:v>
      </x:c>
      <x:c r="D223" s="12" t="n">
        <x:v>80920.9999999702</x:v>
      </x:c>
      <x:c r="E223" s="12" t="n">
        <x:v>38336.66666665673</x:v>
      </x:c>
      <x:c r="F223" s="12" t="n">
        <x:v>35880</x:v>
      </x:c>
      <x:c r="G223" s="12" t="n">
        <x:v>40833.0000000298</x:v>
      </x:c>
      <x:c r="H223" s="12" t="n">
        <x:v>38552.0000000298</x:v>
      </x:c>
      <x:c r="I223" s="12" t="n">
        <x:v>4102.000000029802</x:v>
      </x:c>
      <x:c r="J223" s="12" t="n">
        <x:v>105.99999991059303</x:v>
      </x:c>
      <x:c r="K223" s="2" t="n">
        <x:v>292</x:v>
      </x:c>
      <x:c r="L223" s="2" t="n">
        <x:v>743</x:v>
      </x:c>
    </x:row>
    <x:row r="224" ht="24" customHeight="1">
      <x:c r="A224" s="2" t="n">
        <x:v>341</x:v>
      </x:c>
      <x:c r="B224" s="2" t="n">
        <x:v>2</x:v>
      </x:c>
      <x:c r="C224" s="12" t="n">
        <x:v>119472</x:v>
      </x:c>
      <x:c r="D224" s="12" t="n">
        <x:v>71495</x:v>
      </x:c>
      <x:c r="E224" s="12" t="n">
        <x:v>47761.66666665673</x:v>
      </x:c>
      <x:c r="F224" s="12" t="n">
        <x:v>38553</x:v>
      </x:c>
      <x:c r="G224" s="12" t="n">
        <x:v>28734</x:v>
      </x:c>
      <x:c r="H224" s="12" t="n">
        <x:v>47977</x:v>
      </x:c>
      <x:c r="I224" s="12" t="n">
        <x:v>4102</x:v>
      </x:c>
      <x:c r="J224" s="12" t="n">
        <x:v>106</x:v>
      </x:c>
      <x:c r="K224" s="2" t="n">
        <x:v>292</x:v>
      </x:c>
      <x:c r="L224" s="2" t="n">
        <x:v>739</x:v>
      </x:c>
    </x:row>
    <x:row r="225" ht="24" customHeight="1">
      <x:c r="A225" s="2" t="n">
        <x:v>342</x:v>
      </x:c>
      <x:c r="B225" s="2" t="n">
        <x:v>2</x:v>
      </x:c>
      <x:c r="C225" s="12" t="n">
        <x:v>119472</x:v>
      </x:c>
      <x:c r="D225" s="12" t="n">
        <x:v>83960</x:v>
      </x:c>
      <x:c r="E225" s="12" t="n">
        <x:v>35296.66666665673</x:v>
      </x:c>
      <x:c r="F225" s="12" t="n">
        <x:v>38945</x:v>
      </x:c>
      <x:c r="G225" s="12" t="n">
        <x:v>40807</x:v>
      </x:c>
      <x:c r="H225" s="12" t="n">
        <x:v>35512</x:v>
      </x:c>
      <x:c r="I225" s="12" t="n">
        <x:v>4102</x:v>
      </x:c>
      <x:c r="J225" s="12" t="n">
        <x:v>106</x:v>
      </x:c>
      <x:c r="K225" s="2" t="n">
        <x:v>292</x:v>
      </x:c>
      <x:c r="L225" s="2" t="n">
        <x:v>735</x:v>
      </x:c>
    </x:row>
    <x:row r="226" ht="24" customHeight="1">
      <x:c r="A226" s="2" t="n">
        <x:v>343</x:v>
      </x:c>
      <x:c r="B226" s="2" t="n">
        <x:v>2</x:v>
      </x:c>
      <x:c r="C226" s="12" t="n">
        <x:v>119471</x:v>
      </x:c>
      <x:c r="D226" s="12" t="n">
        <x:v>70714</x:v>
      </x:c>
      <x:c r="E226" s="12" t="n">
        <x:v>48542.66666665673</x:v>
      </x:c>
      <x:c r="F226" s="12" t="n">
        <x:v>37771.9999999702</x:v>
      </x:c>
      <x:c r="G226" s="12" t="n">
        <x:v>28734</x:v>
      </x:c>
      <x:c r="H226" s="12" t="n">
        <x:v>48757</x:v>
      </x:c>
      <x:c r="I226" s="12" t="n">
        <x:v>4102</x:v>
      </x:c>
      <x:c r="J226" s="12" t="n">
        <x:v>106.00000002980232</x:v>
      </x:c>
      <x:c r="K226" s="2" t="n">
        <x:v>292</x:v>
      </x:c>
      <x:c r="L226" s="2" t="n">
        <x:v>731</x:v>
      </x:c>
    </x:row>
    <x:row r="227" ht="24" customHeight="1">
      <x:c r="A227" s="2" t="n">
        <x:v>344</x:v>
      </x:c>
      <x:c r="B227" s="2" t="n">
        <x:v>2</x:v>
      </x:c>
      <x:c r="C227" s="12" t="n">
        <x:v>119472</x:v>
      </x:c>
      <x:c r="D227" s="12" t="n">
        <x:v>81225</x:v>
      </x:c>
      <x:c r="E227" s="12" t="n">
        <x:v>38032.66666665673</x:v>
      </x:c>
      <x:c r="F227" s="12" t="n">
        <x:v>35686.9999999702</x:v>
      </x:c>
      <x:c r="G227" s="12" t="n">
        <x:v>41330</x:v>
      </x:c>
      <x:c r="H227" s="12" t="n">
        <x:v>38247</x:v>
      </x:c>
      <x:c r="I227" s="12" t="n">
        <x:v>4101.999999970198</x:v>
      </x:c>
      <x:c r="J227" s="12" t="n">
        <x:v>106.00000005960464</x:v>
      </x:c>
      <x:c r="K227" s="2" t="n">
        <x:v>292</x:v>
      </x:c>
      <x:c r="L227" s="2" t="n">
        <x:v>727</x:v>
      </x:c>
    </x:row>
    <x:row r="228" ht="24" customHeight="1">
      <x:c r="A228" s="2" t="n">
        <x:v>345</x:v>
      </x:c>
      <x:c r="B228" s="2" t="n">
        <x:v>2</x:v>
      </x:c>
      <x:c r="C228" s="12" t="n">
        <x:v>119473</x:v>
      </x:c>
      <x:c r="D228" s="12" t="n">
        <x:v>70486</x:v>
      </x:c>
      <x:c r="E228" s="12" t="n">
        <x:v>48771.66666665673</x:v>
      </x:c>
      <x:c r="F228" s="12" t="n">
        <x:v>37021.0000000298</x:v>
      </x:c>
      <x:c r="G228" s="12" t="n">
        <x:v>29257</x:v>
      </x:c>
      <x:c r="H228" s="12" t="n">
        <x:v>48987</x:v>
      </x:c>
      <x:c r="I228" s="12" t="n">
        <x:v>4102</x:v>
      </x:c>
      <x:c r="J228" s="12" t="n">
        <x:v>105.99999997019768</x:v>
      </x:c>
      <x:c r="K228" s="2" t="n">
        <x:v>292</x:v>
      </x:c>
      <x:c r="L228" s="2" t="n">
        <x:v>723</x:v>
      </x:c>
    </x:row>
    <x:row r="229" ht="24" customHeight="1">
      <x:c r="A229" s="2" t="n">
        <x:v>346</x:v>
      </x:c>
      <x:c r="B229" s="2" t="n">
        <x:v>2</x:v>
      </x:c>
      <x:c r="C229" s="12" t="n">
        <x:v>119472</x:v>
      </x:c>
      <x:c r="D229" s="12" t="n">
        <x:v>80920</x:v>
      </x:c>
      <x:c r="E229" s="12" t="n">
        <x:v>38336.66666665673</x:v>
      </x:c>
      <x:c r="F229" s="12" t="n">
        <x:v>35892.9999999702</x:v>
      </x:c>
      <x:c r="G229" s="12" t="n">
        <x:v>40819</x:v>
      </x:c>
      <x:c r="H229" s="12" t="n">
        <x:v>38552</x:v>
      </x:c>
      <x:c r="I229" s="12" t="n">
        <x:v>4101.999999970198</x:v>
      </x:c>
      <x:c r="J229" s="12" t="n">
        <x:v>106.00000005960464</x:v>
      </x:c>
      <x:c r="K229" s="2" t="n">
        <x:v>292</x:v>
      </x:c>
      <x:c r="L229" s="2" t="n">
        <x:v>719</x:v>
      </x:c>
    </x:row>
    <x:row r="230" ht="24" customHeight="1">
      <x:c r="A230" s="2" t="n">
        <x:v>347</x:v>
      </x:c>
      <x:c r="B230" s="2" t="n">
        <x:v>2</x:v>
      </x:c>
      <x:c r="C230" s="12" t="n">
        <x:v>119473</x:v>
      </x:c>
      <x:c r="D230" s="12" t="n">
        <x:v>71621.0000000298</x:v>
      </x:c>
      <x:c r="E230" s="12" t="n">
        <x:v>47635.66666665673</x:v>
      </x:c>
      <x:c r="F230" s="12" t="n">
        <x:v>38667.0000000298</x:v>
      </x:c>
      <x:c r="G230" s="12" t="n">
        <x:v>28746</x:v>
      </x:c>
      <x:c r="H230" s="12" t="n">
        <x:v>47851.9999999702</x:v>
      </x:c>
      <x:c r="I230" s="12" t="n">
        <x:v>4102</x:v>
      </x:c>
      <x:c r="J230" s="12" t="n">
        <x:v>106</x:v>
      </x:c>
      <x:c r="K230" s="2" t="n">
        <x:v>292</x:v>
      </x:c>
      <x:c r="L230" s="2" t="n">
        <x:v>715</x:v>
      </x:c>
    </x:row>
    <x:row r="231" ht="24" customHeight="1">
      <x:c r="A231" s="2" t="n">
        <x:v>348</x:v>
      </x:c>
      <x:c r="B231" s="2" t="n">
        <x:v>2</x:v>
      </x:c>
      <x:c r="C231" s="12" t="n">
        <x:v>119471</x:v>
      </x:c>
      <x:c r="D231" s="12" t="n">
        <x:v>84949</x:v>
      </x:c>
      <x:c r="E231" s="12" t="n">
        <x:v>34306.66666665673</x:v>
      </x:c>
      <x:c r="F231" s="12" t="n">
        <x:v>39921.9999999702</x:v>
      </x:c>
      <x:c r="G231" s="12" t="n">
        <x:v>40819</x:v>
      </x:c>
      <x:c r="H231" s="12" t="n">
        <x:v>34522</x:v>
      </x:c>
      <x:c r="I231" s="12" t="n">
        <x:v>4102</x:v>
      </x:c>
      <x:c r="J231" s="12" t="n">
        <x:v>106.00000002980232</x:v>
      </x:c>
      <x:c r="K231" s="2" t="n">
        <x:v>292</x:v>
      </x:c>
      <x:c r="L231" s="2" t="n">
        <x:v>711</x:v>
      </x:c>
    </x:row>
    <x:row r="232" ht="24" customHeight="1">
      <x:c r="A232" s="2" t="n">
        <x:v>349</x:v>
      </x:c>
      <x:c r="B232" s="2" t="n">
        <x:v>2</x:v>
      </x:c>
      <x:c r="C232" s="12" t="n">
        <x:v>119471</x:v>
      </x:c>
      <x:c r="D232" s="12" t="n">
        <x:v>72384</x:v>
      </x:c>
      <x:c r="E232" s="12" t="n">
        <x:v>46872.66666665673</x:v>
      </x:c>
      <x:c r="F232" s="12" t="n">
        <x:v>39430</x:v>
      </x:c>
      <x:c r="G232" s="12" t="n">
        <x:v>28746</x:v>
      </x:c>
      <x:c r="H232" s="12" t="n">
        <x:v>47087</x:v>
      </x:c>
      <x:c r="I232" s="12" t="n">
        <x:v>4102.000000029802</x:v>
      </x:c>
      <x:c r="J232" s="12" t="n">
        <x:v>105.99999997019768</x:v>
      </x:c>
      <x:c r="K232" s="2" t="n">
        <x:v>292</x:v>
      </x:c>
      <x:c r="L232" s="2" t="n">
        <x:v>707</x:v>
      </x:c>
    </x:row>
    <x:row r="233" ht="24" customHeight="1">
      <x:c r="A233" s="2" t="n">
        <x:v>350</x:v>
      </x:c>
      <x:c r="B233" s="2" t="n">
        <x:v>2</x:v>
      </x:c>
      <x:c r="C233" s="12" t="n">
        <x:v>119470.9999999702</x:v>
      </x:c>
      <x:c r="D233" s="12" t="n">
        <x:v>80798.9999999702</x:v>
      </x:c>
      <x:c r="E233" s="12" t="n">
        <x:v>38458.66666665673</x:v>
      </x:c>
      <x:c r="F233" s="12" t="n">
        <x:v>35746</x:v>
      </x:c>
      <x:c r="G233" s="12" t="n">
        <x:v>40845</x:v>
      </x:c>
      <x:c r="H233" s="12" t="n">
        <x:v>38672</x:v>
      </x:c>
      <x:c r="I233" s="12" t="n">
        <x:v>4102</x:v>
      </x:c>
      <x:c r="J233" s="12" t="n">
        <x:v>105.99999997019768</x:v>
      </x:c>
      <x:c r="K233" s="2" t="n">
        <x:v>292</x:v>
      </x:c>
      <x:c r="L233" s="2" t="n">
        <x:v>703</x:v>
      </x:c>
    </x:row>
    <x:row r="234" ht="24" customHeight="1">
      <x:c r="A234" s="2" t="n">
        <x:v>351</x:v>
      </x:c>
      <x:c r="B234" s="2" t="n">
        <x:v>2</x:v>
      </x:c>
      <x:c r="C234" s="12" t="n">
        <x:v>119475.0000000298</x:v>
      </x:c>
      <x:c r="D234" s="12" t="n">
        <x:v>72123.0000000298</x:v>
      </x:c>
      <x:c r="E234" s="12" t="n">
        <x:v>47135.66666665673</x:v>
      </x:c>
      <x:c r="F234" s="12" t="n">
        <x:v>39169</x:v>
      </x:c>
      <x:c r="G234" s="12" t="n">
        <x:v>28745.999999970198</x:v>
      </x:c>
      <x:c r="H234" s="12" t="n">
        <x:v>47352</x:v>
      </x:c>
      <x:c r="I234" s="12" t="n">
        <x:v>4102</x:v>
      </x:c>
      <x:c r="J234" s="12" t="n">
        <x:v>106.00000005960464</x:v>
      </x:c>
      <x:c r="K234" s="2" t="n">
        <x:v>292</x:v>
      </x:c>
      <x:c r="L234" s="2" t="n">
        <x:v>699</x:v>
      </x:c>
    </x:row>
    <x:row r="235" ht="24" customHeight="1">
      <x:c r="A235" s="2" t="n">
        <x:v>352</x:v>
      </x:c>
      <x:c r="B235" s="2" t="n">
        <x:v>2</x:v>
      </x:c>
      <x:c r="C235" s="12" t="n">
        <x:v>119469.9999999702</x:v>
      </x:c>
      <x:c r="D235" s="12" t="n">
        <x:v>81582.9999999702</x:v>
      </x:c>
      <x:c r="E235" s="12" t="n">
        <x:v>37672.66666665673</x:v>
      </x:c>
      <x:c r="F235" s="12" t="n">
        <x:v>36040</x:v>
      </x:c>
      <x:c r="G235" s="12" t="n">
        <x:v>41335</x:v>
      </x:c>
      <x:c r="H235" s="12" t="n">
        <x:v>37887</x:v>
      </x:c>
      <x:c r="I235" s="12" t="n">
        <x:v>4102</x:v>
      </x:c>
      <x:c r="J235" s="12" t="n">
        <x:v>105.99999997019768</x:v>
      </x:c>
      <x:c r="K235" s="2" t="n">
        <x:v>292</x:v>
      </x:c>
      <x:c r="L235" s="2" t="n">
        <x:v>695</x:v>
      </x:c>
    </x:row>
    <x:row r="236" ht="24" customHeight="1">
      <x:c r="A236" s="2" t="n">
        <x:v>353</x:v>
      </x:c>
      <x:c r="B236" s="2" t="n">
        <x:v>2</x:v>
      </x:c>
      <x:c r="C236" s="12" t="n">
        <x:v>119470.0000000298</x:v>
      </x:c>
      <x:c r="D236" s="12" t="n">
        <x:v>71258.0000000298</x:v>
      </x:c>
      <x:c r="E236" s="12" t="n">
        <x:v>47999.66666665673</x:v>
      </x:c>
      <x:c r="F236" s="12" t="n">
        <x:v>37814</x:v>
      </x:c>
      <x:c r="G236" s="12" t="n">
        <x:v>29235.999999970198</x:v>
      </x:c>
      <x:c r="H236" s="12" t="n">
        <x:v>48212</x:v>
      </x:c>
      <x:c r="I236" s="12" t="n">
        <x:v>4102</x:v>
      </x:c>
      <x:c r="J236" s="12" t="n">
        <x:v>106.00000005960464</x:v>
      </x:c>
      <x:c r="K236" s="2" t="n">
        <x:v>292</x:v>
      </x:c>
      <x:c r="L236" s="2" t="n">
        <x:v>691</x:v>
      </x:c>
    </x:row>
    <x:row r="237" ht="24" customHeight="1">
      <x:c r="A237" s="2" t="n">
        <x:v>354</x:v>
      </x:c>
      <x:c r="B237" s="2" t="n">
        <x:v>2</x:v>
      </x:c>
      <x:c r="C237" s="12" t="n">
        <x:v>119476</x:v>
      </x:c>
      <x:c r="D237" s="12" t="n">
        <x:v>79034</x:v>
      </x:c>
      <x:c r="E237" s="12" t="n">
        <x:v>40225.66666665673</x:v>
      </x:c>
      <x:c r="F237" s="12" t="n">
        <x:v>33993</x:v>
      </x:c>
      <x:c r="G237" s="12" t="n">
        <x:v>40833.0000000298</x:v>
      </x:c>
      <x:c r="H237" s="12" t="n">
        <x:v>40442</x:v>
      </x:c>
      <x:c r="I237" s="12" t="n">
        <x:v>4102</x:v>
      </x:c>
      <x:c r="J237" s="12" t="n">
        <x:v>105.99999997019768</x:v>
      </x:c>
      <x:c r="K237" s="2" t="n">
        <x:v>292</x:v>
      </x:c>
      <x:c r="L237" s="2" t="n">
        <x:v>687</x:v>
      </x:c>
    </x:row>
    <x:row r="238" ht="24" customHeight="1">
      <x:c r="A238" s="2" t="n">
        <x:v>355</x:v>
      </x:c>
      <x:c r="B238" s="2" t="n">
        <x:v>2</x:v>
      </x:c>
      <x:c r="C238" s="12" t="n">
        <x:v>119472</x:v>
      </x:c>
      <x:c r="D238" s="12" t="n">
        <x:v>74510</x:v>
      </x:c>
      <x:c r="E238" s="12" t="n">
        <x:v>44745.66666665673</x:v>
      </x:c>
      <x:c r="F238" s="12" t="n">
        <x:v>41552</x:v>
      </x:c>
      <x:c r="G238" s="12" t="n">
        <x:v>28749.999999970198</x:v>
      </x:c>
      <x:c r="H238" s="12" t="n">
        <x:v>44962</x:v>
      </x:c>
      <x:c r="I238" s="12" t="n">
        <x:v>4102</x:v>
      </x:c>
      <x:c r="J238" s="12" t="n">
        <x:v>106.00000002980232</x:v>
      </x:c>
      <x:c r="K238" s="2" t="n">
        <x:v>292</x:v>
      </x:c>
      <x:c r="L238" s="2" t="n">
        <x:v>683</x:v>
      </x:c>
    </x:row>
    <x:row r="239" ht="24" customHeight="1">
      <x:c r="A239" s="2" t="n">
        <x:v>356</x:v>
      </x:c>
      <x:c r="B239" s="2" t="n">
        <x:v>2</x:v>
      </x:c>
      <x:c r="C239" s="12" t="n">
        <x:v>119469</x:v>
      </x:c>
      <x:c r="D239" s="12" t="n">
        <x:v>80657</x:v>
      </x:c>
      <x:c r="E239" s="12" t="n">
        <x:v>38598.66666665673</x:v>
      </x:c>
      <x:c r="F239" s="12" t="n">
        <x:v>35599.9999999702</x:v>
      </x:c>
      <x:c r="G239" s="12" t="n">
        <x:v>40849</x:v>
      </x:c>
      <x:c r="H239" s="12" t="n">
        <x:v>38812</x:v>
      </x:c>
      <x:c r="I239" s="12" t="n">
        <x:v>4101.999999970198</x:v>
      </x:c>
      <x:c r="J239" s="12" t="n">
        <x:v>106.00000005960464</x:v>
      </x:c>
      <x:c r="K239" s="2" t="n">
        <x:v>292</x:v>
      </x:c>
      <x:c r="L239" s="2" t="n">
        <x:v>679</x:v>
      </x:c>
    </x:row>
    <x:row r="240" ht="24" customHeight="1">
      <x:c r="A240" s="2" t="n">
        <x:v>357</x:v>
      </x:c>
      <x:c r="B240" s="2" t="n">
        <x:v>2</x:v>
      </x:c>
      <x:c r="C240" s="12" t="n">
        <x:v>119471</x:v>
      </x:c>
      <x:c r="D240" s="12" t="n">
        <x:v>69849</x:v>
      </x:c>
      <x:c r="E240" s="12" t="n">
        <x:v>49409.66666665673</x:v>
      </x:c>
      <x:c r="F240" s="12" t="n">
        <x:v>36891.0000000298</x:v>
      </x:c>
      <x:c r="G240" s="12" t="n">
        <x:v>28750.000000029802</x:v>
      </x:c>
      <x:c r="H240" s="12" t="n">
        <x:v>49622</x:v>
      </x:c>
      <x:c r="I240" s="12" t="n">
        <x:v>4102</x:v>
      </x:c>
      <x:c r="J240" s="12" t="n">
        <x:v>105.99999994039536</x:v>
      </x:c>
      <x:c r="K240" s="2" t="n">
        <x:v>292</x:v>
      </x:c>
      <x:c r="L240" s="2" t="n">
        <x:v>675</x:v>
      </x:c>
    </x:row>
    <x:row r="241" ht="24" customHeight="1">
      <x:c r="A241" s="2" t="n">
        <x:v>358</x:v>
      </x:c>
      <x:c r="B241" s="2" t="n">
        <x:v>2</x:v>
      </x:c>
      <x:c r="C241" s="12" t="n">
        <x:v>119476</x:v>
      </x:c>
      <x:c r="D241" s="12" t="n">
        <x:v>80854</x:v>
      </x:c>
      <x:c r="E241" s="12" t="n">
        <x:v>38405.66666665673</x:v>
      </x:c>
      <x:c r="F241" s="12" t="n">
        <x:v>35823</x:v>
      </x:c>
      <x:c r="G241" s="12" t="n">
        <x:v>40823</x:v>
      </x:c>
      <x:c r="H241" s="12" t="n">
        <x:v>38622</x:v>
      </x:c>
      <x:c r="I241" s="12" t="n">
        <x:v>4102</x:v>
      </x:c>
      <x:c r="J241" s="12" t="n">
        <x:v>106</x:v>
      </x:c>
      <x:c r="K241" s="2" t="n">
        <x:v>292</x:v>
      </x:c>
      <x:c r="L241" s="2" t="n">
        <x:v>671</x:v>
      </x:c>
    </x:row>
    <x:row r="242" ht="24" customHeight="1">
      <x:c r="A242" s="2" t="n">
        <x:v>359</x:v>
      </x:c>
      <x:c r="B242" s="2" t="n">
        <x:v>2</x:v>
      </x:c>
      <x:c r="C242" s="12" t="n">
        <x:v>119469</x:v>
      </x:c>
      <x:c r="D242" s="12" t="n">
        <x:v>71522</x:v>
      </x:c>
      <x:c r="E242" s="12" t="n">
        <x:v>47733.66666665673</x:v>
      </x:c>
      <x:c r="F242" s="12" t="n">
        <x:v>38564</x:v>
      </x:c>
      <x:c r="G242" s="12" t="n">
        <x:v>28749.999999970198</x:v>
      </x:c>
      <x:c r="H242" s="12" t="n">
        <x:v>47947</x:v>
      </x:c>
      <x:c r="I242" s="12" t="n">
        <x:v>4102</x:v>
      </x:c>
      <x:c r="J242" s="12" t="n">
        <x:v>106.00000002980232</x:v>
      </x:c>
      <x:c r="K242" s="2" t="n">
        <x:v>292</x:v>
      </x:c>
      <x:c r="L242" s="2" t="n">
        <x:v>667</x:v>
      </x:c>
    </x:row>
    <x:row r="243" ht="24" customHeight="1">
      <x:c r="A243" s="2" t="n">
        <x:v>360</x:v>
      </x:c>
      <x:c r="B243" s="2" t="n">
        <x:v>2</x:v>
      </x:c>
      <x:c r="C243" s="12" t="n">
        <x:v>119473</x:v>
      </x:c>
      <x:c r="D243" s="12" t="n">
        <x:v>79395.9999999702</x:v>
      </x:c>
      <x:c r="E243" s="12" t="n">
        <x:v>39862.66666665673</x:v>
      </x:c>
      <x:c r="F243" s="12" t="n">
        <x:v>33842</x:v>
      </x:c>
      <x:c r="G243" s="12" t="n">
        <x:v>41346</x:v>
      </x:c>
      <x:c r="H243" s="12" t="n">
        <x:v>40077.0000000298</x:v>
      </x:c>
      <x:c r="I243" s="12" t="n">
        <x:v>4102</x:v>
      </x:c>
      <x:c r="J243" s="12" t="n">
        <x:v>105.99999997019768</x:v>
      </x:c>
      <x:c r="K243" s="2" t="n">
        <x:v>292</x:v>
      </x:c>
      <x:c r="L243" s="2" t="n">
        <x:v>663</x:v>
      </x:c>
    </x:row>
    <x:row r="244" ht="24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</x:row>
    <x:row r="245" ht="24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</x:row>
    <x:row r="246" ht="24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0" hidden="0" customWidth="1"/>
    <x:col min="3" max="3" width="18" hidden="0" customWidth="1"/>
    <x:col min="4" max="4" width="18" hidden="0" customWidth="1"/>
    <x:col min="5" max="5" width="18" hidden="0" customWidth="1"/>
    <x:col min="6" max="6" width="16" hidden="0" customWidth="1"/>
    <x:col min="7" max="7" width="16" hidden="0" customWidth="1"/>
    <x:col min="8" max="8" width="16" hidden="0" customWidth="1"/>
    <x:col min="9" max="9" width="18" hidden="0" customWidth="1"/>
    <x:col min="10" max="10" width="16" hidden="0" customWidth="1"/>
    <x:col min="11" max="11" width="18" hidden="0" customWidth="1"/>
    <x:col min="12" max="12" width="18" hidden="0" customWidth="1"/>
    <x:col min="13" max="13" width="16" hidden="0" customWidth="1"/>
    <x:col min="14" max="14" width="16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3" t="str">
        <x:v>Cold transitions and event costs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2" t="str">
        <x:v>Controlled samples. Cold hooks: entry to pre-RET. Audio/speed/title/stone fixtures: entry through RET; caller overhead excluded.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2" t="str">
        <x:v>Self subtracts tracked children. Do not add inclusive parent and child rows or mix these samples with active FPS.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36" customHeight="1">
      <x:c r="A5" s="7" t="str">
        <x:v>Routine / hook</x:v>
      </x:c>
      <x:c r="B5" s="7" t="str">
        <x:v>Calls</x:v>
      </x:c>
      <x:c r="C5" s="7" t="str">
        <x:v>Mean incl cycles/call</x:v>
      </x:c>
      <x:c r="D5" s="7" t="str">
        <x:v>P95 incl cycles/call</x:v>
      </x:c>
      <x:c r="E5" s="7" t="str">
        <x:v>Max incl cycles/call</x:v>
      </x:c>
      <x:c r="F5" s="7" t="str">
        <x:v>Mean incl ms/call</x:v>
      </x:c>
      <x:c r="G5" s="7" t="str">
        <x:v>P95 incl ms/call</x:v>
      </x:c>
      <x:c r="H5" s="7" t="str">
        <x:v>Max incl ms/call</x:v>
      </x:c>
      <x:c r="I5" s="7" t="str">
        <x:v>Mean self cycles/call</x:v>
      </x:c>
      <x:c r="J5" s="7" t="str">
        <x:v>Mean self ms/call</x:v>
      </x:c>
      <x:c r="K5" s="7" t="str">
        <x:v>P95 self cycles/call</x:v>
      </x:c>
      <x:c r="L5" s="7" t="str">
        <x:v>Max self cycles/call</x:v>
      </x:c>
      <x:c r="M5" s="7" t="str">
        <x:v>P95 self ms/call</x:v>
      </x:c>
      <x:c r="N5" s="7" t="str">
        <x:v>Max self ms/call</x:v>
      </x:c>
    </x:row>
    <x:row r="6" ht="24" customHeight="1">
      <x:c r="A6" s="2" t="str">
        <x:v>GameSession_AudioStop</x:v>
      </x:c>
      <x:c r="B6" s="2" t="n">
        <x:v>30</x:v>
      </x:c>
      <x:c r="C6" s="12" t="n">
        <x:v>2645.0000000028226</x:v>
      </x:c>
      <x:c r="D6" s="12" t="n">
        <x:v>2645.000000019779</x:v>
      </x:c>
      <x:c r="E6" s="12" t="n">
        <x:v>2645.000000019779</x:v>
      </x:c>
      <x:c r="F6" s="8" t="n">
        <x:f>C6/'Summary'!$B$20*1000</x:f>
        <x:v>0.7389207287526272</x:v>
      </x:c>
      <x:c r="G6" s="8" t="n">
        <x:f>D6/'Summary'!$B$20*1000</x:f>
        <x:v>0.738920728757364</x:v>
      </x:c>
      <x:c r="H6" s="8" t="n">
        <x:f>E6/'Summary'!$B$20*1000</x:f>
        <x:v>0.738920728757364</x:v>
      </x:c>
      <x:c r="I6" s="12" t="n">
        <x:v>2645.0000000028226</x:v>
      </x:c>
      <x:c r="J6" s="8" t="n">
        <x:f>I6/'Summary'!$B$20*1000</x:f>
        <x:v>0.7389207287526272</x:v>
      </x:c>
      <x:c r="K6" s="12" t="n">
        <x:v>2645.000000019779</x:v>
      </x:c>
      <x:c r="L6" s="12" t="n">
        <x:v>2645.000000019779</x:v>
      </x:c>
      <x:c r="M6" s="8" t="n">
        <x:f>K6/'Summary'!$B$20*1000</x:f>
        <x:v>0.738920728757364</x:v>
      </x:c>
      <x:c r="N6" s="8" t="n">
        <x:f>L6/'Summary'!$B$20*1000</x:f>
        <x:v>0.738920728757364</x:v>
      </x:c>
    </x:row>
    <x:row r="7" ht="24" customHeight="1">
      <x:c r="A7" s="2" t="str">
        <x:v>GameSession_ChallengeFrame</x:v>
      </x:c>
      <x:c r="B7" s="2" t="n">
        <x:v>386</x:v>
      </x:c>
      <x:c r="C7" s="12" t="n">
        <x:v>1004.5544041445838</x:v>
      </x:c>
      <x:c r="D7" s="12" t="n">
        <x:v>4940.000000010015</x:v>
      </x:c>
      <x:c r="E7" s="12" t="n">
        <x:v>18636.000000006232</x:v>
      </x:c>
      <x:c r="F7" s="8" t="n">
        <x:f>C7/'Summary'!$B$20*1000</x:f>
        <x:v>0.2806374564768941</x:v>
      </x:c>
      <x:c r="G7" s="8" t="n">
        <x:f>D7/'Summary'!$B$20*1000</x:f>
        <x:v>1.38006366731247</x:v>
      </x:c>
      <x:c r="H7" s="8" t="n">
        <x:f>E7/'Summary'!$B$20*1000</x:f>
        <x:v>5.206248280160253</x:v>
      </x:c>
      <x:c r="I7" s="12" t="n">
        <x:v>1004.5544041445838</x:v>
      </x:c>
      <x:c r="J7" s="8" t="n">
        <x:f>I7/'Summary'!$B$20*1000</x:f>
        <x:v>0.2806374564768941</x:v>
      </x:c>
      <x:c r="K7" s="12" t="n">
        <x:v>4940.000000010015</x:v>
      </x:c>
      <x:c r="L7" s="12" t="n">
        <x:v>18636.000000006232</x:v>
      </x:c>
      <x:c r="M7" s="8" t="n">
        <x:f>K7/'Summary'!$B$20*1000</x:f>
        <x:v>1.38006366731247</x:v>
      </x:c>
      <x:c r="N7" s="8" t="n">
        <x:f>L7/'Summary'!$B$20*1000</x:f>
        <x:v>5.206248280160253</x:v>
      </x:c>
    </x:row>
    <x:row r="8" ht="24" customHeight="1">
      <x:c r="A8" s="2" t="str">
        <x:v>GameSession_ColdLoad</x:v>
      </x:c>
      <x:c r="B8" s="2" t="n">
        <x:v>13</x:v>
      </x:c>
      <x:c r="C8" s="12" t="n">
        <x:v>6353575.846153845</x:v>
      </x:c>
      <x:c r="D8" s="12" t="n">
        <x:v>6411053.9999999795</x:v>
      </x:c>
      <x:c r="E8" s="12" t="n">
        <x:v>6411053.9999999795</x:v>
      </x:c>
      <x:c r="F8" s="8" t="n">
        <x:f>C8/'Summary'!$B$20*1000</x:f>
        <x:v>1774.9674459055118</x:v>
      </x:c>
      <x:c r="G8" s="8" t="n">
        <x:f>D8/'Summary'!$B$20*1000</x:f>
        <x:v>1791.024836955529</x:v>
      </x:c>
      <x:c r="H8" s="8" t="n">
        <x:f>E8/'Summary'!$B$20*1000</x:f>
        <x:v>1791.024836955529</x:v>
      </x:c>
      <x:c r="I8" s="12" t="n">
        <x:v>4839885.999999996</x:v>
      </x:c>
      <x:c r="J8" s="8" t="n">
        <x:f>I8/'Summary'!$B$20*1000</x:f>
        <x:v>1352.0953082025778</x:v>
      </x:c>
      <x:c r="K8" s="12" t="n">
        <x:v>4901217.999999994</x:v>
      </x:c>
      <x:c r="L8" s="12" t="n">
        <x:v>4901217.999999994</x:v>
      </x:c>
      <x:c r="M8" s="8" t="n">
        <x:f>K8/'Summary'!$B$20*1000</x:f>
        <x:v>1369.229329425945</x:v>
      </x:c>
      <x:c r="N8" s="8" t="n">
        <x:f>L8/'Summary'!$B$20*1000</x:f>
        <x:v>1369.229329425945</x:v>
      </x:c>
    </x:row>
    <x:row r="9" ht="24" customHeight="1">
      <x:c r="A9" s="2" t="str">
        <x:v>GameSession_Prewarm</x:v>
      </x:c>
      <x:c r="B9" s="2" t="n">
        <x:v>14</x:v>
      </x:c>
      <x:c r="C9" s="12" t="n">
        <x:v>438970.4285714313</x:v>
      </x:c>
      <x:c r="D9" s="12" t="n">
        <x:v>442399.000000006</x:v>
      </x:c>
      <x:c r="E9" s="12" t="n">
        <x:v>442399.000000006</x:v>
      </x:c>
      <x:c r="F9" s="8" t="n">
        <x:f>C9/'Summary'!$B$20*1000</x:f>
        <x:v>122.63302418922834</x:v>
      </x:c>
      <x:c r="G9" s="8" t="n">
        <x:f>D9/'Summary'!$B$20*1000</x:f>
        <x:v>123.59084744010929</x:v>
      </x:c>
      <x:c r="H9" s="8" t="n">
        <x:f>E9/'Summary'!$B$20*1000</x:f>
        <x:v>123.59084744010929</x:v>
      </x:c>
      <x:c r="I9" s="12" t="n">
        <x:v>438970.4285714313</x:v>
      </x:c>
      <x:c r="J9" s="8" t="n">
        <x:f>I9/'Summary'!$B$20*1000</x:f>
        <x:v>122.63302418922834</x:v>
      </x:c>
      <x:c r="K9" s="12" t="n">
        <x:v>442399.000000006</x:v>
      </x:c>
      <x:c r="L9" s="12" t="n">
        <x:v>442399.000000006</x:v>
      </x:c>
      <x:c r="M9" s="8" t="n">
        <x:f>K9/'Summary'!$B$20*1000</x:f>
        <x:v>123.59084744010929</x:v>
      </x:c>
      <x:c r="N9" s="8" t="n">
        <x:f>L9/'Summary'!$B$20*1000</x:f>
        <x:v>123.59084744010929</x:v>
      </x:c>
    </x:row>
    <x:row r="10" ht="24" customHeight="1">
      <x:c r="A10" s="2" t="str">
        <x:v>GameSession_Video</x:v>
      </x:c>
      <x:c r="B10" s="2" t="n">
        <x:v>14</x:v>
      </x:c>
      <x:c r="C10" s="12" t="n">
        <x:v>1511435.1428571432</x:v>
      </x:c>
      <x:c r="D10" s="12" t="n">
        <x:v>1544242.0000000123</x:v>
      </x:c>
      <x:c r="E10" s="12" t="n">
        <x:v>1544242.0000000123</x:v>
      </x:c>
      <x:c r="F10" s="8" t="n">
        <x:f>C10/'Summary'!$B$20*1000</x:f>
        <x:v>422.2422522575197</x:v>
      </x:c>
      <x:c r="G10" s="8" t="n">
        <x:f>D10/'Summary'!$B$20*1000</x:f>
        <x:v>431.40734367077727</x:v>
      </x:c>
      <x:c r="H10" s="8" t="n">
        <x:f>E10/'Summary'!$B$20*1000</x:f>
        <x:v>431.40734367077727</x:v>
      </x:c>
      <x:c r="I10" s="12" t="n">
        <x:v>1069819.7142857076</x:v>
      </x:c>
      <x:c r="J10" s="8" t="n">
        <x:f>I10/'Summary'!$B$20*1000</x:f>
        <x:v>298.8703073395383</x:v>
      </x:c>
      <x:c r="K10" s="12" t="n">
        <x:v>1102269.999999999</x:v>
      </x:c>
      <x:c r="L10" s="12" t="n">
        <x:v>1102269.999999999</x:v>
      </x:c>
      <x:c r="M10" s="8" t="n">
        <x:f>K10/'Summary'!$B$20*1000</x:f>
        <x:v>307.9357851347026</x:v>
      </x:c>
      <x:c r="N10" s="8" t="n">
        <x:f>L10/'Summary'!$B$20*1000</x:f>
        <x:v>307.9357851347026</x:v>
      </x:c>
    </x:row>
    <x:row r="11" ht="24" customHeight="1">
      <x:c r="A11" s="2" t="str">
        <x:v>GameSession_RemoveFlag</x:v>
      </x:c>
      <x:c r="B11" s="2" t="n">
        <x:v>10</x:v>
      </x:c>
      <x:c r="C11" s="12" t="n">
        <x:v>15909.999999999964</x:v>
      </x:c>
      <x:c r="D11" s="12" t="n">
        <x:v>15910.00000002031</x:v>
      </x:c>
      <x:c r="E11" s="12" t="n">
        <x:v>15910.00000002031</x:v>
      </x:c>
      <x:c r="F11" s="8" t="n">
        <x:f>C11/'Summary'!$B$20*1000</x:f>
        <x:v>4.444698977104622</x:v>
      </x:c>
      <x:c r="G11" s="8" t="n">
        <x:f>D11/'Summary'!$B$20*1000</x:f>
        <x:v>4.444698977110306</x:v>
      </x:c>
      <x:c r="H11" s="8" t="n">
        <x:f>E11/'Summary'!$B$20*1000</x:f>
        <x:v>4.444698977110306</x:v>
      </x:c>
      <x:c r="I11" s="12" t="n">
        <x:v>15909.999999999964</x:v>
      </x:c>
      <x:c r="J11" s="8" t="n">
        <x:f>I11/'Summary'!$B$20*1000</x:f>
        <x:v>4.444698977104622</x:v>
      </x:c>
      <x:c r="K11" s="12" t="n">
        <x:v>15910.00000002031</x:v>
      </x:c>
      <x:c r="L11" s="12" t="n">
        <x:v>15910.00000002031</x:v>
      </x:c>
      <x:c r="M11" s="8" t="n">
        <x:f>K11/'Summary'!$B$20*1000</x:f>
        <x:v>4.444698977110306</x:v>
      </x:c>
      <x:c r="N11" s="8" t="n">
        <x:f>L11/'Summary'!$B$20*1000</x:f>
        <x:v>4.444698977110306</x:v>
      </x:c>
    </x:row>
    <x:row r="12" ht="24" customHeight="1">
      <x:c r="A12" s="2" t="str">
        <x:v>GameAudio_Tick (engine)</x:v>
      </x:c>
      <x:c r="B12" s="2" t="n">
        <x:v>180</x:v>
      </x:c>
      <x:c r="C12" s="12" t="n">
        <x:v>2275.311111110693</x:v>
      </x:c>
      <x:c r="D12" s="12" t="n">
        <x:v>2994.0000000009113</x:v>
      </x:c>
      <x:c r="E12" s="12" t="n">
        <x:v>3909.9999999993806</x:v>
      </x:c>
      <x:c r="F12" s="8" t="n">
        <x:f>C12/'Summary'!$B$20*1000</x:f>
        <x:v>0.6356425498521999</x:v>
      </x:c>
      <x:c r="G12" s="8" t="n">
        <x:f>D12/'Summary'!$B$20*1000</x:f>
        <x:v>0.8364191538312582</x:v>
      </x:c>
      <x:c r="H12" s="8" t="n">
        <x:f>E12/'Summary'!$B$20*1000</x:f>
        <x:v>1.092317599024284</x:v>
      </x:c>
      <x:c r="I12" s="13" t="str">
        <x:v>n.a.</x:v>
      </x:c>
      <x:c r="J12" s="14" t="str">
        <x:v>n.a.</x:v>
      </x:c>
      <x:c r="K12" s="13" t="str">
        <x:v>n.a.</x:v>
      </x:c>
      <x:c r="L12" s="13" t="str">
        <x:v>n.a.</x:v>
      </x:c>
      <x:c r="M12" s="14" t="str">
        <x:v>n.a.</x:v>
      </x:c>
      <x:c r="N12" s="14" t="str">
        <x:v>n.a.</x:v>
      </x:c>
    </x:row>
    <x:row r="13" ht="24" customHeight="1">
      <x:c r="A13" s="2" t="str">
        <x:v>GameAudio_Tick (smoke_active)</x:v>
      </x:c>
      <x:c r="B13" s="2" t="n">
        <x:v>4</x:v>
      </x:c>
      <x:c r="C13" s="12" t="n">
        <x:v>3786.4999999978586</x:v>
      </x:c>
      <x:c r="D13" s="12" t="n">
        <x:v>4266.000000001452</x:v>
      </x:c>
      <x:c r="E13" s="12" t="n">
        <x:v>4266.000000001452</x:v>
      </x:c>
      <x:c r="F13" s="8" t="n">
        <x:f>C13/'Summary'!$B$20*1000</x:f>
        <x:v>1.057816007341117</x:v>
      </x:c>
      <x:c r="G13" s="8" t="n">
        <x:f>D13/'Summary'!$B$20*1000</x:f>
        <x:v>1.1917715799079078</x:v>
      </x:c>
      <x:c r="H13" s="8" t="n">
        <x:f>E13/'Summary'!$B$20*1000</x:f>
        <x:v>1.1917715799079078</x:v>
      </x:c>
      <x:c r="I13" s="13" t="str">
        <x:v>n.a.</x:v>
      </x:c>
      <x:c r="J13" s="14" t="str">
        <x:v>n.a.</x:v>
      </x:c>
      <x:c r="K13" s="13" t="str">
        <x:v>n.a.</x:v>
      </x:c>
      <x:c r="L13" s="13" t="str">
        <x:v>n.a.</x:v>
      </x:c>
      <x:c r="M13" s="14" t="str">
        <x:v>n.a.</x:v>
      </x:c>
      <x:c r="N13" s="14" t="str">
        <x:v>n.a.</x:v>
      </x:c>
    </x:row>
    <x:row r="14" ht="24" customHeight="1">
      <x:c r="A14" s="2" t="str">
        <x:v>GameAudio_Tick (smoke_resume)</x:v>
      </x:c>
      <x:c r="B14" s="2" t="n">
        <x:v>32</x:v>
      </x:c>
      <x:c r="C14" s="12" t="n">
        <x:v>2197.062500001364</x:v>
      </x:c>
      <x:c r="D14" s="12" t="n">
        <x:v>3749.000000001052</x:v>
      </x:c>
      <x:c r="E14" s="12" t="n">
        <x:v>3749.000000001052</x:v>
      </x:c>
      <x:c r="F14" s="8" t="n">
        <x:f>C14/'Summary'!$B$20*1000</x:f>
        <x:v>0.6137826176235706</x:v>
      </x:c>
      <x:c r="G14" s="8" t="n">
        <x:f>D14/'Summary'!$B$20*1000</x:f>
        <x:v>1.0473398155355085</x:v>
      </x:c>
      <x:c r="H14" s="8" t="n">
        <x:f>E14/'Summary'!$B$20*1000</x:f>
        <x:v>1.0473398155355085</x:v>
      </x:c>
      <x:c r="I14" s="13" t="str">
        <x:v>n.a.</x:v>
      </x:c>
      <x:c r="J14" s="14" t="str">
        <x:v>n.a.</x:v>
      </x:c>
      <x:c r="K14" s="13" t="str">
        <x:v>n.a.</x:v>
      </x:c>
      <x:c r="L14" s="13" t="str">
        <x:v>n.a.</x:v>
      </x:c>
      <x:c r="M14" s="14" t="str">
        <x:v>n.a.</x:v>
      </x:c>
      <x:c r="N14" s="14" t="str">
        <x:v>n.a.</x:v>
      </x:c>
    </x:row>
    <x:row r="15" ht="24" customHeight="1">
      <x:c r="A15" s="2" t="str">
        <x:v>GameAudio_Tick (crash)</x:v>
      </x:c>
      <x:c r="B15" s="2" t="n">
        <x:v>72</x:v>
      </x:c>
      <x:c r="C15" s="12" t="n">
        <x:v>2618.7916666645215</x:v>
      </x:c>
      <x:c r="D15" s="12" t="n">
        <x:v>3418.999999998632</x:v>
      </x:c>
      <x:c r="E15" s="12" t="n">
        <x:v>4213.0000000046075</x:v>
      </x:c>
      <x:c r="F15" s="8" t="n">
        <x:f>C15/'Summary'!$B$20*1000</x:f>
        <x:v>0.7315990346998072</x:v>
      </x:c>
      <x:c r="G15" s="8" t="n">
        <x:f>D15/'Summary'!$B$20*1000</x:f>
        <x:v>0.9551493276376277</x:v>
      </x:c>
      <x:c r="H15" s="8" t="n">
        <x:f>E15/'Summary'!$B$20*1000</x:f>
        <x:v>1.1769652288222685</x:v>
      </x:c>
      <x:c r="I15" s="13" t="str">
        <x:v>n.a.</x:v>
      </x:c>
      <x:c r="J15" s="14" t="str">
        <x:v>n.a.</x:v>
      </x:c>
      <x:c r="K15" s="13" t="str">
        <x:v>n.a.</x:v>
      </x:c>
      <x:c r="L15" s="13" t="str">
        <x:v>n.a.</x:v>
      </x:c>
      <x:c r="M15" s="14" t="str">
        <x:v>n.a.</x:v>
      </x:c>
      <x:c r="N15" s="14" t="str">
        <x:v>n.a.</x:v>
      </x:c>
    </x:row>
    <x:row r="16" ht="24" customHeight="1">
      <x:c r="A16" s="2" t="str">
        <x:v>GameAudio_Tick (complete)</x:v>
      </x:c>
      <x:c r="B16" s="2" t="n">
        <x:v>54</x:v>
      </x:c>
      <x:c r="C16" s="12" t="n">
        <x:v>3298.6111111092846</x:v>
      </x:c>
      <x:c r="D16" s="12" t="n">
        <x:v>3591.999999992887</x:v>
      </x:c>
      <x:c r="E16" s="12" t="n">
        <x:v>3621.000000010595</x:v>
      </x:c>
      <x:c r="F16" s="8" t="n">
        <x:f>C16/'Summary'!$B$20*1000</x:f>
        <x:v>0.9215168718675933</x:v>
      </x:c>
      <x:c r="G16" s="8" t="n">
        <x:f>D16/'Summary'!$B$20*1000</x:f>
        <x:v>1.0034794925033452</x:v>
      </x:c>
      <x:c r="H16" s="8" t="n">
        <x:f>E16/'Summary'!$B$20*1000</x:f>
        <x:v>1.0115810808386527</x:v>
      </x:c>
      <x:c r="I16" s="13" t="str">
        <x:v>n.a.</x:v>
      </x:c>
      <x:c r="J16" s="14" t="str">
        <x:v>n.a.</x:v>
      </x:c>
      <x:c r="K16" s="13" t="str">
        <x:v>n.a.</x:v>
      </x:c>
      <x:c r="L16" s="13" t="str">
        <x:v>n.a.</x:v>
      </x:c>
      <x:c r="M16" s="14" t="str">
        <x:v>n.a.</x:v>
      </x:c>
      <x:c r="N16" s="14" t="str">
        <x:v>n.a.</x:v>
      </x:c>
    </x:row>
    <x:row r="17" ht="24" customHeight="1">
      <x:c r="A17" s="2" t="str">
        <x:v>GameAudio_Tick (fuel)</x:v>
      </x:c>
      <x:c r="B17" s="2" t="n">
        <x:v>30</x:v>
      </x:c>
      <x:c r="C17" s="12" t="n">
        <x:v>2439.1666666673764</x:v>
      </x:c>
      <x:c r="D17" s="12" t="n">
        <x:v>3733.999999999786</x:v>
      </x:c>
      <x:c r="E17" s="12" t="n">
        <x:v>3733.999999999786</x:v>
      </x:c>
      <x:c r="F17" s="8" t="n">
        <x:f>C17/'Summary'!$B$20*1000</x:f>
        <x:v>0.6814180759474672</x:v>
      </x:c>
      <x:c r="G17" s="8" t="n">
        <x:f>D17/'Summary'!$B$20*1000</x:f>
        <x:v>1.0431493388125546</x:v>
      </x:c>
      <x:c r="H17" s="8" t="n">
        <x:f>E17/'Summary'!$B$20*1000</x:f>
        <x:v>1.0431493388125546</x:v>
      </x:c>
      <x:c r="I17" s="13" t="str">
        <x:v>n.a.</x:v>
      </x:c>
      <x:c r="J17" s="14" t="str">
        <x:v>n.a.</x:v>
      </x:c>
      <x:c r="K17" s="13" t="str">
        <x:v>n.a.</x:v>
      </x:c>
      <x:c r="L17" s="13" t="str">
        <x:v>n.a.</x:v>
      </x:c>
      <x:c r="M17" s="14" t="str">
        <x:v>n.a.</x:v>
      </x:c>
      <x:c r="N17" s="14" t="str">
        <x:v>n.a.</x:v>
      </x:c>
    </x:row>
    <x:row r="18" ht="24" customHeight="1">
      <x:c r="A18" s="2" t="str">
        <x:v>GameSession_AudioStop</x:v>
      </x:c>
      <x:c r="B18" s="2" t="n">
        <x:v>1</x:v>
      </x:c>
      <x:c r="C18" s="12" t="n">
        <x:v>2655.9999999800125</x:v>
      </x:c>
      <x:c r="D18" s="12" t="n">
        <x:v>2655.9999999800125</x:v>
      </x:c>
      <x:c r="E18" s="12" t="n">
        <x:v>2655.9999999800125</x:v>
      </x:c>
      <x:c r="F18" s="8" t="n">
        <x:f>C18/'Summary'!$B$20*1000</x:f>
        <x:v>0.7419937450094949</x:v>
      </x:c>
      <x:c r="G18" s="8" t="n">
        <x:f>D18/'Summary'!$B$20*1000</x:f>
        <x:v>0.7419937450094949</x:v>
      </x:c>
      <x:c r="H18" s="8" t="n">
        <x:f>E18/'Summary'!$B$20*1000</x:f>
        <x:v>0.7419937450094949</x:v>
      </x:c>
      <x:c r="I18" s="13" t="str">
        <x:v>n.a.</x:v>
      </x:c>
      <x:c r="J18" s="14" t="str">
        <x:v>n.a.</x:v>
      </x:c>
      <x:c r="K18" s="13" t="str">
        <x:v>n.a.</x:v>
      </x:c>
      <x:c r="L18" s="13" t="str">
        <x:v>n.a.</x:v>
      </x:c>
      <x:c r="M18" s="14" t="str">
        <x:v>n.a.</x:v>
      </x:c>
      <x:c r="N18" s="14" t="str">
        <x:v>n.a.</x:v>
      </x:c>
    </x:row>
    <x:row r="19" ht="24" customHeight="1">
      <x:c r="A19" s="2" t="str">
        <x:v>GameAudio_Tick (gameover)</x:v>
      </x:c>
      <x:c r="B19" s="2" t="n">
        <x:v>249</x:v>
      </x:c>
      <x:c r="C19" s="12" t="n">
        <x:v>2661.3293172686194</x:v>
      </x:c>
      <x:c r="D19" s="12" t="n">
        <x:v>3598.000000003567</x:v>
      </x:c>
      <x:c r="E19" s="12" t="n">
        <x:v>6525.0000000166265</x:v>
      </x:c>
      <x:c r="F19" s="8" t="n">
        <x:f>C19/'Summary'!$B$20*1000</x:f>
        <x:v>0.7434825703458455</x:v>
      </x:c>
      <x:c r="G19" s="8" t="n">
        <x:f>D19/'Summary'!$B$20*1000</x:f>
        <x:v>1.005155683195369</x:v>
      </x:c>
      <x:c r="H19" s="8" t="n">
        <x:f>E19/'Summary'!$B$20*1000</x:f>
        <x:v>1.82285737433574</x:v>
      </x:c>
      <x:c r="I19" s="13" t="str">
        <x:v>n.a.</x:v>
      </x:c>
      <x:c r="J19" s="14" t="str">
        <x:v>n.a.</x:v>
      </x:c>
      <x:c r="K19" s="13" t="str">
        <x:v>n.a.</x:v>
      </x:c>
      <x:c r="L19" s="13" t="str">
        <x:v>n.a.</x:v>
      </x:c>
      <x:c r="M19" s="14" t="str">
        <x:v>n.a.</x:v>
      </x:c>
      <x:c r="N19" s="14" t="str">
        <x:v>n.a.</x:v>
      </x:c>
    </x:row>
    <x:row r="20" ht="24" customHeight="1">
      <x:c r="A20" s="2" t="str">
        <x:v>GameAudio_Tick (challenge_intro)</x:v>
      </x:c>
      <x:c r="B20" s="2" t="n">
        <x:v>193</x:v>
      </x:c>
      <x:c r="C20" s="12" t="n">
        <x:v>2182.1968911913496</x:v>
      </x:c>
      <x:c r="D20" s="12" t="n">
        <x:v>3455.0000000118443</x:v>
      </x:c>
      <x:c r="E20" s="12" t="n">
        <x:v>6502.000000009599</x:v>
      </x:c>
      <x:c r="F20" s="8" t="n">
        <x:f>C20/'Summary'!$B$20*1000</x:f>
        <x:v>0.6096296851111942</x:v>
      </x:c>
      <x:c r="G20" s="8" t="n">
        <x:f>D20/'Summary'!$B$20*1000</x:f>
        <x:v>0.9652064717755593</x:v>
      </x:c>
      <x:c r="H20" s="8" t="n">
        <x:f>E20/'Summary'!$B$20*1000</x:f>
        <x:v>1.8164319766924564</x:v>
      </x:c>
      <x:c r="I20" s="13" t="str">
        <x:v>n.a.</x:v>
      </x:c>
      <x:c r="J20" s="14" t="str">
        <x:v>n.a.</x:v>
      </x:c>
      <x:c r="K20" s="13" t="str">
        <x:v>n.a.</x:v>
      </x:c>
      <x:c r="L20" s="13" t="str">
        <x:v>n.a.</x:v>
      </x:c>
      <x:c r="M20" s="14" t="str">
        <x:v>n.a.</x:v>
      </x:c>
      <x:c r="N20" s="14" t="str">
        <x:v>n.a.</x:v>
      </x:c>
    </x:row>
    <x:row r="21" ht="24" customHeight="1">
      <x:c r="A21" s="2" t="str">
        <x:v>GameAudio_Tick (challenge)</x:v>
      </x:c>
      <x:c r="B21" s="2" t="n">
        <x:v>31</x:v>
      </x:c>
      <x:c r="C21" s="12" t="n">
        <x:v>2999.516129031912</x:v>
      </x:c>
      <x:c r="D21" s="12" t="n">
        <x:v>3795.000000015108</x:v>
      </x:c>
      <x:c r="E21" s="12" t="n">
        <x:v>7141.000000002492</x:v>
      </x:c>
      <x:c r="F21" s="8" t="n">
        <x:f>C21/'Summary'!$B$20*1000</x:f>
        <x:v>0.8379601678514761</x:v>
      </x:c>
      <x:c r="G21" s="8" t="n">
        <x:f>D21/'Summary'!$B$20*1000</x:f>
        <x:v>1.060190610822076</x:v>
      </x:c>
      <x:c r="H21" s="8" t="n">
        <x:f>E21/'Summary'!$B$20*1000</x:f>
        <x:v>1.9949462850732402</x:v>
      </x:c>
      <x:c r="I21" s="13" t="str">
        <x:v>n.a.</x:v>
      </x:c>
      <x:c r="J21" s="14" t="str">
        <x:v>n.a.</x:v>
      </x:c>
      <x:c r="K21" s="13" t="str">
        <x:v>n.a.</x:v>
      </x:c>
      <x:c r="L21" s="13" t="str">
        <x:v>n.a.</x:v>
      </x:c>
      <x:c r="M21" s="14" t="str">
        <x:v>n.a.</x:v>
      </x:c>
      <x:c r="N21" s="14" t="str">
        <x:v>n.a.</x:v>
      </x:c>
    </x:row>
    <x:row r="22" ht="24" customHeight="1">
      <x:c r="A22" s="2" t="str">
        <x:v>GameSession_CompletionWait (minimum)</x:v>
      </x:c>
      <x:c r="B22" s="2" t="n">
        <x:v>61</x:v>
      </x:c>
      <x:c r="C22" s="12" t="n">
        <x:v>75.93442622791194</x:v>
      </x:c>
      <x:c r="D22" s="12" t="n">
        <x:v>75.0000000063304</x:v>
      </x:c>
      <x:c r="E22" s="12" t="n">
        <x:v>131.9999999806205</x:v>
      </x:c>
      <x:c r="F22" s="8" t="n">
        <x:f>C22/'Summary'!$B$20*1000</x:f>
        <x:v>0.021213429703471235</x:v>
      </x:c>
      <x:c r="G22" s="8" t="n">
        <x:f>D22/'Summary'!$B$20*1000</x:f>
        <x:v>0.020952383614769584</x:v>
      </x:c>
      <x:c r="H22" s="8" t="n">
        <x:f>E22/'Summary'!$B$20*1000</x:f>
        <x:v>0.03687619515346797</x:v>
      </x:c>
      <x:c r="I22" s="13" t="str">
        <x:v>n.a.</x:v>
      </x:c>
      <x:c r="J22" s="14" t="str">
        <x:v>n.a.</x:v>
      </x:c>
      <x:c r="K22" s="13" t="str">
        <x:v>n.a.</x:v>
      </x:c>
      <x:c r="L22" s="13" t="str">
        <x:v>n.a.</x:v>
      </x:c>
      <x:c r="M22" s="14" t="str">
        <x:v>n.a.</x:v>
      </x:c>
      <x:c r="N22" s="14" t="str">
        <x:v>n.a.</x:v>
      </x:c>
    </x:row>
    <x:row r="23" ht="24" customHeight="1">
      <x:c r="A23" s="2" t="str">
        <x:v>GameSession_CompletionWait (music_wait)</x:v>
      </x:c>
      <x:c r="B23" s="2" t="n">
        <x:v>46</x:v>
      </x:c>
      <x:c r="C23" s="12" t="n">
        <x:v>102.9999999982989</x:v>
      </x:c>
      <x:c r="D23" s="12" t="n">
        <x:v>103.00000001378059</x:v>
      </x:c>
      <x:c r="E23" s="12" t="n">
        <x:v>103.00000001378059</x:v>
      </x:c>
      <x:c r="F23" s="8" t="n">
        <x:f>C23/'Summary'!$B$20*1000</x:f>
        <x:v>0.028774606828046275</x:v>
      </x:c>
      <x:c r="G23" s="8" t="n">
        <x:f>D23/'Summary'!$B$20*1000</x:f>
        <x:v>0.02877460683237132</x:v>
      </x:c>
      <x:c r="H23" s="8" t="n">
        <x:f>E23/'Summary'!$B$20*1000</x:f>
        <x:v>0.02877460683237132</x:v>
      </x:c>
      <x:c r="I23" s="13" t="str">
        <x:v>n.a.</x:v>
      </x:c>
      <x:c r="J23" s="14" t="str">
        <x:v>n.a.</x:v>
      </x:c>
      <x:c r="K23" s="13" t="str">
        <x:v>n.a.</x:v>
      </x:c>
      <x:c r="L23" s="13" t="str">
        <x:v>n.a.</x:v>
      </x:c>
      <x:c r="M23" s="14" t="str">
        <x:v>n.a.</x:v>
      </x:c>
      <x:c r="N23" s="14" t="str">
        <x:v>n.a.</x:v>
      </x:c>
    </x:row>
    <x:row r="24" ht="24" customHeight="1">
      <x:c r="A24" s="2" t="str">
        <x:v>GameSession_CompletionWait (begin_bonus)</x:v>
      </x:c>
      <x:c r="B24" s="2" t="n">
        <x:v>1</x:v>
      </x:c>
      <x:c r="C24" s="12" t="n">
        <x:v>4469.000000010955</x:v>
      </x:c>
      <x:c r="D24" s="12" t="n">
        <x:v>4469.000000010955</x:v>
      </x:c>
      <x:c r="E24" s="12" t="n">
        <x:v>4469.000000010955</x:v>
      </x:c>
      <x:c r="F24" s="8" t="n">
        <x:f>C24/'Summary'!$B$20*1000</x:f>
        <x:v>1.2484826982230857</x:v>
      </x:c>
      <x:c r="G24" s="8" t="n">
        <x:f>D24/'Summary'!$B$20*1000</x:f>
        <x:v>1.2484826982230857</x:v>
      </x:c>
      <x:c r="H24" s="8" t="n">
        <x:f>E24/'Summary'!$B$20*1000</x:f>
        <x:v>1.2484826982230857</x:v>
      </x:c>
      <x:c r="I24" s="13" t="str">
        <x:v>n.a.</x:v>
      </x:c>
      <x:c r="J24" s="14" t="str">
        <x:v>n.a.</x:v>
      </x:c>
      <x:c r="K24" s="13" t="str">
        <x:v>n.a.</x:v>
      </x:c>
      <x:c r="L24" s="13" t="str">
        <x:v>n.a.</x:v>
      </x:c>
      <x:c r="M24" s="14" t="str">
        <x:v>n.a.</x:v>
      </x:c>
      <x:c r="N24" s="14" t="str">
        <x:v>n.a.</x:v>
      </x:c>
    </x:row>
    <x:row r="25" ht="24" customHeight="1">
      <x:c r="A25" s="2" t="str">
        <x:v>Full_MSXPlayerSpeed (ordinary)</x:v>
      </x:c>
      <x:c r="B25" s="2" t="n">
        <x:v>24</x:v>
      </x:c>
      <x:c r="C25" s="12" t="n">
        <x:v>281.08333333310776</x:v>
      </x:c>
      <x:c r="D25" s="12" t="n">
        <x:v>340.0000000032636</x:v>
      </x:c>
      <x:c r="E25" s="12" t="n">
        <x:v>340.0000000032636</x:v>
      </x:c>
      <x:c r="F25" s="8" t="n">
        <x:f>C25/'Summary'!$B$20*1000</x:f>
        <x:v>0.07852487769621774</x:v>
      </x:c>
      <x:c r="G25" s="8" t="n">
        <x:f>D25/'Summary'!$B$20*1000</x:f>
        <x:v>0.0949841390465167</x:v>
      </x:c>
      <x:c r="H25" s="8" t="n">
        <x:f>E25/'Summary'!$B$20*1000</x:f>
        <x:v>0.0949841390465167</x:v>
      </x:c>
      <x:c r="I25" s="13" t="str">
        <x:v>n.a.</x:v>
      </x:c>
      <x:c r="J25" s="14" t="str">
        <x:v>n.a.</x:v>
      </x:c>
      <x:c r="K25" s="13" t="str">
        <x:v>n.a.</x:v>
      </x:c>
      <x:c r="L25" s="13" t="str">
        <x:v>n.a.</x:v>
      </x:c>
      <x:c r="M25" s="14" t="str">
        <x:v>n.a.</x:v>
      </x:c>
      <x:c r="N25" s="14" t="str">
        <x:v>n.a.</x:v>
      </x:c>
    </x:row>
    <x:row r="26" ht="24" customHeight="1">
      <x:c r="A26" s="2" t="str">
        <x:v>Full_MSXPlayerSpeed (parked)</x:v>
      </x:c>
      <x:c r="B26" s="2" t="n">
        <x:v>40</x:v>
      </x:c>
      <x:c r="C26" s="12" t="n">
        <x:v>70.99999999963423</x:v>
      </x:c>
      <x:c r="D26" s="12" t="n">
        <x:v>71.00000000344936</x:v>
      </x:c>
      <x:c r="E26" s="12" t="n">
        <x:v>71.00000000344936</x:v>
      </x:c>
      <x:c r="F26" s="8" t="n">
        <x:f>C26/'Summary'!$B$20*1000</x:f>
        <x:v>0.019834923153538853</x:v>
      </x:c>
      <x:c r="G26" s="8" t="n">
        <x:f>D26/'Summary'!$B$20*1000</x:f>
        <x:v>0.019834923154604667</x:v>
      </x:c>
      <x:c r="H26" s="8" t="n">
        <x:f>E26/'Summary'!$B$20*1000</x:f>
        <x:v>0.019834923154604667</x:v>
      </x:c>
      <x:c r="I26" s="13" t="str">
        <x:v>n.a.</x:v>
      </x:c>
      <x:c r="J26" s="14" t="str">
        <x:v>n.a.</x:v>
      </x:c>
      <x:c r="K26" s="13" t="str">
        <x:v>n.a.</x:v>
      </x:c>
      <x:c r="L26" s="13" t="str">
        <x:v>n.a.</x:v>
      </x:c>
      <x:c r="M26" s="14" t="str">
        <x:v>n.a.</x:v>
      </x:c>
      <x:c r="N26" s="14" t="str">
        <x:v>n.a.</x:v>
      </x:c>
    </x:row>
    <x:row r="27" ht="24" customHeight="1">
      <x:c r="A27" s="2" t="str">
        <x:v>UI_MSXLogo_Draw</x:v>
      </x:c>
      <x:c r="B27" s="2" t="n">
        <x:v>1</x:v>
      </x:c>
      <x:c r="C27" s="12" t="n">
        <x:v>23039.000000001444</x:v>
      </x:c>
      <x:c r="D27" s="12" t="n">
        <x:v>23039.000000001444</x:v>
      </x:c>
      <x:c r="E27" s="12" t="n">
        <x:v>23039.000000001444</x:v>
      </x:c>
      <x:c r="F27" s="8" t="n">
        <x:f>C27/'Summary'!$B$20*1000</x:f>
        <x:v>6.4362928807995</x:v>
      </x:c>
      <x:c r="G27" s="8" t="n">
        <x:f>D27/'Summary'!$B$20*1000</x:f>
        <x:v>6.4362928807995</x:v>
      </x:c>
      <x:c r="H27" s="8" t="n">
        <x:f>E27/'Summary'!$B$20*1000</x:f>
        <x:v>6.4362928807995</x:v>
      </x:c>
      <x:c r="I27" s="13" t="str">
        <x:v>n.a.</x:v>
      </x:c>
      <x:c r="J27" s="14" t="str">
        <x:v>n.a.</x:v>
      </x:c>
      <x:c r="K27" s="13" t="str">
        <x:v>n.a.</x:v>
      </x:c>
      <x:c r="L27" s="13" t="str">
        <x:v>n.a.</x:v>
      </x:c>
      <x:c r="M27" s="14" t="str">
        <x:v>n.a.</x:v>
      </x:c>
      <x:c r="N27" s="14" t="str">
        <x:v>n.a.</x:v>
      </x:c>
    </x:row>
    <x:row r="28" ht="24" customHeight="1">
      <x:c r="A28" s="2" t="str">
        <x:v>UI_CastFooter_Tick</x:v>
      </x:c>
      <x:c r="B28" s="2" t="n">
        <x:v>546</x:v>
      </x:c>
      <x:c r="C28" s="12" t="n">
        <x:v>419.68315018318475</x:v>
      </x:c>
      <x:c r="D28" s="12" t="n">
        <x:v>53.000000009560324</x:v>
      </x:c>
      <x:c r="E28" s="12" t="n">
        <x:v>10596.000000001619</x:v>
      </x:c>
      <x:c r="F28" s="8" t="n">
        <x:f>C28/'Summary'!$B$20*1000</x:f>
        <x:v>0.11724483144734449</x:v>
      </x:c>
      <x:c r="G28" s="8" t="n">
        <x:f>D28/'Summary'!$B$20*1000</x:f>
        <x:v>0.014806351089191594</x:v>
      </x:c>
      <x:c r="H28" s="8" t="n">
        <x:f>E28/'Summary'!$B$20*1000</x:f>
        <x:v>2.960152756845247</x:v>
      </x:c>
      <x:c r="I28" s="13" t="str">
        <x:v>n.a.</x:v>
      </x:c>
      <x:c r="J28" s="14" t="str">
        <x:v>n.a.</x:v>
      </x:c>
      <x:c r="K28" s="13" t="str">
        <x:v>n.a.</x:v>
      </x:c>
      <x:c r="L28" s="13" t="str">
        <x:v>n.a.</x:v>
      </x:c>
      <x:c r="M28" s="14" t="str">
        <x:v>n.a.</x:v>
      </x:c>
      <x:c r="N28" s="14" t="str">
        <x:v>n.a.</x:v>
      </x:c>
    </x:row>
    <x:row r="29" ht="24" customHeight="1">
      <x:c r="A29" s="2" t="str">
        <x:v>Enemy stone recoil</x:v>
      </x:c>
      <x:c r="B29" s="2" t="n">
        <x:v>36</x:v>
      </x:c>
      <x:c r="C29" s="12" t="n">
        <x:v>5472.500000001267</x:v>
      </x:c>
      <x:c r="D29" s="12" t="n">
        <x:v>5700.000000010578</x:v>
      </x:c>
      <x:c r="E29" s="12" t="n">
        <x:v>5700.000000010578</x:v>
      </x:c>
      <x:c r="F29" s="8" t="n">
        <x:f>C29/'Summary'!$B$20*1000</x:f>
        <x:v>1.5288255909623336</x:v>
      </x:c>
      <x:c r="G29" s="8" t="n">
        <x:f>D29/'Summary'!$B$20*1000</x:f>
        <x:v>1.5923811545910382</x:v>
      </x:c>
      <x:c r="H29" s="8" t="n">
        <x:f>E29/'Summary'!$B$20*1000</x:f>
        <x:v>1.5923811545910382</x:v>
      </x:c>
      <x:c r="I29" s="13" t="str">
        <x:v>n.a.</x:v>
      </x:c>
      <x:c r="J29" s="14" t="str">
        <x:v>n.a.</x:v>
      </x:c>
      <x:c r="K29" s="13" t="str">
        <x:v>n.a.</x:v>
      </x:c>
      <x:c r="L29" s="13" t="str">
        <x:v>n.a.</x:v>
      </x:c>
      <x:c r="M29" s="14" t="str">
        <x:v>n.a.</x:v>
      </x:c>
      <x:c r="N29" s="14" t="str">
        <x:v>n.a.</x:v>
      </x:c>
    </x:row>
    <x:row r="30" ht="24" customHeight="1">
      <x:c r="A30" s="2" t="str">
        <x:v>Enemy stone clear</x:v>
      </x:c>
      <x:c r="B30" s="2" t="n">
        <x:v>356</x:v>
      </x:c>
      <x:c r="C30" s="12" t="n">
        <x:v>285.629213483328</x:v>
      </x:c>
      <x:c r="D30" s="12" t="n">
        <x:v>325.00000000199753</x:v>
      </x:c>
      <x:c r="E30" s="12" t="n">
        <x:v>325.00000000199753</x:v>
      </x:c>
      <x:c r="F30" s="8" t="n">
        <x:f>C30/'Summary'!$B$20*1000</x:f>
        <x:v>0.07979483802643296</x:v>
      </x:c>
      <x:c r="G30" s="8" t="n">
        <x:f>D30/'Summary'!$B$20*1000</x:f>
        <x:v>0.09079366232356278</x:v>
      </x:c>
      <x:c r="H30" s="8" t="n">
        <x:f>E30/'Summary'!$B$20*1000</x:f>
        <x:v>0.09079366232356278</x:v>
      </x:c>
      <x:c r="I30" s="13" t="str">
        <x:v>n.a.</x:v>
      </x:c>
      <x:c r="J30" s="14" t="str">
        <x:v>n.a.</x:v>
      </x:c>
      <x:c r="K30" s="13" t="str">
        <x:v>n.a.</x:v>
      </x:c>
      <x:c r="L30" s="13" t="str">
        <x:v>n.a.</x:v>
      </x:c>
      <x:c r="M30" s="14" t="str">
        <x:v>n.a.</x:v>
      </x:c>
      <x:c r="N30" s="14" t="str">
        <x:v>n.a.</x:v>
      </x:c>
    </x:row>
    <x:row r="31" ht="24" customHeight="1">
      <x:c r="A31" s="2" t="str">
        <x:v>Enemy stone immune</x:v>
      </x:c>
      <x:c r="B31" s="2" t="n">
        <x:v>12</x:v>
      </x:c>
      <x:c r="C31" s="12" t="n">
        <x:v>37.999999999816175</x:v>
      </x:c>
      <x:c r="D31" s="12" t="n">
        <x:v>38.00000000829424</x:v>
      </x:c>
      <x:c r="E31" s="12" t="n">
        <x:v>38.00000000829424</x:v>
      </x:c>
      <x:c r="F31" s="8" t="n">
        <x:f>C31/'Summary'!$B$20*1000</x:f>
        <x:v>0.0106158743638692</x:v>
      </x:c>
      <x:c r="G31" s="8" t="n">
        <x:f>D31/'Summary'!$B$20*1000</x:f>
        <x:v>0.010615874366237676</x:v>
      </x:c>
      <x:c r="H31" s="8" t="n">
        <x:f>E31/'Summary'!$B$20*1000</x:f>
        <x:v>0.010615874366237676</x:v>
      </x:c>
      <x:c r="I31" s="13" t="str">
        <x:v>n.a.</x:v>
      </x:c>
      <x:c r="J31" s="14" t="str">
        <x:v>n.a.</x:v>
      </x:c>
      <x:c r="K31" s="13" t="str">
        <x:v>n.a.</x:v>
      </x:c>
      <x:c r="L31" s="13" t="str">
        <x:v>n.a.</x:v>
      </x:c>
      <x:c r="M31" s="14" t="str">
        <x:v>n.a.</x:v>
      </x:c>
      <x:c r="N31" s="14" t="str">
        <x:v>n.a.</x:v>
      </x:c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 ht="24" customHeight="1">
      <x:c r="A34" s="2" t="str">
        <x:v>Cold/UI source: /Users/sandersouza/Developer/msx-gamePorts/newrallyx/references/experiments/full-session/session-start-hstuhizj/cold-hooks.tsv</x:v>
      </x:c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 ht="24" customHeight="1">
      <x:c r="A35" s="2" t="str">
        <x:v>Separate controlled full-session integration, native rounds2..14, UI/cold restoration; not part of the active frame statistics.</x:v>
      </x:c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 ht="24" customHeight="1">
      <x:c r="A36" s="2" t="str">
        <x:v>Flag cache invalidation: ten real contact-handler captures; normal and S-hidden caches cleared together.</x:v>
      </x:c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 ht="24" customHeight="1">
      <x:c r="A37" s="2" t="str">
        <x:v>Challenge callback includes typed glyphs, complete item blits, delay ticks and final wait; this is cold UI only.</x:v>
      </x:c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 ht="24" customHeight="1">
      <x:c r="A38" s="2" t="str">
        <x:v>AudioStop disables PSG tones/noise, zeroes all three volumes and clears queued effects before blocking work.</x:v>
      </x:c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 ht="24" customHeight="1">
      <x:c r="A39" s="2" t="str">
        <x:v>Challenge reveal: 66 units over 276 physical refreshes; original font/items at 1:1 scale.</x:v>
      </x:c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 ht="24" customHeight="1">
      <x:c r="A40" s="2" t="str">
        <x:v>Audio: original WSG challenge loop 1540 ticks; 770 cached PSG frames; 181/256 dictionary entries.</x:v>
      </x:c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 ht="24" customHeight="1">
      <x:c r="A41" s="2" t="str">
        <x:v>Collision: cached attack/hold/release, 25 sound frames on B/C. AY timbre remains for user acceptance.</x:v>
      </x:c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 ht="24" customHeight="1">
      <x:c r="A42" s="2" t="str">
        <x:v>ROM SHA256: 41de7830d5f9a52e1c4e7349b5c33fae2602f344aedf212b6e1a79dd4cbdd6dd</x:v>
      </x:c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 ht="36" customHeight="1">
      <x:c r="A45" s="7" t="str">
        <x:v>Engine range</x:v>
      </x:c>
      <x:c r="B45" s="7" t="str">
        <x:v>Baseline RMS</x:v>
      </x:c>
      <x:c r="C45" s="7" t="str">
        <x:v>Current RMS</x:v>
      </x:c>
      <x:c r="D45" s="7" t="str">
        <x:v>Amplitude ratio</x:v>
      </x:c>
      <x:c r="E45" s="7" t="str">
        <x:v>Reduction</x:v>
      </x:c>
      <x:c r="F45" s="7" t="str">
        <x:v>PCM window</x:v>
      </x:c>
      <x:c r="G45" s="2"/>
      <x:c r="H45" s="2"/>
      <x:c r="I45" s="2"/>
      <x:c r="J45" s="2"/>
      <x:c r="K45" s="2"/>
      <x:c r="L45" s="2"/>
      <x:c r="M45" s="2"/>
      <x:c r="N45" s="2"/>
    </x:row>
    <x:row r="46" ht="24" customHeight="1">
      <x:c r="A46" s="2" t="str">
        <x:v>Idle</x:v>
      </x:c>
      <x:c r="B46" s="12" t="n">
        <x:v>1859.5379802147925</x:v>
      </x:c>
      <x:c r="C46" s="12" t="n">
        <x:v>1593.569353647582</x:v>
      </x:c>
      <x:c r="D46" s="15" t="n">
        <x:f>C46/B46</x:f>
        <x:v>0.8569705865666218</x:v>
      </x:c>
      <x:c r="E46" s="15" t="n">
        <x:f>1-D46</x:f>
        <x:v>0.14302941343337816</x:v>
      </x:c>
      <x:c r="F46" s="2" t="str">
        <x:v>0.15..1.95s</x:v>
      </x:c>
      <x:c r="G46" s="2"/>
      <x:c r="H46" s="2"/>
      <x:c r="I46" s="2"/>
      <x:c r="J46" s="2"/>
      <x:c r="K46" s="2"/>
      <x:c r="L46" s="2"/>
      <x:c r="M46" s="2"/>
      <x:c r="N46" s="2"/>
    </x:row>
    <x:row r="47" ht="24" customHeight="1">
      <x:c r="A47" s="2" t="str">
        <x:v>Cruise</x:v>
      </x:c>
      <x:c r="B47" s="12" t="n">
        <x:v>1864.2795080726773</x:v>
      </x:c>
      <x:c r="C47" s="12" t="n">
        <x:v>1583.8741024187566</x:v>
      </x:c>
      <x:c r="D47" s="15" t="n">
        <x:f>C47/B47</x:f>
        <x:v>0.8495904694335195</x:v>
      </x:c>
      <x:c r="E47" s="15" t="n">
        <x:f>1-D47</x:f>
        <x:v>0.15040953056648054</x:v>
      </x:c>
      <x:c r="F47" s="2" t="str">
        <x:v>0.15..1.95s</x:v>
      </x:c>
      <x:c r="G47" s="2"/>
      <x:c r="H47" s="2"/>
      <x:c r="I47" s="2"/>
      <x:c r="J47" s="2"/>
      <x:c r="K47" s="2"/>
      <x:c r="L47" s="2"/>
      <x:c r="M47" s="2"/>
      <x:c r="N47" s="2"/>
    </x:row>
    <x:row r="48" ht="24" customHeight="1">
      <x:c r="A48" s="2" t="str">
        <x:v>Drive</x:v>
      </x:c>
      <x:c r="B48" s="12" t="n">
        <x:v>1848.802028607675</x:v>
      </x:c>
      <x:c r="C48" s="12" t="n">
        <x:v>1540.4137141910608</x:v>
      </x:c>
      <x:c r="D48" s="15" t="n">
        <x:f>C48/B48</x:f>
        <x:v>0.8331955992882265</x:v>
      </x:c>
      <x:c r="E48" s="15" t="n">
        <x:f>1-D48</x:f>
        <x:v>0.1668044007117735</x:v>
      </x:c>
      <x:c r="F48" s="2" t="str">
        <x:v>0.15..1.95s</x:v>
      </x:c>
      <x:c r="G48" s="2"/>
      <x:c r="H48" s="2"/>
      <x:c r="I48" s="2"/>
      <x:c r="J48" s="2"/>
      <x:c r="K48" s="2"/>
      <x:c r="L48" s="2"/>
      <x:c r="M48" s="2"/>
      <x:c r="N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 ht="36" customHeight="1">
      <x:c r="A50" s="7" t="str">
        <x:v>Smoke cue</x:v>
      </x:c>
      <x:c r="B50" s="7" t="str">
        <x:v>15c931 RMS</x:v>
      </x:c>
      <x:c r="C50" s="7" t="str">
        <x:v>Current RMS</x:v>
      </x:c>
      <x:c r="D50" s="7" t="str">
        <x:v>Amplitude gain</x:v>
      </x:c>
      <x:c r="E50" s="7" t="str">
        <x:v>Gain dB</x:v>
      </x:c>
      <x:c r="F50" s="7" t="str">
        <x:v>Sound frames</x:v>
      </x:c>
      <x:c r="G50" s="2"/>
      <x:c r="H50" s="2"/>
      <x:c r="I50" s="2"/>
      <x:c r="J50" s="2"/>
      <x:c r="K50" s="2"/>
      <x:c r="L50" s="2"/>
      <x:c r="M50" s="2"/>
      <x:c r="N50" s="2"/>
    </x:row>
    <x:row r="51" ht="24" customHeight="1">
      <x:c r="A51" s="2" t="str">
        <x:v>smoke1</x:v>
      </x:c>
      <x:c r="B51" s="12" t="n">
        <x:v>467.3932640588231</x:v>
      </x:c>
      <x:c r="C51" s="12" t="n">
        <x:v>2221.6631944433875</x:v>
      </x:c>
      <x:c r="D51" s="16" t="n">
        <x:f>C51/B51</x:f>
        <x:v>4.753305974396292</x:v>
      </x:c>
      <x:c r="E51" s="17" t="n">
        <x:f>20*LOG10(D51)</x:f>
        <x:v>13.53991542208252</x:v>
      </x:c>
      <x:c r="F51" s="2" t="n">
        <x:v>2</x:v>
      </x:c>
      <x:c r="G51" s="2"/>
      <x:c r="H51" s="2"/>
      <x:c r="I51" s="2"/>
      <x:c r="J51" s="2"/>
      <x:c r="K51" s="2"/>
      <x:c r="L51" s="2"/>
      <x:c r="M51" s="2"/>
      <x:c r="N51" s="2"/>
    </x:row>
    <x:row r="52" ht="24" customHeight="1">
      <x:c r="A52" s="2" t="str">
        <x:v>smoke2</x:v>
      </x:c>
      <x:c r="B52" s="12" t="n">
        <x:v>457.35800657544866</x:v>
      </x:c>
      <x:c r="C52" s="12" t="n">
        <x:v>2363.069028599581</x:v>
      </x:c>
      <x:c r="D52" s="16" t="n">
        <x:f>C52/B52</x:f>
        <x:v>5.166781809054773</x:v>
      </x:c>
      <x:c r="E52" s="17" t="n">
        <x:f>20*LOG10(D52)</x:f>
        <x:v>14.264402437321959</x:v>
      </x:c>
      <x:c r="F52" s="2" t="n">
        <x:v>2</x:v>
      </x:c>
      <x:c r="G52" s="2"/>
      <x:c r="H52" s="2"/>
      <x:c r="I52" s="2"/>
      <x:c r="J52" s="2"/>
      <x:c r="K52" s="2"/>
      <x:c r="L52" s="2"/>
      <x:c r="M52" s="2"/>
      <x:c r="N52" s="2"/>
    </x:row>
    <x:row r="53" ht="24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 ht="24" customHeight="1">
      <x:c r="A54" s="2" t="str">
        <x:v>Captured rising gated tone replaces authored noise. B/C hardware envelope for two sound frames; B then returns to music.</x:v>
      </x:c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 ht="24" customHeight="1">
      <x:c r="A55" s="2" t="str">
        <x:v>Arcade capture: 37 smoke bursts; engine H/V nominal 49.80469 Hz. PSG timbre is an approximation.</x:v>
      </x:c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 ht="24" customHeight="1">
      <x:c r="A56" s="2" t="str">
        <x:v>Smoke visual regression: 300 committed frames, all8 H/V fine phases, three native enemies. Phase metadata moved2820..2827; smoke rows remain2800..281F.</x:v>
      </x:c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 ht="24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 ht="24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 ht="36" customHeight="1">
      <x:c r="A59" s="7" t="str">
        <x:v>Challenger RND</x:v>
      </x:c>
      <x:c r="B59" s="7" t="str">
        <x:v>Arcade target px/tick</x:v>
      </x:c>
      <x:c r="C59" s="7" t="str">
        <x:v>Previous cap px/tick</x:v>
      </x:c>
      <x:c r="D59" s="7" t="str">
        <x:v>Restored / previous</x:v>
      </x:c>
      <x:c r="E59" s="7" t="str">
        <x:v>Enemy cohorts</x:v>
      </x:c>
      <x:c r="F59" s="7" t="str">
        <x:v>Scope</x:v>
      </x:c>
      <x:c r="G59" s="2"/>
      <x:c r="H59" s="2"/>
      <x:c r="I59" s="2"/>
      <x:c r="J59" s="2"/>
      <x:c r="K59" s="2"/>
      <x:c r="L59" s="2"/>
      <x:c r="M59" s="2"/>
      <x:c r="N59" s="2"/>
    </x:row>
    <x:row r="60" ht="24" customHeight="1">
      <x:c r="A60" s="2" t="n">
        <x:v>3</x:v>
      </x:c>
      <x:c r="B60" s="19" t="n">
        <x:v>2.625</x:v>
      </x:c>
      <x:c r="C60" s="19" t="n">
        <x:v>2</x:v>
      </x:c>
      <x:c r="D60" s="20" t="n">
        <x:f>B60/C60</x:f>
        <x:v>1.3125</x:v>
      </x:c>
      <x:c r="E60" s="18" t="str">
        <x:v>Parked</x:v>
      </x:c>
      <x:c r="F60" s="2" t="str">
        <x:v>Native target</x:v>
      </x:c>
      <x:c r="G60" s="2"/>
      <x:c r="H60" s="2"/>
      <x:c r="I60" s="2"/>
      <x:c r="J60" s="2"/>
      <x:c r="K60" s="2"/>
      <x:c r="L60" s="2"/>
      <x:c r="M60" s="2"/>
      <x:c r="N60" s="2"/>
    </x:row>
    <x:row r="61" ht="24" customHeight="1">
      <x:c r="A61" s="2" t="n">
        <x:v>7</x:v>
      </x:c>
      <x:c r="B61" s="19" t="n">
        <x:v>2.6875</x:v>
      </x:c>
      <x:c r="C61" s="19" t="n">
        <x:v>2</x:v>
      </x:c>
      <x:c r="D61" s="20" t="n">
        <x:f>B61/C61</x:f>
        <x:v>1.34375</x:v>
      </x:c>
      <x:c r="E61" s="18" t="str">
        <x:v>Parked</x:v>
      </x:c>
      <x:c r="F61" s="2" t="str">
        <x:v>Native target</x:v>
      </x:c>
      <x:c r="G61" s="2"/>
      <x:c r="H61" s="2"/>
      <x:c r="I61" s="2"/>
      <x:c r="J61" s="2"/>
      <x:c r="K61" s="2"/>
      <x:c r="L61" s="2"/>
      <x:c r="M61" s="2"/>
      <x:c r="N61" s="2"/>
    </x:row>
    <x:row r="62" ht="24" customHeight="1">
      <x:c r="A62" s="2" t="n">
        <x:v>11</x:v>
      </x:c>
      <x:c r="B62" s="19" t="n">
        <x:v>2.75</x:v>
      </x:c>
      <x:c r="C62" s="19" t="n">
        <x:v>2</x:v>
      </x:c>
      <x:c r="D62" s="20" t="n">
        <x:f>B62/C62</x:f>
        <x:v>1.375</x:v>
      </x:c>
      <x:c r="E62" s="18" t="str">
        <x:v>Parked</x:v>
      </x:c>
      <x:c r="F62" s="2" t="str">
        <x:v>Native target</x:v>
      </x:c>
      <x:c r="G62" s="2"/>
      <x:c r="H62" s="2"/>
      <x:c r="I62" s="2"/>
      <x:c r="J62" s="2"/>
      <x:c r="K62" s="2"/>
      <x:c r="L62" s="2"/>
      <x:c r="M62" s="2"/>
      <x:c r="N62" s="2"/>
    </x:row>
    <x:row r="63" ht="24" customHeight="1">
      <x:c r="A63" s="2" t="n">
        <x:v>15</x:v>
      </x:c>
      <x:c r="B63" s="19" t="n">
        <x:v>2.75</x:v>
      </x:c>
      <x:c r="C63" s="19" t="n">
        <x:v>2</x:v>
      </x:c>
      <x:c r="D63" s="20" t="n">
        <x:f>B63/C63</x:f>
        <x:v>1.375</x:v>
      </x:c>
      <x:c r="E63" s="18" t="str">
        <x:v>Parked</x:v>
      </x:c>
      <x:c r="F63" s="2" t="str">
        <x:v>Native target</x:v>
      </x:c>
      <x:c r="G63" s="2"/>
      <x:c r="H63" s="2"/>
      <x:c r="I63" s="2"/>
      <x:c r="J63" s="2"/>
      <x:c r="K63" s="2"/>
      <x:c r="L63" s="2"/>
      <x:c r="M63" s="2"/>
      <x:c r="N63" s="2"/>
    </x:row>
    <x:row r="64" ht="24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</x:row>
    <x:row r="65" ht="24" customHeight="1">
      <x:c r="A65" s="2" t="str">
        <x:v>Original first credit/start, then seeded native round initializers; no ROM/speed-table edits.64 limiter cases include both signs and fuel-exhaustion activation.</x:v>
      </x:c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</x:row>
    <x:row r="66" ht="24" customHeight="1">
      <x:c r="A66" s="2" t="str">
        <x:v>Real integrated RND3 snapshot: 2.625 px/tick; original target 2.625. Other phases retain their existing cap.</x:v>
      </x:c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</x:row>
    <x:row r="67" ht="24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</x:row>
    <x:row r="68" ht="24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</x:row>
    <x:row r="69" ht="24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</x:row>
    <x:row r="70" ht="24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</x:row>
    <x:row r="71" ht="24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</x:row>
    <x:row r="72" ht="24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</x:row>
    <x:row r="73" ht="24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</x:row>
    <x:row r="74" ht="24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</x:row>
    <x:row r="75" ht="24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</x:row>
    <x:row r="76" ht="24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</x:row>
    <x:row r="77" ht="24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</x:row>
    <x:row r="78" ht="24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</x:row>
    <x:row r="79" ht="24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</x:row>
    <x:row r="80" ht="24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</x:row>
    <x:row r="81" ht="24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</x:row>
    <x:row r="82" ht="24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25" hidden="0" customWidth="1"/>
    <x:col min="3" max="3" width="14" hidden="0" customWidth="1"/>
    <x:col min="4" max="4" width="79" hidden="0" customWidth="1"/>
    <x:col min="5" max="5" width="22" hidden="0" customWidth="1"/>
    <x:col min="6" max="6" width="20" hidden="0" customWidth="1"/>
  </x:cols>
  <x:sheetData>
    <x:row r="1" ht="24" customHeight="1">
      <x:c r="A1" s="2"/>
      <x:c r="B1" s="2"/>
      <x:c r="C1" s="2"/>
      <x:c r="D1" s="2"/>
      <x:c r="E1" s="2"/>
      <x:c r="F1" s="2"/>
    </x:row>
    <x:row r="2" ht="24" customHeight="1">
      <x:c r="A2" s="3" t="str">
        <x:v>HUD variants, startup and optional test controls</x:v>
      </x:c>
      <x:c r="B2" s="2"/>
      <x:c r="C2" s="2"/>
      <x:c r="D2" s="2"/>
      <x:c r="E2" s="2"/>
      <x:c r="F2" s="2"/>
    </x:row>
    <x:row r="3" ht="24" customHeight="1">
      <x:c r="A3" s="2" t="str">
        <x:v>Active FPS belongs only to the measured compact, TEST_MODE=0 ROM. Variant checks have separate hashes.</x:v>
      </x:c>
      <x:c r="B3" s="2"/>
      <x:c r="C3" s="2"/>
      <x:c r="D3" s="2"/>
      <x:c r="E3" s="2"/>
      <x:c r="F3" s="2"/>
    </x:row>
    <x:row r="4" ht="24" customHeight="1">
      <x:c r="A4" s="2"/>
      <x:c r="B4" s="2"/>
      <x:c r="C4" s="2"/>
      <x:c r="D4" s="2"/>
      <x:c r="E4" s="2"/>
      <x:c r="F4" s="2"/>
    </x:row>
    <x:row r="5" ht="36" customHeight="1">
      <x:c r="A5" s="7" t="str">
        <x:v>Item</x:v>
      </x:c>
      <x:c r="B5" s="7" t="str">
        <x:v>Value</x:v>
      </x:c>
      <x:c r="C5" s="7" t="str">
        <x:v>Unit</x:v>
      </x:c>
      <x:c r="D5" s="7" t="str">
        <x:v>Contract / evidence</x:v>
      </x:c>
      <x:c r="E5" s="2"/>
      <x:c r="F5" s="2"/>
    </x:row>
    <x:row r="6" ht="24" customHeight="1">
      <x:c r="A6" s="2" t="str">
        <x:v>Selected include</x:v>
      </x:c>
      <x:c r="B6" s="2" t="str">
        <x:v>hud/compact.inc</x:v>
      </x:c>
      <x:c r="C6" s="2" t="str">
        <x:v>build-time</x:v>
      </x:c>
      <x:c r="D6" s="2" t="str">
        <x:v>No runtime variant dispatch or input staging copies.</x:v>
      </x:c>
      <x:c r="E6" s="2"/>
      <x:c r="F6" s="2"/>
    </x:row>
    <x:row r="7" ht="24" customHeight="1">
      <x:c r="A7" s="2" t="str">
        <x:v>Full fuel bar</x:v>
      </x:c>
      <x:c r="B7" s="2" t="n">
        <x:v>48</x:v>
      </x:c>
      <x:c r="C7" s="2" t="str">
        <x:v>px</x:v>
      </x:c>
      <x:c r="D7" s="2" t="str">
        <x:v>Remaining fuel is anchored right; depletion advances from left to right.</x:v>
      </x:c>
      <x:c r="E7" s="2"/>
      <x:c r="F7" s="2"/>
    </x:row>
    <x:row r="8" ht="24" customHeight="1">
      <x:c r="A8" s="2" t="str">
        <x:v>Red endpoints</x:v>
      </x:c>
      <x:c r="B8" s="2" t="str">
        <x:v>2 x 2</x:v>
      </x:c>
      <x:c r="C8" s="2" t="str">
        <x:v>px</x:v>
      </x:c>
      <x:c r="D8" s="2" t="str">
        <x:v>Columns0..1 and46..47 align exactly with the full bar.</x:v>
      </x:c>
      <x:c r="E8" s="2"/>
      <x:c r="F8" s="2"/>
    </x:row>
    <x:row r="9" ht="24" customHeight="1">
      <x:c r="A9" s="2" t="str">
        <x:v>Red center</x:v>
      </x:c>
      <x:c r="B9" s="2" t="str">
        <x:v>2 x 3</x:v>
      </x:c>
      <x:c r="C9" s="2" t="str">
        <x:v>px</x:v>
      </x:c>
      <x:c r="D9" s="2" t="str">
        <x:v>Columns23..24, rows56..58. Symmetry axis x=23.5.</x:v>
      </x:c>
      <x:c r="E9" s="2"/>
      <x:c r="F9" s="2"/>
    </x:row>
    <x:row r="10" ht="24" customHeight="1">
      <x:c r="A10" s="2" t="str">
        <x:v>Yellow markers</x:v>
      </x:c>
      <x:c r="B10" s="2" t="str">
        <x:v>6 x 1 x 1</x:v>
      </x:c>
      <x:c r="C10" s="2" t="str">
        <x:v>px</x:v>
      </x:c>
      <x:c r="D10" s="2" t="str">
        <x:v>Columns6,12,18,29,35,41, row58; existing three fuel sprites.</x:v>
      </x:c>
      <x:c r="E10" s="2"/>
      <x:c r="F10" s="2"/>
    </x:row>
    <x:row r="11" ht="24" customHeight="1">
      <x:c r="A11" s="2" t="str">
        <x:v>ROUND font</x:v>
      </x:c>
      <x:c r="B11" s="2" t="str">
        <x:v>4 x 5</x:v>
      </x:c>
      <x:c r="C11" s="2" t="str">
        <x:v>px</x:v>
      </x:c>
      <x:c r="D11" s="2" t="str">
        <x:v>White label and number; display cap99. Classic include restores previous RND/gauge.</x:v>
      </x:c>
      <x:c r="E11" s="2"/>
      <x:c r="F11" s="2"/>
    </x:row>
    <x:row r="12" ht="24" customHeight="1">
      <x:c r="A12" s="2" t="str">
        <x:v>Score display</x:v>
      </x:c>
      <x:c r="B12" s="2" t="n">
        <x:v>999999</x:v>
      </x:c>
      <x:c r="C12" s="2" t="str">
        <x:v>cap</x:v>
      </x:c>
      <x:c r="D12" s="2" t="str">
        <x:v>Hide leading zeroes; keep one zero. Native counters/rules stay unchanged.</x:v>
      </x:c>
      <x:c r="E12" s="2"/>
      <x:c r="F12" s="2"/>
    </x:row>
    <x:row r="13" ht="24" customHeight="1">
      <x:c r="A13" s="2" t="str">
        <x:v>HUD Prepare mean</x:v>
      </x:c>
      <x:c r="B13" s="12" t="n">
        <x:v>1962.3781512608173</x:v>
      </x:c>
      <x:c r="C13" s="2" t="str">
        <x:v>cycles/frame</x:v>
      </x:c>
      <x:c r="D13" s="2" t="str">
        <x:v>Foreground inclusive parent cost includes any styling worker.</x:v>
      </x:c>
      <x:c r="E13" s="2"/>
      <x:c r="F13" s="2"/>
    </x:row>
    <x:row r="14" ht="24" customHeight="1">
      <x:c r="A14" s="2" t="str">
        <x:v>HUD Commit mean</x:v>
      </x:c>
      <x:c r="B14" s="12" t="n">
        <x:v>1477.7352941172087</x:v>
      </x:c>
      <x:c r="C14" s="2" t="str">
        <x:v>cycles/frame</x:v>
      </x:c>
      <x:c r="D14" s="2" t="str">
        <x:v>Part of synchronized commit. Do not add to commit inclusive cost.</x:v>
      </x:c>
      <x:c r="E14" s="2"/>
      <x:c r="F14" s="2"/>
    </x:row>
    <x:row r="15" ht="24" customHeight="1">
      <x:c r="A15" s="2" t="str">
        <x:v>Boot selected states</x:v>
      </x:c>
      <x:c r="B15" s="2" t="n">
        <x:v>71</x:v>
      </x:c>
      <x:c r="C15" s="2" t="str">
        <x:v>states</x:v>
      </x:c>
      <x:c r="D15" s="2" t="str">
        <x:v>Lossless hidden-page deltas; bandwidth-limited temporal selection,1:1 crop/RGB333 mapping.</x:v>
      </x:c>
      <x:c r="E15" s="2"/>
      <x:c r="F15" s="2"/>
    </x:row>
    <x:row r="16" ht="24" customHeight="1">
      <x:c r="A16" s="2" t="str">
        <x:v>Boot measured duration</x:v>
      </x:c>
      <x:c r="B16" s="8" t="n">
        <x:v>12.515827570263818</x:v>
      </x:c>
      <x:c r="C16" s="2" t="str">
        <x:v>s</x:v>
      </x:c>
      <x:c r="D16" s="2" t="str">
        <x:v>One startup-only interval, including decode, upload, IRQs and waits.</x:v>
      </x:c>
      <x:c r="E16" s="2"/>
      <x:c r="F16" s="2"/>
    </x:row>
    <x:row r="17" ht="24" customHeight="1">
      <x:c r="A17" s="2" t="str">
        <x:v>Boot target duration</x:v>
      </x:c>
      <x:c r="B17" s="8" t="n">
        <x:v>12.532804029562417</x:v>
      </x:c>
      <x:c r="C17" s="2" t="str">
        <x:v>s</x:v>
      </x:c>
      <x:c r="D17" s="2" t="str">
        <x:v>Original arcade timing; exact native matrix endpoint, quantized to MSX refreshes.</x:v>
      </x:c>
      <x:c r="E17" s="2"/>
      <x:c r="F17" s="2"/>
    </x:row>
    <x:row r="18" ht="24" customHeight="1">
      <x:c r="A18" s="2" t="str">
        <x:v>Boot elapsed incl cycles</x:v>
      </x:c>
      <x:c r="B18" s="10" t="n">
        <x:f>B16*'Summary'!$B$20</x:f>
        <x:v>44800968</x:v>
      </x:c>
      <x:c r="C18" s="2" t="str">
        <x:v>cycles/call</x:v>
      </x:c>
      <x:c r="D18" s="2" t="str">
        <x:v>Not CPU-only. Self and waits are not separated; never add to active-frame work.</x:v>
      </x:c>
      <x:c r="E18" s="2"/>
      <x:c r="F18" s="2"/>
    </x:row>
    <x:row r="19" ht="24" customHeight="1">
      <x:c r="A19" s="2" t="str">
        <x:v>Boot table / cleanup</x:v>
      </x:c>
      <x:c r="B19" s="2" t="str">
        <x:v>D300 / D300..F2FF</x:v>
      </x:c>
      <x:c r="C19" s="2" t="str">
        <x:v>RAM</x:v>
      </x:c>
      <x:c r="D19" s="2" t="str">
        <x:v>Any key skips; held key consumed until release. UI-only IRQ, no active-game call.</x:v>
      </x:c>
      <x:c r="E19" s="2"/>
      <x:c r="F19" s="2"/>
    </x:row>
    <x:row r="20" ht="24" customHeight="1">
      <x:c r="A20" s="2" t="str">
        <x:v>Controls normal build</x:v>
      </x:c>
      <x:c r="B20" s="2" t="n">
        <x:v>0</x:v>
      </x:c>
      <x:c r="C20" s="2" t="str">
        <x:v>TEST_MODE</x:v>
      </x:c>
      <x:c r="D20" s="2" t="str">
        <x:v>Return/equals do not activate new controls.</x:v>
      </x:c>
      <x:c r="E20" s="2"/>
      <x:c r="F20" s="2"/>
    </x:row>
    <x:row r="21" ht="24" customHeight="1">
      <x:c r="A21" s="2" t="str">
        <x:v>Controls test build</x:v>
      </x:c>
      <x:c r="B21" s="2" t="n">
        <x:v>1</x:v>
      </x:c>
      <x:c r="C21" s="2" t="str">
        <x:v>TEST_MODE</x:v>
      </x:c>
      <x:c r="D21" s="2" t="str">
        <x:v>Return edges advance; equals toggles car/rock invulnerability. Walls remain solid.</x:v>
      </x:c>
      <x:c r="E21" s="2"/>
      <x:c r="F21" s="2"/>
    </x:row>
    <x:row r="22" ht="24" customHeight="1">
      <x:c r="A22" s="2" t="str">
        <x:v>Broader module extraction</x:v>
      </x:c>
      <x:c r="B22" s="2" t="n">
        <x:v>32</x:v>
      </x:c>
      <x:c r="C22" s="2" t="str">
        <x:v>issue</x:v>
      </x:c>
      <x:c r="D22" s="2" t="str">
        <x:v>Backlog only; zero additional cycles/latency/memory/transfer/stack use required.</x:v>
      </x:c>
      <x:c r="E22" s="2"/>
      <x:c r="F22" s="2"/>
    </x:row>
    <x:row r="23" ht="24" customHeight="1">
      <x:c r="A23" s="2"/>
      <x:c r="B23" s="2"/>
      <x:c r="C23" s="2"/>
      <x:c r="D23" s="2"/>
      <x:c r="E23" s="2"/>
      <x:c r="F23" s="2"/>
    </x:row>
    <x:row r="24" ht="24" customHeight="1">
      <x:c r="A24" s="2"/>
      <x:c r="B24" s="2"/>
      <x:c r="C24" s="2"/>
      <x:c r="D24" s="2"/>
      <x:c r="E24" s="2"/>
      <x:c r="F24" s="2"/>
    </x:row>
    <x:row r="25" ht="36" customHeight="1">
      <x:c r="A25" s="7" t="str">
        <x:v>Variant check</x:v>
      </x:c>
      <x:c r="B25" s="7" t="str">
        <x:v>Passed</x:v>
      </x:c>
      <x:c r="C25" s="7" t="str">
        <x:v>Scenario</x:v>
      </x:c>
      <x:c r="D25" s="7" t="str">
        <x:v>ROM SHA256</x:v>
      </x:c>
      <x:c r="E25" s="7" t="str">
        <x:v>Mode</x:v>
      </x:c>
      <x:c r="F25" s="7" t="str">
        <x:v>Evidence</x:v>
      </x:c>
    </x:row>
    <x:row r="26" ht="24" customHeight="1">
      <x:c r="A26" s="2" t="str">
        <x:v>compact normal</x:v>
      </x:c>
      <x:c r="B26" s="21" t="b">
        <x:v>1</x:v>
      </x:c>
      <x:c r="C26" s="2" t="str">
        <x:v>controls</x:v>
      </x:c>
      <x:c r="D26" s="2" t="str">
        <x:v>41de7830d5f9a52e1c4e7349b5c33fae2602f344aedf212b6e1a79dd4cbdd6dd</x:v>
      </x:c>
      <x:c r="E26" s="2" t="n">
        <x:v>0</x:v>
      </x:c>
      <x:c r="F26" s="2" t="str">
        <x:v>/Users/sandersouza/Developer/msx-gamePorts/newrallyx/references/experiments/full-session/session-start-s9r7rw76</x:v>
      </x:c>
    </x:row>
    <x:row r="27" ht="24" customHeight="1">
      <x:c r="A27" s="2" t="str">
        <x:v>compact test</x:v>
      </x:c>
      <x:c r="B27" s="21" t="b">
        <x:v>1</x:v>
      </x:c>
      <x:c r="C27" s="2" t="str">
        <x:v>controls</x:v>
      </x:c>
      <x:c r="D27" s="2" t="str">
        <x:v>c3e74a1d452e5beed05f7b8e98b41f71caf236d40de1b6b54c1c23eedf2115d1</x:v>
      </x:c>
      <x:c r="E27" s="2" t="n">
        <x:v>1</x:v>
      </x:c>
      <x:c r="F27" s="2" t="str">
        <x:v>/Users/sandersouza/Developer/msx-gamePorts/newrallyx/references/experiments/full-session-test/session-start-oygwc7kx</x:v>
      </x:c>
    </x:row>
    <x:row r="28" ht="24" customHeight="1">
      <x:c r="A28" s="2" t="str">
        <x:v>classic</x:v>
      </x:c>
      <x:c r="B28" s="21" t="b">
        <x:v>1</x:v>
      </x:c>
      <x:c r="C28" s="2" t="str">
        <x:v>start</x:v>
      </x:c>
      <x:c r="D28" s="2" t="str">
        <x:v>9e9bc6f66477d0a8bbfcbd77c1ee556e8e5293c1f2fe69527d912539063a4993</x:v>
      </x:c>
      <x:c r="E28" s="2" t="n">
        <x:v>0</x:v>
      </x:c>
      <x:c r="F28" s="2" t="str">
        <x:v>/Users/sandersouza/Developer/msx-gamePorts/newrallyx/references/experiments/full-session-hud-classic/session-start-ozshxzud</x:v>
      </x:c>
    </x:row>
    <x:row r="29" ht="24" customHeight="1">
      <x:c r="A29" s="2"/>
      <x:c r="B29" s="2"/>
      <x:c r="C29" s="2"/>
      <x:c r="D29" s="2"/>
      <x:c r="E29" s="2"/>
      <x:c r="F29" s="2"/>
    </x:row>
    <x:row r="30" ht="24" customHeight="1">
      <x:c r="A30" s="2"/>
      <x:c r="B30" s="2"/>
      <x:c r="C30" s="2"/>
      <x:c r="D30" s="2"/>
      <x:c r="E30" s="2"/>
      <x:c r="F30" s="2"/>
    </x:row>
    <x:row r="31" ht="36" customHeight="1">
      <x:c r="A31" s="7" t="str">
        <x:v>Explosion</x:v>
      </x:c>
      <x:c r="B31" s="7" t="str">
        <x:v>70d633 low band</x:v>
      </x:c>
      <x:c r="C31" s="7" t="str">
        <x:v>Current low band</x:v>
      </x:c>
      <x:c r="D31" s="7" t="str">
        <x:v>Power ratio</x:v>
      </x:c>
      <x:c r="E31" s="7" t="str">
        <x:v>Gain dB</x:v>
      </x:c>
      <x:c r="F31" s="7" t="str">
        <x:v>Band / method</x:v>
      </x:c>
    </x:row>
    <x:row r="32" ht="24" customHeight="1">
      <x:c r="A32" s="2" t="str">
        <x:v>crash1</x:v>
      </x:c>
      <x:c r="B32" s="10" t="n">
        <x:v>290915981639022.44</x:v>
      </x:c>
      <x:c r="C32" s="10" t="n">
        <x:v>752757667682092.9</x:v>
      </x:c>
      <x:c r="D32" s="22" t="n">
        <x:f>C32/B32</x:f>
        <x:v>2.5875431918214034</x:v>
      </x:c>
      <x:c r="E32" s="22" t="n">
        <x:f>10*LOG10(D32)</x:f>
        <x:v>4.12887607861357</x:v>
      </x:c>
      <x:c r="F32" s="2" t="str">
        <x:v>30..200Hz; Hann/Goertzel</x:v>
      </x:c>
    </x:row>
    <x:row r="33" ht="24" customHeight="1">
      <x:c r="A33" s="2" t="str">
        <x:v>crash2</x:v>
      </x:c>
      <x:c r="B33" s="10" t="n">
        <x:v>325790397680385.7</x:v>
      </x:c>
      <x:c r="C33" s="10" t="n">
        <x:v>778802414736500.4</x:v>
      </x:c>
      <x:c r="D33" s="22" t="n">
        <x:f>C33/B33</x:f>
        <x:v>2.3905014398261635</x:v>
      </x:c>
      <x:c r="E33" s="22" t="n">
        <x:f>10*LOG10(D33)</x:f>
        <x:v>3.78489009612385</x:v>
      </x:c>
      <x:c r="F33" s="2" t="str">
        <x:v>30..200Hz; Hann/Goertzel</x:v>
      </x:c>
    </x:row>
    <x:row r="34" ht="24" customHeight="1">
      <x:c r="A34" s="2"/>
      <x:c r="B34" s="2"/>
      <x:c r="C34" s="2"/>
      <x:c r="D34" s="2"/>
      <x:c r="E34" s="2"/>
      <x:c r="F34" s="2"/>
    </x:row>
    <x:row r="35" ht="24" customHeight="1">
      <x:c r="A35" s="2"/>
      <x:c r="B35" s="2"/>
      <x:c r="C35" s="2"/>
      <x:c r="D35" s="2"/>
      <x:c r="E35" s="2"/>
      <x:c r="F35" s="2"/>
    </x:row>
    <x:row r="36" ht="24" customHeight="1">
      <x:c r="A36" s="2" t="str">
        <x:v>Bass100..32Hz borrows B during the cached crash; C retains noise. No PCM/sample-rate ISR. Human timbre acceptance remains pending.</x:v>
      </x:c>
      <x:c r="B36" s="2"/>
      <x:c r="C36" s="2"/>
      <x:c r="D36" s="2"/>
      <x:c r="E36" s="2"/>
      <x:c r="F36" s="2"/>
    </x:row>
    <x:row r="37" ht="24" customHeight="1">
      <x:c r="A37" s="2"/>
      <x:c r="B37" s="2"/>
      <x:c r="C37" s="2"/>
      <x:c r="D37" s="2"/>
      <x:c r="E37" s="2"/>
      <x:c r="F37" s="2"/>
    </x:row>
    <x:row r="38" ht="24" customHeight="1">
      <x:c r="A38" s="2" t="str">
        <x:v>Boot evidence: /Users/sandersouza/Developer/msx-gamePorts/newrallyx/references/experiments/full-session/boot-proof-dk6sq22h</x:v>
      </x:c>
      <x:c r="B38" s="2"/>
      <x:c r="C38" s="2"/>
      <x:c r="D38" s="2"/>
      <x:c r="E38" s="2"/>
      <x:c r="F38" s="2"/>
    </x:row>
    <x:row r="39" ht="24" customHeight="1">
      <x:c r="A39" s="2"/>
      <x:c r="B39" s="2"/>
      <x:c r="C39" s="2"/>
      <x:c r="D39" s="2"/>
      <x:c r="E39" s="2"/>
      <x:c r="F39" s="2"/>
    </x:row>
    <x:row r="40" ht="36" customHeight="1">
      <x:c r="A40" s="7" t="str">
        <x:v>Title / gameplay</x:v>
      </x:c>
      <x:c r="B40" s="7" t="str">
        <x:v>Setting</x:v>
      </x:c>
      <x:c r="C40" s="7" t="str">
        <x:v>Unit</x:v>
      </x:c>
      <x:c r="D40" s="7" t="str">
        <x:v>Scope / verification</x:v>
      </x:c>
      <x:c r="E40" s="2"/>
      <x:c r="F40" s="2"/>
    </x:row>
    <x:row r="41" ht="42" customHeight="1">
      <x:c r="A41" s="2" t="str">
        <x:v>Cast vertical shift</x:v>
      </x:c>
      <x:c r="B41" s="2" t="n">
        <x:v>-8</x:v>
      </x:c>
      <x:c r="C41" s="2" t="str">
        <x:v>px</x:v>
      </x:c>
      <x:c r="D41" s="23" t="str">
        <x:v>All96 original reveal bitmaps and delays retained; static header checked against pinned source.</x:v>
      </x:c>
      <x:c r="E41" s="2"/>
      <x:c r="F41" s="2"/>
    </x:row>
    <x:row r="42" ht="42" customHeight="1">
      <x:c r="A42" s="2" t="str">
        <x:v>Keyboard blink</x:v>
      </x:c>
      <x:c r="B42" s="2" t="n">
        <x:v>32</x:v>
      </x:c>
      <x:c r="C42" s="2" t="str">
        <x:v>refreshes/half</x:v>
      </x:c>
      <x:c r="D42" s="23" t="str">
        <x:v>Only5 and1/2 blink; brackets and all other pixels stay fixed; no reversed text.</x:v>
      </x:c>
      <x:c r="E42" s="2"/>
      <x:c r="F42" s="2"/>
    </x:row>
    <x:row r="43" ht="42" customHeight="1">
      <x:c r="A43" s="2" t="str">
        <x:v>Brand reference position</x:v>
      </x:c>
      <x:c r="B43" s="2" t="n">
        <x:v>198</x:v>
      </x:c>
      <x:c r="C43" s="2" t="str">
        <x:v>y px</x:v>
      </x:c>
      <x:c r="D43" s="23" t="str">
        <x:v>Supplied artwork on the full screen grid: 162x10 at47,198; single scale for the complete supplied crop; no generated glyphs.</x:v>
      </x:c>
      <x:c r="E43" s="2"/>
      <x:c r="F43" s="2"/>
    </x:row>
    <x:row r="44" ht="42" customHeight="1">
      <x:c r="A44" s="2" t="str">
        <x:v>MSX logo</x:v>
      </x:c>
      <x:c r="B44" s="2" t="str">
        <x:v>54 x 20 at194,8</x:v>
      </x:c>
      <x:c r="C44" s="2" t="str">
        <x:v>px</x:v>
      </x:c>
      <x:c r="D44" s="23" t="str">
        <x:v>Uniform3:1 sample of black label; exact8px top/right margins.</x:v>
      </x:c>
      <x:c r="E44" s="2"/>
      <x:c r="F44" s="2"/>
    </x:row>
    <x:row r="45" ht="42" customHeight="1">
      <x:c r="A45" s="2" t="str">
        <x:v>Prior optional include</x:v>
      </x:c>
      <x:c r="B45" s="21" t="b">
        <x:v>1</x:v>
      </x:c>
      <x:c r="C45" s="2" t="str">
        <x:v>prior ROM pass</x:v>
      </x:c>
      <x:c r="D45" s="23" t="str">
        <x:v>session-ui-options.inc selects session-msx-logo.inc; removing it omits routine, bitmap and call.</x:v>
      </x:c>
      <x:c r="E45" s="2"/>
      <x:c r="F45" s="2"/>
    </x:row>
    <x:row r="46" ht="42" customHeight="1">
      <x:c r="A46" s="2" t="str">
        <x:v>World S</x:v>
      </x:c>
      <x:c r="B46" s="2" t="str">
        <x:v>Red and fixed</x:v>
      </x:c>
      <x:c r="C46" s="2" t="str">
        <x:v>behavior</x:v>
      </x:c>
      <x:c r="D46" s="23" t="str">
        <x:v>Only radar S blinks; stationary L-before-S regression fails old ROM at radar-144 and passes current ROM.</x:v>
      </x:c>
      <x:c r="E46" s="2"/>
      <x:c r="F46" s="2"/>
    </x:row>
    <x:row r="47" ht="42" customHeight="1">
      <x:c r="A47" s="2" t="str">
        <x:v>Enemy stone comparison</x:v>
      </x:c>
      <x:c r="B47" s="2" t="n">
        <x:v>404</x:v>
      </x:c>
      <x:c r="C47" s="2" t="str">
        <x:v>cases</x:v>
      </x:c>
      <x:c r="D47" s="23" t="str">
        <x:v>All32 descriptor bytes match original181B/1885 execution; controlled RAM fixtures, no ROM patches.</x:v>
      </x:c>
      <x:c r="E47" s="2"/>
      <x:c r="F47" s="2"/>
    </x:row>
    <x:row r="48" ht="42" customHeight="1">
      <x:c r="A48" s="2" t="str">
        <x:v>Navigation tag check</x:v>
      </x:c>
      <x:c r="B48" s="2" t="n">
        <x:v>64</x:v>
      </x:c>
      <x:c r="C48" s="2" t="str">
        <x:v>pairs</x:v>
      </x:c>
      <x:c r="D48" s="23" t="str">
        <x:v>Spare bit4 tags stones without new RAM; low4 exit bits produce identical decisions for all16 masks/4 headings.</x:v>
      </x:c>
      <x:c r="E48" s="2"/>
      <x:c r="F48" s="2"/>
    </x:row>
    <x:row r="49" ht="24" customHeight="1">
      <x:c r="A49" s="2"/>
      <x:c r="B49" s="2"/>
      <x:c r="C49" s="2"/>
      <x:c r="D49" s="2"/>
      <x:c r="E49" s="2"/>
      <x:c r="F49" s="2"/>
    </x:row>
    <x:row r="50" ht="24" customHeight="1">
      <x:c r="A50" s="2" t="str">
        <x:v>[5] insert coin - [1/2] start player(s)</x:v>
      </x:c>
      <x:c r="B50" s="2"/>
      <x:c r="C50" s="2"/>
      <x:c r="D50" s="2"/>
      <x:c r="E50" s="2"/>
      <x:c r="F50" s="2"/>
    </x:row>
    <x:row r="51" ht="24" customHeight="1">
      <x:c r="A51" s="2"/>
      <x:c r="B51" s="2"/>
      <x:c r="C51" s="2"/>
      <x:c r="D51" s="2"/>
      <x:c r="E51" s="2"/>
      <x:c r="F51" s="2"/>
    </x:row>
    <x:row r="52" ht="24" customHeight="1">
      <x:c r="A52" s="2" t="str">
        <x:v>Logo draw and footer blink are cast-only; detailed inclusive costs are in Events. They never run from active gameplay or the IRQ.</x:v>
      </x:c>
      <x:c r="B52" s="2"/>
      <x:c r="C52" s="2"/>
      <x:c r="D52" s="2"/>
      <x:c r="E52" s="2"/>
      <x:c r="F52" s="2"/>
    </x:row>
    <x:row r="53" ht="24" customHeight="1">
      <x:c r="A53" s="2"/>
      <x:c r="B53" s="2"/>
      <x:c r="C53" s="2"/>
      <x:c r="D53" s="2"/>
      <x:c r="E53" s="2"/>
      <x:c r="F53" s="2"/>
    </x:row>
    <x:row r="54" ht="24" customHeight="1">
      <x:c r="A54" s="2" t="str">
        <x:v>Active profile includes stone checks; its maximum probe cost is 285 cycles, so this short route contains no full recoil.</x:v>
      </x:c>
      <x:c r="B54" s="2"/>
      <x:c r="C54" s="2"/>
      <x:c r="D54" s="2"/>
      <x:c r="E54" s="2"/>
      <x:c r="F54" s="2"/>
    </x:row>
    <x:row r="55" ht="24" customHeight="1">
      <x:c r="A55" s="2"/>
      <x:c r="B55" s="2"/>
      <x:c r="C55" s="2"/>
      <x:c r="D55" s="2"/>
      <x:c r="E55" s="2"/>
      <x:c r="F55" s="2"/>
    </x:row>
    <x:row r="56" ht="24" customHeight="1">
      <x:c r="A56" s="2" t="str">
        <x:v>Controlled recoil peak: 5700 cycles. It is separate from active FPS; no event pause is inserted.</x:v>
      </x:c>
      <x:c r="B56" s="2"/>
      <x:c r="C56" s="2"/>
      <x:c r="D56" s="2"/>
      <x:c r="E56" s="2"/>
      <x:c r="F56" s="2"/>
    </x:row>
    <x:row r="57" ht="24" customHeight="1">
      <x:c r="A57" s="2"/>
      <x:c r="B57" s="2"/>
      <x:c r="C57" s="2"/>
      <x:c r="D57" s="2"/>
      <x:c r="E57" s="2"/>
      <x:c r="F57" s="2"/>
    </x:row>
    <x:row r="58" ht="42" customHeight="1">
      <x:c r="A58" s="2" t="str">
        <x:v>Boot skip latency</x:v>
      </x:c>
      <x:c r="B58" s="8" t="n">
        <x:v>13.690566817857075</x:v>
      </x:c>
      <x:c r="C58" s="2" t="str">
        <x:v>ms max</x:v>
      </x:c>
      <x:c r="D58" s="23" t="str">
        <x:v>14 real key-matrix cases; all11 rows, held-key consumption and initial/mid/matrix skips.</x:v>
      </x:c>
      <x:c r="E58" s="2"/>
      <x:c r="F58" s="2"/>
    </x:row>
    <x:row r="59" ht="42" customHeight="1">
      <x:c r="A59" s="2" t="str">
        <x:v>Boot state timing</x:v>
      </x:c>
      <x:c r="B59" s="8" t="n">
        <x:v>0.0011174604604424765</x:v>
      </x:c>
      <x:c r="C59" s="2" t="str">
        <x:v>ms max</x:v>
      </x:c>
      <x:c r="D59" s="23" t="str">
        <x:v>After initial clearing; absolute publication error within one physical refresh.</x:v>
      </x:c>
      <x:c r="E59" s="2"/>
      <x:c r="F59" s="2"/>
    </x:row>
    <x:row r="60" ht="42" customHeight="1">
      <x:c r="A60" s="2" t="str">
        <x:v>Long steering route</x:v>
      </x:c>
      <x:c r="B60" s="21" t="b">
        <x:v>1</x:v>
      </x:c>
      <x:c r="C60" s="2" t="str">
        <x:v>16000 refreshes</x:v>
      </x:c>
      <x:c r="D60" s="23" t="str">
        <x:v>Current route: 3465 later poses. Primary-only fallback passes the original wall lookup.</x:v>
      </x:c>
      <x:c r="E60" s="2"/>
      <x:c r="F60" s="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5" hidden="0" customWidth="1"/>
    <x:col min="2" max="2" width="20" hidden="0" customWidth="1"/>
    <x:col min="3" max="3" width="20" hidden="0" customWidth="1"/>
    <x:col min="4" max="4" width="85" hidden="0" customWidth="1"/>
    <x:col min="5" max="5" width="85" hidden="0" customWidth="1"/>
  </x:cols>
  <x:sheetData>
    <x:row r="1" ht="24" customHeight="1">
      <x:c r="A1" s="2"/>
      <x:c r="B1" s="2"/>
      <x:c r="C1" s="2"/>
      <x:c r="D1" s="2"/>
      <x:c r="E1" s="2"/>
    </x:row>
    <x:row r="2" ht="24" customHeight="1">
      <x:c r="A2" s="3" t="str">
        <x:v>Last flag: melody, then remaining-fuel bonus</x:v>
      </x:c>
      <x:c r="B2" s="2"/>
      <x:c r="C2" s="2"/>
      <x:c r="D2" s="2"/>
      <x:c r="E2" s="2"/>
    </x:row>
    <x:row r="3" ht="24" customHeight="1">
      <x:c r="A3" s="2" t="str">
        <x:v>Foreground settlement only; no scanline/VBlank task, no spinning or extra VRAM transfer.</x:v>
      </x:c>
      <x:c r="B3" s="2"/>
      <x:c r="C3" s="2"/>
      <x:c r="D3" s="2"/>
      <x:c r="E3" s="2"/>
    </x:row>
    <x:row r="4" ht="24" customHeight="1">
      <x:c r="A4" s="2"/>
      <x:c r="B4" s="2"/>
      <x:c r="C4" s="2"/>
      <x:c r="D4" s="2"/>
      <x:c r="E4" s="2"/>
    </x:row>
    <x:row r="5" ht="36" customHeight="1">
      <x:c r="A5" s="7" t="str">
        <x:v>Measure</x:v>
      </x:c>
      <x:c r="B5" s="7" t="str">
        <x:v>Value</x:v>
      </x:c>
      <x:c r="C5" s="7" t="str">
        <x:v>Unit</x:v>
      </x:c>
      <x:c r="D5" s="7" t="str">
        <x:v>Scope</x:v>
      </x:c>
      <x:c r="E5" s="2"/>
    </x:row>
    <x:row r="6" ht="36" customHeight="1">
      <x:c r="A6" s="2" t="str">
        <x:v>Original sound calls</x:v>
      </x:c>
      <x:c r="B6" s="9" t="n">
        <x:v>107</x:v>
      </x:c>
      <x:c r="C6" s="2" t="str">
        <x:v>native ticks</x:v>
      </x:c>
      <x:c r="D6" s="23" t="str">
        <x:v>Isolated original2580 execution, request28; includes termination call.</x:v>
      </x:c>
      <x:c r="E6" s="2"/>
    </x:row>
    <x:row r="7" ht="36" customHeight="1">
      <x:c r="A7" s="2" t="str">
        <x:v>Original refresh</x:v>
      </x:c>
      <x:c r="B7" s="8" t="n">
        <x:v>60.60606060606061</x:v>
      </x:c>
      <x:c r="C7" s="2" t="str">
        <x:v>Hz</x:v>
      </x:c>
      <x:c r="D7" s="23" t="str">
        <x:v>Physical arcade refresh; separate from MSX presentation cadence.</x:v>
      </x:c>
      <x:c r="E7" s="2"/>
    </x:row>
    <x:row r="8" ht="36" customHeight="1">
      <x:c r="A8" s="2" t="str">
        <x:v>Original elapsed</x:v>
      </x:c>
      <x:c r="B8" s="8" t="n">
        <x:f>B6/B7</x:f>
        <x:v>1.7654999999999998</x:v>
      </x:c>
      <x:c r="C8" s="2" t="str">
        <x:v>s</x:v>
      </x:c>
      <x:c r="D8" s="23" t="str">
        <x:v>Sound-only controlled reference, not natural completion.</x:v>
      </x:c>
      <x:c r="E8" s="2"/>
    </x:row>
    <x:row r="9" ht="36" customHeight="1">
      <x:c r="A9" s="2" t="str">
        <x:v>Port melody</x:v>
      </x:c>
      <x:c r="B9" s="9" t="n">
        <x:v>53</x:v>
      </x:c>
      <x:c r="C9" s="2" t="str">
        <x:v>updates</x:v>
      </x:c>
      <x:c r="D9" s="23" t="str">
        <x:v>Original parts8/9/10; full score length checked by PSG trace.</x:v>
      </x:c>
      <x:c r="E9" s="2"/>
    </x:row>
    <x:row r="10" ht="36" customHeight="1">
      <x:c r="A10" s="2" t="str">
        <x:v>Port update interval</x:v>
      </x:c>
      <x:c r="B10" s="8" t="n">
        <x:f>2*'Summary'!B21/'Summary'!B20</x:f>
        <x:v>0.03337630900016622</x:v>
      </x:c>
      <x:c r="C10" s="2" t="str">
        <x:v>s</x:v>
      </x:c>
      <x:c r="D10" s="23" t="str">
        <x:v>Two physical MSX refreshes per audio update.</x:v>
      </x:c>
      <x:c r="E10" s="2"/>
    </x:row>
    <x:row r="11" ht="36" customHeight="1">
      <x:c r="A11" s="2" t="str">
        <x:v>Port score duration</x:v>
      </x:c>
      <x:c r="B11" s="8" t="n">
        <x:f>B9*B10</x:f>
        <x:v>1.7689443770088098</x:v>
      </x:c>
      <x:c r="C11" s="2" t="str">
        <x:v>s</x:v>
      </x:c>
      <x:c r="D11" s="23" t="str">
        <x:v>One-shot score; fuel conversion starts after request bit5 clears.</x:v>
      </x:c>
      <x:c r="E11" s="2"/>
    </x:row>
    <x:row r="12" ht="36" customHeight="1">
      <x:c r="A12" s="2" t="str">
        <x:v>Active selector delta</x:v>
      </x:c>
      <x:c r="B12" s="2" t="n">
        <x:v>5</x:v>
      </x:c>
      <x:c r="C12" s="2" t="str">
        <x:v>cycles/call</x:v>
      </x:c>
      <x:c r="D12" s="23" t="str">
        <x:v>One changed conditional branch. Settlement worker has no active-game calls.</x:v>
      </x:c>
      <x:c r="E12" s="2"/>
    </x:row>
    <x:row r="13" ht="36" customHeight="1">
      <x:c r="A13" s="2" t="str">
        <x:v>State / code RAM / VRAM</x:v>
      </x:c>
      <x:c r="B13" s="2" t="str">
        <x:v>0 / 33 / 0</x:v>
      </x:c>
      <x:c r="C13" s="2" t="str">
        <x:v>bytes</x:v>
      </x:c>
      <x:c r="D13" s="23" t="str">
        <x:v>33 code bytes within the existing cold-code reservation; no new state variable, queue, mapper segment or sample ISR.</x:v>
      </x:c>
      <x:c r="E13" s="2"/>
    </x:row>
    <x:row r="14" ht="24" customHeight="1">
      <x:c r="A14" s="2"/>
      <x:c r="B14" s="2"/>
      <x:c r="C14" s="2"/>
      <x:c r="D14" s="2"/>
      <x:c r="E14" s="2"/>
    </x:row>
    <x:row r="15" ht="36" customHeight="1">
      <x:c r="A15" s="7" t="str">
        <x:v>Last flag / pause</x:v>
      </x:c>
      <x:c r="B15" s="7" t="str">
        <x:v>Settlement</x:v>
      </x:c>
      <x:c r="C15" s="7" t="str">
        <x:v>Pause duration</x:v>
      </x:c>
      <x:c r="D15" s="7" t="str">
        <x:v>Fuel held</x:v>
      </x:c>
      <x:c r="E15" s="7" t="str">
        <x:v>Evidence</x:v>
      </x:c>
    </x:row>
    <x:row r="16" ht="48" customHeight="1">
      <x:c r="A16" s="2" t="str">
        <x:v>ordinary</x:v>
      </x:c>
      <x:c r="B16" s="8" t="n">
        <x:v>1.7601055441403872</x:v>
      </x:c>
      <x:c r="C16" s="8" t="n">
        <x:v>0</x:v>
      </x:c>
      <x:c r="D16" s="21" t="b">
        <x:v>1</x:v>
      </x:c>
      <x:c r="E16" s="23" t="str">
        <x:v>/Users/sandersouza/Developer/msx-gamePorts/newrallyx/references/experiments/full-session/session-start-c9jp_zx6</x:v>
      </x:c>
    </x:row>
    <x:row r="17" ht="48" customHeight="1">
      <x:c r="A17" s="2"/>
      <x:c r="B17" s="8"/>
      <x:c r="C17" s="8"/>
      <x:c r="D17" s="2"/>
      <x:c r="E17" s="23"/>
    </x:row>
    <x:row r="18" ht="48" customHeight="1">
      <x:c r="A18" s="2"/>
      <x:c r="B18" s="8"/>
      <x:c r="C18" s="8"/>
      <x:c r="D18" s="2"/>
      <x:c r="E18" s="23"/>
    </x:row>
    <x:row r="19" ht="48" customHeight="1">
      <x:c r="A19" s="2"/>
      <x:c r="B19" s="8"/>
      <x:c r="C19" s="8"/>
      <x:c r="D19" s="2"/>
      <x:c r="E19" s="23"/>
    </x:row>
    <x:row r="20" ht="48" customHeight="1">
      <x:c r="A20" s="2"/>
      <x:c r="B20" s="8"/>
      <x:c r="C20" s="8"/>
      <x:c r="D20" s="2"/>
      <x:c r="E20" s="23"/>
    </x:row>
    <x:row r="21" ht="24" customHeight="1">
      <x:c r="A21" s="2"/>
      <x:c r="B21" s="2"/>
      <x:c r="C21" s="2"/>
      <x:c r="D21" s="2"/>
      <x:c r="E21" s="2"/>
    </x:row>
    <x:row r="22" ht="24" customHeight="1">
      <x:c r="A22" s="2"/>
      <x:c r="B22" s="2"/>
      <x:c r="C22" s="2"/>
      <x:c r="D22" s="2"/>
      <x:c r="E22" s="2"/>
    </x:row>
    <x:row r="23" ht="24" customHeight="1">
      <x:c r="A23" s="2" t="str">
        <x:v>Routine inclusive costs are centralized in Events. begin_bonus includes the original converter; do not add parent/child costs.</x:v>
      </x:c>
      <x:c r="B23" s="2"/>
      <x:c r="C23" s="2"/>
      <x:c r="D23" s="2"/>
      <x:c r="E23" s="2"/>
    </x:row>
    <x:row r="24" ht="24" customHeight="1">
      <x:c r="A24" s="2"/>
      <x:c r="B24" s="2"/>
      <x:c r="C24" s="2"/>
      <x:c r="D24" s="2"/>
      <x:c r="E24" s="2"/>
    </x:row>
    <x:row r="25" ht="24" customHeight="1">
      <x:c r="A25" s="2" t="str">
        <x:v>ROM SHA256: 41de7830d5f9a52e1c4e7349b5c33fae2602f344aedf212b6e1a79dd4cbdd6dd</x:v>
      </x:c>
      <x:c r="B25" s="2"/>
      <x:c r="C25" s="2"/>
      <x:c r="D25" s="2"/>
      <x:c r="E25" s="2"/>
    </x:row>
    <x:row r="26" ht="24" customHeight="1">
      <x:c r="A26" s="2"/>
      <x:c r="B26" s="2"/>
      <x:c r="C26" s="2"/>
      <x:c r="D26" s="2"/>
      <x:c r="E26" s="2"/>
    </x:row>
    <x:row r="27" ht="24" customHeight="1">
      <x:c r="A27" s="2" t="str">
        <x:v>Corner-stall fallback has a separate 16000-refresh proof; see Summary and the ROM-bound steering report.</x:v>
      </x:c>
      <x:c r="B27" s="2"/>
      <x:c r="C27" s="2"/>
      <x:c r="D27" s="2"/>
      <x:c r="E27" s="2"/>
    </x:row>
    <x:row r="28" ht="24" customHeight="1">
      <x:c r="A28" s="2"/>
      <x:c r="B28" s="2"/>
      <x:c r="C28" s="2"/>
      <x:c r="D28" s="2"/>
      <x:c r="E28" s="2"/>
    </x:row>
    <x:row r="29" ht="24" customHeight="1">
      <x:c r="A29" s="2"/>
      <x:c r="B29" s="2"/>
      <x:c r="C29" s="2"/>
      <x:c r="D29" s="2"/>
      <x:c r="E29" s="2"/>
    </x:row>
    <x:row r="30" ht="24" customHeight="1">
      <x:c r="A30" s="2"/>
      <x:c r="B30" s="2"/>
      <x:c r="C30" s="2"/>
      <x:c r="D30" s="2"/>
      <x:c r="E30" s="2"/>
    </x:row>
    <x:row r="31" ht="24" customHeight="1">
      <x:c r="A31" s="2"/>
      <x:c r="B31" s="2"/>
      <x:c r="C31" s="2"/>
      <x:c r="D31" s="2"/>
      <x:c r="E31" s="2"/>
    </x:row>
    <x:row r="32" ht="24" customHeight="1">
      <x:c r="A32" s="2"/>
      <x:c r="B32" s="2"/>
      <x:c r="C32" s="2"/>
      <x:c r="D32" s="2"/>
      <x:c r="E32" s="2"/>
    </x:row>
    <x:row r="33" ht="24" customHeight="1">
      <x:c r="A33" s="2"/>
      <x:c r="B33" s="2"/>
      <x:c r="C33" s="2"/>
      <x:c r="D33" s="2"/>
      <x:c r="E33" s="2"/>
    </x:row>
    <x:row r="34" ht="24" customHeight="1">
      <x:c r="A34" s="2"/>
      <x:c r="B34" s="2"/>
      <x:c r="C34" s="2"/>
      <x:c r="D34" s="2"/>
      <x:c r="E34" s="2"/>
    </x:row>
  </x:sheetData>
  <x:pageMargins left="0.7" right="0.7" top="0.75" bottom="0.75" header="0.3" footer="0.3"/>
</x:worksheet>
</file>