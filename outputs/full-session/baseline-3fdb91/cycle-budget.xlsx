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6ec808f17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addeee11a742c1"/>
    <x:sheet xmlns:r="http://schemas.openxmlformats.org/officeDocument/2006/relationships" name="Routines" sheetId="2" r:id="Re9aa7770d4284d21"/>
    <x:sheet xmlns:r="http://schemas.openxmlformats.org/officeDocument/2006/relationships" name="Raster" sheetId="3" r:id="R36e1e23421574dd1"/>
    <x:sheet xmlns:r="http://schemas.openxmlformats.org/officeDocument/2006/relationships" name="Frames" sheetId="4" r:id="R326294daf29147a9"/>
    <x:sheet xmlns:r="http://schemas.openxmlformats.org/officeDocument/2006/relationships" name="Events" sheetId="5" r:id="R21c24b38c0b94711"/>
    <x:sheet xmlns:r="http://schemas.openxmlformats.org/officeDocument/2006/relationships" name="HUD and startup" sheetId="6" r:id="Rf0b15cf514e5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  <x:numFmt numFmtId="209" formatCode="0.0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b5649e355480e" /><Relationship Type="http://schemas.openxmlformats.org/officeDocument/2006/relationships/theme" Target="/xl/theme/theme1.xml" Id="Rffc1a09f0d704974" /><Relationship Type="http://schemas.microsoft.com/office/2022/11/relationships/FeaturePropertyBag" Target="/xl/featurePropertyBag/featurePropertyBag.xml" Id="R4db74d460607439b" /><Relationship Type="http://schemas.openxmlformats.org/officeDocument/2006/relationships/sharedStrings" Target="/xl/sharedStrings.xml" Id="R9552402f96324d93" /><Relationship Type="http://schemas.openxmlformats.org/officeDocument/2006/relationships/worksheet" Target="/xl/worksheets/sheet1.xml" Id="Rddaddeee11a742c1" /><Relationship Type="http://schemas.openxmlformats.org/officeDocument/2006/relationships/worksheet" Target="/xl/worksheets/sheet2.xml" Id="Re9aa7770d4284d21" /><Relationship Type="http://schemas.openxmlformats.org/officeDocument/2006/relationships/worksheet" Target="/xl/worksheets/sheet3.xml" Id="R36e1e23421574dd1" /><Relationship Type="http://schemas.openxmlformats.org/officeDocument/2006/relationships/worksheet" Target="/xl/worksheets/sheet4.xml" Id="R326294daf29147a9" /><Relationship Type="http://schemas.openxmlformats.org/officeDocument/2006/relationships/worksheet" Target="/xl/worksheets/sheet5.xml" Id="R21c24b38c0b94711" /><Relationship Type="http://schemas.openxmlformats.org/officeDocument/2006/relationships/worksheet" Target="/xl/worksheets/sheet6.xml" Id="Rf0b15cf514e54c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COUNT('Frames'!A6:A250)</x:f>
        <x:v>245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SUM('Frames'!C6:C250)/$B$20</x:f>
        <x:v>8.193451402343031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29.901928743964827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AVERAGE('Frames'!D6:D250)/$B$20*1000</x:f>
        <x:v>22.797069095060145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COUNTIF('Frames'!B6:B250,"&gt;2")</x:f>
        <x:v>1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($B$20/$B$22-AVERAGE('Frames'!D6:D250))/$B$20*1000</x:f>
        <x:v>10.569630938306558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MIN('Frames'!E6:E250)/$B$20*1000</x:f>
        <x:v>-2.8990649183983908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3fdb910e545855aa16b6f6c73a441ece72e802b2dfb20249ac1451149f468a79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/Users/sandersouza/Developer/msx-gamePorts/newrallyx/references/experiments/full-session/profile-skwf98_x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464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Current steering route passed (3552 later poses). Earlier b3d4a5 corner stall has no confirmed root-cause fix.</x:v>
      </x:c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36" customHeight="1">
      <x:c r="A38" s="7" t="str">
        <x:v>Measure</x:v>
      </x:c>
      <x:c r="B38" s="7" t="str">
        <x:v>Previous5451bd89</x:v>
      </x:c>
      <x:c r="C38" s="7" t="str">
        <x:v>Current</x:v>
      </x:c>
      <x:c r="D38" s="7" t="str">
        <x:v>Comparison scope</x:v>
      </x:c>
    </x:row>
    <x:row r="39" ht="24" customHeight="1">
      <x:c r="A39" s="2" t="str">
        <x:v>Presentation rate</x:v>
      </x:c>
      <x:c r="B39" s="8" t="n">
        <x:v>28.879552418891517</x:v>
      </x:c>
      <x:c r="C39" s="8" t="n">
        <x:f>B8</x:f>
        <x:v>29.901928743964827</x:v>
      </x:c>
      <x:c r="D39" s="2" t="str">
        <x:v>FPS; same scripted input, trajectories differ</x:v>
      </x:c>
    </x:row>
    <x:row r="40" ht="24" customHeight="1">
      <x:c r="A40" s="2" t="str">
        <x:v>Late presentations</x:v>
      </x:c>
      <x:c r="B40" s="10" t="n">
        <x:v>19</x:v>
      </x:c>
      <x:c r="C40" s="10" t="n">
        <x:f>B10</x:f>
        <x:v>1</x:v>
      </x:c>
      <x:c r="D40" s="2" t="str">
        <x:v>Frames; active/death partitions differ</x:v>
      </x:c>
    </x:row>
    <x:row r="41" ht="24" customHeight="1">
      <x:c r="A41" s="2" t="str">
        <x:v>Mean CPU work</x:v>
      </x:c>
      <x:c r="B41" s="8" t="n">
        <x:v>24.114172575848595</x:v>
      </x:c>
      <x:c r="C41" s="8" t="n">
        <x:f>B9</x:f>
        <x:v>22.797069095060145</x:v>
      </x:c>
      <x:c r="D41" s="2" t="str">
        <x:v>ms/frame; synchronization excluded</x:v>
      </x:c>
    </x:row>
    <x:row r="42" ht="24" customHeight="1">
      <x:c r="A42" s="2" t="str">
        <x:v>Active presentations</x:v>
      </x:c>
      <x:c r="B42" s="10" t="n">
        <x:v>252</x:v>
      </x:c>
      <x:c r="C42" s="10" t="n">
        <x:f>B6</x:f>
        <x:v>245</x:v>
      </x:c>
      <x:c r="D42" s="2" t="str">
        <x:v>frames; short directional samples</x:v>
      </x:c>
    </x:row>
    <x:row r="43" ht="24" customHeight="1">
      <x:c r="A43" s="2" t="str">
        <x:v>Cold video restore</x:v>
      </x:c>
      <x:c r="B43" s="8" t="n">
        <x:v>201.07836929793368</x:v>
      </x:c>
      <x:c r="C43" s="8" t="n">
        <x:f>1512735.5714285716/$B$20*1000</x:f>
        <x:v>422.605546634718</x:v>
      </x:c>
      <x:c r="D43" s="2" t="str">
        <x:v>ms/call; additional prewarm remains in cold transition</x:v>
      </x:c>
    </x:row>
    <x:row r="44" ht="24" customHeight="1">
      <x:c r="A44" s="2" t="str">
        <x:v>ROM bytes</x:v>
      </x:c>
      <x:c r="B44" s="10" t="n">
        <x:v>3932160</x:v>
      </x:c>
      <x:c r="C44" s="10" t="n">
        <x:f>4030464</x:f>
        <x:v>4030464</x:v>
      </x:c>
      <x:c r="D44" s="2" t="str">
        <x:v>bytes; both cartridges remain below the ASCII16 limit</x:v>
      </x:c>
    </x:row>
    <x:row r="45" ht="24" customHeight="1">
      <x:c r="A45" s="2"/>
      <x:c r="B45" s="2"/>
      <x:c r="C45" s="2"/>
      <x:c r="D45" s="2"/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238</x:v>
      </x:c>
      <x:c r="B49" s="8" t="n">
        <x:v>35.42796640355129</x:v>
      </x:c>
      <x:c r="C49" s="8" t="n">
        <x:v>-2.8990649183983908</x:v>
      </x:c>
      <x:c r="D49" s="2" t="str">
        <x:v>Game_Prepare 16.176 ms; render 18.077 ms</x:v>
      </x:c>
    </x:row>
    <x:row r="50" ht="24" customHeight="1">
      <x:c r="A50" s="2"/>
      <x:c r="B50" s="8"/>
      <x:c r="C50" s="8"/>
      <x:c r="D50" s="2"/>
    </x:row>
    <x:row r="51" ht="24" customHeight="1">
      <x:c r="A51" s="2"/>
      <x:c r="B51" s="8"/>
      <x:c r="C51" s="8"/>
      <x:c r="D51" s="2"/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10.270135518591877</x:v>
      </x:c>
      <x:c r="D6" s="8" t="n">
        <x:f>L6/'Summary'!$B$20*1000</x:f>
        <x:v>13.100827060426647</x:v>
      </x:c>
      <x:c r="E6" s="8" t="n">
        <x:f>M6/'Summary'!$B$20*1000</x:f>
        <x:v>17.838859408109133</x:v>
      </x:c>
      <x:c r="F6" s="8" t="n">
        <x:f>J6/'Summary'!$B$20*1000</x:f>
        <x:v>0.0502857206710497</x:v>
      </x:c>
      <x:c r="G6" s="12" t="n">
        <x:v>36762.41224489796</x:v>
      </x:c>
      <x:c r="H6" s="12" t="n">
        <x:v>46895.0000000149</x:v>
      </x:c>
      <x:c r="I6" s="12" t="n">
        <x:v>63855</x:v>
      </x:c>
      <x:c r="J6" s="12" t="n">
        <x:v>179.9999999994526</x:v>
      </x:c>
      <x:c r="K6" s="2" t="n">
        <x:v>36762.41224489796</x:v>
      </x:c>
      <x:c r="L6" s="2" t="n">
        <x:v>46895.0000000149</x:v>
      </x:c>
      <x:c r="M6" s="2" t="n">
        <x:v>63855</x:v>
      </x:c>
      <x:c r="N6" s="12" t="n">
        <x:v>179.9999999994526</x:v>
      </x:c>
      <x:c r="O6" s="12" t="n">
        <x:v>180.00000002980232</x:v>
      </x:c>
      <x:c r="P6" s="12" t="n">
        <x:v>180.00000004470348</x:v>
      </x:c>
      <x:c r="Q6" s="8" t="n">
        <x:f>S6/'Summary'!$B$20*1000</x:f>
        <x:v>0.050285720679528356</x:v>
      </x:c>
      <x:c r="R6" s="8" t="n">
        <x:f>T6/'Summary'!$B$20*1000</x:f>
        <x:v>0.050285720683691214</x:v>
      </x:c>
      <x:c r="S6" s="12" t="n">
        <x:v>180.00000002980232</x:v>
      </x:c>
      <x:c r="T6" s="12" t="n">
        <x:v>180.00000004470348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6.870877814506948</x:v>
      </x:c>
      <x:c r="D7" s="8" t="n">
        <x:f>L7/'Summary'!$B$20*1000</x:f>
        <x:v>8.145728018505144</x:v>
      </x:c>
      <x:c r="E7" s="8" t="n">
        <x:f>M7/'Summary'!$B$20*1000</x:f>
        <x:v>12.535112702871455</x:v>
      </x:c>
      <x:c r="F7" s="8" t="n">
        <x:f>J7/'Summary'!$B$20*1000</x:f>
        <x:v>0.45399225719615977</x:v>
      </x:c>
      <x:c r="G7" s="12" t="n">
        <x:v>24594.616326529274</x:v>
      </x:c>
      <x:c r="H7" s="12" t="n">
        <x:v>29158</x:v>
      </x:c>
      <x:c r="I7" s="12" t="n">
        <x:v>44870</x:v>
      </x:c>
      <x:c r="J7" s="12" t="n">
        <x:v>1625.0857142852278</x:v>
      </x:c>
      <x:c r="K7" s="2" t="n">
        <x:v>24594.616326529274</x:v>
      </x:c>
      <x:c r="L7" s="2" t="n">
        <x:v>29158</x:v>
      </x:c>
      <x:c r="M7" s="2" t="n">
        <x:v>44870</x:v>
      </x:c>
      <x:c r="N7" s="12" t="n">
        <x:v>1625.0857142852278</x:v>
      </x:c>
      <x:c r="O7" s="12" t="n">
        <x:v>1625.0000000447035</x:v>
      </x:c>
      <x:c r="P7" s="12" t="n">
        <x:v>3116.999999985099</x:v>
      </x:c>
      <x:c r="Q7" s="8" t="n">
        <x:f>S7/'Summary'!$B$20*1000</x:f>
        <x:v>0.4539683116275123</x:v>
      </x:c>
      <x:c r="R7" s="8" t="n">
        <x:f>T7/'Summary'!$B$20*1000</x:f>
        <x:v>0.8707810629521626</x:v>
      </x:c>
      <x:c r="S7" s="12" t="n">
        <x:v>1625.0000000447035</x:v>
      </x:c>
      <x:c r="T7" s="12" t="n">
        <x:v>3116.999999985099</x:v>
      </x:c>
    </x:row>
    <x:row r="8" ht="24" customHeight="1">
      <x:c r="A8" s="2" t="str">
        <x:v>Game_LogicTick</x:v>
      </x:c>
      <x:c r="B8" s="8" t="n">
        <x:v>2.012244897959184</x:v>
      </x:c>
      <x:c r="C8" s="8" t="n">
        <x:f>K8/'Summary'!$B$20*1000</x:f>
        <x:v>4.681468323658894</x:v>
      </x:c>
      <x:c r="D8" s="8" t="n">
        <x:f>L8/'Summary'!$B$20*1000</x:f>
        <x:v>5.994616634241195</x:v>
      </x:c>
      <x:c r="E8" s="8" t="n">
        <x:f>M8/'Summary'!$B$20*1000</x:f>
        <x:v>8.843023345145822</x:v>
      </x:c>
      <x:c r="F8" s="8" t="n">
        <x:f>J8/'Summary'!$B$20*1000</x:f>
        <x:v>4.609826565290356</x:v>
      </x:c>
      <x:c r="G8" s="12" t="n">
        <x:v>8327.776876267417</x:v>
      </x:c>
      <x:c r="H8" s="12" t="n">
        <x:v>16477</x:v>
      </x:c>
      <x:c r="I8" s="12" t="n">
        <x:v>19548</x:v>
      </x:c>
      <x:c r="J8" s="12" t="n">
        <x:v>16501.08163265227</x:v>
      </x:c>
      <x:c r="K8" s="2" t="n">
        <x:v>16757.526530611576</x:v>
      </x:c>
      <x:c r="L8" s="2" t="n">
        <x:v>21458.0000000149</x:v>
      </x:c>
      <x:c r="M8" s="2" t="n">
        <x:v>31654</x:v>
      </x:c>
      <x:c r="N8" s="12" t="n">
        <x:v>8200.334685597983</x:v>
      </x:c>
      <x:c r="O8" s="12" t="n">
        <x:v>16306</x:v>
      </x:c>
      <x:c r="P8" s="12" t="n">
        <x:v>19420.9999999851</x:v>
      </x:c>
      <x:c r="Q8" s="8" t="n">
        <x:f>S8/'Summary'!$B$20*1000</x:f>
        <x:v>5.958019804192991</x:v>
      </x:c>
      <x:c r="R8" s="8" t="n">
        <x:f>T8/'Summary'!$B$20*1000</x:f>
        <x:v>8.772064605968133</x:v>
      </x:c>
      <x:c r="S8" s="12" t="n">
        <x:v>21327</x:v>
      </x:c>
      <x:c r="T8" s="12" t="n">
        <x:v>31399.999999970198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0.25142860335597916</x:v>
      </x:c>
      <x:c r="D9" s="8" t="n">
        <x:f>L9/'Summary'!$B$20*1000</x:f>
        <x:v>0.25142860335601314</x:v>
      </x:c>
      <x:c r="E9" s="8" t="n">
        <x:f>M9/'Summary'!$B$20*1000</x:f>
        <x:v>0.251428603360176</x:v>
      </x:c>
      <x:c r="F9" s="8" t="n">
        <x:f>J9/'Summary'!$B$20*1000</x:f>
        <x:v>0.25142860335597916</x:v>
      </x:c>
      <x:c r="G9" s="12" t="n">
        <x:v>899.9999999998784</x:v>
      </x:c>
      <x:c r="H9" s="12" t="n">
        <x:v>900</x:v>
      </x:c>
      <x:c r="I9" s="12" t="n">
        <x:v>900.0000000149012</x:v>
      </x:c>
      <x:c r="J9" s="12" t="n">
        <x:v>899.9999999998784</x:v>
      </x:c>
      <x:c r="K9" s="2" t="n">
        <x:v>899.9999999998784</x:v>
      </x:c>
      <x:c r="L9" s="2" t="n">
        <x:v>900</x:v>
      </x:c>
      <x:c r="M9" s="2" t="n">
        <x:v>900.0000000149012</x:v>
      </x:c>
      <x:c r="N9" s="12" t="n">
        <x:v>899.9999999998784</x:v>
      </x:c>
      <x:c r="O9" s="12" t="n">
        <x:v>900</x:v>
      </x:c>
      <x:c r="P9" s="12" t="n">
        <x:v>900.0000000149012</x:v>
      </x:c>
      <x:c r="Q9" s="8" t="n">
        <x:f>S9/'Summary'!$B$20*1000</x:f>
        <x:v>0.25142860335601314</x:v>
      </x:c>
      <x:c r="R9" s="8" t="n">
        <x:f>T9/'Summary'!$B$20*1000</x:f>
        <x:v>0.251428603360176</x:v>
      </x:c>
      <x:c r="S9" s="12" t="n">
        <x:v>900</x:v>
      </x:c>
      <x:c r="T9" s="12" t="n">
        <x:v>900.0000000149012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1.11326998263773</x:v>
      </x:c>
      <x:c r="D10" s="8" t="n">
        <x:f>L10/'Summary'!$B$20*1000</x:f>
        <x:v>1.1132699826416208</x:v>
      </x:c>
      <x:c r="E10" s="8" t="n">
        <x:f>M10/'Summary'!$B$20*1000</x:f>
        <x:v>1.1132699826416208</x:v>
      </x:c>
      <x:c r="F10" s="8" t="n">
        <x:f>J10/'Summary'!$B$20*1000</x:f>
        <x:v>1.11326998263773</x:v>
      </x:c>
      <x:c r="G10" s="12" t="n">
        <x:v>3985.000000000973</x:v>
      </x:c>
      <x:c r="H10" s="12" t="n">
        <x:v>3985.000000014901</x:v>
      </x:c>
      <x:c r="I10" s="12" t="n">
        <x:v>3985.000000014901</x:v>
      </x:c>
      <x:c r="J10" s="12" t="n">
        <x:v>3985.000000000973</x:v>
      </x:c>
      <x:c r="K10" s="2" t="n">
        <x:v>3985.000000000973</x:v>
      </x:c>
      <x:c r="L10" s="2" t="n">
        <x:v>3985.000000014901</x:v>
      </x:c>
      <x:c r="M10" s="2" t="n">
        <x:v>3985.000000014901</x:v>
      </x:c>
      <x:c r="N10" s="12" t="n">
        <x:v>3985.000000000973</x:v>
      </x:c>
      <x:c r="O10" s="12" t="n">
        <x:v>3985.000000014901</x:v>
      </x:c>
      <x:c r="P10" s="12" t="n">
        <x:v>3985.000000014901</x:v>
      </x:c>
      <x:c r="Q10" s="8" t="n">
        <x:f>S10/'Summary'!$B$20*1000</x:f>
        <x:v>1.1132699826416208</x:v>
      </x:c>
      <x:c r="R10" s="8" t="n">
        <x:f>T10/'Summary'!$B$20*1000</x:f>
        <x:v>1.1132699826416208</x:v>
      </x:c>
      <x:c r="S10" s="12" t="n">
        <x:v>3985.000000014901</x:v>
      </x:c>
      <x:c r="T10" s="12" t="n">
        <x:v>3985.000000014901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1.6493465521683992</x:v>
      </x:c>
      <x:c r="D11" s="8" t="n">
        <x:f>L11/'Summary'!$B$20*1000</x:f>
        <x:v>4.034311623400488</x:v>
      </x:c>
      <x:c r="E11" s="8" t="n">
        <x:f>M11/'Summary'!$B$20*1000</x:f>
        <x:v>9.458185328023534</x:v>
      </x:c>
      <x:c r="F11" s="8" t="n">
        <x:f>J11/'Summary'!$B$20*1000</x:f>
        <x:v>1.4924334386242188</x:v>
      </x:c>
      <x:c r="G11" s="12" t="n">
        <x:v>5903.910204081632</x:v>
      </x:c>
      <x:c r="H11" s="12" t="n">
        <x:v>14440.999999985099</x:v>
      </x:c>
      <x:c r="I11" s="12" t="n">
        <x:v>33856</x:v>
      </x:c>
      <x:c r="J11" s="12" t="n">
        <x:v>5342.232653060129</x:v>
      </x:c>
      <x:c r="K11" s="2" t="n">
        <x:v>5903.910204081632</x:v>
      </x:c>
      <x:c r="L11" s="2" t="n">
        <x:v>14440.999999985099</x:v>
      </x:c>
      <x:c r="M11" s="2" t="n">
        <x:v>33856</x:v>
      </x:c>
      <x:c r="N11" s="12" t="n">
        <x:v>5342.232653060129</x:v>
      </x:c>
      <x:c r="O11" s="12" t="n">
        <x:v>13616.999999985099</x:v>
      </x:c>
      <x:c r="P11" s="12" t="n">
        <x:v>33273</x:v>
      </x:c>
      <x:c r="Q11" s="8" t="n">
        <x:f>S11/'Summary'!$B$20*1000</x:f>
        <x:v>3.804114768772316</x:v>
      </x:c>
      <x:c r="R11" s="8" t="n">
        <x:f>T11/'Summary'!$B$20*1000</x:f>
        <x:v>9.295315466071804</x:v>
      </x:c>
      <x:c r="S11" s="12" t="n">
        <x:v>13616.999999985099</x:v>
      </x:c>
      <x:c r="T11" s="12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0.5526355091134514</x:v>
      </x:c>
      <x:c r="D12" s="8" t="n">
        <x:f>L12/'Summary'!$B$20*1000</x:f>
        <x:v>0.5450413390570312</x:v>
      </x:c>
      <x:c r="E12" s="8" t="n">
        <x:f>M12/'Summary'!$B$20*1000</x:f>
        <x:v>1.3462604884181932</x:v>
      </x:c>
      <x:c r="F12" s="8" t="n">
        <x:f>J12/'Summary'!$B$20*1000</x:f>
        <x:v>0.5526355091134514</x:v>
      </x:c>
      <x:c r="G12" s="12" t="n">
        <x:v>1978.1836734695094</x:v>
      </x:c>
      <x:c r="H12" s="12" t="n">
        <x:v>1951.0000000149012</x:v>
      </x:c>
      <x:c r="I12" s="12" t="n">
        <x:v>4819.000000014901</x:v>
      </x:c>
      <x:c r="J12" s="12" t="n">
        <x:v>1978.1836734695094</x:v>
      </x:c>
      <x:c r="K12" s="2" t="n">
        <x:v>1978.1836734695094</x:v>
      </x:c>
      <x:c r="L12" s="2" t="n">
        <x:v>1951.0000000149012</x:v>
      </x:c>
      <x:c r="M12" s="2" t="n">
        <x:v>4819.000000014901</x:v>
      </x:c>
      <x:c r="N12" s="12" t="n">
        <x:v>1978.1836734695094</x:v>
      </x:c>
      <x:c r="O12" s="12" t="n">
        <x:v>1951.0000000149012</x:v>
      </x:c>
      <x:c r="P12" s="12" t="n">
        <x:v>4819.000000014901</x:v>
      </x:c>
      <x:c r="Q12" s="8" t="n">
        <x:f>S12/'Summary'!$B$20*1000</x:f>
        <x:v>0.5450413390570312</x:v>
      </x:c>
      <x:c r="R12" s="8" t="n">
        <x:f>T12/'Summary'!$B$20*1000</x:f>
        <x:v>1.3462604884181932</x:v>
      </x:c>
      <x:c r="S12" s="12" t="n">
        <x:v>1951.0000000149012</x:v>
      </x:c>
      <x:c r="T12" s="12" t="n">
        <x:v>4819.000000014901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0.5277674528298115</x:v>
      </x:c>
      <x:c r="D13" s="8" t="n">
        <x:f>L13/'Summary'!$B$20*1000</x:f>
        <x:v>0.5651556273255124</x:v>
      </x:c>
      <x:c r="E13" s="8" t="n">
        <x:f>M13/'Summary'!$B$20*1000</x:f>
        <x:v>2.6522924002910986</x:v>
      </x:c>
      <x:c r="F13" s="8" t="n">
        <x:f>J13/'Summary'!$B$20*1000</x:f>
        <x:v>0.5277674528298115</x:v>
      </x:c>
      <x:c r="G13" s="12" t="n">
        <x:v>1889.1673469396878</x:v>
      </x:c>
      <x:c r="H13" s="12" t="n">
        <x:v>2023.0000000149012</x:v>
      </x:c>
      <x:c r="I13" s="12" t="n">
        <x:v>9494</x:v>
      </x:c>
      <x:c r="J13" s="12" t="n">
        <x:v>1889.1673469396878</x:v>
      </x:c>
      <x:c r="K13" s="2" t="n">
        <x:v>1889.1673469396878</x:v>
      </x:c>
      <x:c r="L13" s="2" t="n">
        <x:v>2023.0000000149012</x:v>
      </x:c>
      <x:c r="M13" s="2" t="n">
        <x:v>9494</x:v>
      </x:c>
      <x:c r="N13" s="12" t="n">
        <x:v>1889.1673469396878</x:v>
      </x:c>
      <x:c r="O13" s="12" t="n">
        <x:v>2023.0000000149012</x:v>
      </x:c>
      <x:c r="P13" s="12" t="n">
        <x:v>9494</x:v>
      </x:c>
      <x:c r="Q13" s="8" t="n">
        <x:f>S13/'Summary'!$B$20*1000</x:f>
        <x:v>0.5651556273255124</x:v>
      </x:c>
      <x:c r="R13" s="8" t="n">
        <x:f>T13/'Summary'!$B$20*1000</x:f>
        <x:v>2.6522924002910986</x:v>
      </x:c>
      <x:c r="S13" s="12" t="n">
        <x:v>2023.0000000149012</x:v>
      </x:c>
      <x:c r="T13" s="12" t="n">
        <x:v>9494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0.3703366586238121</x:v>
      </x:c>
      <x:c r="D14" s="8" t="n">
        <x:f>L14/'Summary'!$B$20*1000</x:f>
        <x:v>0.45340958138950654</x:v>
      </x:c>
      <x:c r="E14" s="8" t="n">
        <x:f>M14/'Summary'!$B$20*1000</x:f>
        <x:v>1.8661589671312975</x:v>
      </x:c>
      <x:c r="F14" s="8" t="n">
        <x:f>J14/'Summary'!$B$20*1000</x:f>
        <x:v>0.3703366586238121</x:v>
      </x:c>
      <x:c r="G14" s="12" t="n">
        <x:v>1325.6367346935735</x:v>
      </x:c>
      <x:c r="H14" s="12" t="n">
        <x:v>1623.0000000149012</x:v>
      </x:c>
      <x:c r="I14" s="12" t="n">
        <x:v>6680</x:v>
      </x:c>
      <x:c r="J14" s="12" t="n">
        <x:v>1325.6367346935735</x:v>
      </x:c>
      <x:c r="K14" s="2" t="n">
        <x:v>1325.6367346935735</x:v>
      </x:c>
      <x:c r="L14" s="2" t="n">
        <x:v>1623.0000000149012</x:v>
      </x:c>
      <x:c r="M14" s="2" t="n">
        <x:v>6680</x:v>
      </x:c>
      <x:c r="N14" s="12" t="n">
        <x:v>1325.6367346935735</x:v>
      </x:c>
      <x:c r="O14" s="12" t="n">
        <x:v>1623.0000000149012</x:v>
      </x:c>
      <x:c r="P14" s="12" t="n">
        <x:v>6680</x:v>
      </x:c>
      <x:c r="Q14" s="8" t="n">
        <x:f>S14/'Summary'!$B$20*1000</x:f>
        <x:v>0.45340958138950654</x:v>
      </x:c>
      <x:c r="R14" s="8" t="n">
        <x:f>T14/'Summary'!$B$20*1000</x:f>
        <x:v>1.8661589671312975</x:v>
      </x:c>
      <x:c r="S14" s="12" t="n">
        <x:v>1623.0000000149012</x:v>
      </x:c>
      <x:c r="T14" s="12" t="n">
        <x:v>6680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11.426843925922418</x:v>
      </x:c>
      <x:c r="D15" s="8" t="n">
        <x:f>L15/'Summary'!$B$20*1000</x:f>
        <x:v>18.548726164913447</x:v>
      </x:c>
      <x:c r="E15" s="8" t="n">
        <x:f>M15/'Summary'!$B$20*1000</x:f>
        <x:v>22.23103774362384</x:v>
      </x:c>
      <x:c r="F15" s="8" t="n">
        <x:f>J15/'Summary'!$B$20*1000</x:f>
        <x:v>1.1323272445320858</x:v>
      </x:c>
      <x:c r="G15" s="12" t="n">
        <x:v>40902.90204081596</x:v>
      </x:c>
      <x:c r="H15" s="12" t="n">
        <x:v>66395.9999999851</x:v>
      </x:c>
      <x:c r="I15" s="12" t="n">
        <x:v>79577</x:v>
      </x:c>
      <x:c r="J15" s="12" t="n">
        <x:v>4053.2163265286054</x:v>
      </x:c>
      <x:c r="K15" s="2" t="n">
        <x:v>40902.90204081596</x:v>
      </x:c>
      <x:c r="L15" s="2" t="n">
        <x:v>66395.9999999851</x:v>
      </x:c>
      <x:c r="M15" s="2" t="n">
        <x:v>79577</x:v>
      </x:c>
      <x:c r="N15" s="12" t="n">
        <x:v>4053.2163265286054</x:v>
      </x:c>
      <x:c r="O15" s="12" t="n">
        <x:v>4195.999999985099</x:v>
      </x:c>
      <x:c r="P15" s="12" t="n">
        <x:v>4210.0000000447035</x:v>
      </x:c>
      <x:c r="Q15" s="8" t="n">
        <x:f>S15/'Summary'!$B$20*1000</x:f>
        <x:v>1.1722160218645383</x:v>
      </x:c>
      <x:c r="R15" s="8" t="n">
        <x:f>T15/'Summary'!$B$20*1000</x:f>
        <x:v>1.17612713348895</x:v>
      </x:c>
      <x:c r="S15" s="12" t="n">
        <x:v>4195.999999985099</x:v>
      </x:c>
      <x:c r="T15" s="12" t="n">
        <x:v>4210.0000000447035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10.645589690013452</x:v>
      </x:c>
      <x:c r="D16" s="8" t="n">
        <x:f>L16/'Summary'!$B$20*1000</x:f>
        <x:v>15.112814617504432</x:v>
      </x:c>
      <x:c r="E16" s="8" t="n">
        <x:f>M16/'Summary'!$B$20*1000</x:f>
        <x:v>15.86570360199411</x:v>
      </x:c>
      <x:c r="F16" s="8" t="n">
        <x:f>J16/'Summary'!$B$20*1000</x:f>
        <x:v>10.597818255375794</x:v>
      </x:c>
      <x:c r="G16" s="12" t="n">
        <x:v>38106.3673469392</x:v>
      </x:c>
      <x:c r="H16" s="12" t="n">
        <x:v>54097.0000000149</x:v>
      </x:c>
      <x:c r="I16" s="12" t="n">
        <x:v>56792</x:v>
      </x:c>
      <x:c r="J16" s="12" t="n">
        <x:v>37935.36734693914</x:v>
      </x:c>
      <x:c r="K16" s="2" t="n">
        <x:v>38106.3673469392</x:v>
      </x:c>
      <x:c r="L16" s="2" t="n">
        <x:v>54097.0000000149</x:v>
      </x:c>
      <x:c r="M16" s="2" t="n">
        <x:v>56792</x:v>
      </x:c>
      <x:c r="N16" s="12" t="n">
        <x:v>37935.36734693914</x:v>
      </x:c>
      <x:c r="O16" s="12" t="n">
        <x:v>53925.9999999851</x:v>
      </x:c>
      <x:c r="P16" s="12" t="n">
        <x:v>56621.0000000149</x:v>
      </x:c>
      <x:c r="Q16" s="8" t="n">
        <x:f>S16/'Summary'!$B$20*1000</x:f>
        <x:v>15.065043182858464</x:v>
      </x:c>
      <x:c r="R16" s="8" t="n">
        <x:f>T16/'Summary'!$B$20*1000</x:f>
        <x:v>15.81793216736063</x:v>
      </x:c>
      <x:c r="S16" s="12" t="n">
        <x:v>53925.9999999851</x:v>
      </x:c>
      <x:c r="T16" s="12" t="n">
        <x:v>56621.0000000149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1.0704769483729273</x:v>
      </x:c>
      <x:c r="D17" s="8" t="n">
        <x:f>L17/'Summary'!$B$20*1000</x:f>
        <x:v>1.6756319588062445</x:v>
      </x:c>
      <x:c r="E17" s="8" t="n">
        <x:f>M17/'Summary'!$B$20*1000</x:f>
        <x:v>2.5587050868196934</x:v>
      </x:c>
      <x:c r="F17" s="8" t="n">
        <x:f>J17/'Summary'!$B$20*1000</x:f>
        <x:v>0.14750478063566363</x:v>
      </x:c>
      <x:c r="G17" s="12" t="n">
        <x:v>3831.8204081635695</x:v>
      </x:c>
      <x:c r="H17" s="12" t="n">
        <x:v>5997.999999985099</x:v>
      </x:c>
      <x:c r="I17" s="12" t="n">
        <x:v>9159</x:v>
      </x:c>
      <x:c r="J17" s="12" t="n">
        <x:v>528.0000000004866</x:v>
      </x:c>
      <x:c r="K17" s="2" t="n">
        <x:v>3831.8204081635695</x:v>
      </x:c>
      <x:c r="L17" s="2" t="n">
        <x:v>5997.999999985099</x:v>
      </x:c>
      <x:c r="M17" s="2" t="n">
        <x:v>9159</x:v>
      </x:c>
      <x:c r="N17" s="12" t="n">
        <x:v>528.0000000004866</x:v>
      </x:c>
      <x:c r="O17" s="12" t="n">
        <x:v>528.0000000298023</x:v>
      </x:c>
      <x:c r="P17" s="12" t="n">
        <x:v>528.0000000447035</x:v>
      </x:c>
      <x:c r="Q17" s="8" t="n">
        <x:f>S17/'Summary'!$B$20*1000</x:f>
        <x:v>0.14750478064385342</x:v>
      </x:c>
      <x:c r="R17" s="8" t="n">
        <x:f>T17/'Summary'!$B$20*1000</x:f>
        <x:v>0.1475047806480163</x:v>
      </x:c>
      <x:c r="S17" s="12" t="n">
        <x:v>528.0000000298023</x:v>
      </x:c>
      <x:c r="T17" s="12" t="n">
        <x:v>528.0000000447035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1.8346568445691136</x:v>
      </x:c>
      <x:c r="D18" s="8" t="n">
        <x:f>L18/'Summary'!$B$20*1000</x:f>
        <x:v>4.7486482220505675</x:v>
      </x:c>
      <x:c r="E18" s="8" t="n">
        <x:f>M18/'Summary'!$B$20*1000</x:f>
        <x:v>5.193118119761031</x:v>
      </x:c>
      <x:c r="F18" s="8" t="n">
        <x:f>J18/'Summary'!$B$20*1000</x:f>
        <x:v>1.8329019755416254</x:v>
      </x:c>
      <x:c r="G18" s="12" t="n">
        <x:v>6567.236734693148</x:v>
      </x:c>
      <x:c r="H18" s="12" t="n">
        <x:v>16998</x:v>
      </x:c>
      <x:c r="I18" s="12" t="n">
        <x:v>18589</x:v>
      </x:c>
      <x:c r="J18" s="12" t="n">
        <x:v>6560.955102040148</x:v>
      </x:c>
      <x:c r="K18" s="2" t="n">
        <x:v>6567.236734693148</x:v>
      </x:c>
      <x:c r="L18" s="2" t="n">
        <x:v>16998</x:v>
      </x:c>
      <x:c r="M18" s="2" t="n">
        <x:v>18589</x:v>
      </x:c>
      <x:c r="N18" s="12" t="n">
        <x:v>6560.955102040148</x:v>
      </x:c>
      <x:c r="O18" s="12" t="n">
        <x:v>16998</x:v>
      </x:c>
      <x:c r="P18" s="12" t="n">
        <x:v>18589</x:v>
      </x:c>
      <x:c r="Q18" s="8" t="n">
        <x:f>S18/'Summary'!$B$20*1000</x:f>
        <x:v>4.7486482220505675</x:v>
      </x:c>
      <x:c r="R18" s="8" t="n">
        <x:f>T18/'Summary'!$B$20*1000</x:f>
        <x:v>5.193118119761031</x:v>
      </x:c>
      <x:c r="S18" s="12" t="n">
        <x:v>16998</x:v>
      </x:c>
      <x:c r="T18" s="12" t="n">
        <x:v>18589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0.2927335907845763</x:v>
      </x:c>
      <x:c r="D19" s="8" t="n">
        <x:f>L19/'Summary'!$B$20*1000</x:f>
        <x:v>0.498387364874586</x:v>
      </x:c>
      <x:c r="E19" s="8" t="n">
        <x:f>M19/'Summary'!$B$20*1000</x:f>
        <x:v>0.5500699111199887</x:v>
      </x:c>
      <x:c r="F19" s="8" t="n">
        <x:f>J19/'Summary'!$B$20*1000</x:f>
        <x:v>0.25840931042960397</x:v>
      </x:c>
      <x:c r="G19" s="12" t="n">
        <x:v>1047.8530612249763</x:v>
      </x:c>
      <x:c r="H19" s="12" t="n">
        <x:v>1784</x:v>
      </x:c>
      <x:c r="I19" s="12" t="n">
        <x:v>1969</x:v>
      </x:c>
      <x:c r="J19" s="12" t="n">
        <x:v>924.9877551017368</x:v>
      </x:c>
      <x:c r="K19" s="2" t="n">
        <x:v>1047.8530612249763</x:v>
      </x:c>
      <x:c r="L19" s="2" t="n">
        <x:v>1784</x:v>
      </x:c>
      <x:c r="M19" s="2" t="n">
        <x:v>1969</x:v>
      </x:c>
      <x:c r="N19" s="12" t="n">
        <x:v>924.9877551017368</x:v>
      </x:c>
      <x:c r="O19" s="12" t="n">
        <x:v>1568.0000000149012</x:v>
      </x:c>
      <x:c r="P19" s="12" t="n">
        <x:v>1582</x:v>
      </x:c>
      <x:c r="Q19" s="8" t="n">
        <x:f>S19/'Summary'!$B$20*1000</x:f>
        <x:v>0.43804450007330575</x:v>
      </x:c>
      <x:c r="R19" s="8" t="n">
        <x:f>T19/'Summary'!$B$20*1000</x:f>
        <x:v>0.4419556116769031</x:v>
      </x:c>
      <x:c r="S19" s="12" t="n">
        <x:v>1568.0000000149012</x:v>
      </x:c>
      <x:c r="T19" s="12" t="n">
        <x:v>1582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0.03577811921786435</x:v>
      </x:c>
      <x:c r="D20" s="8" t="n">
        <x:f>L20/'Summary'!$B$20*1000</x:f>
        <x:v>0.040507941655964975</x:v>
      </x:c>
      <x:c r="E20" s="8" t="n">
        <x:f>M20/'Summary'!$B$20*1000</x:f>
        <x:v>0.040507941655964975</x:v>
      </x:c>
      <x:c r="F20" s="8" t="n">
        <x:f>J20/'Summary'!$B$20*1000</x:f>
        <x:v>0.03577811921786435</x:v>
      </x:c>
      <x:c r="G20" s="12" t="n">
        <x:v>128.06938775571024</x:v>
      </x:c>
      <x:c r="H20" s="12" t="n">
        <x:v>145.00000001490116</x:v>
      </x:c>
      <x:c r="I20" s="12" t="n">
        <x:v>145.00000001490116</x:v>
      </x:c>
      <x:c r="J20" s="12" t="n">
        <x:v>128.06938775571024</x:v>
      </x:c>
      <x:c r="K20" s="2" t="n">
        <x:v>128.06938775571024</x:v>
      </x:c>
      <x:c r="L20" s="2" t="n">
        <x:v>145.00000001490116</x:v>
      </x:c>
      <x:c r="M20" s="2" t="n">
        <x:v>145.00000001490116</x:v>
      </x:c>
      <x:c r="N20" s="12" t="n">
        <x:v>128.06938775571024</x:v>
      </x:c>
      <x:c r="O20" s="12" t="n">
        <x:v>145.00000001490116</x:v>
      </x:c>
      <x:c r="P20" s="12" t="n">
        <x:v>145.00000001490116</x:v>
      </x:c>
      <x:c r="Q20" s="8" t="n">
        <x:f>S20/'Summary'!$B$20*1000</x:f>
        <x:v>0.040507941655964975</x:v>
      </x:c>
      <x:c r="R20" s="8" t="n">
        <x:f>T20/'Summary'!$B$20*1000</x:f>
        <x:v>0.040507941655964975</x:v>
      </x:c>
      <x:c r="S20" s="12" t="n">
        <x:v>145.00000001490116</x:v>
      </x:c>
      <x:c r="T20" s="12" t="n">
        <x:v>145.00000001490116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1.3878231759077622</x:v>
      </x:c>
      <x:c r="D21" s="8" t="n">
        <x:f>L21/'Summary'!$B$20*1000</x:f>
        <x:v>1.5893081383290057</x:v>
      </x:c>
      <x:c r="E21" s="8" t="n">
        <x:f>M21/'Summary'!$B$20*1000</x:f>
        <x:v>1.8158732464642575</x:v>
      </x:c>
      <x:c r="F21" s="8" t="n">
        <x:f>J21/'Summary'!$B$20*1000</x:f>
        <x:v>1.0234751931340098</x:v>
      </x:c>
      <x:c r="G21" s="12" t="n">
        <x:v>4967.77551020475</x:v>
      </x:c>
      <x:c r="H21" s="12" t="n">
        <x:v>5689.000000014901</x:v>
      </x:c>
      <x:c r="I21" s="12" t="n">
        <x:v>6500.000000014901</x:v>
      </x:c>
      <x:c r="J21" s="12" t="n">
        <x:v>3663.5755102068792</x:v>
      </x:c>
      <x:c r="K21" s="2" t="n">
        <x:v>4967.77551020475</x:v>
      </x:c>
      <x:c r="L21" s="2" t="n">
        <x:v>5689.000000014901</x:v>
      </x:c>
      <x:c r="M21" s="2" t="n">
        <x:v>6500.000000014901</x:v>
      </x:c>
      <x:c r="N21" s="12" t="n">
        <x:v>3663.5755102068792</x:v>
      </x:c>
      <x:c r="O21" s="12" t="n">
        <x:v>4284.000000059605</x:v>
      </x:c>
      <x:c r="P21" s="12" t="n">
        <x:v>5212.000000014901</x:v>
      </x:c>
      <x:c r="Q21" s="8" t="n">
        <x:f>S21/'Summary'!$B$20*1000</x:f>
        <x:v>1.1968001519912739</x:v>
      </x:c>
      <x:c r="R21" s="8" t="n">
        <x:f>T21/'Summary'!$B$20*1000</x:f>
        <x:v>1.4560509785503188</x:v>
      </x:c>
      <x:c r="S21" s="12" t="n">
        <x:v>4284.000000059605</x:v>
      </x:c>
      <x:c r="T21" s="12" t="n">
        <x:v>5212.000000014901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0.4661714359374605</x:v>
      </x:c>
      <x:c r="D22" s="8" t="n">
        <x:f>L22/'Summary'!$B$20*1000</x:f>
        <x:v>0.5425270530234712</x:v>
      </x:c>
      <x:c r="E22" s="8" t="n">
        <x:f>M22/'Summary'!$B$20*1000</x:f>
        <x:v>0.6498032571178739</x:v>
      </x:c>
      <x:c r="F22" s="8" t="n">
        <x:f>J22/'Summary'!$B$20*1000</x:f>
        <x:v>0.46519650869995766</x:v>
      </x:c>
      <x:c r="G22" s="12" t="n">
        <x:v>1668.6816326527571</x:v>
      </x:c>
      <x:c r="H22" s="12" t="n">
        <x:v>1942.0000000149012</x:v>
      </x:c>
      <x:c r="I22" s="12" t="n">
        <x:v>2326</x:v>
      </x:c>
      <x:c r="J22" s="12" t="n">
        <x:v>1665.1918367343899</x:v>
      </x:c>
      <x:c r="K22" s="2" t="n">
        <x:v>1668.6816326527571</x:v>
      </x:c>
      <x:c r="L22" s="2" t="n">
        <x:v>1942.0000000149012</x:v>
      </x:c>
      <x:c r="M22" s="2" t="n">
        <x:v>2326</x:v>
      </x:c>
      <x:c r="N22" s="12" t="n">
        <x:v>1665.1918367343899</x:v>
      </x:c>
      <x:c r="O22" s="12" t="n">
        <x:v>1942.0000000149012</x:v>
      </x:c>
      <x:c r="P22" s="12" t="n">
        <x:v>2326</x:v>
      </x:c>
      <x:c r="Q22" s="8" t="n">
        <x:f>S22/'Summary'!$B$20*1000</x:f>
        <x:v>0.5425270530234712</x:v>
      </x:c>
      <x:c r="R22" s="8" t="n">
        <x:f>T22/'Summary'!$B$20*1000</x:f>
        <x:v>0.6498032571178739</x:v>
      </x:c>
      <x:c r="S22" s="12" t="n">
        <x:v>1942.0000000149012</x:v>
      </x:c>
      <x:c r="T22" s="12" t="n">
        <x:v>2326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3.8632364089372535</x:v>
      </x:c>
      <x:c r="D23" s="8" t="n">
        <x:f>L23/'Summary'!$B$20*1000</x:f>
        <x:v>4.821841882142815</x:v>
      </x:c>
      <x:c r="E23" s="8" t="n">
        <x:f>M23/'Summary'!$B$20*1000</x:f>
        <x:v>10.71756326572232</x:v>
      </x:c>
      <x:c r="F23" s="8" t="n">
        <x:f>J23/'Summary'!$B$20*1000</x:f>
        <x:v>3.8478325585847415</x:v>
      </x:c>
      <x:c r="G23" s="12" t="n">
        <x:v>13828.6285714293</x:v>
      </x:c>
      <x:c r="H23" s="12" t="n">
        <x:v>17260.0000000149</x:v>
      </x:c>
      <x:c r="I23" s="12" t="n">
        <x:v>38364</x:v>
      </x:c>
      <x:c r="J23" s="12" t="n">
        <x:v>13773.489795919219</x:v>
      </x:c>
      <x:c r="K23" s="2" t="n">
        <x:v>13828.6285714293</x:v>
      </x:c>
      <x:c r="L23" s="2" t="n">
        <x:v>17260.0000000149</x:v>
      </x:c>
      <x:c r="M23" s="2" t="n">
        <x:v>38364</x:v>
      </x:c>
      <x:c r="N23" s="12" t="n">
        <x:v>13773.489795919219</x:v>
      </x:c>
      <x:c r="O23" s="12" t="n">
        <x:v>17260.0000000149</x:v>
      </x:c>
      <x:c r="P23" s="12" t="n">
        <x:v>38193</x:v>
      </x:c>
      <x:c r="Q23" s="8" t="n">
        <x:f>S23/'Summary'!$B$20*1000</x:f>
        <x:v>4.821841882142815</x:v>
      </x:c>
      <x:c r="R23" s="8" t="n">
        <x:f>T23/'Summary'!$B$20*1000</x:f>
        <x:v>10.669791831084677</x:v>
      </x:c>
      <x:c r="S23" s="12" t="n">
        <x:v>17260.0000000149</x:v>
      </x:c>
      <x:c r="T23" s="12" t="n">
        <x:v>38193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0.6950330393433427</x:v>
      </x:c>
      <x:c r="D24" s="8" t="n">
        <x:f>L24/'Summary'!$B$20*1000</x:f>
        <x:v>3.046755942449362</x:v>
      </x:c>
      <x:c r="E24" s="8" t="n">
        <x:f>M24/'Summary'!$B$20*1000</x:f>
        <x:v>3.49988615871154</x:v>
      </x:c>
      <x:c r="F24" s="8" t="n">
        <x:f>J24/'Summary'!$B$20*1000</x:f>
        <x:v>0.6897684322607931</x:v>
      </x:c>
      <x:c r="G24" s="12" t="n">
        <x:v>2487.9020408162655</x:v>
      </x:c>
      <x:c r="H24" s="12" t="n">
        <x:v>10906.000000014901</x:v>
      </x:c>
      <x:c r="I24" s="12" t="n">
        <x:v>12527.999999985099</x:v>
      </x:c>
      <x:c r="J24" s="12" t="n">
        <x:v>2469.0571428569606</x:v>
      </x:c>
      <x:c r="K24" s="2" t="n">
        <x:v>2487.9020408162655</x:v>
      </x:c>
      <x:c r="L24" s="2" t="n">
        <x:v>10906.000000014901</x:v>
      </x:c>
      <x:c r="M24" s="2" t="n">
        <x:v>12527.999999985099</x:v>
      </x:c>
      <x:c r="N24" s="12" t="n">
        <x:v>2469.0571428569606</x:v>
      </x:c>
      <x:c r="O24" s="12" t="n">
        <x:v>10735.000000014901</x:v>
      </x:c>
      <x:c r="P24" s="12" t="n">
        <x:v>12357</x:v>
      </x:c>
      <x:c r="Q24" s="8" t="n">
        <x:f>S24/'Summary'!$B$20*1000</x:f>
        <x:v>2.9989845078117194</x:v>
      </x:c>
      <x:c r="R24" s="8" t="n">
        <x:f>T24/'Summary'!$B$20*1000</x:f>
        <x:v>3.45211472407806</x:v>
      </x:c>
      <x:c r="S24" s="12" t="n">
        <x:v>10735.000000014901</x:v>
      </x:c>
      <x:c r="T24" s="12" t="n">
        <x:v>12357</x:v>
      </x:c>
    </x:row>
    <x:row r="25" ht="24" customHeight="1">
      <x:c r="A25" s="2" t="str">
        <x:v>GameAudio_Tick</x:v>
      </x:c>
      <x:c r="B25" s="8" t="n">
        <x:v>2.012244897959184</x:v>
      </x:c>
      <x:c r="C25" s="8" t="n">
        <x:f>K25/'Summary'!$B$20*1000</x:f>
        <x:v>0.9777596576876872</x:v>
      </x:c>
      <x:c r="D25" s="8" t="n">
        <x:f>L25/'Summary'!$B$20*1000</x:f>
        <x:v>1.2079747565640602</x:v>
      </x:c>
      <x:c r="E25" s="8" t="n">
        <x:f>M25/'Summary'!$B$20*1000</x:f>
        <x:v>2.0226034314458685</x:v>
      </x:c>
      <x:c r="F25" s="8" t="n">
        <x:f>J25/'Summary'!$B$20*1000</x:f>
        <x:v>0.9777596576876872</x:v>
      </x:c>
      <x:c r="G25" s="12" t="n">
        <x:v>1739.3184584179103</x:v>
      </x:c>
      <x:c r="H25" s="12" t="n">
        <x:v>4151.000000014901</x:v>
      </x:c>
      <x:c r="I25" s="12" t="n">
        <x:v>7081</x:v>
      </x:c>
      <x:c r="J25" s="12" t="n">
        <x:v>3499.9346938776725</x:v>
      </x:c>
      <x:c r="K25" s="2" t="n">
        <x:v>3499.9346938776725</x:v>
      </x:c>
      <x:c r="L25" s="2" t="n">
        <x:v>4323.999999985099</x:v>
      </x:c>
      <x:c r="M25" s="2" t="n">
        <x:v>7240.000000014901</x:v>
      </x:c>
      <x:c r="N25" s="12" t="n">
        <x:v>1739.3184584179103</x:v>
      </x:c>
      <x:c r="O25" s="12" t="n">
        <x:v>4151.000000014901</x:v>
      </x:c>
      <x:c r="P25" s="12" t="n">
        <x:v>7081</x:v>
      </x:c>
      <x:c r="Q25" s="8" t="n">
        <x:f>S25/'Summary'!$B$20*1000</x:f>
        <x:v>1.2079747565640602</x:v>
      </x:c>
      <x:c r="R25" s="8" t="n">
        <x:f>T25/'Summary'!$B$20*1000</x:f>
        <x:v>2.0226034314458685</x:v>
      </x:c>
      <x:c r="S25" s="12" t="n">
        <x:v>4323.999999985099</x:v>
      </x:c>
      <x:c r="T25" s="12" t="n">
        <x:v>7240.000000014901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0.23679671293299454</x:v>
      </x:c>
      <x:c r="D26" s="8" t="n">
        <x:f>L26/'Summary'!$B$20*1000</x:f>
        <x:v>0.7785905750591207</x:v>
      </x:c>
      <x:c r="E26" s="8" t="n">
        <x:f>M26/'Summary'!$B$20*1000</x:f>
        <x:v>0.8372572491755238</x:v>
      </x:c>
      <x:c r="F26" s="8" t="n">
        <x:f>J26/'Summary'!$B$20*1000</x:f>
        <x:v>0.23543181480049047</x:v>
      </x:c>
      <x:c r="G26" s="12" t="n">
        <x:v>847.6244897957359</x:v>
      </x:c>
      <x:c r="H26" s="12" t="n">
        <x:v>2787</x:v>
      </x:c>
      <x:c r="I26" s="12" t="n">
        <x:v>2997</x:v>
      </x:c>
      <x:c r="J26" s="12" t="n">
        <x:v>842.7387755100216</x:v>
      </x:c>
      <x:c r="K26" s="2" t="n">
        <x:v>847.6244897957359</x:v>
      </x:c>
      <x:c r="L26" s="2" t="n">
        <x:v>2787</x:v>
      </x:c>
      <x:c r="M26" s="2" t="n">
        <x:v>2997</x:v>
      </x:c>
      <x:c r="N26" s="12" t="n">
        <x:v>842.7387755100216</x:v>
      </x:c>
      <x:c r="O26" s="12" t="n">
        <x:v>2764</x:v>
      </x:c>
      <x:c r="P26" s="12" t="n">
        <x:v>2830.000000014901</x:v>
      </x:c>
      <x:c r="Q26" s="8" t="n">
        <x:f>S26/'Summary'!$B$20*1000</x:f>
        <x:v>0.7721651774178003</x:v>
      </x:c>
      <x:c r="R26" s="8" t="n">
        <x:f>T26/'Summary'!$B$20*1000</x:f>
        <x:v>0.7906032750014041</x:v>
      </x:c>
      <x:c r="S26" s="12" t="n">
        <x:v>2764</x:v>
      </x:c>
      <x:c r="T26" s="12" t="n">
        <x:v>2830.000000014901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0.46350549455596335</x:v>
      </x:c>
      <x:c r="D27" s="8" t="n">
        <x:f>L27/'Summary'!$B$20*1000</x:f>
        <x:v>0.4665397417869872</x:v>
      </x:c>
      <x:c r="E27" s="8" t="n">
        <x:f>M27/'Summary'!$B$20*1000</x:f>
        <x:v>0.4665397417869872</x:v>
      </x:c>
      <x:c r="F27" s="8" t="n">
        <x:f>J27/'Summary'!$B$20*1000</x:f>
        <x:v>0.46350549455596335</x:v>
      </x:c>
      <x:c r="G27" s="12" t="n">
        <x:v>1659.1387755103258</x:v>
      </x:c>
      <x:c r="H27" s="12" t="n">
        <x:v>1670.0000000149012</x:v>
      </x:c>
      <x:c r="I27" s="12" t="n">
        <x:v>1670.0000000149012</x:v>
      </x:c>
      <x:c r="J27" s="12" t="n">
        <x:v>1659.1387755103258</x:v>
      </x:c>
      <x:c r="K27" s="2" t="n">
        <x:v>1659.1387755103258</x:v>
      </x:c>
      <x:c r="L27" s="2" t="n">
        <x:v>1670.0000000149012</x:v>
      </x:c>
      <x:c r="M27" s="2" t="n">
        <x:v>1670.0000000149012</x:v>
      </x:c>
      <x:c r="N27" s="12" t="n">
        <x:v>1659.1387755103258</x:v>
      </x:c>
      <x:c r="O27" s="12" t="n">
        <x:v>1670.0000000149012</x:v>
      </x:c>
      <x:c r="P27" s="12" t="n">
        <x:v>1670.0000000149012</x:v>
      </x:c>
      <x:c r="Q27" s="8" t="n">
        <x:f>S27/'Summary'!$B$20*1000</x:f>
        <x:v>0.4665397417869872</x:v>
      </x:c>
      <x:c r="R27" s="8" t="n">
        <x:f>T27/'Summary'!$B$20*1000</x:f>
        <x:v>0.4665397417869872</x:v>
      </x:c>
      <x:c r="S27" s="12" t="n">
        <x:v>1670.0000000149012</x:v>
      </x:c>
      <x:c r="T27" s="12" t="n">
        <x:v>1670.0000000149012</x:v>
      </x:c>
    </x:row>
    <x:row r="28" ht="24" customHeight="1">
      <x:c r="A28" s="2" t="str">
        <x:v>GameSession_InputTick</x:v>
      </x:c>
      <x:c r="B28" s="8" t="n">
        <x:v>2.012244897959184</x:v>
      </x:c>
      <x:c r="C28" s="8" t="n">
        <x:f>K28/'Summary'!$B$20*1000</x:f>
        <x:v>0.0427234780522647</x:v>
      </x:c>
      <x:c r="D28" s="8" t="n">
        <x:f>L28/'Summary'!$B$20*1000</x:f>
        <x:v>0.042463497464007946</x:v>
      </x:c>
      <x:c r="E28" s="8" t="n">
        <x:f>M28/'Summary'!$B$20*1000</x:f>
        <x:v>0.0849269949155273</x:v>
      </x:c>
      <x:c r="F28" s="8" t="n">
        <x:f>J28/'Summary'!$B$20*1000</x:f>
        <x:v>0.0427234780522647</x:v>
      </x:c>
      <x:c r="G28" s="12" t="n">
        <x:v>75.99999999984887</x:v>
      </x:c>
      <x:c r="H28" s="12" t="n">
        <x:v>76.00000001490116</x:v>
      </x:c>
      <x:c r="I28" s="12" t="n">
        <x:v>76.00000002980232</x:v>
      </x:c>
      <x:c r="J28" s="12" t="n">
        <x:v>152.93061224459385</x:v>
      </x:c>
      <x:c r="K28" s="2" t="n">
        <x:v>152.93061224459385</x:v>
      </x:c>
      <x:c r="L28" s="2" t="n">
        <x:v>152.00000002980232</x:v>
      </x:c>
      <x:c r="M28" s="2" t="n">
        <x:v>304.00000001490116</x:v>
      </x:c>
      <x:c r="N28" s="12" t="n">
        <x:v>75.99999999984887</x:v>
      </x:c>
      <x:c r="O28" s="12" t="n">
        <x:v>76.00000001490116</x:v>
      </x:c>
      <x:c r="P28" s="12" t="n">
        <x:v>76.00000002980232</x:v>
      </x:c>
      <x:c r="Q28" s="8" t="n">
        <x:f>S28/'Summary'!$B$20*1000</x:f>
        <x:v>0.042463497464007946</x:v>
      </x:c>
      <x:c r="R28" s="8" t="n">
        <x:f>T28/'Summary'!$B$20*1000</x:f>
        <x:v>0.0849269949155273</x:v>
      </x:c>
      <x:c r="S28" s="12" t="n">
        <x:v>152.00000002980232</x:v>
      </x:c>
      <x:c r="T28" s="12" t="n">
        <x:v>304.00000001490116</x:v>
      </x:c>
    </x:row>
    <x:row r="29" ht="24" customHeight="1">
      <x:c r="A29" s="2" t="str">
        <x:v>GameSession_SharedSprite</x:v>
      </x:c>
      <x:c r="B29" s="8" t="n">
        <x:v>1.3877551020408163</x:v>
      </x:c>
      <x:c r="C29" s="8" t="n">
        <x:f>K29/'Summary'!$B$20*1000</x:f>
        <x:v>0.15515824451665808</x:v>
      </x:c>
      <x:c r="D29" s="8" t="n">
        <x:f>L29/'Summary'!$B$20*1000</x:f>
        <x:v>0.46039370925634404</x:v>
      </x:c>
      <x:c r="E29" s="8" t="n">
        <x:f>M29/'Summary'!$B$20*1000</x:f>
        <x:v>0.4603937092729955</x:v>
      </x:c>
      <x:c r="F29" s="8" t="n">
        <x:f>J29/'Summary'!$B$20*1000</x:f>
        <x:v>0.15515824451665808</x:v>
      </x:c>
      <x:c r="G29" s="12" t="n">
        <x:v>400.21176470662743</x:v>
      </x:c>
      <x:c r="H29" s="12" t="n">
        <x:v>412.00000001490116</x:v>
      </x:c>
      <x:c r="I29" s="12" t="n">
        <x:v>412.00000001490116</x:v>
      </x:c>
      <x:c r="J29" s="12" t="n">
        <x:v>555.3959183683809</x:v>
      </x:c>
      <x:c r="K29" s="2" t="n">
        <x:v>555.3959183683809</x:v>
      </x:c>
      <x:c r="L29" s="2" t="n">
        <x:v>1648</x:v>
      </x:c>
      <x:c r="M29" s="2" t="n">
        <x:v>1648.0000000596046</x:v>
      </x:c>
      <x:c r="N29" s="12" t="n">
        <x:v>400.21176470662743</x:v>
      </x:c>
      <x:c r="O29" s="12" t="n">
        <x:v>412.00000001490116</x:v>
      </x:c>
      <x:c r="P29" s="12" t="n">
        <x:v>412.00000001490116</x:v>
      </x:c>
      <x:c r="Q29" s="8" t="n">
        <x:f>S29/'Summary'!$B$20*1000</x:f>
        <x:v>0.46039370925634404</x:v>
      </x:c>
      <x:c r="R29" s="8" t="n">
        <x:f>T29/'Summary'!$B$20*1000</x:f>
        <x:v>0.4603937092729955</x:v>
      </x:c>
      <x:c r="S29" s="12" t="n">
        <x:v>1648</x:v>
      </x:c>
      <x:c r="T29" s="12" t="n">
        <x:v>1648.0000000596046</x:v>
      </x:c>
    </x:row>
    <x:row r="30" ht="24" customHeight="1">
      <x:c r="A30" s="2" t="str">
        <x:v>GameSession_FlagBlinkUpload</x:v>
      </x:c>
      <x:c r="B30" s="8" t="n">
        <x:v>0.2</x:v>
      </x:c>
      <x:c r="C30" s="8" t="n">
        <x:f>K30/'Summary'!$B$20*1000</x:f>
        <x:v>0.024561324790560068</x:v>
      </x:c>
      <x:c r="D30" s="8" t="n">
        <x:f>L30/'Summary'!$B$20*1000</x:f>
        <x:v>0.12403811098896649</x:v>
      </x:c>
      <x:c r="E30" s="8" t="n">
        <x:f>M30/'Summary'!$B$20*1000</x:f>
        <x:v>0.12403811099312932</x:v>
      </x:c>
      <x:c r="F30" s="8" t="n">
        <x:f>J30/'Summary'!$B$20*1000</x:f>
        <x:v>0.024561324790560068</x:v>
      </x:c>
      <x:c r="G30" s="12" t="n">
        <x:v>439.5918367371267</x:v>
      </x:c>
      <x:c r="H30" s="12" t="n">
        <x:v>444.00000001490116</x:v>
      </x:c>
      <x:c r="I30" s="12" t="n">
        <x:v>444.00000001490116</x:v>
      </x:c>
      <x:c r="J30" s="12" t="n">
        <x:v>87.91836734742535</x:v>
      </x:c>
      <x:c r="K30" s="2" t="n">
        <x:v>87.91836734742535</x:v>
      </x:c>
      <x:c r="L30" s="2" t="n">
        <x:v>444</x:v>
      </x:c>
      <x:c r="M30" s="2" t="n">
        <x:v>444.00000001490116</x:v>
      </x:c>
      <x:c r="N30" s="12" t="n">
        <x:v>439.5918367371267</x:v>
      </x:c>
      <x:c r="O30" s="12" t="n">
        <x:v>444.00000001490116</x:v>
      </x:c>
      <x:c r="P30" s="12" t="n">
        <x:v>444.00000001490116</x:v>
      </x:c>
      <x:c r="Q30" s="8" t="n">
        <x:f>S30/'Summary'!$B$20*1000</x:f>
        <x:v>0.12403811098896649</x:v>
      </x:c>
      <x:c r="R30" s="8" t="n">
        <x:f>T30/'Summary'!$B$20*1000</x:f>
        <x:v>0.12403811099312932</x:v>
      </x:c>
      <x:c r="S30" s="12" t="n">
        <x:v>444</x:v>
      </x:c>
      <x:c r="T30" s="12" t="n">
        <x:v>444.00000001490116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0.7145794752560128</x:v>
      </x:c>
      <x:c r="D31" s="8" t="n">
        <x:f>L31/'Summary'!$B$20*1000</x:f>
        <x:v>0.7654604146616399</x:v>
      </x:c>
      <x:c r="E31" s="8" t="n">
        <x:f>M31/'Summary'!$B$20*1000</x:f>
        <x:v>0.7654604146658028</x:v>
      </x:c>
      <x:c r="F31" s="8" t="n">
        <x:f>J31/'Summary'!$B$20*1000</x:f>
        <x:v>0.7100948099634824</x:v>
      </x:c>
      <x:c r="G31" s="12" t="n">
        <x:v>2557.8693877552846</x:v>
      </x:c>
      <x:c r="H31" s="12" t="n">
        <x:v>2740</x:v>
      </x:c>
      <x:c r="I31" s="12" t="n">
        <x:v>2740.000000014901</x:v>
      </x:c>
      <x:c r="J31" s="12" t="n">
        <x:v>2541.816326530734</x:v>
      </x:c>
      <x:c r="K31" s="2" t="n">
        <x:v>2557.8693877552846</x:v>
      </x:c>
      <x:c r="L31" s="2" t="n">
        <x:v>2740</x:v>
      </x:c>
      <x:c r="M31" s="2" t="n">
        <x:v>2740.000000014901</x:v>
      </x:c>
      <x:c r="N31" s="12" t="n">
        <x:v>2541.816326530734</x:v>
      </x:c>
      <x:c r="O31" s="12" t="n">
        <x:v>2569</x:v>
      </x:c>
      <x:c r="P31" s="12" t="n">
        <x:v>2569.000000014901</x:v>
      </x:c>
      <x:c r="Q31" s="8" t="n">
        <x:f>S31/'Summary'!$B$20*1000</x:f>
        <x:v>0.7176889800239975</x:v>
      </x:c>
      <x:c r="R31" s="8" t="n">
        <x:f>T31/'Summary'!$B$20*1000</x:f>
        <x:v>0.7176889800281604</x:v>
      </x:c>
      <x:c r="S31" s="12" t="n">
        <x:v>2569</x:v>
      </x:c>
      <x:c r="T31" s="12" t="n">
        <x:v>2569.000000014901</x:v>
      </x:c>
    </x:row>
    <x:row r="32" ht="24" customHeight="1">
      <x:c r="A32" s="2" t="str">
        <x:v>GameBoundary_Upload</x:v>
      </x:c>
      <x:c r="B32" s="8" t="n">
        <x:v>0.10204081632653061</x:v>
      </x:c>
      <x:c r="C32" s="8" t="n">
        <x:f>K32/'Summary'!$B$20*1000</x:f>
        <x:v>0.35915407216992346</x:v>
      </x:c>
      <x:c r="D32" s="8" t="n">
        <x:f>L32/'Summary'!$B$20*1000</x:f>
        <x:v>3.5459814026643053</x:v>
      </x:c>
      <x:c r="E32" s="8" t="n">
        <x:f>M32/'Summary'!$B$20*1000</x:f>
        <x:v>4.08040686734909</x:v>
      </x:c>
      <x:c r="F32" s="8" t="n">
        <x:f>J32/'Summary'!$B$20*1000</x:f>
        <x:v>0.35915407216992346</x:v>
      </x:c>
      <x:c r="G32" s="12" t="n">
        <x:v>12598.960000001789</x:v>
      </x:c>
      <x:c r="H32" s="12" t="n">
        <x:v>14175.000000014901</x:v>
      </x:c>
      <x:c r="I32" s="12" t="n">
        <x:v>14605.999999985099</x:v>
      </x:c>
      <x:c r="J32" s="12" t="n">
        <x:v>1285.6081632654887</x:v>
      </x:c>
      <x:c r="K32" s="2" t="n">
        <x:v>1285.6081632654887</x:v>
      </x:c>
      <x:c r="L32" s="2" t="n">
        <x:v>12693</x:v>
      </x:c>
      <x:c r="M32" s="2" t="n">
        <x:v>14605.999999985099</x:v>
      </x:c>
      <x:c r="N32" s="12" t="n">
        <x:v>12598.960000001789</x:v>
      </x:c>
      <x:c r="O32" s="12" t="n">
        <x:v>14175.000000014901</x:v>
      </x:c>
      <x:c r="P32" s="12" t="n">
        <x:v>14605.999999985099</x:v>
      </x:c>
      <x:c r="Q32" s="8" t="n">
        <x:f>S32/'Summary'!$B$20*1000</x:f>
        <x:v>3.5459814026643053</x:v>
      </x:c>
      <x:c r="R32" s="8" t="n">
        <x:f>T32/'Summary'!$B$20*1000</x:f>
        <x:v>4.08040686734909</x:v>
      </x:c>
      <x:c r="S32" s="12" t="n">
        <x:v>12693</x:v>
      </x:c>
      <x:c r="T32" s="12" t="n">
        <x:v>14605.999999985099</x:v>
      </x:c>
    </x:row>
    <x:row r="33" ht="24" customHeight="1">
      <x:c r="A33" s="2" t="str">
        <x:v>Session_SaveMotion</x:v>
      </x:c>
      <x:c r="B33" s="8" t="n">
        <x:v>1.0040816326530613</x:v>
      </x:c>
      <x:c r="C33" s="8" t="n">
        <x:f>K33/'Summary'!$B$20*1000</x:f>
        <x:v>0.05055482339403494</x:v>
      </x:c>
      <x:c r="D33" s="8" t="n">
        <x:f>L33/'Summary'!$B$20*1000</x:f>
        <x:v>0.3419429005641778</x:v>
      </x:c>
      <x:c r="E33" s="8" t="n">
        <x:f>M33/'Summary'!$B$20*1000</x:f>
        <x:v>0.3447365517167409</x:v>
      </x:c>
      <x:c r="F33" s="8" t="n">
        <x:f>J33/'Summary'!$B$20*1000</x:f>
        <x:v>0.05055482339403494</x:v>
      </x:c>
      <x:c r="G33" s="12" t="n">
        <x:v>180.22764227630162</x:v>
      </x:c>
      <x:c r="H33" s="12" t="n">
        <x:v>1224</x:v>
      </x:c>
      <x:c r="I33" s="12" t="n">
        <x:v>1234.0000000149012</x:v>
      </x:c>
      <x:c r="J33" s="12" t="n">
        <x:v>180.9632653060008</x:v>
      </x:c>
      <x:c r="K33" s="2" t="n">
        <x:v>180.9632653060008</x:v>
      </x:c>
      <x:c r="L33" s="2" t="n">
        <x:v>1224</x:v>
      </x:c>
      <x:c r="M33" s="2" t="n">
        <x:v>1234.0000000149012</x:v>
      </x:c>
      <x:c r="N33" s="12" t="n">
        <x:v>180.22764227630162</x:v>
      </x:c>
      <x:c r="O33" s="12" t="n">
        <x:v>1224</x:v>
      </x:c>
      <x:c r="P33" s="12" t="n">
        <x:v>1234.0000000149012</x:v>
      </x:c>
      <x:c r="Q33" s="8" t="n">
        <x:f>S33/'Summary'!$B$20*1000</x:f>
        <x:v>0.3419429005641778</x:v>
      </x:c>
      <x:c r="R33" s="8" t="n">
        <x:f>T33/'Summary'!$B$20*1000</x:f>
        <x:v>0.3447365517167409</x:v>
      </x:c>
      <x:c r="S33" s="12" t="n">
        <x:v>1224</x:v>
      </x:c>
      <x:c r="T33" s="12" t="n">
        <x:v>1234.0000000149012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1.0040816326530613</x:v>
      </x:c>
      <x:c r="C35" s="8" t="n">
        <x:f>K35/'Summary'!$B$20*1000</x:f>
        <x:v>0.02108693497450221</x:v>
      </x:c>
      <x:c r="D35" s="8" t="n">
        <x:f>L35/'Summary'!$B$20*1000</x:f>
        <x:v>0.19415875481381015</x:v>
      </x:c>
      <x:c r="E35" s="8" t="n">
        <x:f>M35/'Summary'!$B$20*1000</x:f>
        <x:v>0.21064129659353384</x:v>
      </x:c>
      <x:c r="F35" s="8" t="n">
        <x:f>J35/'Summary'!$B$20*1000</x:f>
        <x:v>0.02108693497450221</x:v>
      </x:c>
      <x:c r="G35" s="12" t="n">
        <x:v>75.17479674820977</x:v>
      </x:c>
      <x:c r="H35" s="12" t="n">
        <x:v>695</x:v>
      </x:c>
      <x:c r="I35" s="12" t="n">
        <x:v>754.0000000149012</x:v>
      </x:c>
      <x:c r="J35" s="12" t="n">
        <x:v>75.48163265330452</x:v>
      </x:c>
      <x:c r="K35" s="2" t="n">
        <x:v>75.48163265330452</x:v>
      </x:c>
      <x:c r="L35" s="2" t="n">
        <x:v>695</x:v>
      </x:c>
      <x:c r="M35" s="2" t="n">
        <x:v>754.0000000149012</x:v>
      </x:c>
      <x:c r="N35" s="12" t="n">
        <x:v>75.17479674820977</x:v>
      </x:c>
      <x:c r="O35" s="12" t="n">
        <x:v>695</x:v>
      </x:c>
      <x:c r="P35" s="12" t="n">
        <x:v>754.0000000149012</x:v>
      </x:c>
      <x:c r="Q35" s="8" t="n">
        <x:f>S35/'Summary'!$B$20*1000</x:f>
        <x:v>0.19415875481381015</x:v>
      </x:c>
      <x:c r="R35" s="8" t="n">
        <x:f>T35/'Summary'!$B$20*1000</x:f>
        <x:v>0.21064129659353384</x:v>
      </x:c>
      <x:c r="S35" s="12" t="n">
        <x:v>695</x:v>
      </x:c>
      <x:c r="T35" s="12" t="n">
        <x:v>754.0000000149012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0.01696259366674176</x:v>
      </x:c>
      <x:c r="D36" s="8" t="n">
        <x:f>L36/'Summary'!$B$20*1000</x:f>
        <x:v>0.03184762309176166</x:v>
      </x:c>
      <x:c r="E36" s="8" t="n">
        <x:f>M36/'Summary'!$B$20*1000</x:f>
        <x:v>0.03184762309592453</x:v>
      </x:c>
      <x:c r="F36" s="8" t="n">
        <x:f>J36/'Summary'!$B$20*1000</x:f>
        <x:v>0.01696259366674176</x:v>
      </x:c>
      <x:c r="G36" s="12" t="n">
        <x:v>60.71836734681713</x:v>
      </x:c>
      <x:c r="H36" s="12" t="n">
        <x:v>114</x:v>
      </x:c>
      <x:c r="I36" s="12" t="n">
        <x:v>114.00000001490116</x:v>
      </x:c>
      <x:c r="J36" s="12" t="n">
        <x:v>60.71836734681713</x:v>
      </x:c>
      <x:c r="K36" s="2" t="n">
        <x:v>60.71836734681713</x:v>
      </x:c>
      <x:c r="L36" s="2" t="n">
        <x:v>114</x:v>
      </x:c>
      <x:c r="M36" s="2" t="n">
        <x:v>114.00000001490116</x:v>
      </x:c>
      <x:c r="N36" s="12" t="n">
        <x:v>60.71836734681713</x:v>
      </x:c>
      <x:c r="O36" s="12" t="n">
        <x:v>114</x:v>
      </x:c>
      <x:c r="P36" s="12" t="n">
        <x:v>114.00000001490116</x:v>
      </x:c>
      <x:c r="Q36" s="8" t="n">
        <x:f>S36/'Summary'!$B$20*1000</x:f>
        <x:v>0.03184762309176166</x:v>
      </x:c>
      <x:c r="R36" s="8" t="n">
        <x:f>T36/'Summary'!$B$20*1000</x:f>
        <x:v>0.03184762309592453</x:v>
      </x:c>
      <x:c r="S36" s="12" t="n">
        <x:v>114</x:v>
      </x:c>
      <x:c r="T36" s="12" t="n">
        <x:v>114.00000001490116</x:v>
      </x:c>
    </x:row>
    <x:row r="37" ht="24" customHeight="1">
      <x:c r="A37" s="2" t="str">
        <x:v>GameSession_SpecialOverlay</x:v>
      </x:c>
      <x:c r="B37" s="8" t="n">
        <x:v>0.5591836734693878</x:v>
      </x:c>
      <x:c r="C37" s="8" t="n">
        <x:f>K37/'Summary'!$B$20*1000</x:f>
        <x:v>0.028896615266465205</x:v>
      </x:c>
      <x:c r="D37" s="8" t="n">
        <x:f>L37/'Summary'!$B$20*1000</x:f>
        <x:v>0.051682546249565565</x:v>
      </x:c>
      <x:c r="E37" s="8" t="n">
        <x:f>M37/'Summary'!$B$20*1000</x:f>
        <x:v>0.10699683897956272</x:v>
      </x:c>
      <x:c r="F37" s="8" t="n">
        <x:f>J37/'Summary'!$B$20*1000</x:f>
        <x:v>0.02870162981896462</x:v>
      </x:c>
      <x:c r="G37" s="12" t="n">
        <x:v>184.97810218999857</x:v>
      </x:c>
      <x:c r="H37" s="12" t="n">
        <x:v>185.00000001490116</x:v>
      </x:c>
      <x:c r="I37" s="12" t="n">
        <x:v>382.99999998509884</x:v>
      </x:c>
      <x:c r="J37" s="12" t="n">
        <x:v>102.73877551032572</x:v>
      </x:c>
      <x:c r="K37" s="2" t="n">
        <x:v>103.4367346939992</x:v>
      </x:c>
      <x:c r="L37" s="2" t="n">
        <x:v>185.00000001490116</x:v>
      </x:c>
      <x:c r="M37" s="2" t="n">
        <x:v>382.99999998509884</x:v>
      </x:c>
      <x:c r="N37" s="12" t="n">
        <x:v>183.7299270075168</x:v>
      </x:c>
      <x:c r="O37" s="12" t="n">
        <x:v>185.00000001490116</x:v>
      </x:c>
      <x:c r="P37" s="12" t="n">
        <x:v>211.99999998509884</x:v>
      </x:c>
      <x:c r="Q37" s="8" t="n">
        <x:f>S37/'Summary'!$B$20*1000</x:f>
        <x:v>0.051682546249565565</x:v>
      </x:c>
      <x:c r="R37" s="8" t="n">
        <x:f>T37/'Summary'!$B$20*1000</x:f>
        <x:v>0.059225404341920224</x:v>
      </x:c>
      <x:c r="S37" s="12" t="n">
        <x:v>185.00000001490116</x:v>
      </x:c>
      <x:c r="T37" s="12" t="n">
        <x:v>211.99999998509884</x:v>
      </x:c>
    </x:row>
    <x:row r="38" ht="24" customHeight="1">
      <x:c r="A38" s="2" t="str">
        <x:v>GameSession_RadarColor</x:v>
      </x:c>
      <x:c r="B38" s="8" t="n">
        <x:v>4</x:v>
      </x:c>
      <x:c r="C38" s="8" t="n">
        <x:f>K38/'Summary'!$B$20*1000</x:f>
        <x:v>0.22437237704965768</x:v>
      </x:c>
      <x:c r="D38" s="8" t="n">
        <x:f>L38/'Summary'!$B$20*1000</x:f>
        <x:v>0.22963812440265485</x:v>
      </x:c>
      <x:c r="E38" s="8" t="n">
        <x:f>M38/'Summary'!$B$20*1000</x:f>
        <x:v>0.28132067064805755</x:v>
      </x:c>
      <x:c r="F38" s="8" t="n">
        <x:f>J38/'Summary'!$B$20*1000</x:f>
        <x:v>0.22281249346965307</x:v>
      </x:c>
      <x:c r="G38" s="12" t="n">
        <x:v>200.78775510155424</x:v>
      </x:c>
      <x:c r="H38" s="12" t="n">
        <x:v>208.00000001490116</x:v>
      </x:c>
      <x:c r="I38" s="12" t="n">
        <x:v>409</x:v>
      </x:c>
      <x:c r="J38" s="12" t="n">
        <x:v>797.5673469368293</x:v>
      </x:c>
      <x:c r="K38" s="2" t="n">
        <x:v>803.151020406217</x:v>
      </x:c>
      <x:c r="L38" s="2" t="n">
        <x:v>822.0000000149012</x:v>
      </x:c>
      <x:c r="M38" s="2" t="n">
        <x:v>1007.0000000149012</x:v>
      </x:c>
      <x:c r="N38" s="12" t="n">
        <x:v>199.39183673420732</x:v>
      </x:c>
      <x:c r="O38" s="12" t="n">
        <x:v>208.00000001490116</x:v>
      </x:c>
      <x:c r="P38" s="12" t="n">
        <x:v>238</x:v>
      </x:c>
      <x:c r="Q38" s="8" t="n">
        <x:f>S38/'Summary'!$B$20*1000</x:f>
        <x:v>0.22907939416048623</x:v>
      </x:c>
      <x:c r="R38" s="8" t="n">
        <x:f>T38/'Summary'!$B$20*1000</x:f>
        <x:v>0.23354923601041505</x:v>
      </x:c>
      <x:c r="S38" s="12" t="n">
        <x:v>819.9999999701977</x:v>
      </x:c>
      <x:c r="T38" s="12" t="n">
        <x:v>836.0000000149012</x:v>
      </x:c>
    </x:row>
    <x:row r="39" ht="24" customHeight="1">
      <x:c r="A39" s="2" t="str">
        <x:v>GameSession_FlagNames</x:v>
      </x:c>
      <x:c r="B39" s="8" t="n">
        <x:v>1</x:v>
      </x:c>
      <x:c r="C39" s="8" t="n">
        <x:f>K39/'Summary'!$B$20*1000</x:f>
        <x:v>0.12254094202656199</x:v>
      </x:c>
      <x:c r="D39" s="8" t="n">
        <x:f>L39/'Summary'!$B$20*1000</x:f>
        <x:v>0.1251555714524894</x:v>
      </x:c>
      <x:c r="E39" s="8" t="n">
        <x:f>M39/'Summary'!$B$20*1000</x:f>
        <x:v>0.18130795953533232</x:v>
      </x:c>
      <x:c r="F39" s="8" t="n">
        <x:f>J39/'Summary'!$B$20*1000</x:f>
        <x:v>0.12098105844655732</x:v>
      </x:c>
      <x:c r="G39" s="12" t="n">
        <x:v>438.6408163264698</x:v>
      </x:c>
      <x:c r="H39" s="12" t="n">
        <x:v>448.00000001490116</x:v>
      </x:c>
      <x:c r="I39" s="12" t="n">
        <x:v>649.0000000149012</x:v>
      </x:c>
      <x:c r="J39" s="12" t="n">
        <x:v>433.05714285708206</x:v>
      </x:c>
      <x:c r="K39" s="2" t="n">
        <x:v>438.6408163264698</x:v>
      </x:c>
      <x:c r="L39" s="2" t="n">
        <x:v>448.00000001490116</x:v>
      </x:c>
      <x:c r="M39" s="2" t="n">
        <x:v>649.0000000149012</x:v>
      </x:c>
      <x:c r="N39" s="12" t="n">
        <x:v>433.05714285708206</x:v>
      </x:c>
      <x:c r="O39" s="12" t="n">
        <x:v>448.00000001490116</x:v>
      </x:c>
      <x:c r="P39" s="12" t="n">
        <x:v>478.00000001490116</x:v>
      </x:c>
      <x:c r="Q39" s="8" t="n">
        <x:f>S39/'Summary'!$B$20*1000</x:f>
        <x:v>0.1251555714524894</x:v>
      </x:c>
      <x:c r="R39" s="8" t="n">
        <x:f>T39/'Summary'!$B$20*1000</x:f>
        <x:v>0.13353652489768983</x:v>
      </x:c>
      <x:c r="S39" s="12" t="n">
        <x:v>448.00000001490116</x:v>
      </x:c>
      <x:c r="T39" s="12" t="n">
        <x:v>478.00000001490116</x:v>
      </x:c>
    </x:row>
    <x:row r="40" ht="24" customHeight="1">
      <x:c r="A40" s="2" t="str">
        <x:v>GameSession_FlagUpload</x:v>
      </x:c>
      <x:c r="B40" s="8" t="n">
        <x:v>1</x:v>
      </x:c>
      <x:c r="C40" s="8" t="n">
        <x:f>K40/'Summary'!$B$20*1000</x:f>
        <x:v>0.38713847481634994</x:v>
      </x:c>
      <x:c r="D40" s="8" t="n">
        <x:f>L40/'Summary'!$B$20*1000</x:f>
        <x:v>1.4119112903972708</x:v>
      </x:c>
      <x:c r="E40" s="8" t="n">
        <x:f>M40/'Summary'!$B$20*1000</x:f>
        <x:v>1.4655493924507166</x:v>
      </x:c>
      <x:c r="F40" s="8" t="n">
        <x:f>J40/'Summary'!$B$20*1000</x:f>
        <x:v>0.36238216457828926</x:v>
      </x:c>
      <x:c r="G40" s="12" t="n">
        <x:v>1385.7795918364914</x:v>
      </x:c>
      <x:c r="H40" s="12" t="n">
        <x:v>5053.999999985099</x:v>
      </x:c>
      <x:c r="I40" s="12" t="n">
        <x:v>5246</x:v>
      </x:c>
      <x:c r="J40" s="12" t="n">
        <x:v>1297.1632653053925</x:v>
      </x:c>
      <x:c r="K40" s="2" t="n">
        <x:v>1385.7795918364914</x:v>
      </x:c>
      <x:c r="L40" s="2" t="n">
        <x:v>5053.999999985099</x:v>
      </x:c>
      <x:c r="M40" s="2" t="n">
        <x:v>5246</x:v>
      </x:c>
      <x:c r="N40" s="12" t="n">
        <x:v>1297.1632653053925</x:v>
      </x:c>
      <x:c r="O40" s="12" t="n">
        <x:v>5053.999999985099</x:v>
      </x:c>
      <x:c r="P40" s="12" t="n">
        <x:v>5075</x:v>
      </x:c>
      <x:c r="Q40" s="8" t="n">
        <x:f>S40/'Summary'!$B$20*1000</x:f>
        <x:v>1.4119112903972708</x:v>
      </x:c>
      <x:c r="R40" s="8" t="n">
        <x:f>T40/'Summary'!$B$20*1000</x:f>
        <x:v>1.4177779578130738</x:v>
      </x:c>
      <x:c r="S40" s="12" t="n">
        <x:v>5053.999999985099</x:v>
      </x:c>
      <x:c r="T40" s="12" t="n">
        <x:v>5075</x:v>
      </x:c>
    </x:row>
    <x:row r="41" ht="24" customHeight="1">
      <x:c r="A41" s="2" t="str">
        <x:v>GameSession_LabelNames</x:v>
      </x:c>
      <x:c r="B41" s="8" t="n">
        <x:v>1</x:v>
      </x:c>
      <x:c r="C41" s="8" t="n">
        <x:f>K41/'Summary'!$B$20*1000</x:f>
        <x:v>0.00866031856002346</x:v>
      </x:c>
      <x:c r="D41" s="8" t="n">
        <x:f>L41/'Summary'!$B$20*1000</x:f>
        <x:v>0.008660318564203316</x:v>
      </x:c>
      <x:c r="E41" s="8" t="n">
        <x:f>M41/'Summary'!$B$20*1000</x:f>
        <x:v>0.008660318564203316</x:v>
      </x:c>
      <x:c r="F41" s="8" t="n">
        <x:f>J41/'Summary'!$B$20*1000</x:f>
        <x:v>0.00866031856002346</x:v>
      </x:c>
      <x:c r="G41" s="12" t="n">
        <x:v>30.999999999939178</x:v>
      </x:c>
      <x:c r="H41" s="12" t="n">
        <x:v>31.00000001490116</x:v>
      </x:c>
      <x:c r="I41" s="12" t="n">
        <x:v>31.00000001490116</x:v>
      </x:c>
      <x:c r="J41" s="12" t="n">
        <x:v>30.999999999939178</x:v>
      </x:c>
      <x:c r="K41" s="2" t="n">
        <x:v>30.999999999939178</x:v>
      </x:c>
      <x:c r="L41" s="2" t="n">
        <x:v>31.00000001490116</x:v>
      </x:c>
      <x:c r="M41" s="2" t="n">
        <x:v>31.00000001490116</x:v>
      </x:c>
      <x:c r="N41" s="12" t="n">
        <x:v>30.999999999939178</x:v>
      </x:c>
      <x:c r="O41" s="12" t="n">
        <x:v>31.00000001490116</x:v>
      </x:c>
      <x:c r="P41" s="12" t="n">
        <x:v>31.00000001490116</x:v>
      </x:c>
      <x:c r="Q41" s="8" t="n">
        <x:f>S41/'Summary'!$B$20*1000</x:f>
        <x:v>0.008660318564203316</x:v>
      </x:c>
      <x:c r="R41" s="8" t="n">
        <x:f>T41/'Summary'!$B$20*1000</x:f>
        <x:v>0.008660318564203316</x:v>
      </x:c>
      <x:c r="S41" s="12" t="n">
        <x:v>31.00000001490116</x:v>
      </x:c>
      <x:c r="T41" s="12" t="n">
        <x:v>31.00000001490116</x:v>
      </x:c>
    </x:row>
    <x:row r="42" ht="24" customHeight="1">
      <x:c r="A42" s="2" t="str">
        <x:v>GameSession_LabelUpload</x:v>
      </x:c>
      <x:c r="B42" s="8" t="n">
        <x:v>1</x:v>
      </x:c>
      <x:c r="C42" s="8" t="n">
        <x:f>K42/'Summary'!$B$20*1000</x:f>
        <x:v>0.00866031856002346</x:v>
      </x:c>
      <x:c r="D42" s="8" t="n">
        <x:f>L42/'Summary'!$B$20*1000</x:f>
        <x:v>0.008660318564203316</x:v>
      </x:c>
      <x:c r="E42" s="8" t="n">
        <x:f>M42/'Summary'!$B$20*1000</x:f>
        <x:v>0.008660318564203316</x:v>
      </x:c>
      <x:c r="F42" s="8" t="n">
        <x:f>J42/'Summary'!$B$20*1000</x:f>
        <x:v>0.00866031856002346</x:v>
      </x:c>
      <x:c r="G42" s="12" t="n">
        <x:v>30.999999999939178</x:v>
      </x:c>
      <x:c r="H42" s="12" t="n">
        <x:v>31.00000001490116</x:v>
      </x:c>
      <x:c r="I42" s="12" t="n">
        <x:v>31.00000001490116</x:v>
      </x:c>
      <x:c r="J42" s="12" t="n">
        <x:v>30.999999999939178</x:v>
      </x:c>
      <x:c r="K42" s="2" t="n">
        <x:v>30.999999999939178</x:v>
      </x:c>
      <x:c r="L42" s="2" t="n">
        <x:v>31.00000001490116</x:v>
      </x:c>
      <x:c r="M42" s="2" t="n">
        <x:v>31.00000001490116</x:v>
      </x:c>
      <x:c r="N42" s="12" t="n">
        <x:v>30.999999999939178</x:v>
      </x:c>
      <x:c r="O42" s="12" t="n">
        <x:v>31.00000001490116</x:v>
      </x:c>
      <x:c r="P42" s="12" t="n">
        <x:v>31.00000001490116</x:v>
      </x:c>
      <x:c r="Q42" s="8" t="n">
        <x:f>S42/'Summary'!$B$20*1000</x:f>
        <x:v>0.008660318564203316</x:v>
      </x:c>
      <x:c r="R42" s="8" t="n">
        <x:f>T42/'Summary'!$B$20*1000</x:f>
        <x:v>0.008660318564203316</x:v>
      </x:c>
      <x:c r="S42" s="12" t="n">
        <x:v>31.00000001490116</x:v>
      </x:c>
      <x:c r="T42" s="12" t="n">
        <x:v>31.00000001490116</x:v>
      </x:c>
    </x:row>
    <x:row r="43" ht="24" customHeight="1">
      <x:c r="A43" s="2" t="str">
        <x:v>GameSession_PopupFrame</x:v>
      </x:c>
      <x:c r="B43" s="8" t="n">
        <x:v>1</x:v>
      </x:c>
      <x:c r="C43" s="8" t="n">
        <x:f>K43/'Summary'!$B$20*1000</x:f>
        <x:v>0.0245841301058873</x:v>
      </x:c>
      <x:c r="D43" s="8" t="n">
        <x:f>L43/'Summary'!$B$20*1000</x:f>
        <x:v>0.02458413011008415</x:v>
      </x:c>
      <x:c r="E43" s="8" t="n">
        <x:f>M43/'Summary'!$B$20*1000</x:f>
        <x:v>0.02458413011008415</x:v>
      </x:c>
      <x:c r="F43" s="8" t="n">
        <x:f>J43/'Summary'!$B$20*1000</x:f>
        <x:v>0.0245841301058873</x:v>
      </x:c>
      <x:c r="G43" s="12" t="n">
        <x:v>87.99999999987836</x:v>
      </x:c>
      <x:c r="H43" s="12" t="n">
        <x:v>88.00000001490116</x:v>
      </x:c>
      <x:c r="I43" s="12" t="n">
        <x:v>88.00000001490116</x:v>
      </x:c>
      <x:c r="J43" s="12" t="n">
        <x:v>87.99999999987836</x:v>
      </x:c>
      <x:c r="K43" s="2" t="n">
        <x:v>87.99999999987836</x:v>
      </x:c>
      <x:c r="L43" s="2" t="n">
        <x:v>88.00000001490116</x:v>
      </x:c>
      <x:c r="M43" s="2" t="n">
        <x:v>88.00000001490116</x:v>
      </x:c>
      <x:c r="N43" s="12" t="n">
        <x:v>87.99999999987836</x:v>
      </x:c>
      <x:c r="O43" s="12" t="n">
        <x:v>88.00000001490116</x:v>
      </x:c>
      <x:c r="P43" s="12" t="n">
        <x:v>88.00000001490116</x:v>
      </x:c>
      <x:c r="Q43" s="8" t="n">
        <x:f>S43/'Summary'!$B$20*1000</x:f>
        <x:v>0.02458413011008415</x:v>
      </x:c>
      <x:c r="R43" s="8" t="n">
        <x:f>T43/'Summary'!$B$20*1000</x:f>
        <x:v>0.02458413011008415</x:v>
      </x:c>
      <x:c r="S43" s="12" t="n">
        <x:v>88.00000001490116</x:v>
      </x:c>
      <x:c r="T43" s="12" t="n">
        <x:v>88.00000001490116</x:v>
      </x:c>
    </x:row>
    <x:row r="44" ht="24" customHeight="1">
      <x:c r="A44" s="2" t="str">
        <x:v>GameSession_PopupOverlay</x:v>
      </x:c>
      <x:c r="B44" s="8" t="n">
        <x:v>0.5591836734693878</x:v>
      </x:c>
      <x:c r="C44" s="8" t="n">
        <x:f>K44/'Summary'!$B$20*1000</x:f>
        <x:v>0.004842708746005443</x:v>
      </x:c>
      <x:c r="D44" s="8" t="n">
        <x:f>L44/'Summary'!$B$20*1000</x:f>
        <x:v>0.008660318564203316</x:v>
      </x:c>
      <x:c r="E44" s="8" t="n">
        <x:f>M44/'Summary'!$B$20*1000</x:f>
        <x:v>0.008660318564203316</x:v>
      </x:c>
      <x:c r="F44" s="8" t="n">
        <x:f>J44/'Summary'!$B$20*1000</x:f>
        <x:v>0.004842708746005443</x:v>
      </x:c>
      <x:c r="G44" s="12" t="n">
        <x:v>31.000000001196444</x:v>
      </x:c>
      <x:c r="H44" s="12" t="n">
        <x:v>31.00000001490116</x:v>
      </x:c>
      <x:c r="I44" s="12" t="n">
        <x:v>31.00000001490116</x:v>
      </x:c>
      <x:c r="J44" s="12" t="n">
        <x:v>17.33469387822005</x:v>
      </x:c>
      <x:c r="K44" s="2" t="n">
        <x:v>17.33469387822005</x:v>
      </x:c>
      <x:c r="L44" s="2" t="n">
        <x:v>31.00000001490116</x:v>
      </x:c>
      <x:c r="M44" s="2" t="n">
        <x:v>31.00000001490116</x:v>
      </x:c>
      <x:c r="N44" s="12" t="n">
        <x:v>31.000000001196444</x:v>
      </x:c>
      <x:c r="O44" s="12" t="n">
        <x:v>31.00000001490116</x:v>
      </x:c>
      <x:c r="P44" s="12" t="n">
        <x:v>31.00000001490116</x:v>
      </x:c>
      <x:c r="Q44" s="8" t="n">
        <x:f>S44/'Summary'!$B$20*1000</x:f>
        <x:v>0.008660318564203316</x:v>
      </x:c>
      <x:c r="R44" s="8" t="n">
        <x:f>T44/'Summary'!$B$20*1000</x:f>
        <x:v>0.008660318564203316</x:v>
      </x:c>
      <x:c r="S44" s="12" t="n">
        <x:v>31.00000001490116</x:v>
      </x:c>
      <x:c r="T44" s="12" t="n">
        <x:v>31.00000001490116</x:v>
      </x:c>
    </x:row>
    <x:row r="45" ht="24" customHeight="1">
      <x:c r="A45" s="2" t="str">
        <x:v>GameSession_PopupUpload</x:v>
      </x:c>
      <x:c r="B45" s="8" t="n">
        <x:v>1</x:v>
      </x:c>
      <x:c r="C45" s="8" t="n">
        <x:f>K45/'Summary'!$B$20*1000</x:f>
        <x:v>0.008660318560125408</x:v>
      </x:c>
      <x:c r="D45" s="8" t="n">
        <x:f>L45/'Summary'!$B$20*1000</x:f>
        <x:v>0.008660318564203316</x:v>
      </x:c>
      <x:c r="E45" s="8" t="n">
        <x:f>M45/'Summary'!$B$20*1000</x:f>
        <x:v>0.008660318564203316</x:v>
      </x:c>
      <x:c r="F45" s="8" t="n">
        <x:f>J45/'Summary'!$B$20*1000</x:f>
        <x:v>0.008660318560125408</x:v>
      </x:c>
      <x:c r="G45" s="12" t="n">
        <x:v>31.000000000304105</x:v>
      </x:c>
      <x:c r="H45" s="12" t="n">
        <x:v>31.00000001490116</x:v>
      </x:c>
      <x:c r="I45" s="12" t="n">
        <x:v>31.00000001490116</x:v>
      </x:c>
      <x:c r="J45" s="12" t="n">
        <x:v>31.000000000304105</x:v>
      </x:c>
      <x:c r="K45" s="2" t="n">
        <x:v>31.000000000304105</x:v>
      </x:c>
      <x:c r="L45" s="2" t="n">
        <x:v>31.00000001490116</x:v>
      </x:c>
      <x:c r="M45" s="2" t="n">
        <x:v>31.00000001490116</x:v>
      </x:c>
      <x:c r="N45" s="12" t="n">
        <x:v>31.000000000304105</x:v>
      </x:c>
      <x:c r="O45" s="12" t="n">
        <x:v>31.00000001490116</x:v>
      </x:c>
      <x:c r="P45" s="12" t="n">
        <x:v>31.00000001490116</x:v>
      </x:c>
      <x:c r="Q45" s="8" t="n">
        <x:f>S45/'Summary'!$B$20*1000</x:f>
        <x:v>0.008660318564203316</x:v>
      </x:c>
      <x:c r="R45" s="8" t="n">
        <x:f>T45/'Summary'!$B$20*1000</x:f>
        <x:v>0.008660318564203316</x:v>
      </x:c>
      <x:c r="S45" s="12" t="n">
        <x:v>31.00000001490116</x:v>
      </x:c>
      <x:c r="T45" s="12" t="n">
        <x:v>31.00000001490116</x:v>
      </x:c>
    </x:row>
    <x:row r="46" ht="24" customHeight="1">
      <x:c r="A46" s="2" t="str">
        <x:v>GameSession_AfterFrame</x:v>
      </x:c>
      <x:c r="B46" s="8" t="n">
        <x:v>1</x:v>
      </x:c>
      <x:c r="C46" s="8" t="n">
        <x:f>K46/'Summary'!$B$20*1000</x:f>
        <x:v>0.05858799577793792</x:v>
      </x:c>
      <x:c r="D46" s="8" t="n">
        <x:f>L46/'Summary'!$B$20*1000</x:f>
        <x:v>0.07347302520292383</x:v>
      </x:c>
      <x:c r="E46" s="8" t="n">
        <x:f>M46/'Summary'!$B$20*1000</x:f>
        <x:v>0.07347302520708669</x:v>
      </x:c>
      <x:c r="F46" s="8" t="n">
        <x:f>J46/'Summary'!$B$20*1000</x:f>
        <x:v>0.017041272005308857</x:v>
      </x:c>
      <x:c r="G46" s="12" t="n">
        <x:v>209.71836734693878</x:v>
      </x:c>
      <x:c r="H46" s="12" t="n">
        <x:v>263</x:v>
      </x:c>
      <x:c r="I46" s="12" t="n">
        <x:v>263.00000001490116</x:v>
      </x:c>
      <x:c r="J46" s="12" t="n">
        <x:v>61.00000000024328</x:v>
      </x:c>
      <x:c r="K46" s="2" t="n">
        <x:v>209.71836734693878</x:v>
      </x:c>
      <x:c r="L46" s="2" t="n">
        <x:v>263</x:v>
      </x:c>
      <x:c r="M46" s="2" t="n">
        <x:v>263.00000001490116</x:v>
      </x:c>
      <x:c r="N46" s="12" t="n">
        <x:v>61.00000000024328</x:v>
      </x:c>
      <x:c r="O46" s="12" t="n">
        <x:v>61.00000001490116</x:v>
      </x:c>
      <x:c r="P46" s="12" t="n">
        <x:v>61.00000002980232</x:v>
      </x:c>
      <x:c r="Q46" s="8" t="n">
        <x:f>S46/'Summary'!$B$20*1000</x:f>
        <x:v>0.017041272009403755</x:v>
      </x:c>
      <x:c r="R46" s="8" t="n">
        <x:f>T46/'Summary'!$B$20*1000</x:f>
        <x:v>0.017041272013566616</x:v>
      </x:c>
      <x:c r="S46" s="12" t="n">
        <x:v>61.00000001490116</x:v>
      </x:c>
      <x:c r="T46" s="12" t="n">
        <x:v>61.00000002980232</x:v>
      </x:c>
    </x:row>
    <x:row r="47" ht="24" customHeight="1">
      <x:c r="A47" s="2" t="str">
        <x:v>clock_irq</x:v>
      </x:c>
      <x:c r="B47" s="8" t="n">
        <x:v>2.0040816326530613</x:v>
      </x:c>
      <x:c r="C47" s="8" t="n">
        <x:f>K47/'Summary'!$B$20*1000</x:f>
        <x:v>0.09573785472281955</x:v>
      </x:c>
      <x:c r="D47" s="8" t="n">
        <x:f>L47/'Summary'!$B$20*1000</x:f>
        <x:v>0.09554286927944786</x:v>
      </x:c>
      <x:c r="E47" s="8" t="n">
        <x:f>M47/'Summary'!$B$20*1000</x:f>
        <x:v>0.1433143039129275</x:v>
      </x:c>
      <x:c r="F47" s="8" t="n">
        <x:f>J47/'Summary'!$B$20*1000</x:f>
        <x:v>0.09573785472281955</x:v>
      </x:c>
      <x:c r="G47" s="12" t="n">
        <x:v>171.0000000000607</x:v>
      </x:c>
      <x:c r="H47" s="12" t="n">
        <x:v>171</x:v>
      </x:c>
      <x:c r="I47" s="12" t="n">
        <x:v>171.00000002980232</x:v>
      </x:c>
      <x:c r="J47" s="12" t="n">
        <x:v>342.6979591837951</x:v>
      </x:c>
      <x:c r="K47" s="2" t="n">
        <x:v>342.6979591837951</x:v>
      </x:c>
      <x:c r="L47" s="2" t="n">
        <x:v>342.00000001490116</x:v>
      </x:c>
      <x:c r="M47" s="2" t="n">
        <x:v>513</x:v>
      </x:c>
      <x:c r="N47" s="12" t="n">
        <x:v>171.0000000000607</x:v>
      </x:c>
      <x:c r="O47" s="12" t="n">
        <x:v>171</x:v>
      </x:c>
      <x:c r="P47" s="12" t="n">
        <x:v>171.00000002980232</x:v>
      </x:c>
      <x:c r="Q47" s="8" t="n">
        <x:f>S47/'Summary'!$B$20*1000</x:f>
        <x:v>0.09554286927944786</x:v>
      </x:c>
      <x:c r="R47" s="8" t="n">
        <x:f>T47/'Summary'!$B$20*1000</x:f>
        <x:v>0.1433143039129275</x:v>
      </x:c>
      <x:c r="S47" s="12" t="n">
        <x:v>342.00000001490116</x:v>
      </x:c>
      <x:c r="T47" s="12" t="n">
        <x:v>513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86.000..219.000</x:v>
      </x:c>
      <x:c r="D6" s="12" t="n">
        <x:v>7321.429931972789</x:v>
      </x:c>
      <x:c r="E6" s="12" t="n">
        <x:v>29440.98231292517</x:v>
      </x:c>
      <x:c r="F6" s="12" t="n">
        <x:v>15291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14.000..205.000</x:v>
      </x:c>
      <x:c r="D7" s="12" t="n">
        <x:v>6934.356462585034</x:v>
      </x:c>
      <x:c r="E7" s="12" t="n">
        <x:v>17660.25986394424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13..149</x:v>
      </x:c>
      <x:c r="C8" s="2" t="str">
        <x:v>0.000..227.000</x:v>
      </x:c>
      <x:c r="D8" s="12" t="n">
        <x:v>668.1615956727518</x:v>
      </x:c>
      <x:c r="E8" s="12" t="n">
        <x:v>7659.615280594664</x:v>
      </x:c>
      <x:c r="F8" s="12" t="n">
        <x:v>4090.6666666666665</x:v>
      </x:c>
      <x:c r="G8" s="2" t="n">
        <x:v>0</x:v>
      </x:c>
      <x:c r="H8" s="2" t="n">
        <x:v>261</x:v>
      </x:c>
    </x:row>
    <x:row r="9" ht="24" customHeight="1">
      <x:c r="A9" s="2" t="str">
        <x:v>Game_Position</x:v>
      </x:c>
      <x:c r="B9" s="2" t="str">
        <x:v>80..207</x:v>
      </x:c>
      <x:c r="C9" s="2" t="str">
        <x:v>0.000..227.000</x:v>
      </x:c>
      <x:c r="D9" s="12" t="n">
        <x:v>0</x:v>
      </x:c>
      <x:c r="E9" s="12" t="n">
        <x:v>899.9999999998784</x:v>
      </x:c>
      <x:c r="F9" s="12" t="n">
        <x:v>0</x:v>
      </x:c>
      <x:c r="G9" s="2" t="n">
        <x:v>0</x:v>
      </x:c>
      <x:c r="H9" s="2" t="n">
        <x:v>245</x:v>
      </x:c>
    </x:row>
    <x:row r="10" ht="24" customHeight="1">
      <x:c r="A10" s="2" t="str">
        <x:v>Game_Actors</x:v>
      </x:c>
      <x:c r="B10" s="2" t="str">
        <x:v>84..212</x:v>
      </x:c>
      <x:c r="C10" s="2" t="str">
        <x:v>0.000..227.000</x:v>
      </x:c>
      <x:c r="D10" s="12" t="n">
        <x:v>0</x:v>
      </x:c>
      <x:c r="E10" s="12" t="n">
        <x:v>3985.000000000973</x:v>
      </x:c>
      <x:c r="F10" s="12" t="n">
        <x:v>0</x:v>
      </x:c>
      <x:c r="G10" s="2" t="n">
        <x:v>0</x:v>
      </x:c>
      <x:c r="H10" s="2" t="n">
        <x:v>245</x:v>
      </x:c>
    </x:row>
    <x:row r="11" ht="24" customHeight="1">
      <x:c r="A11" s="2" t="str">
        <x:v>GameSprites_Prepare</x:v>
      </x:c>
      <x:c r="B11" s="2" t="str">
        <x:v>102..229</x:v>
      </x:c>
      <x:c r="C11" s="2" t="str">
        <x:v>0.000..227.000</x:v>
      </x:c>
      <x:c r="D11" s="12" t="n">
        <x:v>197.35510204081632</x:v>
      </x:c>
      <x:c r="E11" s="12" t="n">
        <x:v>5706.555102040817</x:v>
      </x:c>
      <x:c r="F11" s="12" t="n">
        <x:v>6471.333333333333</x:v>
      </x:c>
      <x:c r="G11" s="2" t="n">
        <x:v>0</x:v>
      </x:c>
      <x:c r="H11" s="2" t="n">
        <x:v>236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1978.1836734693877</x:v>
      </x:c>
      <x:c r="E12" s="12" t="n">
        <x:v>3.1626954370615432e-9</x:v>
      </x:c>
      <x:c r="F12" s="12" t="n">
        <x:v>4819</x:v>
      </x:c>
      <x:c r="G12" s="2" t="n">
        <x:v>245</x:v>
      </x:c>
      <x:c r="H12" s="2" t="n">
        <x:v>0</x:v>
      </x:c>
    </x:row>
    <x:row r="13" ht="24" customHeight="1">
      <x:c r="A13" s="2" t="str">
        <x:v>GameHUD_Prepare</x:v>
      </x:c>
      <x:c r="B13" s="2" t="str">
        <x:v>1..258</x:v>
      </x:c>
      <x:c r="C13" s="2" t="str">
        <x:v>1.000..227.000</x:v>
      </x:c>
      <x:c r="D13" s="12" t="n">
        <x:v>74.31428571428572</x:v>
      </x:c>
      <x:c r="E13" s="12" t="n">
        <x:v>1814.8530612254629</x:v>
      </x:c>
      <x:c r="F13" s="12" t="n">
        <x:v>2023</x:v>
      </x:c>
      <x:c r="G13" s="2" t="n">
        <x:v>9</x:v>
      </x:c>
      <x:c r="H13" s="2" t="n">
        <x:v>236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1325.6367346938775</x:v>
      </x:c>
      <x:c r="E14" s="12" t="n">
        <x:v>4.135832494618941e-9</x:v>
      </x:c>
      <x:c r="F14" s="12" t="n">
        <x:v>6680</x:v>
      </x:c>
      <x:c r="G14" s="2" t="n">
        <x:v>245</x:v>
      </x:c>
      <x:c r="H14" s="2" t="n">
        <x:v>0</x:v>
      </x:c>
    </x:row>
    <x:row r="15" ht="24" customHeight="1">
      <x:c r="A15" s="2" t="str">
        <x:v>render</x:v>
      </x:c>
      <x:c r="B15" s="2" t="str">
        <x:v>5..226</x:v>
      </x:c>
      <x:c r="C15" s="2" t="str">
        <x:v>0.000..226.000</x:v>
      </x:c>
      <x:c r="D15" s="12" t="n">
        <x:v>9912.859863945578</x:v>
      </x:c>
      <x:c r="E15" s="12" t="n">
        <x:v>30990.04217687038</x:v>
      </x:c>
      <x:c r="F15" s="12" t="n">
        <x:v>16143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0..258</x:v>
      </x:c>
      <x:c r="C16" s="2" t="str">
        <x:v>0.000..224.000</x:v>
      </x:c>
      <x:c r="D16" s="12" t="n">
        <x:v>1241.2938775510204</x:v>
      </x:c>
      <x:c r="E16" s="12" t="n">
        <x:v>36865.07346938818</x:v>
      </x:c>
      <x:c r="F16" s="12" t="n">
        <x:v>8228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3831.8204081632653</x:v>
      </x:c>
      <x:c r="E17" s="12" t="n">
        <x:v>4.257474626813616e-9</x:v>
      </x:c>
      <x:c r="F17" s="12" t="n">
        <x:v>9159</x:v>
      </x:c>
      <x:c r="G17" s="2" t="n">
        <x:v>245</x:v>
      </x:c>
      <x:c r="H17" s="2" t="n">
        <x:v>0</x:v>
      </x:c>
    </x:row>
    <x:row r="18" ht="24" customHeight="1">
      <x:c r="A18" s="2" t="str">
        <x:v>Ring_Prepare</x:v>
      </x:c>
      <x:c r="B18" s="2" t="str">
        <x:v>6..227</x:v>
      </x:c>
      <x:c r="C18" s="2" t="str">
        <x:v>1.000..224.000</x:v>
      </x:c>
      <x:c r="D18" s="12" t="n">
        <x:v>211.81360544217688</x:v>
      </x:c>
      <x:c r="E18" s="12" t="n">
        <x:v>6355.423129251031</x:v>
      </x:c>
      <x:c r="F18" s="12" t="n">
        <x:v>7269.333333333333</x:v>
      </x:c>
      <x:c r="G18" s="2" t="n">
        <x:v>4</x:v>
      </x:c>
      <x:c r="H18" s="2" t="n">
        <x:v>227</x:v>
      </x:c>
    </x:row>
    <x:row r="19" ht="24" customHeight="1">
      <x:c r="A19" s="2" t="str">
        <x:v>Game_RingPatch</x:v>
      </x:c>
      <x:c r="B19" s="2" t="str">
        <x:v>1..258</x:v>
      </x:c>
      <x:c r="C19" s="2" t="str">
        <x:v>0.000..226.000</x:v>
      </x:c>
      <x:c r="D19" s="12" t="n">
        <x:v>87.82585034013606</x:v>
      </x:c>
      <x:c r="E19" s="12" t="n">
        <x:v>960.027210884962</x:v>
      </x:c>
      <x:c r="F19" s="12" t="n">
        <x:v>1784</x:v>
      </x:c>
      <x:c r="G19" s="2" t="n">
        <x:v>13</x:v>
      </x:c>
      <x:c r="H19" s="2" t="n">
        <x:v>228</x:v>
      </x:c>
    </x:row>
    <x:row r="20" ht="24" customHeight="1">
      <x:c r="A20" s="2" t="str">
        <x:v>Game_DirtyTileUpload</x:v>
      </x:c>
      <x:c r="B20" s="2" t="str">
        <x:v>0..257</x:v>
      </x:c>
      <x:c r="C20" s="2" t="str">
        <x:v>1.000..227.000</x:v>
      </x:c>
      <x:c r="D20" s="12" t="n">
        <x:v>41.04897959183673</x:v>
      </x:c>
      <x:c r="E20" s="12" t="n">
        <x:v>87.02040816472501</x:v>
      </x:c>
      <x:c r="F20" s="12" t="n">
        <x:v>145</x:v>
      </x:c>
      <x:c r="G20" s="2" t="n">
        <x:v>71</x:v>
      </x:c>
      <x:c r="H20" s="2" t="n">
        <x:v>174</x:v>
      </x:c>
    </x:row>
    <x:row r="21" ht="24" customHeight="1">
      <x:c r="A21" s="2" t="str">
        <x:v>Game_Radar</x:v>
      </x:c>
      <x:c r="B21" s="2" t="str">
        <x:v>0..261</x:v>
      </x:c>
      <x:c r="C21" s="2" t="str">
        <x:v>1.000..224.000</x:v>
      </x:c>
      <x:c r="D21" s="12" t="n">
        <x:v>1709.2204081632653</x:v>
      </x:c>
      <x:c r="E21" s="12" t="n">
        <x:v>3258.5551020420935</x:v>
      </x:c>
      <x:c r="F21" s="12" t="n">
        <x:v>5978</x:v>
      </x:c>
      <x:c r="G21" s="2" t="n">
        <x:v>44</x:v>
      </x:c>
      <x:c r="H21" s="2" t="n">
        <x:v>127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0.000..227.000</x:v>
      </x:c>
      <x:c r="D22" s="12" t="n">
        <x:v>632.3401360544218</x:v>
      </x:c>
      <x:c r="E22" s="12" t="n">
        <x:v>1036.3414966002208</x:v>
      </x:c>
      <x:c r="F22" s="12" t="n">
        <x:v>1942</x:v>
      </x:c>
      <x:c r="G22" s="2" t="n">
        <x:v>89</x:v>
      </x:c>
      <x:c r="H22" s="2" t="n">
        <x:v>144</x:v>
      </x:c>
    </x:row>
    <x:row r="23" ht="24" customHeight="1">
      <x:c r="A23" s="2" t="str">
        <x:v>Ring_UploadNames</x:v>
      </x:c>
      <x:c r="B23" s="2" t="str">
        <x:v>1..261</x:v>
      </x:c>
      <x:c r="C23" s="2" t="str">
        <x:v>0.000..226.000</x:v>
      </x:c>
      <x:c r="D23" s="12" t="n">
        <x:v>4353.551020408163</x:v>
      </x:c>
      <x:c r="E23" s="12" t="n">
        <x:v>9475.077551021139</x:v>
      </x:c>
      <x:c r="F23" s="12" t="n">
        <x:v>11172</x:v>
      </x:c>
      <x:c r="G23" s="2" t="n">
        <x:v>0</x:v>
      </x:c>
      <x:c r="H23" s="2" t="n">
        <x:v>74</x:v>
      </x:c>
    </x:row>
    <x:row r="24" ht="24" customHeight="1">
      <x:c r="A24" s="2" t="str">
        <x:v>hud_upload</x:v>
      </x:c>
      <x:c r="B24" s="2" t="str">
        <x:v>0..261</x:v>
      </x:c>
      <x:c r="C24" s="2" t="str">
        <x:v>2.000..226.000</x:v>
      </x:c>
      <x:c r="D24" s="12" t="n">
        <x:v>929.221768707483</x:v>
      </x:c>
      <x:c r="E24" s="12" t="n">
        <x:v>1558.680272110668</x:v>
      </x:c>
      <x:c r="F24" s="12" t="n">
        <x:v>10031.333333333334</x:v>
      </x:c>
      <x:c r="G24" s="2" t="n">
        <x:v>88</x:v>
      </x:c>
      <x:c r="H24" s="2" t="n">
        <x:v>113</x:v>
      </x:c>
    </x:row>
    <x:row r="25" ht="24" customHeight="1">
      <x:c r="A25" s="2" t="str">
        <x:v>GameAudio_Tick</x:v>
      </x:c>
      <x:c r="B25" s="2" t="str">
        <x:v>2..147</x:v>
      </x:c>
      <x:c r="C25" s="2" t="str">
        <x:v>0.000..227.000</x:v>
      </x:c>
      <x:c r="D25" s="12" t="n">
        <x:v>1657.6970926301556</x:v>
      </x:c>
      <x:c r="E25" s="12" t="n">
        <x:v>81.62136578953815</x:v>
      </x:c>
      <x:c r="F25" s="12" t="n">
        <x:v>4368</x:v>
      </x:c>
      <x:c r="G25" s="2" t="n">
        <x:v>233</x:v>
      </x:c>
      <x:c r="H25" s="2" t="n">
        <x:v>250</x:v>
      </x:c>
    </x:row>
    <x:row r="26" ht="24" customHeight="1">
      <x:c r="A26" s="2" t="str">
        <x:v>GameSession_PhaseSelect</x:v>
      </x:c>
      <x:c r="B26" s="2" t="str">
        <x:v>0..259</x:v>
      </x:c>
      <x:c r="C26" s="2" t="str">
        <x:v>1.000..223.000</x:v>
      </x:c>
      <x:c r="D26" s="12" t="n">
        <x:v>120.7469387755102</x:v>
      </x:c>
      <x:c r="E26" s="12" t="n">
        <x:v>726.8775510205298</x:v>
      </x:c>
      <x:c r="F26" s="12" t="n">
        <x:v>2795.3333333333335</x:v>
      </x:c>
      <x:c r="G26" s="2" t="n">
        <x:v>17</x:v>
      </x:c>
      <x:c r="H26" s="2" t="n">
        <x:v>220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40.000..173.000</x:v>
      </x:c>
      <x:c r="D27" s="12" t="n">
        <x:v>1658.1442176870748</x:v>
      </x:c>
      <x:c r="E27" s="12" t="n">
        <x:v>0.9945578262311254</x:v>
      </x:c>
      <x:c r="F27" s="12" t="n">
        <x:v>1670</x:v>
      </x:c>
      <x:c r="G27" s="2" t="n">
        <x:v>243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11..148</x:v>
      </x:c>
      <x:c r="C28" s="2" t="str">
        <x:v>0.000..227.000</x:v>
      </x:c>
      <x:c r="D28" s="12" t="n">
        <x:v>35.918864097363084</x:v>
      </x:c>
      <x:c r="E28" s="12" t="n">
        <x:v>40.08113590445045</x:v>
      </x:c>
      <x:c r="F28" s="12" t="n">
        <x:v>76</x:v>
      </x:c>
      <x:c r="G28" s="2" t="n">
        <x:v>233</x:v>
      </x:c>
      <x:c r="H28" s="2" t="n">
        <x:v>260</x:v>
      </x:c>
    </x:row>
    <x:row r="29" ht="24" customHeight="1">
      <x:c r="A29" s="2" t="str">
        <x:v>GameSession_SharedSprite</x:v>
      </x:c>
      <x:c r="B29" s="2" t="str">
        <x:v>107..252</x:v>
      </x:c>
      <x:c r="C29" s="2" t="str">
        <x:v>0.000..227.000</x:v>
      </x:c>
      <x:c r="D29" s="12" t="n">
        <x:v>2.4235294117647057</x:v>
      </x:c>
      <x:c r="E29" s="12" t="n">
        <x:v>397.78823529495037</x:v>
      </x:c>
      <x:c r="F29" s="12" t="n">
        <x:v>412</x:v>
      </x:c>
      <x:c r="G29" s="2" t="n">
        <x:v>2</x:v>
      </x:c>
      <x:c r="H29" s="2" t="n">
        <x:v>338</x:v>
      </x:c>
    </x:row>
    <x:row r="30" ht="24" customHeight="1">
      <x:c r="A30" s="2" t="str">
        <x:v>GameSession_FlagBlinkUpload</x:v>
      </x:c>
      <x:c r="B30" s="2" t="str">
        <x:v>0..261</x:v>
      </x:c>
      <x:c r="C30" s="2" t="str">
        <x:v>3.000..224.000</x:v>
      </x:c>
      <x:c r="D30" s="12" t="n">
        <x:v>206.20408163265307</x:v>
      </x:c>
      <x:c r="E30" s="12" t="n">
        <x:v>233.38775510569008</x:v>
      </x:c>
      <x:c r="F30" s="12" t="n">
        <x:v>444</x:v>
      </x:c>
      <x:c r="G30" s="2" t="n">
        <x:v>23</x:v>
      </x:c>
      <x:c r="H30" s="2" t="n">
        <x:v>26</x:v>
      </x:c>
    </x:row>
    <x:row r="31" ht="24" customHeight="1">
      <x:c r="A31" s="2" t="str">
        <x:v>GameSession_Boundaries</x:v>
      </x:c>
      <x:c r="B31" s="2" t="str">
        <x:v>0..261</x:v>
      </x:c>
      <x:c r="C31" s="2" t="str">
        <x:v>0.000..227.000</x:v>
      </x:c>
      <x:c r="D31" s="12" t="n">
        <x:v>491.14013605442176</x:v>
      </x:c>
      <x:c r="E31" s="12" t="n">
        <x:v>2066.729251700984</x:v>
      </x:c>
      <x:c r="F31" s="12" t="n">
        <x:v>2665.3333333333335</x:v>
      </x:c>
      <x:c r="G31" s="2" t="n">
        <x:v>34</x:v>
      </x:c>
      <x:c r="H31" s="2" t="n">
        <x:v>184</x:v>
      </x:c>
    </x:row>
    <x:row r="32" ht="24" customHeight="1">
      <x:c r="A32" s="2" t="str">
        <x:v>GameBoundary_Upload</x:v>
      </x:c>
      <x:c r="B32" s="2" t="str">
        <x:v>3..109</x:v>
      </x:c>
      <x:c r="C32" s="2" t="str">
        <x:v>6.000..225.000</x:v>
      </x:c>
      <x:c r="D32" s="12" t="n">
        <x:v>1023.4666666666667</x:v>
      </x:c>
      <x:c r="E32" s="12" t="n">
        <x:v>11575.493333335122</x:v>
      </x:c>
      <x:c r="F32" s="12" t="n">
        <x:v>6393.666666666667</x:v>
      </x:c>
      <x:c r="G32" s="2" t="n">
        <x:v>0</x:v>
      </x:c>
      <x:c r="H32" s="2" t="n">
        <x:v>18</x:v>
      </x:c>
    </x:row>
    <x:row r="33" ht="24" customHeight="1">
      <x:c r="A33" s="2" t="str">
        <x:v>Session_SaveMotion</x:v>
      </x:c>
      <x:c r="B33" s="2" t="str">
        <x:v>17..153</x:v>
      </x:c>
      <x:c r="C33" s="2" t="str">
        <x:v>0.000..225.000</x:v>
      </x:c>
      <x:c r="D33" s="12" t="n">
        <x:v>84.39972899728997</x:v>
      </x:c>
      <x:c r="E33" s="12" t="n">
        <x:v>95.82791328046541</x:v>
      </x:c>
      <x:c r="F33" s="12" t="n">
        <x:v>1234</x:v>
      </x:c>
      <x:c r="G33" s="2" t="n">
        <x:v>104</x:v>
      </x:c>
      <x:c r="H33" s="2" t="n">
        <x:v>131</x:v>
      </x:c>
    </x:row>
    <x:row r="34" ht="24" customHeight="1">
      <x:c r="A34" s="2" t="str">
        <x:v>GameSession_ValidateMotion</x:v>
      </x:c>
      <x:c r="B34" s="2" t="str">
        <x:v>41..181</x:v>
      </x:c>
      <x:c r="C34" s="2" t="str">
        <x:v>0.000..227.000</x:v>
      </x:c>
      <x:c r="D34" s="12" t="n">
        <x:v>0</x:v>
      </x:c>
      <x:c r="E34" s="12" t="n">
        <x:v>75.17479674820977</x:v>
      </x:c>
      <x:c r="F34" s="12" t="n">
        <x:v>0</x:v>
      </x:c>
      <x:c r="G34" s="2" t="n">
        <x:v>0</x:v>
      </x:c>
      <x:c r="H34" s="2" t="n">
        <x:v>246</x:v>
      </x:c>
    </x:row>
    <x:row r="35" ht="24" customHeight="1">
      <x:c r="A35" s="2" t="str">
        <x:v>GameSession_SpecialFrame</x:v>
      </x:c>
      <x:c r="B35" s="2" t="str">
        <x:v>84..211</x:v>
      </x:c>
      <x:c r="C35" s="2" t="str">
        <x:v>1.000..227.000</x:v>
      </x:c>
      <x:c r="D35" s="12" t="n">
        <x:v>0</x:v>
      </x:c>
      <x:c r="E35" s="12" t="n">
        <x:v>60.71836734681713</x:v>
      </x:c>
      <x:c r="F35" s="12" t="n">
        <x:v>0</x:v>
      </x:c>
      <x:c r="G35" s="2" t="n">
        <x:v>0</x:v>
      </x:c>
      <x:c r="H35" s="2" t="n">
        <x:v>245</x:v>
      </x:c>
    </x:row>
    <x:row r="36" ht="24" customHeight="1">
      <x:c r="A36" s="2" t="str">
        <x:v>GameSession_SpecialOverlay</x:v>
      </x:c>
      <x:c r="B36" s="2" t="str">
        <x:v>2..260</x:v>
      </x:c>
      <x:c r="C36" s="2" t="str">
        <x:v>1.000..227.000</x:v>
      </x:c>
      <x:c r="D36" s="12" t="n">
        <x:v>18.323600973236008</x:v>
      </x:c>
      <x:c r="E36" s="12" t="n">
        <x:v>166.65450121687132</x:v>
      </x:c>
      <x:c r="F36" s="12" t="n">
        <x:v>308.3333333333333</x:v>
      </x:c>
      <x:c r="G36" s="2" t="n">
        <x:v>12</x:v>
      </x:c>
      <x:c r="H36" s="2" t="n">
        <x:v>124</x:v>
      </x:c>
    </x:row>
    <x:row r="37" ht="24" customHeight="1">
      <x:c r="A37" s="2" t="str">
        <x:v>GameSession_RadarColor</x:v>
      </x:c>
      <x:c r="B37" s="2" t="str">
        <x:v>0..261</x:v>
      </x:c>
      <x:c r="C37" s="2" t="str">
        <x:v>0.000..227.000</x:v>
      </x:c>
      <x:c r="D37" s="12" t="n">
        <x:v>76.34353741496598</x:v>
      </x:c>
      <x:c r="E37" s="12" t="n">
        <x:v>124.44421768791112</x:v>
      </x:c>
      <x:c r="F37" s="12" t="n">
        <x:v>379.3333333333333</x:v>
      </x:c>
      <x:c r="G37" s="2" t="n">
        <x:v>362</x:v>
      </x:c>
      <x:c r="H37" s="2" t="n">
        <x:v>607</x:v>
      </x:c>
    </x:row>
    <x:row r="38" ht="24" customHeight="1">
      <x:c r="A38" s="2" t="str">
        <x:v>GameSession_FlagNames</x:v>
      </x:c>
      <x:c r="B38" s="2" t="str">
        <x:v>0..261</x:v>
      </x:c>
      <x:c r="C38" s="2" t="str">
        <x:v>0.000..227.000</x:v>
      </x:c>
      <x:c r="D38" s="12" t="n">
        <x:v>115.88843537414967</x:v>
      </x:c>
      <x:c r="E38" s="12" t="n">
        <x:v>322.75238095298914</x:v>
      </x:c>
      <x:c r="F38" s="12" t="n">
        <x:v>630.3333333333334</x:v>
      </x:c>
      <x:c r="G38" s="2" t="n">
        <x:v>57</x:v>
      </x:c>
      <x:c r="H38" s="2" t="n">
        <x:v>180</x:v>
      </x:c>
    </x:row>
    <x:row r="39" ht="24" customHeight="1">
      <x:c r="A39" s="2" t="str">
        <x:v>GameSession_FlagUpload</x:v>
      </x:c>
      <x:c r="B39" s="2" t="str">
        <x:v>0..261</x:v>
      </x:c>
      <x:c r="C39" s="2" t="str">
        <x:v>1.000..227.000</x:v>
      </x:c>
      <x:c r="D39" s="12" t="n">
        <x:v>594.5986394557823</x:v>
      </x:c>
      <x:c r="E39" s="12" t="n">
        <x:v>791.1809523822296</x:v>
      </x:c>
      <x:c r="F39" s="12" t="n">
        <x:v>5054</x:v>
      </x:c>
      <x:c r="G39" s="2" t="n">
        <x:v>101</x:v>
      </x:c>
      <x:c r="H39" s="2" t="n">
        <x:v>129</x:v>
      </x:c>
    </x:row>
    <x:row r="40" ht="24" customHeight="1">
      <x:c r="A40" s="2" t="str">
        <x:v>GameSession_LabelNames</x:v>
      </x:c>
      <x:c r="B40" s="2" t="str">
        <x:v>1..261</x:v>
      </x:c>
      <x:c r="C40" s="2" t="str">
        <x:v>0.000..226.000</x:v>
      </x:c>
      <x:c r="D40" s="12" t="n">
        <x:v>8.224489795918368</x:v>
      </x:c>
      <x:c r="E40" s="12" t="n">
        <x:v>22.775510204811486</x:v>
      </x:c>
      <x:c r="F40" s="12" t="n">
        <x:v>31</x:v>
      </x:c>
      <x:c r="G40" s="2" t="n">
        <x:v>65</x:v>
      </x:c>
      <x:c r="H40" s="2" t="n">
        <x:v>180</x:v>
      </x:c>
    </x:row>
    <x:row r="41" ht="24" customHeight="1">
      <x:c r="A41" s="2" t="str">
        <x:v>GameSession_LabelUpload</x:v>
      </x:c>
      <x:c r="B41" s="2" t="str">
        <x:v>0..261</x:v>
      </x:c>
      <x:c r="C41" s="2" t="str">
        <x:v>0.000..226.000</x:v>
      </x:c>
      <x:c r="D41" s="12" t="n">
        <x:v>12.020408163265307</x:v>
      </x:c>
      <x:c r="E41" s="12" t="n">
        <x:v>18.979591838011935</x:v>
      </x:c>
      <x:c r="F41" s="12" t="n">
        <x:v>31</x:v>
      </x:c>
      <x:c r="G41" s="2" t="n">
        <x:v>95</x:v>
      </x:c>
      <x:c r="H41" s="2" t="n">
        <x:v>150</x:v>
      </x:c>
    </x:row>
    <x:row r="42" ht="24" customHeight="1">
      <x:c r="A42" s="2" t="str">
        <x:v>GameSession_PopupFrame</x:v>
      </x:c>
      <x:c r="B42" s="2" t="str">
        <x:v>84..211</x:v>
      </x:c>
      <x:c r="C42" s="2" t="str">
        <x:v>0.000..227.000</x:v>
      </x:c>
      <x:c r="D42" s="12" t="n">
        <x:v>0</x:v>
      </x:c>
      <x:c r="E42" s="12" t="n">
        <x:v>87.99999999987836</x:v>
      </x:c>
      <x:c r="F42" s="12" t="n">
        <x:v>0</x:v>
      </x:c>
      <x:c r="G42" s="2" t="n">
        <x:v>0</x:v>
      </x:c>
      <x:c r="H42" s="2" t="n">
        <x:v>245</x:v>
      </x:c>
    </x:row>
    <x:row r="43" ht="24" customHeight="1">
      <x:c r="A43" s="2" t="str">
        <x:v>GameSession_PopupOverlay</x:v>
      </x:c>
      <x:c r="B43" s="2" t="str">
        <x:v>3..261</x:v>
      </x:c>
      <x:c r="C43" s="2" t="str">
        <x:v>0.000..227.000</x:v>
      </x:c>
      <x:c r="D43" s="12" t="n">
        <x:v>2.9416058394160585</x:v>
      </x:c>
      <x:c r="E43" s="12" t="n">
        <x:v>28.058394161780384</x:v>
      </x:c>
      <x:c r="F43" s="12" t="n">
        <x:v>31</x:v>
      </x:c>
      <x:c r="G43" s="2" t="n">
        <x:v>13</x:v>
      </x:c>
      <x:c r="H43" s="2" t="n">
        <x:v>124</x:v>
      </x:c>
    </x:row>
    <x:row r="44" ht="24" customHeight="1">
      <x:c r="A44" s="2" t="str">
        <x:v>GameSession_PopupUpload</x:v>
      </x:c>
      <x:c r="B44" s="2" t="str">
        <x:v>0..261</x:v>
      </x:c>
      <x:c r="C44" s="2" t="str">
        <x:v>0.000..227.000</x:v>
      </x:c>
      <x:c r="D44" s="12" t="n">
        <x:v>12.020408163265307</x:v>
      </x:c>
      <x:c r="E44" s="12" t="n">
        <x:v>18.97959183813358</x:v>
      </x:c>
      <x:c r="F44" s="12" t="n">
        <x:v>31</x:v>
      </x:c>
      <x:c r="G44" s="2" t="n">
        <x:v>95</x:v>
      </x:c>
      <x:c r="H44" s="2" t="n">
        <x:v>150</x:v>
      </x:c>
    </x:row>
    <x:row r="45" ht="24" customHeight="1">
      <x:c r="A45" s="2" t="str">
        <x:v>GameSession_AfterFrame</x:v>
      </x:c>
      <x:c r="B45" s="2" t="str">
        <x:v>84..211</x:v>
      </x:c>
      <x:c r="C45" s="2" t="str">
        <x:v>1.000..226.000</x:v>
      </x:c>
      <x:c r="D45" s="12" t="n">
        <x:v>0</x:v>
      </x:c>
      <x:c r="E45" s="12" t="n">
        <x:v>209.71836734693878</x:v>
      </x:c>
      <x:c r="F45" s="12" t="n">
        <x:v>0</x:v>
      </x:c>
      <x:c r="G45" s="2" t="n">
        <x:v>0</x:v>
      </x:c>
      <x:c r="H45" s="2" t="n">
        <x:v>245</x:v>
      </x:c>
    </x:row>
    <x:row r="46" ht="24" customHeight="1">
      <x:c r="A46" s="2" t="str">
        <x:v>clock_irq</x:v>
      </x:c>
      <x:c r="B46" s="2" t="str">
        <x:v>244..244</x:v>
      </x:c>
      <x:c r="C46" s="2" t="str">
        <x:v>64.000..191.000</x:v>
      </x:c>
      <x:c r="D46" s="12" t="n">
        <x:v>171</x:v>
      </x:c>
      <x:c r="E46" s="12" t="n">
        <x:v>6.980177341313566e-10</x:v>
      </x:c>
      <x:c r="F46" s="12" t="n">
        <x:v>171</x:v>
      </x:c>
      <x:c r="G46" s="2" t="n">
        <x:v>491</x:v>
      </x:c>
      <x:c r="H46" s="2" t="n">
        <x:v>0</x:v>
      </x:c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 t="str">
        <x:v>VR rises at line244 cycle33.667 and falls next line31 cycle33.667.</x:v>
      </x:c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Gameplay logic, PSG and inactive-table drawing run in foreground, including visible scanlines.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Active VBlank IRQ acknowledges VDP status and advances the clock. UI additionally latches keys in its IRQ.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Commit publishes display registers and sprite attribute tables after HALT. See observed endpoints above.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Inclusive spans may cross VBlank. In/outside partitions do not establish a safe VRAM transfer allowance.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UI/cold restoration and flag-capture costs are separate event samples in Events; excluded from active FPS.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122294</x:v>
      </x:c>
      <x:c r="D6" s="12" t="n">
        <x:v>88147.0000000149</x:v>
      </x:c>
      <x:c r="E6" s="12" t="n">
        <x:v>33931.666666671634</x:v>
      </x:c>
      <x:c r="F6" s="12" t="n">
        <x:v>40533.9999999851</x:v>
      </x:c>
      <x:c r="G6" s="12" t="n">
        <x:v>40584</x:v>
      </x:c>
      <x:c r="H6" s="12" t="n">
        <x:v>34146.9999999851</x:v>
      </x:c>
      <x:c r="I6" s="12" t="n">
        <x:v>6923</x:v>
      </x:c>
      <x:c r="J6" s="12" t="n">
        <x:v>106.00000002980232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116650</x:v>
      </x:c>
      <x:c r="D7" s="12" t="n">
        <x:v>69673</x:v>
      </x:c>
      <x:c r="E7" s="12" t="n">
        <x:v>46762.666666671634</x:v>
      </x:c>
      <x:c r="F7" s="12" t="n">
        <x:v>36667</x:v>
      </x:c>
      <x:c r="G7" s="12" t="n">
        <x:v>28798</x:v>
      </x:c>
      <x:c r="H7" s="12" t="n">
        <x:v>46977</x:v>
      </x:c>
      <x:c r="I7" s="12" t="n">
        <x:v>4101.999999985099</x:v>
      </x:c>
      <x:c r="J7" s="12" t="n">
        <x:v>106.00000001490116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119471</x:v>
      </x:c>
      <x:c r="D8" s="12" t="n">
        <x:v>79263.9999999851</x:v>
      </x:c>
      <x:c r="E8" s="12" t="n">
        <x:v>39993.666666671634</x:v>
      </x:c>
      <x:c r="F8" s="12" t="n">
        <x:v>34974.0000000149</x:v>
      </x:c>
      <x:c r="G8" s="12" t="n">
        <x:v>40082</x:v>
      </x:c>
      <x:c r="H8" s="12" t="n">
        <x:v>40207.0000000149</x:v>
      </x:c>
      <x:c r="I8" s="12" t="n">
        <x:v>4102.000000014901</x:v>
      </x:c>
      <x:c r="J8" s="12" t="n">
        <x:v>105.99999995529652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119475</x:v>
      </x:c>
      <x:c r="D9" s="12" t="n">
        <x:v>69337.9999999851</x:v>
      </x:c>
      <x:c r="E9" s="12" t="n">
        <x:v>49920.666666671634</x:v>
      </x:c>
      <x:c r="F9" s="12" t="n">
        <x:v>36332</x:v>
      </x:c>
      <x:c r="G9" s="12" t="n">
        <x:v>28798.0000000149</x:v>
      </x:c>
      <x:c r="H9" s="12" t="n">
        <x:v>50137.0000000149</x:v>
      </x:c>
      <x:c r="I9" s="12" t="n">
        <x:v>4102.000000014901</x:v>
      </x:c>
      <x:c r="J9" s="12" t="n">
        <x:v>105.99999995529652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119470.9999999851</x:v>
      </x:c>
      <x:c r="D10" s="12" t="n">
        <x:v>80433.9999999851</x:v>
      </x:c>
      <x:c r="E10" s="12" t="n">
        <x:v>38821.666666671634</x:v>
      </x:c>
      <x:c r="F10" s="12" t="n">
        <x:v>36144</x:v>
      </x:c>
      <x:c r="G10" s="12" t="n">
        <x:v>40081.9999999851</x:v>
      </x:c>
      <x:c r="H10" s="12" t="n">
        <x:v>39037</x:v>
      </x:c>
      <x:c r="I10" s="12" t="n">
        <x:v>4102</x:v>
      </x:c>
      <x:c r="J10" s="12" t="n">
        <x:v>106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119473.0000000149</x:v>
      </x:c>
      <x:c r="D11" s="12" t="n">
        <x:v>68981.0000000149</x:v>
      </x:c>
      <x:c r="E11" s="12" t="n">
        <x:v>50275.666666671634</x:v>
      </x:c>
      <x:c r="F11" s="12" t="n">
        <x:v>35975</x:v>
      </x:c>
      <x:c r="G11" s="12" t="n">
        <x:v>28798</x:v>
      </x:c>
      <x:c r="H11" s="12" t="n">
        <x:v>50492</x:v>
      </x:c>
      <x:c r="I11" s="12" t="n">
        <x:v>4102.000000014901</x:v>
      </x:c>
      <x:c r="J11" s="12" t="n">
        <x:v>106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119470</x:v>
      </x:c>
      <x:c r="D12" s="12" t="n">
        <x:v>79267.9999999851</x:v>
      </x:c>
      <x:c r="E12" s="12" t="n">
        <x:v>39987.666666671634</x:v>
      </x:c>
      <x:c r="F12" s="12" t="n">
        <x:v>34952</x:v>
      </x:c>
      <x:c r="G12" s="12" t="n">
        <x:v>40108</x:v>
      </x:c>
      <x:c r="H12" s="12" t="n">
        <x:v>40202.0000000149</x:v>
      </x:c>
      <x:c r="I12" s="12" t="n">
        <x:v>4102.000000014901</x:v>
      </x:c>
      <x:c r="J12" s="12" t="n">
        <x:v>105.99999997019768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119470.9999999851</x:v>
      </x:c>
      <x:c r="D13" s="12" t="n">
        <x:v>71503.9999999851</x:v>
      </x:c>
      <x:c r="E13" s="12" t="n">
        <x:v>47753.666666671634</x:v>
      </x:c>
      <x:c r="F13" s="12" t="n">
        <x:v>36333</x:v>
      </x:c>
      <x:c r="G13" s="12" t="n">
        <x:v>30963</x:v>
      </x:c>
      <x:c r="H13" s="12" t="n">
        <x:v>47967</x:v>
      </x:c>
      <x:c r="I13" s="12" t="n">
        <x:v>4102</x:v>
      </x:c>
      <x:c r="J13" s="12" t="n">
        <x:v>105.99999998509884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119473.0000000149</x:v>
      </x:c>
      <x:c r="D14" s="12" t="n">
        <x:v>109311.0000000149</x:v>
      </x:c>
      <x:c r="E14" s="12" t="n">
        <x:v>9947.666666671634</x:v>
      </x:c>
      <x:c r="F14" s="12" t="n">
        <x:v>63807</x:v>
      </x:c>
      <x:c r="G14" s="12" t="n">
        <x:v>41296</x:v>
      </x:c>
      <x:c r="H14" s="12" t="n">
        <x:v>10162</x:v>
      </x:c>
      <x:c r="I14" s="12" t="n">
        <x:v>4102.000000014901</x:v>
      </x:c>
      <x:c r="J14" s="12" t="n">
        <x:v>106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119474</x:v>
      </x:c>
      <x:c r="D15" s="12" t="n">
        <x:v>96297</x:v>
      </x:c>
      <x:c r="E15" s="12" t="n">
        <x:v>22960.666666671634</x:v>
      </x:c>
      <x:c r="F15" s="12" t="n">
        <x:v>63480</x:v>
      </x:c>
      <x:c r="G15" s="12" t="n">
        <x:v>28609</x:v>
      </x:c>
      <x:c r="H15" s="12" t="n">
        <x:v>23177</x:v>
      </x:c>
      <x:c r="I15" s="12" t="n">
        <x:v>4101.999999985099</x:v>
      </x:c>
      <x:c r="J15" s="12" t="n">
        <x:v>106.00000001490116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119471</x:v>
      </x:c>
      <x:c r="D16" s="12" t="n">
        <x:v>106848.9999999851</x:v>
      </x:c>
      <x:c r="E16" s="12" t="n">
        <x:v>12406.666666671634</x:v>
      </x:c>
      <x:c r="F16" s="12" t="n">
        <x:v>61856.0000000149</x:v>
      </x:c>
      <x:c r="G16" s="12" t="n">
        <x:v>40785</x:v>
      </x:c>
      <x:c r="H16" s="12" t="n">
        <x:v>12622.000000014901</x:v>
      </x:c>
      <x:c r="I16" s="12" t="n">
        <x:v>4102.000000014901</x:v>
      </x:c>
      <x:c r="J16" s="12" t="n">
        <x:v>105.99999995529652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119473</x:v>
      </x:c>
      <x:c r="D17" s="12" t="n">
        <x:v>94666</x:v>
      </x:c>
      <x:c r="E17" s="12" t="n">
        <x:v>24590.666666671634</x:v>
      </x:c>
      <x:c r="F17" s="12" t="n">
        <x:v>61849</x:v>
      </x:c>
      <x:c r="G17" s="12" t="n">
        <x:v>28609</x:v>
      </x:c>
      <x:c r="H17" s="12" t="n">
        <x:v>24807</x:v>
      </x:c>
      <x:c r="I17" s="12" t="n">
        <x:v>4102</x:v>
      </x:c>
      <x:c r="J17" s="12" t="n">
        <x:v>106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119467.9999999851</x:v>
      </x:c>
      <x:c r="D18" s="12" t="n">
        <x:v>79970.9999999851</x:v>
      </x:c>
      <x:c r="E18" s="12" t="n">
        <x:v>39284.666666671634</x:v>
      </x:c>
      <x:c r="F18" s="12" t="n">
        <x:v>34777.0000000149</x:v>
      </x:c>
      <x:c r="G18" s="12" t="n">
        <x:v>40986.0000000149</x:v>
      </x:c>
      <x:c r="H18" s="12" t="n">
        <x:v>39497</x:v>
      </x:c>
      <x:c r="I18" s="12" t="n">
        <x:v>4102</x:v>
      </x:c>
      <x:c r="J18" s="12" t="n">
        <x:v>105.99999995529652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119474</x:v>
      </x:c>
      <x:c r="D19" s="12" t="n">
        <x:v>67536.9999999851</x:v>
      </x:c>
      <x:c r="E19" s="12" t="n">
        <x:v>51722.666666671634</x:v>
      </x:c>
      <x:c r="F19" s="12" t="n">
        <x:v>34519</x:v>
      </x:c>
      <x:c r="G19" s="12" t="n">
        <x:v>28810</x:v>
      </x:c>
      <x:c r="H19" s="12" t="n">
        <x:v>51937.0000000149</x:v>
      </x:c>
      <x:c r="I19" s="12" t="n">
        <x:v>4102</x:v>
      </x:c>
      <x:c r="J19" s="12" t="n">
        <x:v>105.99999998509884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119472.0000000149</x:v>
      </x:c>
      <x:c r="D20" s="12" t="n">
        <x:v>78045.0000000149</x:v>
      </x:c>
      <x:c r="E20" s="12" t="n">
        <x:v>41212.666666671634</x:v>
      </x:c>
      <x:c r="F20" s="12" t="n">
        <x:v>32877</x:v>
      </x:c>
      <x:c r="G20" s="12" t="n">
        <x:v>40960.0000000149</x:v>
      </x:c>
      <x:c r="H20" s="12" t="n">
        <x:v>41427</x:v>
      </x:c>
      <x:c r="I20" s="12" t="n">
        <x:v>4102</x:v>
      </x:c>
      <x:c r="J20" s="12" t="n">
        <x:v>106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119474</x:v>
      </x:c>
      <x:c r="D21" s="12" t="n">
        <x:v>69332.0000000149</x:v>
      </x:c>
      <x:c r="E21" s="12" t="n">
        <x:v>49925.666666671634</x:v>
      </x:c>
      <x:c r="F21" s="12" t="n">
        <x:v>34184.9999999851</x:v>
      </x:c>
      <x:c r="G21" s="12" t="n">
        <x:v>30939</x:v>
      </x:c>
      <x:c r="H21" s="12" t="n">
        <x:v>50141.9999999851</x:v>
      </x:c>
      <x:c r="I21" s="12" t="n">
        <x:v>4102</x:v>
      </x:c>
      <x:c r="J21" s="12" t="n">
        <x:v>106.00000002980232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119471</x:v>
      </x:c>
      <x:c r="D22" s="12" t="n">
        <x:v>79609</x:v>
      </x:c>
      <x:c r="E22" s="12" t="n">
        <x:v>39646.666666671634</x:v>
      </x:c>
      <x:c r="F22" s="12" t="n">
        <x:v>33954</x:v>
      </x:c>
      <x:c r="G22" s="12" t="n">
        <x:v>41446.9999999851</x:v>
      </x:c>
      <x:c r="H22" s="12" t="n">
        <x:v>39862</x:v>
      </x:c>
      <x:c r="I22" s="12" t="n">
        <x:v>4102</x:v>
      </x:c>
      <x:c r="J22" s="12" t="n">
        <x:v>106.00000001490116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119472.9999999851</x:v>
      </x:c>
      <x:c r="D23" s="12" t="n">
        <x:v>66790.9999999702</x:v>
      </x:c>
      <x:c r="E23" s="12" t="n">
        <x:v>52465.666666671634</x:v>
      </x:c>
      <x:c r="F23" s="12" t="n">
        <x:v>33785.0000000149</x:v>
      </x:c>
      <x:c r="G23" s="12" t="n">
        <x:v>28798</x:v>
      </x:c>
      <x:c r="H23" s="12" t="n">
        <x:v>52682.0000000149</x:v>
      </x:c>
      <x:c r="I23" s="12" t="n">
        <x:v>4102</x:v>
      </x:c>
      <x:c r="J23" s="12" t="n">
        <x:v>105.99999995529652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119469</x:v>
      </x:c>
      <x:c r="D24" s="12" t="n">
        <x:v>77972</x:v>
      </x:c>
      <x:c r="E24" s="12" t="n">
        <x:v>41283.666666671634</x:v>
      </x:c>
      <x:c r="F24" s="12" t="n">
        <x:v>32819</x:v>
      </x:c>
      <x:c r="G24" s="12" t="n">
        <x:v>40945.0000000149</x:v>
      </x:c>
      <x:c r="H24" s="12" t="n">
        <x:v>41497</x:v>
      </x:c>
      <x:c r="I24" s="12" t="n">
        <x:v>4102</x:v>
      </x:c>
      <x:c r="J24" s="12" t="n">
        <x:v>105.99999998509884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119475</x:v>
      </x:c>
      <x:c r="D25" s="12" t="n">
        <x:v>67163</x:v>
      </x:c>
      <x:c r="E25" s="12" t="n">
        <x:v>52095.666666671634</x:v>
      </x:c>
      <x:c r="F25" s="12" t="n">
        <x:v>34157</x:v>
      </x:c>
      <x:c r="G25" s="12" t="n">
        <x:v>28797.9999999851</x:v>
      </x:c>
      <x:c r="H25" s="12" t="n">
        <x:v>52312</x:v>
      </x:c>
      <x:c r="I25" s="12" t="n">
        <x:v>4102</x:v>
      </x:c>
      <x:c r="J25" s="12" t="n">
        <x:v>106.00000001490116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119469.0000000149</x:v>
      </x:c>
      <x:c r="D26" s="12" t="n">
        <x:v>79917.0000000149</x:v>
      </x:c>
      <x:c r="E26" s="12" t="n">
        <x:v>39338.666666671634</x:v>
      </x:c>
      <x:c r="F26" s="12" t="n">
        <x:v>34764</x:v>
      </x:c>
      <x:c r="G26" s="12" t="n">
        <x:v>40945.0000000149</x:v>
      </x:c>
      <x:c r="H26" s="12" t="n">
        <x:v>39552</x:v>
      </x:c>
      <x:c r="I26" s="12" t="n">
        <x:v>4102.000000014901</x:v>
      </x:c>
      <x:c r="J26" s="12" t="n">
        <x:v>105.99999998509884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119472</x:v>
      </x:c>
      <x:c r="D27" s="12" t="n">
        <x:v>67485.0000000149</x:v>
      </x:c>
      <x:c r="E27" s="12" t="n">
        <x:v>51773.666666671634</x:v>
      </x:c>
      <x:c r="F27" s="12" t="n">
        <x:v>34479</x:v>
      </x:c>
      <x:c r="G27" s="12" t="n">
        <x:v>28798</x:v>
      </x:c>
      <x:c r="H27" s="12" t="n">
        <x:v>51986.9999999851</x:v>
      </x:c>
      <x:c r="I27" s="12" t="n">
        <x:v>4102</x:v>
      </x:c>
      <x:c r="J27" s="12" t="n">
        <x:v>106.00000001490116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119472.9999999851</x:v>
      </x:c>
      <x:c r="D28" s="12" t="n">
        <x:v>77265.9999999851</x:v>
      </x:c>
      <x:c r="E28" s="12" t="n">
        <x:v>41992.666666671634</x:v>
      </x:c>
      <x:c r="F28" s="12" t="n">
        <x:v>32089</x:v>
      </x:c>
      <x:c r="G28" s="12" t="n">
        <x:v>40969</x:v>
      </x:c>
      <x:c r="H28" s="12" t="n">
        <x:v>42207</x:v>
      </x:c>
      <x:c r="I28" s="12" t="n">
        <x:v>4102</x:v>
      </x:c>
      <x:c r="J28" s="12" t="n">
        <x:v>105.99999998509884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119470</x:v>
      </x:c>
      <x:c r="D29" s="12" t="n">
        <x:v>68698</x:v>
      </x:c>
      <x:c r="E29" s="12" t="n">
        <x:v>50559.666666671634</x:v>
      </x:c>
      <x:c r="F29" s="12" t="n">
        <x:v>33527</x:v>
      </x:c>
      <x:c r="G29" s="12" t="n">
        <x:v>30963</x:v>
      </x:c>
      <x:c r="H29" s="12" t="n">
        <x:v>50772</x:v>
      </x:c>
      <x:c r="I29" s="12" t="n">
        <x:v>4102</x:v>
      </x:c>
      <x:c r="J29" s="12" t="n">
        <x:v>106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119475</x:v>
      </x:c>
      <x:c r="D30" s="12" t="n">
        <x:v>80347.9999999851</x:v>
      </x:c>
      <x:c r="E30" s="12" t="n">
        <x:v>38911.666666671634</x:v>
      </x:c>
      <x:c r="F30" s="12" t="n">
        <x:v>34645</x:v>
      </x:c>
      <x:c r="G30" s="12" t="n">
        <x:v>41495.0000000149</x:v>
      </x:c>
      <x:c r="H30" s="12" t="n">
        <x:v>39127.0000000149</x:v>
      </x:c>
      <x:c r="I30" s="12" t="n">
        <x:v>4102</x:v>
      </x:c>
      <x:c r="J30" s="12" t="n">
        <x:v>105.99999997019768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119473.0000000149</x:v>
      </x:c>
      <x:c r="D31" s="12" t="n">
        <x:v>67416.0000000149</x:v>
      </x:c>
      <x:c r="E31" s="12" t="n">
        <x:v>51840.666666671634</x:v>
      </x:c>
      <x:c r="F31" s="12" t="n">
        <x:v>34398</x:v>
      </x:c>
      <x:c r="G31" s="12" t="n">
        <x:v>28809.9999999851</x:v>
      </x:c>
      <x:c r="H31" s="12" t="n">
        <x:v>52057</x:v>
      </x:c>
      <x:c r="I31" s="12" t="n">
        <x:v>4102</x:v>
      </x:c>
      <x:c r="J31" s="12" t="n">
        <x:v>106.00000002980232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119469</x:v>
      </x:c>
      <x:c r="D32" s="12" t="n">
        <x:v>77937</x:v>
      </x:c>
      <x:c r="E32" s="12" t="n">
        <x:v>41318.666666671634</x:v>
      </x:c>
      <x:c r="F32" s="12" t="n">
        <x:v>32745</x:v>
      </x:c>
      <x:c r="G32" s="12" t="n">
        <x:v>40983.9999999851</x:v>
      </x:c>
      <x:c r="H32" s="12" t="n">
        <x:v>41532</x:v>
      </x:c>
      <x:c r="I32" s="12" t="n">
        <x:v>4101.999999985099</x:v>
      </x:c>
      <x:c r="J32" s="12" t="n">
        <x:v>106.00000002980232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119473</x:v>
      </x:c>
      <x:c r="D33" s="12" t="n">
        <x:v>67186.0000000149</x:v>
      </x:c>
      <x:c r="E33" s="12" t="n">
        <x:v>52072.666666671634</x:v>
      </x:c>
      <x:c r="F33" s="12" t="n">
        <x:v>34168.0000000149</x:v>
      </x:c>
      <x:c r="G33" s="12" t="n">
        <x:v>28809.9999999851</x:v>
      </x:c>
      <x:c r="H33" s="12" t="n">
        <x:v>52286.9999999851</x:v>
      </x:c>
      <x:c r="I33" s="12" t="n">
        <x:v>4102</x:v>
      </x:c>
      <x:c r="J33" s="12" t="n">
        <x:v>106.00000001490116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119471</x:v>
      </x:c>
      <x:c r="D34" s="12" t="n">
        <x:v>79193.9999999851</x:v>
      </x:c>
      <x:c r="E34" s="12" t="n">
        <x:v>40063.666666671634</x:v>
      </x:c>
      <x:c r="F34" s="12" t="n">
        <x:v>34002</x:v>
      </x:c>
      <x:c r="G34" s="12" t="n">
        <x:v>40984</x:v>
      </x:c>
      <x:c r="H34" s="12" t="n">
        <x:v>40277.0000000149</x:v>
      </x:c>
      <x:c r="I34" s="12" t="n">
        <x:v>4102</x:v>
      </x:c>
      <x:c r="J34" s="12" t="n">
        <x:v>105.99999998509884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119471</x:v>
      </x:c>
      <x:c r="D35" s="12" t="n">
        <x:v>66764</x:v>
      </x:c>
      <x:c r="E35" s="12" t="n">
        <x:v>52494.666666671634</x:v>
      </x:c>
      <x:c r="F35" s="12" t="n">
        <x:v>33745.9999999851</x:v>
      </x:c>
      <x:c r="G35" s="12" t="n">
        <x:v>28810</x:v>
      </x:c>
      <x:c r="H35" s="12" t="n">
        <x:v>52707</x:v>
      </x:c>
      <x:c r="I35" s="12" t="n">
        <x:v>4102</x:v>
      </x:c>
      <x:c r="J35" s="12" t="n">
        <x:v>106.00000001490116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119476</x:v>
      </x:c>
      <x:c r="D36" s="12" t="n">
        <x:v>77889</x:v>
      </x:c>
      <x:c r="E36" s="12" t="n">
        <x:v>41370.666666671634</x:v>
      </x:c>
      <x:c r="F36" s="12" t="n">
        <x:v>32723</x:v>
      </x:c>
      <x:c r="G36" s="12" t="n">
        <x:v>40958.0000000149</x:v>
      </x:c>
      <x:c r="H36" s="12" t="n">
        <x:v>41587</x:v>
      </x:c>
      <x:c r="I36" s="12" t="n">
        <x:v>4102</x:v>
      </x:c>
      <x:c r="J36" s="12" t="n">
        <x:v>105.99999998509884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119469.9999999851</x:v>
      </x:c>
      <x:c r="D37" s="12" t="n">
        <x:v>68697.9999999851</x:v>
      </x:c>
      <x:c r="E37" s="12" t="n">
        <x:v>50557.666666671634</x:v>
      </x:c>
      <x:c r="F37" s="12" t="n">
        <x:v>33551</x:v>
      </x:c>
      <x:c r="G37" s="12" t="n">
        <x:v>30939</x:v>
      </x:c>
      <x:c r="H37" s="12" t="n">
        <x:v>50772</x:v>
      </x:c>
      <x:c r="I37" s="12" t="n">
        <x:v>4102</x:v>
      </x:c>
      <x:c r="J37" s="12" t="n">
        <x:v>105.99999998509884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119472.0000000149</x:v>
      </x:c>
      <x:c r="D38" s="12" t="n">
        <x:v>80425</x:v>
      </x:c>
      <x:c r="E38" s="12" t="n">
        <x:v>38832.666666671634</x:v>
      </x:c>
      <x:c r="F38" s="12" t="n">
        <x:v>34771.9999999851</x:v>
      </x:c>
      <x:c r="G38" s="12" t="n">
        <x:v>41445</x:v>
      </x:c>
      <x:c r="H38" s="12" t="n">
        <x:v>39047.0000000149</x:v>
      </x:c>
      <x:c r="I38" s="12" t="n">
        <x:v>4102</x:v>
      </x:c>
      <x:c r="J38" s="12" t="n">
        <x:v>106.00000001490116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119472.9999999851</x:v>
      </x:c>
      <x:c r="D39" s="12" t="n">
        <x:v>67445.9999999851</x:v>
      </x:c>
      <x:c r="E39" s="12" t="n">
        <x:v>51811.666666671634</x:v>
      </x:c>
      <x:c r="F39" s="12" t="n">
        <x:v>34440</x:v>
      </x:c>
      <x:c r="G39" s="12" t="n">
        <x:v>28798</x:v>
      </x:c>
      <x:c r="H39" s="12" t="n">
        <x:v>52027</x:v>
      </x:c>
      <x:c r="I39" s="12" t="n">
        <x:v>4102</x:v>
      </x:c>
      <x:c r="J39" s="12" t="n">
        <x:v>105.99999998509884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119469.0000000149</x:v>
      </x:c>
      <x:c r="D40" s="12" t="n">
        <x:v>75977</x:v>
      </x:c>
      <x:c r="E40" s="12" t="n">
        <x:v>43279.666666671634</x:v>
      </x:c>
      <x:c r="F40" s="12" t="n">
        <x:v>30825.9999999851</x:v>
      </x:c>
      <x:c r="G40" s="12" t="n">
        <x:v>40943</x:v>
      </x:c>
      <x:c r="H40" s="12" t="n">
        <x:v>43492.0000000149</x:v>
      </x:c>
      <x:c r="I40" s="12" t="n">
        <x:v>4102</x:v>
      </x:c>
      <x:c r="J40" s="12" t="n">
        <x:v>106.00000001490116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119473</x:v>
      </x:c>
      <x:c r="D41" s="12" t="n">
        <x:v>65266</x:v>
      </x:c>
      <x:c r="E41" s="12" t="n">
        <x:v>53993.666666671634</x:v>
      </x:c>
      <x:c r="F41" s="12" t="n">
        <x:v>32260</x:v>
      </x:c>
      <x:c r="G41" s="12" t="n">
        <x:v>28798</x:v>
      </x:c>
      <x:c r="H41" s="12" t="n">
        <x:v>54207</x:v>
      </x:c>
      <x:c r="I41" s="12" t="n">
        <x:v>4101.999999985099</x:v>
      </x:c>
      <x:c r="J41" s="12" t="n">
        <x:v>106.00000001490116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119471</x:v>
      </x:c>
      <x:c r="D42" s="12" t="n">
        <x:v>79814</x:v>
      </x:c>
      <x:c r="E42" s="12" t="n">
        <x:v>39444.666666671634</x:v>
      </x:c>
      <x:c r="F42" s="12" t="n">
        <x:v>34663.0000000149</x:v>
      </x:c>
      <x:c r="G42" s="12" t="n">
        <x:v>40943.0000000149</x:v>
      </x:c>
      <x:c r="H42" s="12" t="n">
        <x:v>39657</x:v>
      </x:c>
      <x:c r="I42" s="12" t="n">
        <x:v>4102.000000014901</x:v>
      </x:c>
      <x:c r="J42" s="12" t="n">
        <x:v>105.99999995529652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119473</x:v>
      </x:c>
      <x:c r="D43" s="12" t="n">
        <x:v>66776</x:v>
      </x:c>
      <x:c r="E43" s="12" t="n">
        <x:v>52483.666666671634</x:v>
      </x:c>
      <x:c r="F43" s="12" t="n">
        <x:v>33770</x:v>
      </x:c>
      <x:c r="G43" s="12" t="n">
        <x:v>28797.9999999851</x:v>
      </x:c>
      <x:c r="H43" s="12" t="n">
        <x:v>52697</x:v>
      </x:c>
      <x:c r="I43" s="12" t="n">
        <x:v>4102</x:v>
      </x:c>
      <x:c r="J43" s="12" t="n">
        <x:v>106.00000001490116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119472</x:v>
      </x:c>
      <x:c r="D44" s="12" t="n">
        <x:v>77860</x:v>
      </x:c>
      <x:c r="E44" s="12" t="n">
        <x:v>41398.666666671634</x:v>
      </x:c>
      <x:c r="F44" s="12" t="n">
        <x:v>32683.0000000149</x:v>
      </x:c>
      <x:c r="G44" s="12" t="n">
        <x:v>40969</x:v>
      </x:c>
      <x:c r="H44" s="12" t="n">
        <x:v>41612</x:v>
      </x:c>
      <x:c r="I44" s="12" t="n">
        <x:v>4102.000000014901</x:v>
      </x:c>
      <x:c r="J44" s="12" t="n">
        <x:v>105.99999997019768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119472</x:v>
      </x:c>
      <x:c r="D45" s="12" t="n">
        <x:v>69295.0000000149</x:v>
      </x:c>
      <x:c r="E45" s="12" t="n">
        <x:v>49963.666666671634</x:v>
      </x:c>
      <x:c r="F45" s="12" t="n">
        <x:v>34124</x:v>
      </x:c>
      <x:c r="G45" s="12" t="n">
        <x:v>30963</x:v>
      </x:c>
      <x:c r="H45" s="12" t="n">
        <x:v>50176.9999999851</x:v>
      </x:c>
      <x:c r="I45" s="12" t="n">
        <x:v>4102</x:v>
      </x:c>
      <x:c r="J45" s="12" t="n">
        <x:v>106.00000001490116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122294</x:v>
      </x:c>
      <x:c r="D46" s="12" t="n">
        <x:v>85972</x:v>
      </x:c>
      <x:c r="E46" s="12" t="n">
        <x:v>36107.666666671634</x:v>
      </x:c>
      <x:c r="F46" s="12" t="n">
        <x:v>37448</x:v>
      </x:c>
      <x:c r="G46" s="12" t="n">
        <x:v>41494.9999999851</x:v>
      </x:c>
      <x:c r="H46" s="12" t="n">
        <x:v>36322</x:v>
      </x:c>
      <x:c r="I46" s="12" t="n">
        <x:v>6923</x:v>
      </x:c>
      <x:c r="J46" s="12" t="n">
        <x:v>106.00000001490116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116648.9999999851</x:v>
      </x:c>
      <x:c r="D47" s="12" t="n">
        <x:v>66856.9999999851</x:v>
      </x:c>
      <x:c r="E47" s="12" t="n">
        <x:v>49579.666666671634</x:v>
      </x:c>
      <x:c r="F47" s="12" t="n">
        <x:v>33839</x:v>
      </x:c>
      <x:c r="G47" s="12" t="n">
        <x:v>28810</x:v>
      </x:c>
      <x:c r="H47" s="12" t="n">
        <x:v>49792</x:v>
      </x:c>
      <x:c r="I47" s="12" t="n">
        <x:v>4102</x:v>
      </x:c>
      <x:c r="J47" s="12" t="n">
        <x:v>105.99999998509884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119474.0000000149</x:v>
      </x:c>
      <x:c r="D48" s="12" t="n">
        <x:v>77972.0000000149</x:v>
      </x:c>
      <x:c r="E48" s="12" t="n">
        <x:v>41287.666666671634</x:v>
      </x:c>
      <x:c r="F48" s="12" t="n">
        <x:v>32779.9999999851</x:v>
      </x:c>
      <x:c r="G48" s="12" t="n">
        <x:v>40984</x:v>
      </x:c>
      <x:c r="H48" s="12" t="n">
        <x:v>41502</x:v>
      </x:c>
      <x:c r="I48" s="12" t="n">
        <x:v>4102.000000014901</x:v>
      </x:c>
      <x:c r="J48" s="12" t="n">
        <x:v>106.00000001490116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119469.9999999851</x:v>
      </x:c>
      <x:c r="D49" s="12" t="n">
        <x:v>67127.9999999851</x:v>
      </x:c>
      <x:c r="E49" s="12" t="n">
        <x:v>52129.666666671634</x:v>
      </x:c>
      <x:c r="F49" s="12" t="n">
        <x:v>34109.9999999851</x:v>
      </x:c>
      <x:c r="G49" s="12" t="n">
        <x:v>28810</x:v>
      </x:c>
      <x:c r="H49" s="12" t="n">
        <x:v>52342</x:v>
      </x:c>
      <x:c r="I49" s="12" t="n">
        <x:v>4102</x:v>
      </x:c>
      <x:c r="J49" s="12" t="n">
        <x:v>106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2" t="n">
        <x:v>117921.0000000149</x:v>
      </x:c>
      <x:c r="D50" s="12" t="n">
        <x:v>115664.0000000149</x:v>
      </x:c>
      <x:c r="E50" s="12" t="n">
        <x:v>2043.6666666716337</x:v>
      </x:c>
      <x:c r="F50" s="12" t="n">
        <x:v>33431</x:v>
      </x:c>
      <x:c r="G50" s="12" t="n">
        <x:v>79577</x:v>
      </x:c>
      <x:c r="H50" s="12" t="n">
        <x:v>2257</x:v>
      </x:c>
      <x:c r="I50" s="12" t="n">
        <x:v>2550</x:v>
      </x:c>
      <x:c r="J50" s="12" t="n">
        <x:v>106.00000001490116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2" t="n">
        <x:v>119472.9999999851</x:v>
      </x:c>
      <x:c r="D51" s="12" t="n">
        <x:v>67875.9999999851</x:v>
      </x:c>
      <x:c r="E51" s="12" t="n">
        <x:v>51382.666666671634</x:v>
      </x:c>
      <x:c r="F51" s="12" t="n">
        <x:v>33630.0000000149</x:v>
      </x:c>
      <x:c r="G51" s="12" t="n">
        <x:v>31590</x:v>
      </x:c>
      <x:c r="H51" s="12" t="n">
        <x:v>51597</x:v>
      </x:c>
      <x:c r="I51" s="12" t="n">
        <x:v>2550</x:v>
      </x:c>
      <x:c r="J51" s="12" t="n">
        <x:v>105.99999997019768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119473.0000000149</x:v>
      </x:c>
      <x:c r="D52" s="12" t="n">
        <x:v>84191.0000000149</x:v>
      </x:c>
      <x:c r="E52" s="12" t="n">
        <x:v>35066.666666671634</x:v>
      </x:c>
      <x:c r="F52" s="12" t="n">
        <x:v>30765</x:v>
      </x:c>
      <x:c r="G52" s="12" t="n">
        <x:v>50770</x:v>
      </x:c>
      <x:c r="H52" s="12" t="n">
        <x:v>35282</x:v>
      </x:c>
      <x:c r="I52" s="12" t="n">
        <x:v>2550.000000014901</x:v>
      </x:c>
      <x:c r="J52" s="12" t="n">
        <x:v>106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119470</x:v>
      </x:c>
      <x:c r="D53" s="12" t="n">
        <x:v>67958</x:v>
      </x:c>
      <x:c r="E53" s="12" t="n">
        <x:v>51298.666666671634</x:v>
      </x:c>
      <x:c r="F53" s="12" t="n">
        <x:v>31583</x:v>
      </x:c>
      <x:c r="G53" s="12" t="n">
        <x:v>33719</x:v>
      </x:c>
      <x:c r="H53" s="12" t="n">
        <x:v>51512</x:v>
      </x:c>
      <x:c r="I53" s="12" t="n">
        <x:v>2550.000000014901</x:v>
      </x:c>
      <x:c r="J53" s="12" t="n">
        <x:v>105.99999998509884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119474</x:v>
      </x:c>
      <x:c r="D54" s="12" t="n">
        <x:v>88896.9999999851</x:v>
      </x:c>
      <x:c r="E54" s="12" t="n">
        <x:v>30361.666666671634</x:v>
      </x:c>
      <x:c r="F54" s="12" t="n">
        <x:v>33393</x:v>
      </x:c>
      <x:c r="G54" s="12" t="n">
        <x:v>52848</x:v>
      </x:c>
      <x:c r="H54" s="12" t="n">
        <x:v>30577.0000000149</x:v>
      </x:c>
      <x:c r="I54" s="12" t="n">
        <x:v>2550</x:v>
      </x:c>
      <x:c r="J54" s="12" t="n">
        <x:v>105.99999998509884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119471</x:v>
      </x:c>
      <x:c r="D55" s="12" t="n">
        <x:v>67403.9999999851</x:v>
      </x:c>
      <x:c r="E55" s="12" t="n">
        <x:v>51852.666666671634</x:v>
      </x:c>
      <x:c r="F55" s="12" t="n">
        <x:v>33170</x:v>
      </x:c>
      <x:c r="G55" s="12" t="n">
        <x:v>31578</x:v>
      </x:c>
      <x:c r="H55" s="12" t="n">
        <x:v>52067.0000000149</x:v>
      </x:c>
      <x:c r="I55" s="12" t="n">
        <x:v>2550</x:v>
      </x:c>
      <x:c r="J55" s="12" t="n">
        <x:v>105.99999998509884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119473</x:v>
      </x:c>
      <x:c r="D56" s="12" t="n">
        <x:v>83871</x:v>
      </x:c>
      <x:c r="E56" s="12" t="n">
        <x:v>35386.666666671634</x:v>
      </x:c>
      <x:c r="F56" s="12" t="n">
        <x:v>31441.9999999851</x:v>
      </x:c>
      <x:c r="G56" s="12" t="n">
        <x:v>49773</x:v>
      </x:c>
      <x:c r="H56" s="12" t="n">
        <x:v>35602</x:v>
      </x:c>
      <x:c r="I56" s="12" t="n">
        <x:v>2549.999999985099</x:v>
      </x:c>
      <x:c r="J56" s="12" t="n">
        <x:v>106.00000002980232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119471</x:v>
      </x:c>
      <x:c r="D57" s="12" t="n">
        <x:v>64363.9999999851</x:v>
      </x:c>
      <x:c r="E57" s="12" t="n">
        <x:v>54892.666666671634</x:v>
      </x:c>
      <x:c r="F57" s="12" t="n">
        <x:v>32703.0000000149</x:v>
      </x:c>
      <x:c r="G57" s="12" t="n">
        <x:v>29005.0000000149</x:v>
      </x:c>
      <x:c r="H57" s="12" t="n">
        <x:v>55107.0000000149</x:v>
      </x:c>
      <x:c r="I57" s="12" t="n">
        <x:v>2550.000000014901</x:v>
      </x:c>
      <x:c r="J57" s="12" t="n">
        <x:v>105.99999994039536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119473</x:v>
      </x:c>
      <x:c r="D58" s="12" t="n">
        <x:v>83401</x:v>
      </x:c>
      <x:c r="E58" s="12" t="n">
        <x:v>35856.666666671634</x:v>
      </x:c>
      <x:c r="F58" s="12" t="n">
        <x:v>32563</x:v>
      </x:c>
      <x:c r="G58" s="12" t="n">
        <x:v>48182</x:v>
      </x:c>
      <x:c r="H58" s="12" t="n">
        <x:v>36072</x:v>
      </x:c>
      <x:c r="I58" s="12" t="n">
        <x:v>2550</x:v>
      </x:c>
      <x:c r="J58" s="12" t="n">
        <x:v>106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119472.9999999851</x:v>
      </x:c>
      <x:c r="D59" s="12" t="n">
        <x:v>64071</x:v>
      </x:c>
      <x:c r="E59" s="12" t="n">
        <x:v>55185.666666671634</x:v>
      </x:c>
      <x:c r="F59" s="12" t="n">
        <x:v>32410</x:v>
      </x:c>
      <x:c r="G59" s="12" t="n">
        <x:v>29005</x:v>
      </x:c>
      <x:c r="H59" s="12" t="n">
        <x:v>55401.9999999851</x:v>
      </x:c>
      <x:c r="I59" s="12" t="n">
        <x:v>2550</x:v>
      </x:c>
      <x:c r="J59" s="12" t="n">
        <x:v>106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119469</x:v>
      </x:c>
      <x:c r="D60" s="12" t="n">
        <x:v>82277</x:v>
      </x:c>
      <x:c r="E60" s="12" t="n">
        <x:v>36978.666666671634</x:v>
      </x:c>
      <x:c r="F60" s="12" t="n">
        <x:v>31439</x:v>
      </x:c>
      <x:c r="G60" s="12" t="n">
        <x:v>48182.0000000149</x:v>
      </x:c>
      <x:c r="H60" s="12" t="n">
        <x:v>37192</x:v>
      </x:c>
      <x:c r="I60" s="12" t="n">
        <x:v>2550</x:v>
      </x:c>
      <x:c r="J60" s="12" t="n">
        <x:v>105.99999998509884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119475</x:v>
      </x:c>
      <x:c r="D61" s="12" t="n">
        <x:v>66593</x:v>
      </x:c>
      <x:c r="E61" s="12" t="n">
        <x:v>52665.666666671634</x:v>
      </x:c>
      <x:c r="F61" s="12" t="n">
        <x:v>32767</x:v>
      </x:c>
      <x:c r="G61" s="12" t="n">
        <x:v>31169.9999999851</x:v>
      </x:c>
      <x:c r="H61" s="12" t="n">
        <x:v>52882</x:v>
      </x:c>
      <x:c r="I61" s="12" t="n">
        <x:v>2550</x:v>
      </x:c>
      <x:c r="J61" s="12" t="n">
        <x:v>106.00000001490116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119469.0000000149</x:v>
      </x:c>
      <x:c r="D62" s="12" t="n">
        <x:v>90717</x:v>
      </x:c>
      <x:c r="E62" s="12" t="n">
        <x:v>28538.666666671634</x:v>
      </x:c>
      <x:c r="F62" s="12" t="n">
        <x:v>39353</x:v>
      </x:c>
      <x:c r="G62" s="12" t="n">
        <x:v>48708</x:v>
      </x:c>
      <x:c r="H62" s="12" t="n">
        <x:v>28752.0000000149</x:v>
      </x:c>
      <x:c r="I62" s="12" t="n">
        <x:v>2550</x:v>
      </x:c>
      <x:c r="J62" s="12" t="n">
        <x:v>106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119470.9999999851</x:v>
      </x:c>
      <x:c r="D63" s="12" t="n">
        <x:v>66139</x:v>
      </x:c>
      <x:c r="E63" s="12" t="n">
        <x:v>53119.666666671634</x:v>
      </x:c>
      <x:c r="F63" s="12" t="n">
        <x:v>34466</x:v>
      </x:c>
      <x:c r="G63" s="12" t="n">
        <x:v>29016.9999999851</x:v>
      </x:c>
      <x:c r="H63" s="12" t="n">
        <x:v>53331.9999999851</x:v>
      </x:c>
      <x:c r="I63" s="12" t="n">
        <x:v>2550</x:v>
      </x:c>
      <x:c r="J63" s="12" t="n">
        <x:v>106.00000001490116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119476.0000000149</x:v>
      </x:c>
      <x:c r="D64" s="12" t="n">
        <x:v>81784.0000000149</x:v>
      </x:c>
      <x:c r="E64" s="12" t="n">
        <x:v>37475.666666671634</x:v>
      </x:c>
      <x:c r="F64" s="12" t="n">
        <x:v>30931</x:v>
      </x:c>
      <x:c r="G64" s="12" t="n">
        <x:v>48197.0000000149</x:v>
      </x:c>
      <x:c r="H64" s="12" t="n">
        <x:v>37692</x:v>
      </x:c>
      <x:c r="I64" s="12" t="n">
        <x:v>2550</x:v>
      </x:c>
      <x:c r="J64" s="12" t="n">
        <x:v>106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119468.9999999851</x:v>
      </x:c>
      <x:c r="D65" s="12" t="n">
        <x:v>65252</x:v>
      </x:c>
      <x:c r="E65" s="12" t="n">
        <x:v>54003.666666671634</x:v>
      </x:c>
      <x:c r="F65" s="12" t="n">
        <x:v>33579</x:v>
      </x:c>
      <x:c r="G65" s="12" t="n">
        <x:v>29016.9999999851</x:v>
      </x:c>
      <x:c r="H65" s="12" t="n">
        <x:v>54216.9999999851</x:v>
      </x:c>
      <x:c r="I65" s="12" t="n">
        <x:v>2550</x:v>
      </x:c>
      <x:c r="J65" s="12" t="n">
        <x:v>106.00000001490116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119475.0000000149</x:v>
      </x:c>
      <x:c r="D66" s="12" t="n">
        <x:v>85663.0000000149</x:v>
      </x:c>
      <x:c r="E66" s="12" t="n">
        <x:v>33595.666666671634</x:v>
      </x:c>
      <x:c r="F66" s="12" t="n">
        <x:v>34810</x:v>
      </x:c>
      <x:c r="G66" s="12" t="n">
        <x:v>48197.0000000149</x:v>
      </x:c>
      <x:c r="H66" s="12" t="n">
        <x:v>33812</x:v>
      </x:c>
      <x:c r="I66" s="12" t="n">
        <x:v>2550</x:v>
      </x:c>
      <x:c r="J66" s="12" t="n">
        <x:v>106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119468.9999999851</x:v>
      </x:c>
      <x:c r="D67" s="12" t="n">
        <x:v>70196.9999999851</x:v>
      </x:c>
      <x:c r="E67" s="12" t="n">
        <x:v>49058.666666671634</x:v>
      </x:c>
      <x:c r="F67" s="12" t="n">
        <x:v>38524</x:v>
      </x:c>
      <x:c r="G67" s="12" t="n">
        <x:v>29016.9999999851</x:v>
      </x:c>
      <x:c r="H67" s="12" t="n">
        <x:v>49272</x:v>
      </x:c>
      <x:c r="I67" s="12" t="n">
        <x:v>2550</x:v>
      </x:c>
      <x:c r="J67" s="12" t="n">
        <x:v>106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2" t="n">
        <x:v>121024.0000000149</x:v>
      </x:c>
      <x:c r="D68" s="12" t="n">
        <x:v>82277</x:v>
      </x:c>
      <x:c r="E68" s="12" t="n">
        <x:v>38533.666666671634</x:v>
      </x:c>
      <x:c r="F68" s="12" t="n">
        <x:v>39658</x:v>
      </x:c>
      <x:c r="G68" s="12" t="n">
        <x:v>38411</x:v>
      </x:c>
      <x:c r="H68" s="12" t="n">
        <x:v>38747.0000000149</x:v>
      </x:c>
      <x:c r="I68" s="12" t="n">
        <x:v>4101.999999985099</x:v>
      </x:c>
      <x:c r="J68" s="12" t="n">
        <x:v>106.00000001490116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2" t="n">
        <x:v>119475</x:v>
      </x:c>
      <x:c r="D69" s="12" t="n">
        <x:v>96882.9999999851</x:v>
      </x:c>
      <x:c r="E69" s="12" t="n">
        <x:v>22375.666666671634</x:v>
      </x:c>
      <x:c r="F69" s="12" t="n">
        <x:v>35874.0000000149</x:v>
      </x:c>
      <x:c r="G69" s="12" t="n">
        <x:v>56801</x:v>
      </x:c>
      <x:c r="H69" s="12" t="n">
        <x:v>22592.0000000149</x:v>
      </x:c>
      <x:c r="I69" s="12" t="n">
        <x:v>4101.999999985099</x:v>
      </x:c>
      <x:c r="J69" s="12" t="n">
        <x:v>105.99999998509884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2" t="n">
        <x:v>119469</x:v>
      </x:c>
      <x:c r="D70" s="12" t="n">
        <x:v>105102</x:v>
      </x:c>
      <x:c r="E70" s="12" t="n">
        <x:v>14153.666666671634</x:v>
      </x:c>
      <x:c r="F70" s="12" t="n">
        <x:v>35478.0000000149</x:v>
      </x:c>
      <x:c r="G70" s="12" t="n">
        <x:v>65416</x:v>
      </x:c>
      <x:c r="H70" s="12" t="n">
        <x:v>14367</x:v>
      </x:c>
      <x:c r="I70" s="12" t="n">
        <x:v>4102</x:v>
      </x:c>
      <x:c r="J70" s="12" t="n">
        <x:v>105.99999998509884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2" t="n">
        <x:v>119471.9999999851</x:v>
      </x:c>
      <x:c r="D71" s="12" t="n">
        <x:v>93614.9999999851</x:v>
      </x:c>
      <x:c r="E71" s="12" t="n">
        <x:v>25643.666666671634</x:v>
      </x:c>
      <x:c r="F71" s="12" t="n">
        <x:v>35348</x:v>
      </x:c>
      <x:c r="G71" s="12" t="n">
        <x:v>54059</x:v>
      </x:c>
      <x:c r="H71" s="12" t="n">
        <x:v>25857</x:v>
      </x:c>
      <x:c r="I71" s="12" t="n">
        <x:v>4102</x:v>
      </x:c>
      <x:c r="J71" s="12" t="n">
        <x:v>105.99999998509884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2" t="n">
        <x:v>119475</x:v>
      </x:c>
      <x:c r="D72" s="12" t="n">
        <x:v>106003</x:v>
      </x:c>
      <x:c r="E72" s="12" t="n">
        <x:v>13255.666666671634</x:v>
      </x:c>
      <x:c r="F72" s="12" t="n">
        <x:v>34858</x:v>
      </x:c>
      <x:c r="G72" s="12" t="n">
        <x:v>66937.0000000149</x:v>
      </x:c>
      <x:c r="H72" s="12" t="n">
        <x:v>13472</x:v>
      </x:c>
      <x:c r="I72" s="12" t="n">
        <x:v>4102</x:v>
      </x:c>
      <x:c r="J72" s="12" t="n">
        <x:v>105.99999998509884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2" t="n">
        <x:v>119468.0000000149</x:v>
      </x:c>
      <x:c r="D73" s="12" t="n">
        <x:v>95656</x:v>
      </x:c>
      <x:c r="E73" s="12" t="n">
        <x:v>23599.666666671634</x:v>
      </x:c>
      <x:c r="F73" s="12" t="n">
        <x:v>35903.9999999851</x:v>
      </x:c>
      <x:c r="G73" s="12" t="n">
        <x:v>55544</x:v>
      </x:c>
      <x:c r="H73" s="12" t="n">
        <x:v>23812.0000000149</x:v>
      </x:c>
      <x:c r="I73" s="12" t="n">
        <x:v>4101.999999985099</x:v>
      </x:c>
      <x:c r="J73" s="12" t="n">
        <x:v>106.00000002980232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2" t="n">
        <x:v>119476</x:v>
      </x:c>
      <x:c r="D74" s="12" t="n">
        <x:v>112949</x:v>
      </x:c>
      <x:c r="E74" s="12" t="n">
        <x:v>6310.666666671634</x:v>
      </x:c>
      <x:c r="F74" s="12" t="n">
        <x:v>41303.0000000149</x:v>
      </x:c>
      <x:c r="G74" s="12" t="n">
        <x:v>67438</x:v>
      </x:c>
      <x:c r="H74" s="12" t="n">
        <x:v>6527</x:v>
      </x:c>
      <x:c r="I74" s="12" t="n">
        <x:v>4102.000000014901</x:v>
      </x:c>
      <x:c r="J74" s="12" t="n">
        <x:v>105.99999997019768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2" t="n">
        <x:v>119469</x:v>
      </x:c>
      <x:c r="D75" s="12" t="n">
        <x:v>69267</x:v>
      </x:c>
      <x:c r="E75" s="12" t="n">
        <x:v>49988.666666671634</x:v>
      </x:c>
      <x:c r="F75" s="12" t="n">
        <x:v>37932.9999999851</x:v>
      </x:c>
      <x:c r="G75" s="12" t="n">
        <x:v>27126</x:v>
      </x:c>
      <x:c r="H75" s="12" t="n">
        <x:v>50202</x:v>
      </x:c>
      <x:c r="I75" s="12" t="n">
        <x:v>4102</x:v>
      </x:c>
      <x:c r="J75" s="12" t="n">
        <x:v>106.00000001490116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2" t="n">
        <x:v>119470.9999999851</x:v>
      </x:c>
      <x:c r="D76" s="12" t="n">
        <x:v>75423.9999999851</x:v>
      </x:c>
      <x:c r="E76" s="12" t="n">
        <x:v>43834.666666671634</x:v>
      </x:c>
      <x:c r="F76" s="12" t="n">
        <x:v>31967</x:v>
      </x:c>
      <x:c r="G76" s="12" t="n">
        <x:v>39249</x:v>
      </x:c>
      <x:c r="H76" s="12" t="n">
        <x:v>44047</x:v>
      </x:c>
      <x:c r="I76" s="12" t="n">
        <x:v>4102</x:v>
      </x:c>
      <x:c r="J76" s="12" t="n">
        <x:v>105.99999998509884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2" t="n">
        <x:v>119476.0000000149</x:v>
      </x:c>
      <x:c r="D77" s="12" t="n">
        <x:v>66979.0000000149</x:v>
      </x:c>
      <x:c r="E77" s="12" t="n">
        <x:v>52280.666666671634</x:v>
      </x:c>
      <x:c r="F77" s="12" t="n">
        <x:v>33480</x:v>
      </x:c>
      <x:c r="G77" s="12" t="n">
        <x:v>29291</x:v>
      </x:c>
      <x:c r="H77" s="12" t="n">
        <x:v>52497</x:v>
      </x:c>
      <x:c r="I77" s="12" t="n">
        <x:v>4102</x:v>
      </x:c>
      <x:c r="J77" s="12" t="n">
        <x:v>106.00000001490116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2" t="n">
        <x:v>119471</x:v>
      </x:c>
      <x:c r="D78" s="12" t="n">
        <x:v>80069</x:v>
      </x:c>
      <x:c r="E78" s="12" t="n">
        <x:v>39186.666666671634</x:v>
      </x:c>
      <x:c r="F78" s="12" t="n">
        <x:v>36060</x:v>
      </x:c>
      <x:c r="G78" s="12" t="n">
        <x:v>39801</x:v>
      </x:c>
      <x:c r="H78" s="12" t="n">
        <x:v>39402</x:v>
      </x:c>
      <x:c r="I78" s="12" t="n">
        <x:v>4102</x:v>
      </x:c>
      <x:c r="J78" s="12" t="n">
        <x:v>106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2" t="n">
        <x:v>117920.9999999851</x:v>
      </x:c>
      <x:c r="D79" s="12" t="n">
        <x:v>115913.9999999851</x:v>
      </x:c>
      <x:c r="E79" s="12" t="n">
        <x:v>1790.6666666716337</x:v>
      </x:c>
      <x:c r="F79" s="12" t="n">
        <x:v>35014</x:v>
      </x:c>
      <x:c r="G79" s="12" t="n">
        <x:v>78244</x:v>
      </x:c>
      <x:c r="H79" s="12" t="n">
        <x:v>2007</x:v>
      </x:c>
      <x:c r="I79" s="12" t="n">
        <x:v>2550</x:v>
      </x:c>
      <x:c r="J79" s="12" t="n">
        <x:v>105.99999998509884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2" t="n">
        <x:v>121021</x:v>
      </x:c>
      <x:c r="D80" s="12" t="n">
        <x:v>86039</x:v>
      </x:c>
      <x:c r="E80" s="12" t="n">
        <x:v>34768.666666671634</x:v>
      </x:c>
      <x:c r="F80" s="12" t="n">
        <x:v>34292</x:v>
      </x:c>
      <x:c r="G80" s="12" t="n">
        <x:v>47538.9999999851</x:v>
      </x:c>
      <x:c r="H80" s="12" t="n">
        <x:v>34982</x:v>
      </x:c>
      <x:c r="I80" s="12" t="n">
        <x:v>4102</x:v>
      </x:c>
      <x:c r="J80" s="12" t="n">
        <x:v>106.00000001490116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2" t="n">
        <x:v>117923.0000000149</x:v>
      </x:c>
      <x:c r="D81" s="12" t="n">
        <x:v>110221.0000000149</x:v>
      </x:c>
      <x:c r="E81" s="12" t="n">
        <x:v>7485.666666671634</x:v>
      </x:c>
      <x:c r="F81" s="12" t="n">
        <x:v>41168.9999999851</x:v>
      </x:c>
      <x:c r="G81" s="12" t="n">
        <x:v>66395.9999999851</x:v>
      </x:c>
      <x:c r="H81" s="12" t="n">
        <x:v>7702</x:v>
      </x:c>
      <x:c r="I81" s="12" t="n">
        <x:v>2550</x:v>
      </x:c>
      <x:c r="J81" s="12" t="n">
        <x:v>106.00000004470348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2" t="n">
        <x:v>121023</x:v>
      </x:c>
      <x:c r="D82" s="12" t="n">
        <x:v>87601.0000000149</x:v>
      </x:c>
      <x:c r="E82" s="12" t="n">
        <x:v>33206.666666671634</x:v>
      </x:c>
      <x:c r="F82" s="12" t="n">
        <x:v>37468</x:v>
      </x:c>
      <x:c r="G82" s="12" t="n">
        <x:v>45924.9999999851</x:v>
      </x:c>
      <x:c r="H82" s="12" t="n">
        <x:v>33421.9999999851</x:v>
      </x:c>
      <x:c r="I82" s="12" t="n">
        <x:v>4102</x:v>
      </x:c>
      <x:c r="J82" s="12" t="n">
        <x:v>106.00000002980232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2" t="n">
        <x:v>117921</x:v>
      </x:c>
      <x:c r="D83" s="12" t="n">
        <x:v>104054</x:v>
      </x:c>
      <x:c r="E83" s="12" t="n">
        <x:v>13650.666666671634</x:v>
      </x:c>
      <x:c r="F83" s="12" t="n">
        <x:v>36311.9999999851</x:v>
      </x:c>
      <x:c r="G83" s="12" t="n">
        <x:v>65086</x:v>
      </x:c>
      <x:c r="H83" s="12" t="n">
        <x:v>13867</x:v>
      </x:c>
      <x:c r="I83" s="12" t="n">
        <x:v>2550.000000014901</x:v>
      </x:c>
      <x:c r="J83" s="12" t="n">
        <x:v>106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2" t="n">
        <x:v>121022.9999999851</x:v>
      </x:c>
      <x:c r="D84" s="12" t="n">
        <x:v>85305.9999999851</x:v>
      </x:c>
      <x:c r="E84" s="12" t="n">
        <x:v>35501.666666671634</x:v>
      </x:c>
      <x:c r="F84" s="12" t="n">
        <x:v>36196</x:v>
      </x:c>
      <x:c r="G84" s="12" t="n">
        <x:v>44901.9999999851</x:v>
      </x:c>
      <x:c r="H84" s="12" t="n">
        <x:v>35717</x:v>
      </x:c>
      <x:c r="I84" s="12" t="n">
        <x:v>4102</x:v>
      </x:c>
      <x:c r="J84" s="12" t="n">
        <x:v>106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2" t="n">
        <x:v>117919.0000000149</x:v>
      </x:c>
      <x:c r="D85" s="12" t="n">
        <x:v>98142.0000000149</x:v>
      </x:c>
      <x:c r="E85" s="12" t="n">
        <x:v>19562.666666671634</x:v>
      </x:c>
      <x:c r="F85" s="12" t="n">
        <x:v>32556</x:v>
      </x:c>
      <x:c r="G85" s="12" t="n">
        <x:v>62930</x:v>
      </x:c>
      <x:c r="H85" s="12" t="n">
        <x:v>19777</x:v>
      </x:c>
      <x:c r="I85" s="12" t="n">
        <x:v>2550</x:v>
      </x:c>
      <x:c r="J85" s="12" t="n">
        <x:v>106.00000001490116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2" t="n">
        <x:v>123843.9999999851</x:v>
      </x:c>
      <x:c r="D86" s="12" t="n">
        <x:v>94496.9999999851</x:v>
      </x:c>
      <x:c r="E86" s="12" t="n">
        <x:v>29133.666666671634</x:v>
      </x:c>
      <x:c r="F86" s="12" t="n">
        <x:v>39836</x:v>
      </x:c>
      <x:c r="G86" s="12" t="n">
        <x:v>47632.0000000149</x:v>
      </x:c>
      <x:c r="H86" s="12" t="n">
        <x:v>29347</x:v>
      </x:c>
      <x:c r="I86" s="12" t="n">
        <x:v>6923</x:v>
      </x:c>
      <x:c r="J86" s="12" t="n">
        <x:v>105.99999997019768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115102.0000000149</x:v>
      </x:c>
      <x:c r="D87" s="12" t="n">
        <x:v>107490.0000000149</x:v>
      </x:c>
      <x:c r="E87" s="12" t="n">
        <x:v>7395.666666671634</x:v>
      </x:c>
      <x:c r="F87" s="12" t="n">
        <x:v>39330</x:v>
      </x:c>
      <x:c r="G87" s="12" t="n">
        <x:v>65504</x:v>
      </x:c>
      <x:c r="H87" s="12" t="n">
        <x:v>7612</x:v>
      </x:c>
      <x:c r="I87" s="12" t="n">
        <x:v>2549.999999985099</x:v>
      </x:c>
      <x:c r="J87" s="12" t="n">
        <x:v>106.00000002980232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119470</x:v>
      </x:c>
      <x:c r="D88" s="12" t="n">
        <x:v>67477.9999999851</x:v>
      </x:c>
      <x:c r="E88" s="12" t="n">
        <x:v>51777.666666671634</x:v>
      </x:c>
      <x:c r="F88" s="12" t="n">
        <x:v>34975.0000000149</x:v>
      </x:c>
      <x:c r="G88" s="12" t="n">
        <x:v>29847</x:v>
      </x:c>
      <x:c r="H88" s="12" t="n">
        <x:v>51992.0000000149</x:v>
      </x:c>
      <x:c r="I88" s="12" t="n">
        <x:v>2550</x:v>
      </x:c>
      <x:c r="J88" s="12" t="n">
        <x:v>105.99999997019768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119470</x:v>
      </x:c>
      <x:c r="D89" s="12" t="n">
        <x:v>83683</x:v>
      </x:c>
      <x:c r="E89" s="12" t="n">
        <x:v>35574.666666671634</x:v>
      </x:c>
      <x:c r="F89" s="12" t="n">
        <x:v>33665.0000000149</x:v>
      </x:c>
      <x:c r="G89" s="12" t="n">
        <x:v>47362</x:v>
      </x:c>
      <x:c r="H89" s="12" t="n">
        <x:v>35787</x:v>
      </x:c>
      <x:c r="I89" s="12" t="n">
        <x:v>2550</x:v>
      </x:c>
      <x:c r="J89" s="12" t="n">
        <x:v>105.99999998509884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119474</x:v>
      </x:c>
      <x:c r="D90" s="12" t="n">
        <x:v>67181.9999999851</x:v>
      </x:c>
      <x:c r="E90" s="12" t="n">
        <x:v>52077.666666671634</x:v>
      </x:c>
      <x:c r="F90" s="12" t="n">
        <x:v>34679.0000000149</x:v>
      </x:c>
      <x:c r="G90" s="12" t="n">
        <x:v>29847</x:v>
      </x:c>
      <x:c r="H90" s="12" t="n">
        <x:v>52292.0000000149</x:v>
      </x:c>
      <x:c r="I90" s="12" t="n">
        <x:v>2550</x:v>
      </x:c>
      <x:c r="J90" s="12" t="n">
        <x:v>105.99999997019768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119470</x:v>
      </x:c>
      <x:c r="D91" s="12" t="n">
        <x:v>83403</x:v>
      </x:c>
      <x:c r="E91" s="12" t="n">
        <x:v>35854.666666671634</x:v>
      </x:c>
      <x:c r="F91" s="12" t="n">
        <x:v>33385.0000000149</x:v>
      </x:c>
      <x:c r="G91" s="12" t="n">
        <x:v>47362</x:v>
      </x:c>
      <x:c r="H91" s="12" t="n">
        <x:v>36067</x:v>
      </x:c>
      <x:c r="I91" s="12" t="n">
        <x:v>2549.999999985099</x:v>
      </x:c>
      <x:c r="J91" s="12" t="n">
        <x:v>106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119471.9999999851</x:v>
      </x:c>
      <x:c r="D92" s="12" t="n">
        <x:v>65174.9999999851</x:v>
      </x:c>
      <x:c r="E92" s="12" t="n">
        <x:v>54084.666666671634</x:v>
      </x:c>
      <x:c r="F92" s="12" t="n">
        <x:v>32672.0000000149</x:v>
      </x:c>
      <x:c r="G92" s="12" t="n">
        <x:v>29847.0000000149</x:v>
      </x:c>
      <x:c r="H92" s="12" t="n">
        <x:v>54297</x:v>
      </x:c>
      <x:c r="I92" s="12" t="n">
        <x:v>2550</x:v>
      </x:c>
      <x:c r="J92" s="12" t="n">
        <x:v>105.99999995529652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119472.0000000149</x:v>
      </x:c>
      <x:c r="D93" s="12" t="n">
        <x:v>90580.0000000149</x:v>
      </x:c>
      <x:c r="E93" s="12" t="n">
        <x:v>28679.666666671634</x:v>
      </x:c>
      <x:c r="F93" s="12" t="n">
        <x:v>39968</x:v>
      </x:c>
      <x:c r="G93" s="12" t="n">
        <x:v>47956</x:v>
      </x:c>
      <x:c r="H93" s="12" t="n">
        <x:v>28892</x:v>
      </x:c>
      <x:c r="I93" s="12" t="n">
        <x:v>2550</x:v>
      </x:c>
      <x:c r="J93" s="12" t="n">
        <x:v>106.00000001490116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119476</x:v>
      </x:c>
      <x:c r="D94" s="12" t="n">
        <x:v>69274</x:v>
      </x:c>
      <x:c r="E94" s="12" t="n">
        <x:v>49985.666666671634</x:v>
      </x:c>
      <x:c r="F94" s="12" t="n">
        <x:v>36247.9999999851</x:v>
      </x:c>
      <x:c r="G94" s="12" t="n">
        <x:v>30370</x:v>
      </x:c>
      <x:c r="H94" s="12" t="n">
        <x:v>50202</x:v>
      </x:c>
      <x:c r="I94" s="12" t="n">
        <x:v>2550</x:v>
      </x:c>
      <x:c r="J94" s="12" t="n">
        <x:v>106.00000001490116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119471.9999999851</x:v>
      </x:c>
      <x:c r="D95" s="12" t="n">
        <x:v>84775</x:v>
      </x:c>
      <x:c r="E95" s="12" t="n">
        <x:v>34480.666666671634</x:v>
      </x:c>
      <x:c r="F95" s="12" t="n">
        <x:v>34742</x:v>
      </x:c>
      <x:c r="G95" s="12" t="n">
        <x:v>47377</x:v>
      </x:c>
      <x:c r="H95" s="12" t="n">
        <x:v>34696.9999999851</x:v>
      </x:c>
      <x:c r="I95" s="12" t="n">
        <x:v>2550</x:v>
      </x:c>
      <x:c r="J95" s="12" t="n">
        <x:v>106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2" t="n">
        <x:v>119470</x:v>
      </x:c>
      <x:c r="D96" s="12" t="n">
        <x:v>67633.0000000149</x:v>
      </x:c>
      <x:c r="E96" s="12" t="n">
        <x:v>51622.666666671634</x:v>
      </x:c>
      <x:c r="F96" s="12" t="n">
        <x:v>35117.9999999851</x:v>
      </x:c>
      <x:c r="G96" s="12" t="n">
        <x:v>29859</x:v>
      </x:c>
      <x:c r="H96" s="12" t="n">
        <x:v>51836.9999999851</x:v>
      </x:c>
      <x:c r="I96" s="12" t="n">
        <x:v>2550</x:v>
      </x:c>
      <x:c r="J96" s="12" t="n">
        <x:v>106.00000002980232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2" t="n">
        <x:v>121024.0000000149</x:v>
      </x:c>
      <x:c r="D97" s="12" t="n">
        <x:v>87207.0000000149</x:v>
      </x:c>
      <x:c r="E97" s="12" t="n">
        <x:v>33602.666666671634</x:v>
      </x:c>
      <x:c r="F97" s="12" t="n">
        <x:v>39481.9999999851</x:v>
      </x:c>
      <x:c r="G97" s="12" t="n">
        <x:v>43516.9999999851</x:v>
      </x:c>
      <x:c r="H97" s="12" t="n">
        <x:v>33817</x:v>
      </x:c>
      <x:c r="I97" s="12" t="n">
        <x:v>4102</x:v>
      </x:c>
      <x:c r="J97" s="12" t="n">
        <x:v>106.00000004470348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2" t="n">
        <x:v>119470</x:v>
      </x:c>
      <x:c r="D98" s="12" t="n">
        <x:v>109713</x:v>
      </x:c>
      <x:c r="E98" s="12" t="n">
        <x:v>9544.666666671634</x:v>
      </x:c>
      <x:c r="F98" s="12" t="n">
        <x:v>38257</x:v>
      </x:c>
      <x:c r="G98" s="12" t="n">
        <x:v>67248.0000000149</x:v>
      </x:c>
      <x:c r="H98" s="12" t="n">
        <x:v>9757</x:v>
      </x:c>
      <x:c r="I98" s="12" t="n">
        <x:v>4102.000000014901</x:v>
      </x:c>
      <x:c r="J98" s="12" t="n">
        <x:v>105.99999997019768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2" t="n">
        <x:v>119472</x:v>
      </x:c>
      <x:c r="D99" s="12" t="n">
        <x:v>97780.0000000149</x:v>
      </x:c>
      <x:c r="E99" s="12" t="n">
        <x:v>21479.666666671634</x:v>
      </x:c>
      <x:c r="F99" s="12" t="n">
        <x:v>38289</x:v>
      </x:c>
      <x:c r="G99" s="12" t="n">
        <x:v>55282.9999999851</x:v>
      </x:c>
      <x:c r="H99" s="12" t="n">
        <x:v>21691.9999999851</x:v>
      </x:c>
      <x:c r="I99" s="12" t="n">
        <x:v>4102</x:v>
      </x:c>
      <x:c r="J99" s="12" t="n">
        <x:v>106.00000002980232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2" t="n">
        <x:v>119472</x:v>
      </x:c>
      <x:c r="D100" s="12" t="n">
        <x:v>109505</x:v>
      </x:c>
      <x:c r="E100" s="12" t="n">
        <x:v>9754.666666671634</x:v>
      </x:c>
      <x:c r="F100" s="12" t="n">
        <x:v>39051</x:v>
      </x:c>
      <x:c r="G100" s="12" t="n">
        <x:v>66246</x:v>
      </x:c>
      <x:c r="H100" s="12" t="n">
        <x:v>9967</x:v>
      </x:c>
      <x:c r="I100" s="12" t="n">
        <x:v>4101.999999985099</x:v>
      </x:c>
      <x:c r="J100" s="12" t="n">
        <x:v>106.00000001490116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2" t="n">
        <x:v>119476</x:v>
      </x:c>
      <x:c r="D101" s="12" t="n">
        <x:v>96298.9999999851</x:v>
      </x:c>
      <x:c r="E101" s="12" t="n">
        <x:v>22960.666666671634</x:v>
      </x:c>
      <x:c r="F101" s="12" t="n">
        <x:v>35177</x:v>
      </x:c>
      <x:c r="G101" s="12" t="n">
        <x:v>56914</x:v>
      </x:c>
      <x:c r="H101" s="12" t="n">
        <x:v>23177.0000000149</x:v>
      </x:c>
      <x:c r="I101" s="12" t="n">
        <x:v>4102.000000014901</x:v>
      </x:c>
      <x:c r="J101" s="12" t="n">
        <x:v>105.99999997019768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2" t="n">
        <x:v>119468</x:v>
      </x:c>
      <x:c r="D102" s="12" t="n">
        <x:v>79246</x:v>
      </x:c>
      <x:c r="E102" s="12" t="n">
        <x:v>40009.666666671634</x:v>
      </x:c>
      <x:c r="F102" s="12" t="n">
        <x:v>35819</x:v>
      </x:c>
      <x:c r="G102" s="12" t="n">
        <x:v>39219</x:v>
      </x:c>
      <x:c r="H102" s="12" t="n">
        <x:v>40222</x:v>
      </x:c>
      <x:c r="I102" s="12" t="n">
        <x:v>4101.999999985099</x:v>
      </x:c>
      <x:c r="J102" s="12" t="n">
        <x:v>106.00000001490116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2" t="n">
        <x:v>119476</x:v>
      </x:c>
      <x:c r="D103" s="12" t="n">
        <x:v>82829</x:v>
      </x:c>
      <x:c r="E103" s="12" t="n">
        <x:v>36430.666666671634</x:v>
      </x:c>
      <x:c r="F103" s="12" t="n">
        <x:v>35410</x:v>
      </x:c>
      <x:c r="G103" s="12" t="n">
        <x:v>43211</x:v>
      </x:c>
      <x:c r="H103" s="12" t="n">
        <x:v>36647</x:v>
      </x:c>
      <x:c r="I103" s="12" t="n">
        <x:v>4102.000000014901</x:v>
      </x:c>
      <x:c r="J103" s="12" t="n">
        <x:v>105.99999998509884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2" t="n">
        <x:v>119472</x:v>
      </x:c>
      <x:c r="D104" s="12" t="n">
        <x:v>76380.0000000149</x:v>
      </x:c>
      <x:c r="E104" s="12" t="n">
        <x:v>42875.666666671634</x:v>
      </x:c>
      <x:c r="F104" s="12" t="n">
        <x:v>33815.9999999851</x:v>
      </x:c>
      <x:c r="G104" s="12" t="n">
        <x:v>38355.9999999851</x:v>
      </x:c>
      <x:c r="H104" s="12" t="n">
        <x:v>43091.9999999851</x:v>
      </x:c>
      <x:c r="I104" s="12" t="n">
        <x:v>4102</x:v>
      </x:c>
      <x:c r="J104" s="12" t="n">
        <x:v>106.00000004470348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2" t="n">
        <x:v>119468</x:v>
      </x:c>
      <x:c r="D105" s="12" t="n">
        <x:v>65491</x:v>
      </x:c>
      <x:c r="E105" s="12" t="n">
        <x:v>53764.666666671634</x:v>
      </x:c>
      <x:c r="F105" s="12" t="n">
        <x:v>35033</x:v>
      </x:c>
      <x:c r="G105" s="12" t="n">
        <x:v>26249.9999999851</x:v>
      </x:c>
      <x:c r="H105" s="12" t="n">
        <x:v>53977</x:v>
      </x:c>
      <x:c r="I105" s="12" t="n">
        <x:v>4102.000000014901</x:v>
      </x:c>
      <x:c r="J105" s="12" t="n">
        <x:v>106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2" t="n">
        <x:v>119472</x:v>
      </x:c>
      <x:c r="D106" s="12" t="n">
        <x:v>82570.0000000149</x:v>
      </x:c>
      <x:c r="E106" s="12" t="n">
        <x:v>36689.666666671634</x:v>
      </x:c>
      <x:c r="F106" s="12" t="n">
        <x:v>39979.9999999851</x:v>
      </x:c>
      <x:c r="G106" s="12" t="n">
        <x:v>38381.9999999851</x:v>
      </x:c>
      <x:c r="H106" s="12" t="n">
        <x:v>36901.9999999851</x:v>
      </x:c>
      <x:c r="I106" s="12" t="n">
        <x:v>4102</x:v>
      </x:c>
      <x:c r="J106" s="12" t="n">
        <x:v>106.00000004470348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2" t="n">
        <x:v>119472.9999999851</x:v>
      </x:c>
      <x:c r="D107" s="12" t="n">
        <x:v>68180.9999999851</x:v>
      </x:c>
      <x:c r="E107" s="12" t="n">
        <x:v>51078.666666671634</x:v>
      </x:c>
      <x:c r="F107" s="12" t="n">
        <x:v>37722.9999999851</x:v>
      </x:c>
      <x:c r="G107" s="12" t="n">
        <x:v>26250</x:v>
      </x:c>
      <x:c r="H107" s="12" t="n">
        <x:v>51292</x:v>
      </x:c>
      <x:c r="I107" s="12" t="n">
        <x:v>4102</x:v>
      </x:c>
      <x:c r="J107" s="12" t="n">
        <x:v>106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2" t="n">
        <x:v>119475</x:v>
      </x:c>
      <x:c r="D108" s="12" t="n">
        <x:v>87142.9999999851</x:v>
      </x:c>
      <x:c r="E108" s="12" t="n">
        <x:v>32115.666666671634</x:v>
      </x:c>
      <x:c r="F108" s="12" t="n">
        <x:v>43651.9999999851</x:v>
      </x:c>
      <x:c r="G108" s="12" t="n">
        <x:v>39283</x:v>
      </x:c>
      <x:c r="H108" s="12" t="n">
        <x:v>32332.0000000149</x:v>
      </x:c>
      <x:c r="I108" s="12" t="n">
        <x:v>4102</x:v>
      </x:c>
      <x:c r="J108" s="12" t="n">
        <x:v>106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2" t="n">
        <x:v>119471.0000000149</x:v>
      </x:c>
      <x:c r="D109" s="12" t="n">
        <x:v>77764.0000000298</x:v>
      </x:c>
      <x:c r="E109" s="12" t="n">
        <x:v>41491.666666671634</x:v>
      </x:c>
      <x:c r="F109" s="12" t="n">
        <x:v>45140.9999999851</x:v>
      </x:c>
      <x:c r="G109" s="12" t="n">
        <x:v>28414.9999999851</x:v>
      </x:c>
      <x:c r="H109" s="12" t="n">
        <x:v>41706.9999999851</x:v>
      </x:c>
      <x:c r="I109" s="12" t="n">
        <x:v>4102</x:v>
      </x:c>
      <x:c r="J109" s="12" t="n">
        <x:v>106.00000005960464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2" t="n">
        <x:v>119471</x:v>
      </x:c>
      <x:c r="D110" s="12" t="n">
        <x:v>90429</x:v>
      </x:c>
      <x:c r="E110" s="12" t="n">
        <x:v>28827.666666671634</x:v>
      </x:c>
      <x:c r="F110" s="12" t="n">
        <x:v>46403</x:v>
      </x:c>
      <x:c r="G110" s="12" t="n">
        <x:v>39817.9999999851</x:v>
      </x:c>
      <x:c r="H110" s="12" t="n">
        <x:v>29042</x:v>
      </x:c>
      <x:c r="I110" s="12" t="n">
        <x:v>4101.999999985099</x:v>
      </x:c>
      <x:c r="J110" s="12" t="n">
        <x:v>106.00000002980232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2" t="n">
        <x:v>119471</x:v>
      </x:c>
      <x:c r="D111" s="12" t="n">
        <x:v>76654</x:v>
      </x:c>
      <x:c r="E111" s="12" t="n">
        <x:v>42603.666666671634</x:v>
      </x:c>
      <x:c r="F111" s="12" t="n">
        <x:v>46184.0000000149</x:v>
      </x:c>
      <x:c r="G111" s="12" t="n">
        <x:v>26262</x:v>
      </x:c>
      <x:c r="H111" s="12" t="n">
        <x:v>42817</x:v>
      </x:c>
      <x:c r="I111" s="12" t="n">
        <x:v>4102</x:v>
      </x:c>
      <x:c r="J111" s="12" t="n">
        <x:v>105.99999998509884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2" t="n">
        <x:v>119473</x:v>
      </x:c>
      <x:c r="D112" s="12" t="n">
        <x:v>87446.0000000149</x:v>
      </x:c>
      <x:c r="E112" s="12" t="n">
        <x:v>31812.666666671634</x:v>
      </x:c>
      <x:c r="F112" s="12" t="n">
        <x:v>43931</x:v>
      </x:c>
      <x:c r="G112" s="12" t="n">
        <x:v>39307</x:v>
      </x:c>
      <x:c r="H112" s="12" t="n">
        <x:v>32026.9999999851</x:v>
      </x:c>
      <x:c r="I112" s="12" t="n">
        <x:v>4102</x:v>
      </x:c>
      <x:c r="J112" s="12" t="n">
        <x:v>106.00000001490116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2" t="n">
        <x:v>119472</x:v>
      </x:c>
      <x:c r="D113" s="12" t="n">
        <x:v>79220</x:v>
      </x:c>
      <x:c r="E113" s="12" t="n">
        <x:v>40037.666666671634</x:v>
      </x:c>
      <x:c r="F113" s="12" t="n">
        <x:v>48734</x:v>
      </x:c>
      <x:c r="G113" s="12" t="n">
        <x:v>26278</x:v>
      </x:c>
      <x:c r="H113" s="12" t="n">
        <x:v>40252</x:v>
      </x:c>
      <x:c r="I113" s="12" t="n">
        <x:v>4102.000000014901</x:v>
      </x:c>
      <x:c r="J113" s="12" t="n">
        <x:v>105.99999998509884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2" t="n">
        <x:v>119474</x:v>
      </x:c>
      <x:c r="D114" s="12" t="n">
        <x:v>80687</x:v>
      </x:c>
      <x:c r="E114" s="12" t="n">
        <x:v>38570.666666671634</x:v>
      </x:c>
      <x:c r="F114" s="12" t="n">
        <x:v>37181.9999999851</x:v>
      </x:c>
      <x:c r="G114" s="12" t="n">
        <x:v>39296.9999999851</x:v>
      </x:c>
      <x:c r="H114" s="12" t="n">
        <x:v>38787</x:v>
      </x:c>
      <x:c r="I114" s="12" t="n">
        <x:v>4101.999999985099</x:v>
      </x:c>
      <x:c r="J114" s="12" t="n">
        <x:v>106.00000004470348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2" t="n">
        <x:v>119471.9999999851</x:v>
      </x:c>
      <x:c r="D115" s="12" t="n">
        <x:v>67354.9999999851</x:v>
      </x:c>
      <x:c r="E115" s="12" t="n">
        <x:v>51900.666666671634</x:v>
      </x:c>
      <x:c r="F115" s="12" t="n">
        <x:v>36869.0000000149</x:v>
      </x:c>
      <x:c r="G115" s="12" t="n">
        <x:v>26278</x:v>
      </x:c>
      <x:c r="H115" s="12" t="n">
        <x:v>52117</x:v>
      </x:c>
      <x:c r="I115" s="12" t="n">
        <x:v>4102</x:v>
      </x:c>
      <x:c r="J115" s="12" t="n">
        <x:v>105.99999997019768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2" t="n">
        <x:v>119470</x:v>
      </x:c>
      <x:c r="D116" s="12" t="n">
        <x:v>78738.0000000149</x:v>
      </x:c>
      <x:c r="E116" s="12" t="n">
        <x:v>40517.666666671634</x:v>
      </x:c>
      <x:c r="F116" s="12" t="n">
        <x:v>35233</x:v>
      </x:c>
      <x:c r="G116" s="12" t="n">
        <x:v>39297</x:v>
      </x:c>
      <x:c r="H116" s="12" t="n">
        <x:v>40731.9999999851</x:v>
      </x:c>
      <x:c r="I116" s="12" t="n">
        <x:v>4102</x:v>
      </x:c>
      <x:c r="J116" s="12" t="n">
        <x:v>106.00000001490116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2" t="n">
        <x:v>121370.0000000149</x:v>
      </x:c>
      <x:c r="D117" s="12" t="n">
        <x:v>79218</x:v>
      </x:c>
      <x:c r="E117" s="12" t="n">
        <x:v>41935.666666671634</x:v>
      </x:c>
      <x:c r="F117" s="12" t="n">
        <x:v>44707</x:v>
      </x:c>
      <x:c r="G117" s="12" t="n">
        <x:v>28407</x:v>
      </x:c>
      <x:c r="H117" s="12" t="n">
        <x:v>42152.0000000149</x:v>
      </x:c>
      <x:c r="I117" s="12" t="n">
        <x:v>5997.999999985099</x:v>
      </x:c>
      <x:c r="J117" s="12" t="n">
        <x:v>106.00000001490116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2" t="n">
        <x:v>117572</x:v>
      </x:c>
      <x:c r="D118" s="12" t="n">
        <x:v>87230</x:v>
      </x:c>
      <x:c r="E118" s="12" t="n">
        <x:v>30129.666666671634</x:v>
      </x:c>
      <x:c r="F118" s="12" t="n">
        <x:v>43247.0000000149</x:v>
      </x:c>
      <x:c r="G118" s="12" t="n">
        <x:v>39775</x:v>
      </x:c>
      <x:c r="H118" s="12" t="n">
        <x:v>30342</x:v>
      </x:c>
      <x:c r="I118" s="12" t="n">
        <x:v>4102</x:v>
      </x:c>
      <x:c r="J118" s="12" t="n">
        <x:v>105.99999998509884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2" t="n">
        <x:v>121372</x:v>
      </x:c>
      <x:c r="D119" s="12" t="n">
        <x:v>81440</x:v>
      </x:c>
      <x:c r="E119" s="12" t="n">
        <x:v>39715.666666671634</x:v>
      </x:c>
      <x:c r="F119" s="12" t="n">
        <x:v>49070.0000000149</x:v>
      </x:c>
      <x:c r="G119" s="12" t="n">
        <x:v>26266.0000000149</x:v>
      </x:c>
      <x:c r="H119" s="12" t="n">
        <x:v>39932</x:v>
      </x:c>
      <x:c r="I119" s="12" t="n">
        <x:v>5998</x:v>
      </x:c>
      <x:c r="J119" s="12" t="n">
        <x:v>105.99999997019768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2" t="n">
        <x:v>117574.9999999851</x:v>
      </x:c>
      <x:c r="D120" s="12" t="n">
        <x:v>91222.9999999851</x:v>
      </x:c>
      <x:c r="E120" s="12" t="n">
        <x:v>26136.666666671634</x:v>
      </x:c>
      <x:c r="F120" s="12" t="n">
        <x:v>46895.0000000149</x:v>
      </x:c>
      <x:c r="G120" s="12" t="n">
        <x:v>40119.9999999851</x:v>
      </x:c>
      <x:c r="H120" s="12" t="n">
        <x:v>26352</x:v>
      </x:c>
      <x:c r="I120" s="12" t="n">
        <x:v>4102</x:v>
      </x:c>
      <x:c r="J120" s="12" t="n">
        <x:v>105.99999998509884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2" t="n">
        <x:v>119473.0000000149</x:v>
      </x:c>
      <x:c r="D121" s="12" t="n">
        <x:v>85981.0000000149</x:v>
      </x:c>
      <x:c r="E121" s="12" t="n">
        <x:v>33275.666666671634</x:v>
      </x:c>
      <x:c r="F121" s="12" t="n">
        <x:v>41564</x:v>
      </x:c>
      <x:c r="G121" s="12" t="n">
        <x:v>40209</x:v>
      </x:c>
      <x:c r="H121" s="12" t="n">
        <x:v>33492</x:v>
      </x:c>
      <x:c r="I121" s="12" t="n">
        <x:v>4102.000000014901</x:v>
      </x:c>
      <x:c r="J121" s="12" t="n">
        <x:v>106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2" t="n">
        <x:v>117918</x:v>
      </x:c>
      <x:c r="D122" s="12" t="n">
        <x:v>106916</x:v>
      </x:c>
      <x:c r="E122" s="12" t="n">
        <x:v>10787.666666671634</x:v>
      </x:c>
      <x:c r="F122" s="12" t="n">
        <x:v>40350</x:v>
      </x:c>
      <x:c r="G122" s="12" t="n">
        <x:v>63910.0000000149</x:v>
      </x:c>
      <x:c r="H122" s="12" t="n">
        <x:v>11002</x:v>
      </x:c>
      <x:c r="I122" s="12" t="n">
        <x:v>2550</x:v>
      </x:c>
      <x:c r="J122" s="12" t="n">
        <x:v>105.99999998509884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2" t="n">
        <x:v>121026</x:v>
      </x:c>
      <x:c r="D123" s="12" t="n">
        <x:v>88839</x:v>
      </x:c>
      <x:c r="E123" s="12" t="n">
        <x:v>31970.666666671634</x:v>
      </x:c>
      <x:c r="F123" s="12" t="n">
        <x:v>41224</x:v>
      </x:c>
      <x:c r="G123" s="12" t="n">
        <x:v>43407</x:v>
      </x:c>
      <x:c r="H123" s="12" t="n">
        <x:v>32187</x:v>
      </x:c>
      <x:c r="I123" s="12" t="n">
        <x:v>4102</x:v>
      </x:c>
      <x:c r="J123" s="12" t="n">
        <x:v>106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2" t="n">
        <x:v>117916</x:v>
      </x:c>
      <x:c r="D124" s="12" t="n">
        <x:v>104844.0000000149</x:v>
      </x:c>
      <x:c r="E124" s="12" t="n">
        <x:v>12859.666666671634</x:v>
      </x:c>
      <x:c r="F124" s="12" t="n">
        <x:v>37435.0000000149</x:v>
      </x:c>
      <x:c r="G124" s="12" t="n">
        <x:v>64753</x:v>
      </x:c>
      <x:c r="H124" s="12" t="n">
        <x:v>13071.999999985099</x:v>
      </x:c>
      <x:c r="I124" s="12" t="n">
        <x:v>2550</x:v>
      </x:c>
      <x:c r="J124" s="12" t="n">
        <x:v>106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2" t="n">
        <x:v>121024.9999999851</x:v>
      </x:c>
      <x:c r="D125" s="12" t="n">
        <x:v>92357.9999999851</x:v>
      </x:c>
      <x:c r="E125" s="12" t="n">
        <x:v>28453.666666671634</x:v>
      </x:c>
      <x:c r="F125" s="12" t="n">
        <x:v>41973.9999999851</x:v>
      </x:c>
      <x:c r="G125" s="12" t="n">
        <x:v>46175.9999999851</x:v>
      </x:c>
      <x:c r="H125" s="12" t="n">
        <x:v>28667</x:v>
      </x:c>
      <x:c r="I125" s="12" t="n">
        <x:v>4102</x:v>
      </x:c>
      <x:c r="J125" s="12" t="n">
        <x:v>106.00000001490116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2" t="n">
        <x:v>122296.0000000149</x:v>
      </x:c>
      <x:c r="D126" s="12" t="n">
        <x:v>120564.0000000149</x:v>
      </x:c>
      <x:c r="E126" s="12" t="n">
        <x:v>1515.6666666716337</x:v>
      </x:c>
      <x:c r="F126" s="12" t="n">
        <x:v>45372.9999999851</x:v>
      </x:c>
      <x:c r="G126" s="12" t="n">
        <x:v>68162</x:v>
      </x:c>
      <x:c r="H126" s="12" t="n">
        <x:v>1732</x:v>
      </x:c>
      <x:c r="I126" s="12" t="n">
        <x:v>6923</x:v>
      </x:c>
      <x:c r="J126" s="12" t="n">
        <x:v>106.00000002980232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2" t="n">
        <x:v>115097.9999999851</x:v>
      </x:c>
      <x:c r="D127" s="12" t="n">
        <x:v>70750.9999999851</x:v>
      </x:c>
      <x:c r="E127" s="12" t="n">
        <x:v>44131.666666671634</x:v>
      </x:c>
      <x:c r="F127" s="12" t="n">
        <x:v>39089.0000000149</x:v>
      </x:c>
      <x:c r="G127" s="12" t="n">
        <x:v>29006</x:v>
      </x:c>
      <x:c r="H127" s="12" t="n">
        <x:v>44347</x:v>
      </x:c>
      <x:c r="I127" s="12" t="n">
        <x:v>2550</x:v>
      </x:c>
      <x:c r="J127" s="12" t="n">
        <x:v>105.99999997019768</x:v>
      </x:c>
      <x:c r="K127" s="2" t="n">
        <x:v>408</x:v>
      </x:c>
      <x:c r="L127" s="2" t="n">
        <x:v>990</x:v>
      </x:c>
    </x:row>
    <x:row r="128" ht="24" customHeight="1">
      <x:c r="A128" s="2" t="n">
        <x:v>238</x:v>
      </x:c>
      <x:c r="B128" s="2" t="n">
        <x:v>3</x:v>
      </x:c>
      <x:c r="C128" s="12" t="n">
        <x:v>176388.0000000149</x:v>
      </x:c>
      <x:c r="D128" s="12" t="n">
        <x:v>126816</x:v>
      </x:c>
      <x:c r="E128" s="12" t="n">
        <x:v>-10377.333333328366</x:v>
      </x:c>
      <x:c r="F128" s="12" t="n">
        <x:v>57900.9999999851</x:v>
      </x:c>
      <x:c r="G128" s="12" t="n">
        <x:v>64707.0000000149</x:v>
      </x:c>
      <x:c r="H128" s="12" t="n">
        <x:v>49572.0000000149</x:v>
      </x:c>
      <x:c r="I128" s="12" t="n">
        <x:v>4101.999999985099</x:v>
      </x:c>
      <x:c r="J128" s="12" t="n">
        <x:v>106.00000001490116</x:v>
      </x:c>
      <x:c r="K128" s="2" t="n">
        <x:v>291</x:v>
      </x:c>
      <x:c r="L128" s="2" t="n">
        <x:v>1123</x:v>
      </x:c>
    </x:row>
    <x:row r="129" ht="24" customHeight="1">
      <x:c r="A129" s="2" t="n">
        <x:v>239</x:v>
      </x:c>
      <x:c r="B129" s="2" t="n">
        <x:v>2</x:v>
      </x:c>
      <x:c r="C129" s="12" t="n">
        <x:v>119473</x:v>
      </x:c>
      <x:c r="D129" s="12" t="n">
        <x:v>115471</x:v>
      </x:c>
      <x:c r="E129" s="12" t="n">
        <x:v>3787.6666666716337</x:v>
      </x:c>
      <x:c r="F129" s="12" t="n">
        <x:v>39914</x:v>
      </x:c>
      <x:c r="G129" s="12" t="n">
        <x:v>71349</x:v>
      </x:c>
      <x:c r="H129" s="12" t="n">
        <x:v>4002</x:v>
      </x:c>
      <x:c r="I129" s="12" t="n">
        <x:v>4102</x:v>
      </x:c>
      <x:c r="J129" s="12" t="n">
        <x:v>106</x:v>
      </x:c>
      <x:c r="K129" s="2" t="n">
        <x:v>291</x:v>
      </x:c>
      <x:c r="L129" s="2" t="n">
        <x:v>1119</x:v>
      </x:c>
    </x:row>
    <x:row r="130" ht="24" customHeight="1">
      <x:c r="A130" s="2" t="n">
        <x:v>240</x:v>
      </x:c>
      <x:c r="B130" s="2" t="n">
        <x:v>2</x:v>
      </x:c>
      <x:c r="C130" s="12" t="n">
        <x:v>122295</x:v>
      </x:c>
      <x:c r="D130" s="12" t="n">
        <x:v>105108.0000000149</x:v>
      </x:c>
      <x:c r="E130" s="12" t="n">
        <x:v>16970.666666671634</x:v>
      </x:c>
      <x:c r="F130" s="12" t="n">
        <x:v>40063</x:v>
      </x:c>
      <x:c r="G130" s="12" t="n">
        <x:v>58016</x:v>
      </x:c>
      <x:c r="H130" s="12" t="n">
        <x:v>17186.9999999851</x:v>
      </x:c>
      <x:c r="I130" s="12" t="n">
        <x:v>6923</x:v>
      </x:c>
      <x:c r="J130" s="12" t="n">
        <x:v>106.00000001490116</x:v>
      </x:c>
      <x:c r="K130" s="2" t="n">
        <x:v>290</x:v>
      </x:c>
      <x:c r="L130" s="2" t="n">
        <x:v>1115</x:v>
      </x:c>
    </x:row>
    <x:row r="131" ht="24" customHeight="1">
      <x:c r="A131" s="2" t="n">
        <x:v>241</x:v>
      </x:c>
      <x:c r="B131" s="2" t="n">
        <x:v>2</x:v>
      </x:c>
      <x:c r="C131" s="12" t="n">
        <x:v>116651</x:v>
      </x:c>
      <x:c r="D131" s="12" t="n">
        <x:v>109649</x:v>
      </x:c>
      <x:c r="E131" s="12" t="n">
        <x:v>6785.666666671634</x:v>
      </x:c>
      <x:c r="F131" s="12" t="n">
        <x:v>36626.9999999851</x:v>
      </x:c>
      <x:c r="G131" s="12" t="n">
        <x:v>68814</x:v>
      </x:c>
      <x:c r="H131" s="12" t="n">
        <x:v>7002</x:v>
      </x:c>
      <x:c r="I131" s="12" t="n">
        <x:v>4101.999999985099</x:v>
      </x:c>
      <x:c r="J131" s="12" t="n">
        <x:v>106.00000002980232</x:v>
      </x:c>
      <x:c r="K131" s="2" t="n">
        <x:v>290</x:v>
      </x:c>
      <x:c r="L131" s="2" t="n">
        <x:v>1111</x:v>
      </x:c>
    </x:row>
    <x:row r="132" ht="24" customHeight="1">
      <x:c r="A132" s="2" t="n">
        <x:v>242</x:v>
      </x:c>
      <x:c r="B132" s="2" t="n">
        <x:v>2</x:v>
      </x:c>
      <x:c r="C132" s="12" t="n">
        <x:v>119469.0000000149</x:v>
      </x:c>
      <x:c r="D132" s="12" t="n">
        <x:v>102072</x:v>
      </x:c>
      <x:c r="E132" s="12" t="n">
        <x:v>17183.666666671634</x:v>
      </x:c>
      <x:c r="F132" s="12" t="n">
        <x:v>37942.0000000149</x:v>
      </x:c>
      <x:c r="G132" s="12" t="n">
        <x:v>59922.0000000149</x:v>
      </x:c>
      <x:c r="H132" s="12" t="n">
        <x:v>17397.0000000149</x:v>
      </x:c>
      <x:c r="I132" s="12" t="n">
        <x:v>4101.999999985099</x:v>
      </x:c>
      <x:c r="J132" s="12" t="n">
        <x:v>105.99999998509884</x:v>
      </x:c>
      <x:c r="K132" s="2" t="n">
        <x:v>289</x:v>
      </x:c>
      <x:c r="L132" s="2" t="n">
        <x:v>1107</x:v>
      </x:c>
    </x:row>
    <x:row r="133" ht="24" customHeight="1">
      <x:c r="A133" s="2" t="n">
        <x:v>243</x:v>
      </x:c>
      <x:c r="B133" s="2" t="n">
        <x:v>2</x:v>
      </x:c>
      <x:c r="C133" s="12" t="n">
        <x:v>119474.9999999851</x:v>
      </x:c>
      <x:c r="D133" s="12" t="n">
        <x:v>112008</x:v>
      </x:c>
      <x:c r="E133" s="12" t="n">
        <x:v>7250.666666671634</x:v>
      </x:c>
      <x:c r="F133" s="12" t="n">
        <x:v>36613.0000000149</x:v>
      </x:c>
      <x:c r="G133" s="12" t="n">
        <x:v>71187</x:v>
      </x:c>
      <x:c r="H133" s="12" t="n">
        <x:v>7466.999999985099</x:v>
      </x:c>
      <x:c r="I133" s="12" t="n">
        <x:v>4102.000000014901</x:v>
      </x:c>
      <x:c r="J133" s="12" t="n">
        <x:v>105.99999997019768</x:v>
      </x:c>
      <x:c r="K133" s="2" t="n">
        <x:v>289</x:v>
      </x:c>
      <x:c r="L133" s="2" t="n">
        <x:v>1103</x:v>
      </x:c>
    </x:row>
    <x:row r="134" ht="24" customHeight="1">
      <x:c r="A134" s="2" t="n">
        <x:v>244</x:v>
      </x:c>
      <x:c r="B134" s="2" t="n">
        <x:v>2</x:v>
      </x:c>
      <x:c r="C134" s="12" t="n">
        <x:v>119470</x:v>
      </x:c>
      <x:c r="D134" s="12" t="n">
        <x:v>72353</x:v>
      </x:c>
      <x:c r="E134" s="12" t="n">
        <x:v>46902.666666671634</x:v>
      </x:c>
      <x:c r="F134" s="12" t="n">
        <x:v>38456</x:v>
      </x:c>
      <x:c r="G134" s="12" t="n">
        <x:v>29689</x:v>
      </x:c>
      <x:c r="H134" s="12" t="n">
        <x:v>47117</x:v>
      </x:c>
      <x:c r="I134" s="12" t="n">
        <x:v>4101.999999985099</x:v>
      </x:c>
      <x:c r="J134" s="12" t="n">
        <x:v>106.00000001490116</x:v>
      </x:c>
      <x:c r="K134" s="2" t="n">
        <x:v>289</x:v>
      </x:c>
      <x:c r="L134" s="2" t="n">
        <x:v>1099</x:v>
      </x:c>
    </x:row>
    <x:row r="135" ht="24" customHeight="1">
      <x:c r="A135" s="2" t="n">
        <x:v>245</x:v>
      </x:c>
      <x:c r="B135" s="2" t="n">
        <x:v>2</x:v>
      </x:c>
      <x:c r="C135" s="12" t="n">
        <x:v>119471.9999999851</x:v>
      </x:c>
      <x:c r="D135" s="12" t="n">
        <x:v>80504.9999999851</x:v>
      </x:c>
      <x:c r="E135" s="12" t="n">
        <x:v>38752.666666671634</x:v>
      </x:c>
      <x:c r="F135" s="12" t="n">
        <x:v>34818.0000000149</x:v>
      </x:c>
      <x:c r="G135" s="12" t="n">
        <x:v>41479.0000000149</x:v>
      </x:c>
      <x:c r="H135" s="12" t="n">
        <x:v>38967</x:v>
      </x:c>
      <x:c r="I135" s="12" t="n">
        <x:v>4102.000000014901</x:v>
      </x:c>
      <x:c r="J135" s="12" t="n">
        <x:v>105.99999994039536</x:v>
      </x:c>
      <x:c r="K135" s="2" t="n">
        <x:v>289</x:v>
      </x:c>
      <x:c r="L135" s="2" t="n">
        <x:v>1095</x:v>
      </x:c>
    </x:row>
    <x:row r="136" ht="24" customHeight="1">
      <x:c r="A136" s="2" t="n">
        <x:v>246</x:v>
      </x:c>
      <x:c r="B136" s="2" t="n">
        <x:v>2</x:v>
      </x:c>
      <x:c r="C136" s="12" t="n">
        <x:v>119472.0000000149</x:v>
      </x:c>
      <x:c r="D136" s="12" t="n">
        <x:v>70490.0000000298</x:v>
      </x:c>
      <x:c r="E136" s="12" t="n">
        <x:v>48767.666666671634</x:v>
      </x:c>
      <x:c r="F136" s="12" t="n">
        <x:v>36103</x:v>
      </x:c>
      <x:c r="G136" s="12" t="n">
        <x:v>30179</x:v>
      </x:c>
      <x:c r="H136" s="12" t="n">
        <x:v>48981.9999999851</x:v>
      </x:c>
      <x:c r="I136" s="12" t="n">
        <x:v>4102.000000014901</x:v>
      </x:c>
      <x:c r="J136" s="12" t="n">
        <x:v>106.00000001490116</x:v>
      </x:c>
      <x:c r="K136" s="2" t="n">
        <x:v>289</x:v>
      </x:c>
      <x:c r="L136" s="2" t="n">
        <x:v>1091</x:v>
      </x:c>
    </x:row>
    <x:row r="137" ht="24" customHeight="1">
      <x:c r="A137" s="2" t="n">
        <x:v>247</x:v>
      </x:c>
      <x:c r="B137" s="2" t="n">
        <x:v>2</x:v>
      </x:c>
      <x:c r="C137" s="12" t="n">
        <x:v>119472</x:v>
      </x:c>
      <x:c r="D137" s="12" t="n">
        <x:v>81725</x:v>
      </x:c>
      <x:c r="E137" s="12" t="n">
        <x:v>37532.666666671634</x:v>
      </x:c>
      <x:c r="F137" s="12" t="n">
        <x:v>36530.0000000149</x:v>
      </x:c>
      <x:c r="G137" s="12" t="n">
        <x:v>40987</x:v>
      </x:c>
      <x:c r="H137" s="12" t="n">
        <x:v>37747</x:v>
      </x:c>
      <x:c r="I137" s="12" t="n">
        <x:v>4101.999999985099</x:v>
      </x:c>
      <x:c r="J137" s="12" t="n">
        <x:v>106</x:v>
      </x:c>
      <x:c r="K137" s="2" t="n">
        <x:v>289</x:v>
      </x:c>
      <x:c r="L137" s="2" t="n">
        <x:v>1087</x:v>
      </x:c>
    </x:row>
    <x:row r="138" ht="24" customHeight="1">
      <x:c r="A138" s="2" t="n">
        <x:v>248</x:v>
      </x:c>
      <x:c r="B138" s="2" t="n">
        <x:v>2</x:v>
      </x:c>
      <x:c r="C138" s="12" t="n">
        <x:v>119471.9999999851</x:v>
      </x:c>
      <x:c r="D138" s="12" t="n">
        <x:v>73269.9999999851</x:v>
      </x:c>
      <x:c r="E138" s="12" t="n">
        <x:v>45987.666666671634</x:v>
      </x:c>
      <x:c r="F138" s="12" t="n">
        <x:v>39385.0000000149</x:v>
      </x:c>
      <x:c r="G138" s="12" t="n">
        <x:v>29676.999999970198</x:v>
      </x:c>
      <x:c r="H138" s="12" t="n">
        <x:v>46202</x:v>
      </x:c>
      <x:c r="I138" s="12" t="n">
        <x:v>4101.999999985099</x:v>
      </x:c>
      <x:c r="J138" s="12" t="n">
        <x:v>106.00000001490116</x:v>
      </x:c>
      <x:c r="K138" s="2" t="n">
        <x:v>289</x:v>
      </x:c>
      <x:c r="L138" s="2" t="n">
        <x:v>1083</x:v>
      </x:c>
    </x:row>
    <x:row r="139" ht="24" customHeight="1">
      <x:c r="A139" s="2" t="n">
        <x:v>249</x:v>
      </x:c>
      <x:c r="B139" s="2" t="n">
        <x:v>2</x:v>
      </x:c>
      <x:c r="C139" s="12" t="n">
        <x:v>119472</x:v>
      </x:c>
      <x:c r="D139" s="12" t="n">
        <x:v>109345</x:v>
      </x:c>
      <x:c r="E139" s="12" t="n">
        <x:v>9912.666666671634</x:v>
      </x:c>
      <x:c r="F139" s="12" t="n">
        <x:v>63488</x:v>
      </x:c>
      <x:c r="G139" s="12" t="n">
        <x:v>41648.9999999851</x:v>
      </x:c>
      <x:c r="H139" s="12" t="n">
        <x:v>10127</x:v>
      </x:c>
      <x:c r="I139" s="12" t="n">
        <x:v>4102.000000014901</x:v>
      </x:c>
      <x:c r="J139" s="12" t="n">
        <x:v>106</x:v>
      </x:c>
      <x:c r="K139" s="2" t="n">
        <x:v>289</x:v>
      </x:c>
      <x:c r="L139" s="2" t="n">
        <x:v>1079</x:v>
      </x:c>
    </x:row>
    <x:row r="140" ht="24" customHeight="1">
      <x:c r="A140" s="2" t="n">
        <x:v>250</x:v>
      </x:c>
      <x:c r="B140" s="2" t="n">
        <x:v>2</x:v>
      </x:c>
      <x:c r="C140" s="12" t="n">
        <x:v>119471</x:v>
      </x:c>
      <x:c r="D140" s="12" t="n">
        <x:v>97198.9999999851</x:v>
      </x:c>
      <x:c r="E140" s="12" t="n">
        <x:v>22058.666666671634</x:v>
      </x:c>
      <x:c r="F140" s="12" t="n">
        <x:v>63514.9999999851</x:v>
      </x:c>
      <x:c r="G140" s="12" t="n">
        <x:v>29476</x:v>
      </x:c>
      <x:c r="H140" s="12" t="n">
        <x:v>22272.0000000149</x:v>
      </x:c>
      <x:c r="I140" s="12" t="n">
        <x:v>4102.000000014901</x:v>
      </x:c>
      <x:c r="J140" s="12" t="n">
        <x:v>105.99999998509884</x:v>
      </x:c>
      <x:c r="K140" s="2" t="n">
        <x:v>289</x:v>
      </x:c>
      <x:c r="L140" s="2" t="n">
        <x:v>1075</x:v>
      </x:c>
    </x:row>
    <x:row r="141" ht="24" customHeight="1">
      <x:c r="A141" s="2" t="n">
        <x:v>251</x:v>
      </x:c>
      <x:c r="B141" s="2" t="n">
        <x:v>2</x:v>
      </x:c>
      <x:c r="C141" s="12" t="n">
        <x:v>119473.0000000149</x:v>
      </x:c>
      <x:c r="D141" s="12" t="n">
        <x:v>108091.0000000149</x:v>
      </x:c>
      <x:c r="E141" s="12" t="n">
        <x:v>11167.666666671634</x:v>
      </x:c>
      <x:c r="F141" s="12" t="n">
        <x:v>62234</x:v>
      </x:c>
      <x:c r="G141" s="12" t="n">
        <x:v>41649</x:v>
      </x:c>
      <x:c r="H141" s="12" t="n">
        <x:v>11382</x:v>
      </x:c>
      <x:c r="I141" s="12" t="n">
        <x:v>4101.999999985099</x:v>
      </x:c>
      <x:c r="J141" s="12" t="n">
        <x:v>106.00000002980232</x:v>
      </x:c>
      <x:c r="K141" s="2" t="n">
        <x:v>289</x:v>
      </x:c>
      <x:c r="L141" s="2" t="n">
        <x:v>1071</x:v>
      </x:c>
    </x:row>
    <x:row r="142" ht="24" customHeight="1">
      <x:c r="A142" s="2" t="n">
        <x:v>252</x:v>
      </x:c>
      <x:c r="B142" s="2" t="n">
        <x:v>2</x:v>
      </x:c>
      <x:c r="C142" s="12" t="n">
        <x:v>119471</x:v>
      </x:c>
      <x:c r="D142" s="12" t="n">
        <x:v>97539.0000000149</x:v>
      </x:c>
      <x:c r="E142" s="12" t="n">
        <x:v>21718.666666671634</x:v>
      </x:c>
      <x:c r="F142" s="12" t="n">
        <x:v>63855</x:v>
      </x:c>
      <x:c r="G142" s="12" t="n">
        <x:v>29476.0000000149</x:v>
      </x:c>
      <x:c r="H142" s="12" t="n">
        <x:v>21931.9999999851</x:v>
      </x:c>
      <x:c r="I142" s="12" t="n">
        <x:v>4101.999999985099</x:v>
      </x:c>
      <x:c r="J142" s="12" t="n">
        <x:v>106.00000001490116</x:v>
      </x:c>
      <x:c r="K142" s="2" t="n">
        <x:v>289</x:v>
      </x:c>
      <x:c r="L142" s="2" t="n">
        <x:v>1067</x:v>
      </x:c>
    </x:row>
    <x:row r="143" ht="24" customHeight="1">
      <x:c r="A143" s="2" t="n">
        <x:v>253</x:v>
      </x:c>
      <x:c r="B143" s="2" t="n">
        <x:v>2</x:v>
      </x:c>
      <x:c r="C143" s="12" t="n">
        <x:v>119474</x:v>
      </x:c>
      <x:c r="D143" s="12" t="n">
        <x:v>79487</x:v>
      </x:c>
      <x:c r="E143" s="12" t="n">
        <x:v>39771.666666671634</x:v>
      </x:c>
      <x:c r="F143" s="12" t="n">
        <x:v>32887.0000000149</x:v>
      </x:c>
      <x:c r="G143" s="12" t="n">
        <x:v>42392.0000000149</x:v>
      </x:c>
      <x:c r="H143" s="12" t="n">
        <x:v>39987</x:v>
      </x:c>
      <x:c r="I143" s="12" t="n">
        <x:v>4101.999999985099</x:v>
      </x:c>
      <x:c r="J143" s="12" t="n">
        <x:v>105.99999998509884</x:v>
      </x:c>
      <x:c r="K143" s="2" t="n">
        <x:v>289</x:v>
      </x:c>
      <x:c r="L143" s="2" t="n">
        <x:v>1063</x:v>
      </x:c>
    </x:row>
    <x:row r="144" ht="24" customHeight="1">
      <x:c r="A144" s="2" t="n">
        <x:v>254</x:v>
      </x:c>
      <x:c r="B144" s="2" t="n">
        <x:v>2</x:v>
      </x:c>
      <x:c r="C144" s="12" t="n">
        <x:v>117921</x:v>
      </x:c>
      <x:c r="D144" s="12" t="n">
        <x:v>89359.0000000149</x:v>
      </x:c>
      <x:c r="E144" s="12" t="n">
        <x:v>28345.666666671634</x:v>
      </x:c>
      <x:c r="F144" s="12" t="n">
        <x:v>35799.0000000149</x:v>
      </x:c>
      <x:c r="G144" s="12" t="n">
        <x:v>50903.9999999851</x:v>
      </x:c>
      <x:c r="H144" s="12" t="n">
        <x:v>28561.9999999851</x:v>
      </x:c>
      <x:c r="I144" s="12" t="n">
        <x:v>2550</x:v>
      </x:c>
      <x:c r="J144" s="12" t="n">
        <x:v>106.00000001490116</x:v>
      </x:c>
      <x:c r="K144" s="2" t="n">
        <x:v>285</x:v>
      </x:c>
      <x:c r="L144" s="2" t="n">
        <x:v>1063</x:v>
      </x:c>
    </x:row>
    <x:row r="145" ht="24" customHeight="1">
      <x:c r="A145" s="2" t="n">
        <x:v>255</x:v>
      </x:c>
      <x:c r="B145" s="2" t="n">
        <x:v>2</x:v>
      </x:c>
      <x:c r="C145" s="12" t="n">
        <x:v>121022.0000000149</x:v>
      </x:c>
      <x:c r="D145" s="12" t="n">
        <x:v>90880.0000000149</x:v>
      </x:c>
      <x:c r="E145" s="12" t="n">
        <x:v>29927.666666671634</x:v>
      </x:c>
      <x:c r="F145" s="12" t="n">
        <x:v>35326</x:v>
      </x:c>
      <x:c r="G145" s="12" t="n">
        <x:v>51346</x:v>
      </x:c>
      <x:c r="H145" s="12" t="n">
        <x:v>30142</x:v>
      </x:c>
      <x:c r="I145" s="12" t="n">
        <x:v>4101.999999985099</x:v>
      </x:c>
      <x:c r="J145" s="12" t="n">
        <x:v>106.00000002980232</x:v>
      </x:c>
      <x:c r="K145" s="2" t="n">
        <x:v>281</x:v>
      </x:c>
      <x:c r="L145" s="2" t="n">
        <x:v>1062</x:v>
      </x:c>
    </x:row>
    <x:row r="146" ht="24" customHeight="1">
      <x:c r="A146" s="2" t="n">
        <x:v>256</x:v>
      </x:c>
      <x:c r="B146" s="2" t="n">
        <x:v>2</x:v>
      </x:c>
      <x:c r="C146" s="12" t="n">
        <x:v>117917.9999999851</x:v>
      </x:c>
      <x:c r="D146" s="12" t="n">
        <x:v>107711</x:v>
      </x:c>
      <x:c r="E146" s="12" t="n">
        <x:v>9994.666666671634</x:v>
      </x:c>
      <x:c r="F146" s="12" t="n">
        <x:v>37000</x:v>
      </x:c>
      <x:c r="G146" s="12" t="n">
        <x:v>68055</x:v>
      </x:c>
      <x:c r="H146" s="12" t="n">
        <x:v>10206.999999985099</x:v>
      </x:c>
      <x:c r="I146" s="12" t="n">
        <x:v>2550.000000014901</x:v>
      </x:c>
      <x:c r="J146" s="12" t="n">
        <x:v>105.99999998509884</x:v>
      </x:c>
      <x:c r="K146" s="2" t="n">
        <x:v>277</x:v>
      </x:c>
      <x:c r="L146" s="2" t="n">
        <x:v>1062</x:v>
      </x:c>
    </x:row>
    <x:row r="147" ht="24" customHeight="1">
      <x:c r="A147" s="2" t="n">
        <x:v>257</x:v>
      </x:c>
      <x:c r="B147" s="2" t="n">
        <x:v>2</x:v>
      </x:c>
      <x:c r="C147" s="12" t="n">
        <x:v>121027</x:v>
      </x:c>
      <x:c r="D147" s="12" t="n">
        <x:v>87094.9999999851</x:v>
      </x:c>
      <x:c r="E147" s="12" t="n">
        <x:v>33716.666666671634</x:v>
      </x:c>
      <x:c r="F147" s="12" t="n">
        <x:v>32981</x:v>
      </x:c>
      <x:c r="G147" s="12" t="n">
        <x:v>49906</x:v>
      </x:c>
      <x:c r="H147" s="12" t="n">
        <x:v>33932.0000000149</x:v>
      </x:c>
      <x:c r="I147" s="12" t="n">
        <x:v>4101.999999985099</x:v>
      </x:c>
      <x:c r="J147" s="12" t="n">
        <x:v>106</x:v>
      </x:c>
      <x:c r="K147" s="2" t="n">
        <x:v>273</x:v>
      </x:c>
      <x:c r="L147" s="2" t="n">
        <x:v>1061</x:v>
      </x:c>
    </x:row>
    <x:row r="148" ht="24" customHeight="1">
      <x:c r="A148" s="2" t="n">
        <x:v>258</x:v>
      </x:c>
      <x:c r="B148" s="2" t="n">
        <x:v>2</x:v>
      </x:c>
      <x:c r="C148" s="12" t="n">
        <x:v>117919.9999999851</x:v>
      </x:c>
      <x:c r="D148" s="12" t="n">
        <x:v>102732.9999999851</x:v>
      </x:c>
      <x:c r="E148" s="12" t="n">
        <x:v>14971.666666671634</x:v>
      </x:c>
      <x:c r="F148" s="12" t="n">
        <x:v>33470</x:v>
      </x:c>
      <x:c r="G148" s="12" t="n">
        <x:v>66606.9999999851</x:v>
      </x:c>
      <x:c r="H148" s="12" t="n">
        <x:v>15187</x:v>
      </x:c>
      <x:c r="I148" s="12" t="n">
        <x:v>2550.000000014901</x:v>
      </x:c>
      <x:c r="J148" s="12" t="n">
        <x:v>105.99999998509884</x:v>
      </x:c>
      <x:c r="K148" s="2" t="n">
        <x:v>269</x:v>
      </x:c>
      <x:c r="L148" s="2" t="n">
        <x:v>1061</x:v>
      </x:c>
    </x:row>
    <x:row r="149" ht="24" customHeight="1">
      <x:c r="A149" s="2" t="n">
        <x:v>259</x:v>
      </x:c>
      <x:c r="B149" s="2" t="n">
        <x:v>2</x:v>
      </x:c>
      <x:c r="C149" s="12" t="n">
        <x:v>121022.0000000149</x:v>
      </x:c>
      <x:c r="D149" s="12" t="n">
        <x:v>87430.0000000149</x:v>
      </x:c>
      <x:c r="E149" s="12" t="n">
        <x:v>33378.666666671634</x:v>
      </x:c>
      <x:c r="F149" s="12" t="n">
        <x:v>34542</x:v>
      </x:c>
      <x:c r="G149" s="12" t="n">
        <x:v>48680.0000000149</x:v>
      </x:c>
      <x:c r="H149" s="12" t="n">
        <x:v>33592</x:v>
      </x:c>
      <x:c r="I149" s="12" t="n">
        <x:v>4102.000000014901</x:v>
      </x:c>
      <x:c r="J149" s="12" t="n">
        <x:v>105.99999998509884</x:v>
      </x:c>
      <x:c r="K149" s="2" t="n">
        <x:v>265</x:v>
      </x:c>
      <x:c r="L149" s="2" t="n">
        <x:v>1060</x:v>
      </x:c>
    </x:row>
    <x:row r="150" ht="24" customHeight="1">
      <x:c r="A150" s="2" t="n">
        <x:v>260</x:v>
      </x:c>
      <x:c r="B150" s="2" t="n">
        <x:v>2</x:v>
      </x:c>
      <x:c r="C150" s="12" t="n">
        <x:v>117921</x:v>
      </x:c>
      <x:c r="D150" s="12" t="n">
        <x:v>99198.9999999702</x:v>
      </x:c>
      <x:c r="E150" s="12" t="n">
        <x:v>18507.666666671634</x:v>
      </x:c>
      <x:c r="F150" s="12" t="n">
        <x:v>34803</x:v>
      </x:c>
      <x:c r="G150" s="12" t="n">
        <x:v>61740</x:v>
      </x:c>
      <x:c r="H150" s="12" t="n">
        <x:v>18722.000000029802</x:v>
      </x:c>
      <x:c r="I150" s="12" t="n">
        <x:v>2550.000000014901</x:v>
      </x:c>
      <x:c r="J150" s="12" t="n">
        <x:v>105.99999995529652</x:v>
      </x:c>
      <x:c r="K150" s="2" t="n">
        <x:v>261</x:v>
      </x:c>
      <x:c r="L150" s="2" t="n">
        <x:v>1060</x:v>
      </x:c>
    </x:row>
    <x:row r="151" ht="24" customHeight="1">
      <x:c r="A151" s="2" t="n">
        <x:v>261</x:v>
      </x:c>
      <x:c r="B151" s="2" t="n">
        <x:v>2</x:v>
      </x:c>
      <x:c r="C151" s="12" t="n">
        <x:v>119470</x:v>
      </x:c>
      <x:c r="D151" s="12" t="n">
        <x:v>66592.9999999851</x:v>
      </x:c>
      <x:c r="E151" s="12" t="n">
        <x:v>52664.666666671634</x:v>
      </x:c>
      <x:c r="F151" s="12" t="n">
        <x:v>31985</x:v>
      </x:c>
      <x:c r="G151" s="12" t="n">
        <x:v>31952.0000000149</x:v>
      </x:c>
      <x:c r="H151" s="12" t="n">
        <x:v>52877.0000000149</x:v>
      </x:c>
      <x:c r="I151" s="12" t="n">
        <x:v>2549.999999985099</x:v>
      </x:c>
      <x:c r="J151" s="12" t="n">
        <x:v>105.99999998509884</x:v>
      </x:c>
      <x:c r="K151" s="2" t="n">
        <x:v>257</x:v>
      </x:c>
      <x:c r="L151" s="2" t="n">
        <x:v>1060</x:v>
      </x:c>
    </x:row>
    <x:row r="152" ht="24" customHeight="1">
      <x:c r="A152" s="2" t="n">
        <x:v>262</x:v>
      </x:c>
      <x:c r="B152" s="2" t="n">
        <x:v>2</x:v>
      </x:c>
      <x:c r="C152" s="12" t="n">
        <x:v>119474.9999999851</x:v>
      </x:c>
      <x:c r="D152" s="12" t="n">
        <x:v>86112.9999999851</x:v>
      </x:c>
      <x:c r="E152" s="12" t="n">
        <x:v>33146.666666671634</x:v>
      </x:c>
      <x:c r="F152" s="12" t="n">
        <x:v>34901</x:v>
      </x:c>
      <x:c r="G152" s="12" t="n">
        <x:v>48555.9999999851</x:v>
      </x:c>
      <x:c r="H152" s="12" t="n">
        <x:v>33362</x:v>
      </x:c>
      <x:c r="I152" s="12" t="n">
        <x:v>2550.000000014901</x:v>
      </x:c>
      <x:c r="J152" s="12" t="n">
        <x:v>105.99999998509884</x:v>
      </x:c>
      <x:c r="K152" s="2" t="n">
        <x:v>253</x:v>
      </x:c>
      <x:c r="L152" s="2" t="n">
        <x:v>1060</x:v>
      </x:c>
    </x:row>
    <x:row r="153" ht="24" customHeight="1">
      <x:c r="A153" s="2" t="n">
        <x:v>263</x:v>
      </x:c>
      <x:c r="B153" s="2" t="n">
        <x:v>2</x:v>
      </x:c>
      <x:c r="C153" s="12" t="n">
        <x:v>119473</x:v>
      </x:c>
      <x:c r="D153" s="12" t="n">
        <x:v>63855.9999999851</x:v>
      </x:c>
      <x:c r="E153" s="12" t="n">
        <x:v>55400.666666671634</x:v>
      </x:c>
      <x:c r="F153" s="12" t="n">
        <x:v>31385.9999999851</x:v>
      </x:c>
      <x:c r="G153" s="12" t="n">
        <x:v>29813.9999999851</x:v>
      </x:c>
      <x:c r="H153" s="12" t="n">
        <x:v>55617.0000000149</x:v>
      </x:c>
      <x:c r="I153" s="12" t="n">
        <x:v>2549.999999985099</x:v>
      </x:c>
      <x:c r="J153" s="12" t="n">
        <x:v>106.00000002980232</x:v>
      </x:c>
      <x:c r="K153" s="2" t="n">
        <x:v>249</x:v>
      </x:c>
      <x:c r="L153" s="2" t="n">
        <x:v>1060</x:v>
      </x:c>
    </x:row>
    <x:row r="154" ht="24" customHeight="1">
      <x:c r="A154" s="2" t="n">
        <x:v>264</x:v>
      </x:c>
      <x:c r="B154" s="2" t="n">
        <x:v>2</x:v>
      </x:c>
      <x:c r="C154" s="12" t="n">
        <x:v>121020.0000000149</x:v>
      </x:c>
      <x:c r="D154" s="12" t="n">
        <x:v>85363.0000000149</x:v>
      </x:c>
      <x:c r="E154" s="12" t="n">
        <x:v>35444.666666671634</x:v>
      </x:c>
      <x:c r="F154" s="12" t="n">
        <x:v>38771</x:v>
      </x:c>
      <x:c r="G154" s="12" t="n">
        <x:v>42384</x:v>
      </x:c>
      <x:c r="H154" s="12" t="n">
        <x:v>35657</x:v>
      </x:c>
      <x:c r="I154" s="12" t="n">
        <x:v>4102</x:v>
      </x:c>
      <x:c r="J154" s="12" t="n">
        <x:v>106.00000001490116</x:v>
      </x:c>
      <x:c r="K154" s="2" t="n">
        <x:v>249</x:v>
      </x:c>
      <x:c r="L154" s="2" t="n">
        <x:v>1056</x:v>
      </x:c>
    </x:row>
    <x:row r="155" ht="24" customHeight="1">
      <x:c r="A155" s="2" t="n">
        <x:v>265</x:v>
      </x:c>
      <x:c r="B155" s="2" t="n">
        <x:v>2</x:v>
      </x:c>
      <x:c r="C155" s="12" t="n">
        <x:v>117922</x:v>
      </x:c>
      <x:c r="D155" s="12" t="n">
        <x:v>98360.0000000149</x:v>
      </x:c>
      <x:c r="E155" s="12" t="n">
        <x:v>19347.666666671634</x:v>
      </x:c>
      <x:c r="F155" s="12" t="n">
        <x:v>32705</x:v>
      </x:c>
      <x:c r="G155" s="12" t="n">
        <x:v>62999</x:v>
      </x:c>
      <x:c r="H155" s="12" t="n">
        <x:v>19561.9999999851</x:v>
      </x:c>
      <x:c r="I155" s="12" t="n">
        <x:v>2549.999999985099</x:v>
      </x:c>
      <x:c r="J155" s="12" t="n">
        <x:v>106.00000002980232</x:v>
      </x:c>
      <x:c r="K155" s="2" t="n">
        <x:v>245</x:v>
      </x:c>
      <x:c r="L155" s="2" t="n">
        <x:v>1056</x:v>
      </x:c>
    </x:row>
    <x:row r="156" ht="24" customHeight="1">
      <x:c r="A156" s="2" t="n">
        <x:v>266</x:v>
      </x:c>
      <x:c r="B156" s="2" t="n">
        <x:v>2</x:v>
      </x:c>
      <x:c r="C156" s="12" t="n">
        <x:v>119474</x:v>
      </x:c>
      <x:c r="D156" s="12" t="n">
        <x:v>66437</x:v>
      </x:c>
      <x:c r="E156" s="12" t="n">
        <x:v>52820.666666671634</x:v>
      </x:c>
      <x:c r="F156" s="12" t="n">
        <x:v>33886.0000000149</x:v>
      </x:c>
      <x:c r="G156" s="12" t="n">
        <x:v>29895</x:v>
      </x:c>
      <x:c r="H156" s="12" t="n">
        <x:v>53037</x:v>
      </x:c>
      <x:c r="I156" s="12" t="n">
        <x:v>2549.999999985099</x:v>
      </x:c>
      <x:c r="J156" s="12" t="n">
        <x:v>106</x:v>
      </x:c>
      <x:c r="K156" s="2" t="n">
        <x:v>241</x:v>
      </x:c>
      <x:c r="L156" s="2" t="n">
        <x:v>1056</x:v>
      </x:c>
    </x:row>
    <x:row r="157" ht="24" customHeight="1">
      <x:c r="A157" s="2" t="n">
        <x:v>267</x:v>
      </x:c>
      <x:c r="B157" s="2" t="n">
        <x:v>2</x:v>
      </x:c>
      <x:c r="C157" s="12" t="n">
        <x:v>119471</x:v>
      </x:c>
      <x:c r="D157" s="12" t="n">
        <x:v>80939.0000000149</x:v>
      </x:c>
      <x:c r="E157" s="12" t="n">
        <x:v>38316.666666671634</x:v>
      </x:c>
      <x:c r="F157" s="12" t="n">
        <x:v>31830.0000000149</x:v>
      </x:c>
      <x:c r="G157" s="12" t="n">
        <x:v>46453.0000000149</x:v>
      </x:c>
      <x:c r="H157" s="12" t="n">
        <x:v>38531.9999999851</x:v>
      </x:c>
      <x:c r="I157" s="12" t="n">
        <x:v>2549.999999985099</x:v>
      </x:c>
      <x:c r="J157" s="12" t="n">
        <x:v>106</x:v>
      </x:c>
      <x:c r="K157" s="2" t="n">
        <x:v>237</x:v>
      </x:c>
      <x:c r="L157" s="2" t="n">
        <x:v>1056</x:v>
      </x:c>
    </x:row>
    <x:row r="158" ht="24" customHeight="1">
      <x:c r="A158" s="2" t="n">
        <x:v>268</x:v>
      </x:c>
      <x:c r="B158" s="2" t="n">
        <x:v>2</x:v>
      </x:c>
      <x:c r="C158" s="12" t="n">
        <x:v>119469.9999999851</x:v>
      </x:c>
      <x:c r="D158" s="12" t="n">
        <x:v>67182.9999999851</x:v>
      </x:c>
      <x:c r="E158" s="12" t="n">
        <x:v>52073.666666671634</x:v>
      </x:c>
      <x:c r="F158" s="12" t="n">
        <x:v>34632.0000000149</x:v>
      </x:c>
      <x:c r="G158" s="12" t="n">
        <x:v>29895</x:v>
      </x:c>
      <x:c r="H158" s="12" t="n">
        <x:v>52287</x:v>
      </x:c>
      <x:c r="I158" s="12" t="n">
        <x:v>2550.000000014901</x:v>
      </x:c>
      <x:c r="J158" s="12" t="n">
        <x:v>105.99999995529652</x:v>
      </x:c>
      <x:c r="K158" s="2" t="n">
        <x:v>233</x:v>
      </x:c>
      <x:c r="L158" s="2" t="n">
        <x:v>1056</x:v>
      </x:c>
    </x:row>
    <x:row r="159" ht="24" customHeight="1">
      <x:c r="A159" s="2" t="n">
        <x:v>269</x:v>
      </x:c>
      <x:c r="B159" s="2" t="n">
        <x:v>2</x:v>
      </x:c>
      <x:c r="C159" s="12" t="n">
        <x:v>119473.0000000149</x:v>
      </x:c>
      <x:c r="D159" s="12" t="n">
        <x:v>80886.0000000149</x:v>
      </x:c>
      <x:c r="E159" s="12" t="n">
        <x:v>38372.666666671634</x:v>
      </x:c>
      <x:c r="F159" s="12" t="n">
        <x:v>31182.9999999851</x:v>
      </x:c>
      <x:c r="G159" s="12" t="n">
        <x:v>47046.9999999851</x:v>
      </x:c>
      <x:c r="H159" s="12" t="n">
        <x:v>38587</x:v>
      </x:c>
      <x:c r="I159" s="12" t="n">
        <x:v>2549.999999985099</x:v>
      </x:c>
      <x:c r="J159" s="12" t="n">
        <x:v>106.00000005960464</x:v>
      </x:c>
      <x:c r="K159" s="2" t="n">
        <x:v>229</x:v>
      </x:c>
      <x:c r="L159" s="2" t="n">
        <x:v>1056</x:v>
      </x:c>
    </x:row>
    <x:row r="160" ht="24" customHeight="1">
      <x:c r="A160" s="2" t="n">
        <x:v>270</x:v>
      </x:c>
      <x:c r="B160" s="2" t="n">
        <x:v>2</x:v>
      </x:c>
      <x:c r="C160" s="12" t="n">
        <x:v>119473</x:v>
      </x:c>
      <x:c r="D160" s="12" t="n">
        <x:v>64986.0000000149</x:v>
      </x:c>
      <x:c r="E160" s="12" t="n">
        <x:v>54271.666666671634</x:v>
      </x:c>
      <x:c r="F160" s="12" t="n">
        <x:v>31912.0000000149</x:v>
      </x:c>
      <x:c r="G160" s="12" t="n">
        <x:v>30418</x:v>
      </x:c>
      <x:c r="H160" s="12" t="n">
        <x:v>54486.9999999851</x:v>
      </x:c>
      <x:c r="I160" s="12" t="n">
        <x:v>2550</x:v>
      </x:c>
      <x:c r="J160" s="12" t="n">
        <x:v>106</x:v>
      </x:c>
      <x:c r="K160" s="2" t="n">
        <x:v>225</x:v>
      </x:c>
      <x:c r="L160" s="2" t="n">
        <x:v>1056</x:v>
      </x:c>
    </x:row>
    <x:row r="161" ht="24" customHeight="1">
      <x:c r="A161" s="2" t="n">
        <x:v>271</x:v>
      </x:c>
      <x:c r="B161" s="2" t="n">
        <x:v>2</x:v>
      </x:c>
      <x:c r="C161" s="12" t="n">
        <x:v>119472</x:v>
      </x:c>
      <x:c r="D161" s="12" t="n">
        <x:v>81595</x:v>
      </x:c>
      <x:c r="E161" s="12" t="n">
        <x:v>37661.666666671634</x:v>
      </x:c>
      <x:c r="F161" s="12" t="n">
        <x:v>32470.9999999851</x:v>
      </x:c>
      <x:c r="G161" s="12" t="n">
        <x:v>46468.0000000149</x:v>
      </x:c>
      <x:c r="H161" s="12" t="n">
        <x:v>37877</x:v>
      </x:c>
      <x:c r="I161" s="12" t="n">
        <x:v>2549.999999985099</x:v>
      </x:c>
      <x:c r="J161" s="12" t="n">
        <x:v>106.00000001490116</x:v>
      </x:c>
      <x:c r="K161" s="2" t="n">
        <x:v>221</x:v>
      </x:c>
      <x:c r="L161" s="2" t="n">
        <x:v>1056</x:v>
      </x:c>
    </x:row>
    <x:row r="162" ht="24" customHeight="1">
      <x:c r="A162" s="2" t="n">
        <x:v>272</x:v>
      </x:c>
      <x:c r="B162" s="2" t="n">
        <x:v>2</x:v>
      </x:c>
      <x:c r="C162" s="12" t="n">
        <x:v>119471</x:v>
      </x:c>
      <x:c r="D162" s="12" t="n">
        <x:v>65994</x:v>
      </x:c>
      <x:c r="E162" s="12" t="n">
        <x:v>53262.666666671634</x:v>
      </x:c>
      <x:c r="F162" s="12" t="n">
        <x:v>33431.0000000149</x:v>
      </x:c>
      <x:c r="G162" s="12" t="n">
        <x:v>29907</x:v>
      </x:c>
      <x:c r="H162" s="12" t="n">
        <x:v>53477</x:v>
      </x:c>
      <x:c r="I162" s="12" t="n">
        <x:v>2549.999999985099</x:v>
      </x:c>
      <x:c r="J162" s="12" t="n">
        <x:v>106</x:v>
      </x:c>
      <x:c r="K162" s="2" t="n">
        <x:v>217</x:v>
      </x:c>
      <x:c r="L162" s="2" t="n">
        <x:v>1056</x:v>
      </x:c>
    </x:row>
    <x:row r="163" ht="24" customHeight="1">
      <x:c r="A163" s="2" t="n">
        <x:v>273</x:v>
      </x:c>
      <x:c r="B163" s="2" t="n">
        <x:v>2</x:v>
      </x:c>
      <x:c r="C163" s="12" t="n">
        <x:v>119469.9999999851</x:v>
      </x:c>
      <x:c r="D163" s="12" t="n">
        <x:v>80747.9999999851</x:v>
      </x:c>
      <x:c r="E163" s="12" t="n">
        <x:v>38509.666666671634</x:v>
      </x:c>
      <x:c r="F163" s="12" t="n">
        <x:v>31624.0000000149</x:v>
      </x:c>
      <x:c r="G163" s="12" t="n">
        <x:v>46467.9999999851</x:v>
      </x:c>
      <x:c r="H163" s="12" t="n">
        <x:v>38722</x:v>
      </x:c>
      <x:c r="I163" s="12" t="n">
        <x:v>2550.000000014901</x:v>
      </x:c>
      <x:c r="J163" s="12" t="n">
        <x:v>105.99999997019768</x:v>
      </x:c>
      <x:c r="K163" s="2" t="n">
        <x:v>213</x:v>
      </x:c>
      <x:c r="L163" s="2" t="n">
        <x:v>1056</x:v>
      </x:c>
    </x:row>
    <x:row r="164" ht="24" customHeight="1">
      <x:c r="A164" s="2" t="n">
        <x:v>274</x:v>
      </x:c>
      <x:c r="B164" s="2" t="n">
        <x:v>2</x:v>
      </x:c>
      <x:c r="C164" s="12" t="n">
        <x:v>119472.0000000149</x:v>
      </x:c>
      <x:c r="D164" s="12" t="n">
        <x:v>65365.0000000298</x:v>
      </x:c>
      <x:c r="E164" s="12" t="n">
        <x:v>53894.666666671634</x:v>
      </x:c>
      <x:c r="F164" s="12" t="n">
        <x:v>32801.9999999851</x:v>
      </x:c>
      <x:c r="G164" s="12" t="n">
        <x:v>29907</x:v>
      </x:c>
      <x:c r="H164" s="12" t="n">
        <x:v>54106.9999999851</x:v>
      </x:c>
      <x:c r="I164" s="12" t="n">
        <x:v>2550.000000014901</x:v>
      </x:c>
      <x:c r="J164" s="12" t="n">
        <x:v>106.00000002980232</x:v>
      </x:c>
      <x:c r="K164" s="2" t="n">
        <x:v>209</x:v>
      </x:c>
      <x:c r="L164" s="2" t="n">
        <x:v>1056</x:v>
      </x:c>
    </x:row>
    <x:row r="165" ht="24" customHeight="1">
      <x:c r="A165" s="2" t="n">
        <x:v>275</x:v>
      </x:c>
      <x:c r="B165" s="2" t="n">
        <x:v>2</x:v>
      </x:c>
      <x:c r="C165" s="12" t="n">
        <x:v>119475.0000000149</x:v>
      </x:c>
      <x:c r="D165" s="12" t="n">
        <x:v>78823.0000000149</x:v>
      </x:c>
      <x:c r="E165" s="12" t="n">
        <x:v>40436.666666671634</x:v>
      </x:c>
      <x:c r="F165" s="12" t="n">
        <x:v>29699</x:v>
      </x:c>
      <x:c r="G165" s="12" t="n">
        <x:v>46468.0000000149</x:v>
      </x:c>
      <x:c r="H165" s="12" t="n">
        <x:v>40652</x:v>
      </x:c>
      <x:c r="I165" s="12" t="n">
        <x:v>2549.999999985099</x:v>
      </x:c>
      <x:c r="J165" s="12" t="n">
        <x:v>106.00000001490116</x:v>
      </x:c>
      <x:c r="K165" s="2" t="n">
        <x:v>205</x:v>
      </x:c>
      <x:c r="L165" s="2" t="n">
        <x:v>1056</x:v>
      </x:c>
    </x:row>
    <x:row r="166" ht="24" customHeight="1">
      <x:c r="A166" s="2" t="n">
        <x:v>276</x:v>
      </x:c>
      <x:c r="B166" s="2" t="n">
        <x:v>2</x:v>
      </x:c>
      <x:c r="C166" s="12" t="n">
        <x:v>119470.9999999851</x:v>
      </x:c>
      <x:c r="D166" s="12" t="n">
        <x:v>65373.9999999702</x:v>
      </x:c>
      <x:c r="E166" s="12" t="n">
        <x:v>53882.666666671634</x:v>
      </x:c>
      <x:c r="F166" s="12" t="n">
        <x:v>32811.0000000149</x:v>
      </x:c>
      <x:c r="G166" s="12" t="n">
        <x:v>29907</x:v>
      </x:c>
      <x:c r="H166" s="12" t="n">
        <x:v>54097.0000000149</x:v>
      </x:c>
      <x:c r="I166" s="12" t="n">
        <x:v>2549.999999985099</x:v>
      </x:c>
      <x:c r="J166" s="12" t="n">
        <x:v>105.99999997019768</x:v>
      </x:c>
      <x:c r="K166" s="2" t="n">
        <x:v>201</x:v>
      </x:c>
      <x:c r="L166" s="2" t="n">
        <x:v>1056</x:v>
      </x:c>
    </x:row>
    <x:row r="167" ht="24" customHeight="1">
      <x:c r="A167" s="2" t="n">
        <x:v>277</x:v>
      </x:c>
      <x:c r="B167" s="2" t="n">
        <x:v>2</x:v>
      </x:c>
      <x:c r="C167" s="12" t="n">
        <x:v>121026</x:v>
      </x:c>
      <x:c r="D167" s="12" t="n">
        <x:v>90204</x:v>
      </x:c>
      <x:c r="E167" s="12" t="n">
        <x:v>30605.666666671634</x:v>
      </x:c>
      <x:c r="F167" s="12" t="n">
        <x:v>32505.000000029802</x:v>
      </x:c>
      <x:c r="G167" s="12" t="n">
        <x:v>53491</x:v>
      </x:c>
      <x:c r="H167" s="12" t="n">
        <x:v>30822</x:v>
      </x:c>
      <x:c r="I167" s="12" t="n">
        <x:v>4101.999999985099</x:v>
      </x:c>
      <x:c r="J167" s="12" t="n">
        <x:v>105.99999998509884</x:v>
      </x:c>
      <x:c r="K167" s="2" t="n">
        <x:v>200</x:v>
      </x:c>
      <x:c r="L167" s="2" t="n">
        <x:v>1052</x:v>
      </x:c>
    </x:row>
    <x:row r="168" ht="24" customHeight="1">
      <x:c r="A168" s="2" t="n">
        <x:v>278</x:v>
      </x:c>
      <x:c r="B168" s="2" t="n">
        <x:v>2</x:v>
      </x:c>
      <x:c r="C168" s="12" t="n">
        <x:v>119469.9999999851</x:v>
      </x:c>
      <x:c r="D168" s="12" t="n">
        <x:v>91062.9999999702</x:v>
      </x:c>
      <x:c r="E168" s="12" t="n">
        <x:v>28192.666666671634</x:v>
      </x:c>
      <x:c r="F168" s="12" t="n">
        <x:v>33494.0000000149</x:v>
      </x:c>
      <x:c r="G168" s="12" t="n">
        <x:v>53361.0000000149</x:v>
      </x:c>
      <x:c r="H168" s="12" t="n">
        <x:v>28407.0000000149</x:v>
      </x:c>
      <x:c r="I168" s="12" t="n">
        <x:v>4102.000000014901</x:v>
      </x:c>
      <x:c r="J168" s="12" t="n">
        <x:v>105.9999999254942</x:v>
      </x:c>
      <x:c r="K168" s="2" t="n">
        <x:v>200</x:v>
      </x:c>
      <x:c r="L168" s="2" t="n">
        <x:v>1048</x:v>
      </x:c>
    </x:row>
    <x:row r="169" ht="24" customHeight="1">
      <x:c r="A169" s="2" t="n">
        <x:v>279</x:v>
      </x:c>
      <x:c r="B169" s="2" t="n">
        <x:v>2</x:v>
      </x:c>
      <x:c r="C169" s="12" t="n">
        <x:v>119471</x:v>
      </x:c>
      <x:c r="D169" s="12" t="n">
        <x:v>117113.9999999851</x:v>
      </x:c>
      <x:c r="E169" s="12" t="n">
        <x:v>2143.6666666716337</x:v>
      </x:c>
      <x:c r="F169" s="12" t="n">
        <x:v>34239.9999999851</x:v>
      </x:c>
      <x:c r="G169" s="12" t="n">
        <x:v>78666</x:v>
      </x:c>
      <x:c r="H169" s="12" t="n">
        <x:v>2357.000000014901</x:v>
      </x:c>
      <x:c r="I169" s="12" t="n">
        <x:v>4102.000000014901</x:v>
      </x:c>
      <x:c r="J169" s="12" t="n">
        <x:v>105.99999998509884</x:v>
      </x:c>
      <x:c r="K169" s="2" t="n">
        <x:v>199</x:v>
      </x:c>
      <x:c r="L169" s="2" t="n">
        <x:v>1044</x:v>
      </x:c>
    </x:row>
    <x:row r="170" ht="24" customHeight="1">
      <x:c r="A170" s="2" t="n">
        <x:v>280</x:v>
      </x:c>
      <x:c r="B170" s="2" t="n">
        <x:v>2</x:v>
      </x:c>
      <x:c r="C170" s="12" t="n">
        <x:v>122295</x:v>
      </x:c>
      <x:c r="D170" s="12" t="n">
        <x:v>109228</x:v>
      </x:c>
      <x:c r="E170" s="12" t="n">
        <x:v>12851.666666671634</x:v>
      </x:c>
      <x:c r="F170" s="12" t="n">
        <x:v>40797</x:v>
      </x:c>
      <x:c r="G170" s="12" t="n">
        <x:v>61402</x:v>
      </x:c>
      <x:c r="H170" s="12" t="n">
        <x:v>13067</x:v>
      </x:c>
      <x:c r="I170" s="12" t="n">
        <x:v>6923</x:v>
      </x:c>
      <x:c r="J170" s="12" t="n">
        <x:v>106</x:v>
      </x:c>
      <x:c r="K170" s="2" t="n">
        <x:v>199</x:v>
      </x:c>
      <x:c r="L170" s="2" t="n">
        <x:v>1040</x:v>
      </x:c>
    </x:row>
    <x:row r="171" ht="24" customHeight="1">
      <x:c r="A171" s="2" t="n">
        <x:v>281</x:v>
      </x:c>
      <x:c r="B171" s="2" t="n">
        <x:v>2</x:v>
      </x:c>
      <x:c r="C171" s="12" t="n">
        <x:v>116651.0000000149</x:v>
      </x:c>
      <x:c r="D171" s="12" t="n">
        <x:v>101904.0000000298</x:v>
      </x:c>
      <x:c r="E171" s="12" t="n">
        <x:v>14531.666666671634</x:v>
      </x:c>
      <x:c r="F171" s="12" t="n">
        <x:v>32212</x:v>
      </x:c>
      <x:c r="G171" s="12" t="n">
        <x:v>65484</x:v>
      </x:c>
      <x:c r="H171" s="12" t="n">
        <x:v>14746.999999985099</x:v>
      </x:c>
      <x:c r="I171" s="12" t="n">
        <x:v>4102</x:v>
      </x:c>
      <x:c r="J171" s="12" t="n">
        <x:v>106.00000002980232</x:v>
      </x:c>
      <x:c r="K171" s="2" t="n">
        <x:v>198</x:v>
      </x:c>
      <x:c r="L171" s="2" t="n">
        <x:v>1036</x:v>
      </x:c>
    </x:row>
    <x:row r="172" ht="24" customHeight="1">
      <x:c r="A172" s="2" t="n">
        <x:v>282</x:v>
      </x:c>
      <x:c r="B172" s="2" t="n">
        <x:v>2</x:v>
      </x:c>
      <x:c r="C172" s="12" t="n">
        <x:v>119472</x:v>
      </x:c>
      <x:c r="D172" s="12" t="n">
        <x:v>92814.9999999851</x:v>
      </x:c>
      <x:c r="E172" s="12" t="n">
        <x:v>26441.666666671634</x:v>
      </x:c>
      <x:c r="F172" s="12" t="n">
        <x:v>34697.9999999851</x:v>
      </x:c>
      <x:c r="G172" s="12" t="n">
        <x:v>53909</x:v>
      </x:c>
      <x:c r="H172" s="12" t="n">
        <x:v>26657.0000000149</x:v>
      </x:c>
      <x:c r="I172" s="12" t="n">
        <x:v>4101.999999985099</x:v>
      </x:c>
      <x:c r="J172" s="12" t="n">
        <x:v>106.00000001490116</x:v>
      </x:c>
      <x:c r="K172" s="2" t="n">
        <x:v>198</x:v>
      </x:c>
      <x:c r="L172" s="2" t="n">
        <x:v>1032</x:v>
      </x:c>
    </x:row>
    <x:row r="173" ht="24" customHeight="1">
      <x:c r="A173" s="2" t="n">
        <x:v>283</x:v>
      </x:c>
      <x:c r="B173" s="2" t="n">
        <x:v>2</x:v>
      </x:c>
      <x:c r="C173" s="12" t="n">
        <x:v>119471.9999999851</x:v>
      </x:c>
      <x:c r="D173" s="12" t="n">
        <x:v>102449.9999999851</x:v>
      </x:c>
      <x:c r="E173" s="12" t="n">
        <x:v>16806.666666671634</x:v>
      </x:c>
      <x:c r="F173" s="12" t="n">
        <x:v>32318.0000000149</x:v>
      </x:c>
      <x:c r="G173" s="12" t="n">
        <x:v>65923.9999999851</x:v>
      </x:c>
      <x:c r="H173" s="12" t="n">
        <x:v>17022</x:v>
      </x:c>
      <x:c r="I173" s="12" t="n">
        <x:v>4102.000000014901</x:v>
      </x:c>
      <x:c r="J173" s="12" t="n">
        <x:v>105.99999997019768</x:v>
      </x:c>
      <x:c r="K173" s="2" t="n">
        <x:v>197</x:v>
      </x:c>
      <x:c r="L173" s="2" t="n">
        <x:v>1028</x:v>
      </x:c>
    </x:row>
    <x:row r="174" ht="24" customHeight="1">
      <x:c r="A174" s="2" t="n">
        <x:v>284</x:v>
      </x:c>
      <x:c r="B174" s="2" t="n">
        <x:v>2</x:v>
      </x:c>
      <x:c r="C174" s="12" t="n">
        <x:v>119472.0000000149</x:v>
      </x:c>
      <x:c r="D174" s="12" t="n">
        <x:v>94350.0000000298</x:v>
      </x:c>
      <x:c r="E174" s="12" t="n">
        <x:v>24906.666666671634</x:v>
      </x:c>
      <x:c r="F174" s="12" t="n">
        <x:v>35008.9999999851</x:v>
      </x:c>
      <x:c r="G174" s="12" t="n">
        <x:v>55133</x:v>
      </x:c>
      <x:c r="H174" s="12" t="n">
        <x:v>25121.9999999851</x:v>
      </x:c>
      <x:c r="I174" s="12" t="n">
        <x:v>4102.000000014901</x:v>
      </x:c>
      <x:c r="J174" s="12" t="n">
        <x:v>106.00000002980232</x:v>
      </x:c>
      <x:c r="K174" s="2" t="n">
        <x:v>197</x:v>
      </x:c>
      <x:c r="L174" s="2" t="n">
        <x:v>1024</x:v>
      </x:c>
    </x:row>
    <x:row r="175" ht="24" customHeight="1">
      <x:c r="A175" s="2" t="n">
        <x:v>285</x:v>
      </x:c>
      <x:c r="B175" s="2" t="n">
        <x:v>2</x:v>
      </x:c>
      <x:c r="C175" s="12" t="n">
        <x:v>119472.9999999851</x:v>
      </x:c>
      <x:c r="D175" s="12" t="n">
        <x:v>92800.9999999851</x:v>
      </x:c>
      <x:c r="E175" s="12" t="n">
        <x:v>26455.666666671634</x:v>
      </x:c>
      <x:c r="F175" s="12" t="n">
        <x:v>34105.9999999851</x:v>
      </x:c>
      <x:c r="G175" s="12" t="n">
        <x:v>54486.9999999851</x:v>
      </x:c>
      <x:c r="H175" s="12" t="n">
        <x:v>26672</x:v>
      </x:c>
      <x:c r="I175" s="12" t="n">
        <x:v>4101.999999985099</x:v>
      </x:c>
      <x:c r="J175" s="12" t="n">
        <x:v>106.00000002980232</x:v>
      </x:c>
      <x:c r="K175" s="2" t="n">
        <x:v>196</x:v>
      </x:c>
      <x:c r="L175" s="2" t="n">
        <x:v>1020</x:v>
      </x:c>
    </x:row>
    <x:row r="176" ht="24" customHeight="1">
      <x:c r="A176" s="2" t="n">
        <x:v>286</x:v>
      </x:c>
      <x:c r="B176" s="2" t="n">
        <x:v>2</x:v>
      </x:c>
      <x:c r="C176" s="12" t="n">
        <x:v>119470.0000000149</x:v>
      </x:c>
      <x:c r="D176" s="12" t="n">
        <x:v>91438.0000000149</x:v>
      </x:c>
      <x:c r="E176" s="12" t="n">
        <x:v>27817.666666671634</x:v>
      </x:c>
      <x:c r="F176" s="12" t="n">
        <x:v>33354.0000000149</x:v>
      </x:c>
      <x:c r="G176" s="12" t="n">
        <x:v>53875.9999999851</x:v>
      </x:c>
      <x:c r="H176" s="12" t="n">
        <x:v>28032</x:v>
      </x:c>
      <x:c r="I176" s="12" t="n">
        <x:v>4102</x:v>
      </x:c>
      <x:c r="J176" s="12" t="n">
        <x:v>106.00000001490116</x:v>
      </x:c>
      <x:c r="K176" s="2" t="n">
        <x:v>196</x:v>
      </x:c>
      <x:c r="L176" s="2" t="n">
        <x:v>1016</x:v>
      </x:c>
    </x:row>
    <x:row r="177" ht="24" customHeight="1">
      <x:c r="A177" s="2" t="n">
        <x:v>287</x:v>
      </x:c>
      <x:c r="B177" s="2" t="n">
        <x:v>2</x:v>
      </x:c>
      <x:c r="C177" s="12" t="n">
        <x:v>119472</x:v>
      </x:c>
      <x:c r="D177" s="12" t="n">
        <x:v>74069.9999999851</x:v>
      </x:c>
      <x:c r="E177" s="12" t="n">
        <x:v>45187.666666671634</x:v>
      </x:c>
      <x:c r="F177" s="12" t="n">
        <x:v>31473</x:v>
      </x:c>
      <x:c r="G177" s="12" t="n">
        <x:v>38389</x:v>
      </x:c>
      <x:c r="H177" s="12" t="n">
        <x:v>45402.0000000149</x:v>
      </x:c>
      <x:c r="I177" s="12" t="n">
        <x:v>4101.999999985099</x:v>
      </x:c>
      <x:c r="J177" s="12" t="n">
        <x:v>106</x:v>
      </x:c>
      <x:c r="K177" s="2" t="n">
        <x:v>196</x:v>
      </x:c>
      <x:c r="L177" s="2" t="n">
        <x:v>1012</x:v>
      </x:c>
    </x:row>
    <x:row r="178" ht="24" customHeight="1">
      <x:c r="A178" s="2" t="n">
        <x:v>288</x:v>
      </x:c>
      <x:c r="B178" s="2" t="n">
        <x:v>2</x:v>
      </x:c>
      <x:c r="C178" s="12" t="n">
        <x:v>119473</x:v>
      </x:c>
      <x:c r="D178" s="12" t="n">
        <x:v>64916</x:v>
      </x:c>
      <x:c r="E178" s="12" t="n">
        <x:v>54341.666666671634</x:v>
      </x:c>
      <x:c r="F178" s="12" t="n">
        <x:v>34449</x:v>
      </x:c>
      <x:c r="G178" s="12" t="n">
        <x:v>26259</x:v>
      </x:c>
      <x:c r="H178" s="12" t="n">
        <x:v>54557</x:v>
      </x:c>
      <x:c r="I178" s="12" t="n">
        <x:v>4102</x:v>
      </x:c>
      <x:c r="J178" s="12" t="n">
        <x:v>106</x:v>
      </x:c>
      <x:c r="K178" s="2" t="n">
        <x:v>196</x:v>
      </x:c>
      <x:c r="L178" s="2" t="n">
        <x:v>1008</x:v>
      </x:c>
    </x:row>
    <x:row r="179" ht="24" customHeight="1">
      <x:c r="A179" s="2" t="n">
        <x:v>289</x:v>
      </x:c>
      <x:c r="B179" s="2" t="n">
        <x:v>2</x:v>
      </x:c>
      <x:c r="C179" s="12" t="n">
        <x:v>119471</x:v>
      </x:c>
      <x:c r="D179" s="12" t="n">
        <x:v>74839</x:v>
      </x:c>
      <x:c r="E179" s="12" t="n">
        <x:v>44417.666666671634</x:v>
      </x:c>
      <x:c r="F179" s="12" t="n">
        <x:v>32242</x:v>
      </x:c>
      <x:c r="G179" s="12" t="n">
        <x:v>38389</x:v>
      </x:c>
      <x:c r="H179" s="12" t="n">
        <x:v>44632</x:v>
      </x:c>
      <x:c r="I179" s="12" t="n">
        <x:v>4102.000000014901</x:v>
      </x:c>
      <x:c r="J179" s="12" t="n">
        <x:v>105.99999998509884</x:v>
      </x:c>
      <x:c r="K179" s="2" t="n">
        <x:v>196</x:v>
      </x:c>
      <x:c r="L179" s="2" t="n">
        <x:v>1004</x:v>
      </x:c>
    </x:row>
    <x:row r="180" ht="24" customHeight="1">
      <x:c r="A180" s="2" t="n">
        <x:v>290</x:v>
      </x:c>
      <x:c r="B180" s="2" t="n">
        <x:v>2</x:v>
      </x:c>
      <x:c r="C180" s="12" t="n">
        <x:v>119470.9999999851</x:v>
      </x:c>
      <x:c r="D180" s="12" t="n">
        <x:v>63798.9999999702</x:v>
      </x:c>
      <x:c r="E180" s="12" t="n">
        <x:v>55458.666666671634</x:v>
      </x:c>
      <x:c r="F180" s="12" t="n">
        <x:v>33331.9999999851</x:v>
      </x:c>
      <x:c r="G180" s="12" t="n">
        <x:v>26259</x:v>
      </x:c>
      <x:c r="H180" s="12" t="n">
        <x:v>55672.0000000149</x:v>
      </x:c>
      <x:c r="I180" s="12" t="n">
        <x:v>4102.000000014901</x:v>
      </x:c>
      <x:c r="J180" s="12" t="n">
        <x:v>105.99999997019768</x:v>
      </x:c>
      <x:c r="K180" s="2" t="n">
        <x:v>196</x:v>
      </x:c>
      <x:c r="L180" s="2" t="n">
        <x:v>1000</x:v>
      </x:c>
    </x:row>
    <x:row r="181" ht="24" customHeight="1">
      <x:c r="A181" s="2" t="n">
        <x:v>291</x:v>
      </x:c>
      <x:c r="B181" s="2" t="n">
        <x:v>2</x:v>
      </x:c>
      <x:c r="C181" s="12" t="n">
        <x:v>119473.0000000149</x:v>
      </x:c>
      <x:c r="D181" s="12" t="n">
        <x:v>74876.0000000149</x:v>
      </x:c>
      <x:c r="E181" s="12" t="n">
        <x:v>44382.666666671634</x:v>
      </x:c>
      <x:c r="F181" s="12" t="n">
        <x:v>32278.9999999851</x:v>
      </x:c>
      <x:c r="G181" s="12" t="n">
        <x:v>38389</x:v>
      </x:c>
      <x:c r="H181" s="12" t="n">
        <x:v>44597</x:v>
      </x:c>
      <x:c r="I181" s="12" t="n">
        <x:v>4101.999999985099</x:v>
      </x:c>
      <x:c r="J181" s="12" t="n">
        <x:v>106.00000004470348</x:v>
      </x:c>
      <x:c r="K181" s="2" t="n">
        <x:v>196</x:v>
      </x:c>
      <x:c r="L181" s="2" t="n">
        <x:v>996</x:v>
      </x:c>
    </x:row>
    <x:row r="182" ht="24" customHeight="1">
      <x:c r="A182" s="2" t="n">
        <x:v>292</x:v>
      </x:c>
      <x:c r="B182" s="2" t="n">
        <x:v>2</x:v>
      </x:c>
      <x:c r="C182" s="12" t="n">
        <x:v>119473</x:v>
      </x:c>
      <x:c r="D182" s="12" t="n">
        <x:v>65591.0000000149</x:v>
      </x:c>
      <x:c r="E182" s="12" t="n">
        <x:v>53666.666666671634</x:v>
      </x:c>
      <x:c r="F182" s="12" t="n">
        <x:v>35124</x:v>
      </x:c>
      <x:c r="G182" s="12" t="n">
        <x:v>26258.9999999851</x:v>
      </x:c>
      <x:c r="H182" s="12" t="n">
        <x:v>53881.9999999851</x:v>
      </x:c>
      <x:c r="I182" s="12" t="n">
        <x:v>4102</x:v>
      </x:c>
      <x:c r="J182" s="12" t="n">
        <x:v>106.00000002980232</x:v>
      </x:c>
      <x:c r="K182" s="2" t="n">
        <x:v>196</x:v>
      </x:c>
      <x:c r="L182" s="2" t="n">
        <x:v>992</x:v>
      </x:c>
    </x:row>
    <x:row r="183" ht="24" customHeight="1">
      <x:c r="A183" s="2" t="n">
        <x:v>293</x:v>
      </x:c>
      <x:c r="B183" s="2" t="n">
        <x:v>2</x:v>
      </x:c>
      <x:c r="C183" s="12" t="n">
        <x:v>119471</x:v>
      </x:c>
      <x:c r="D183" s="12" t="n">
        <x:v>73499.0000000149</x:v>
      </x:c>
      <x:c r="E183" s="12" t="n">
        <x:v>45757.666666671634</x:v>
      </x:c>
      <x:c r="F183" s="12" t="n">
        <x:v>30425</x:v>
      </x:c>
      <x:c r="G183" s="12" t="n">
        <x:v>38866.0000000149</x:v>
      </x:c>
      <x:c r="H183" s="12" t="n">
        <x:v>45971.9999999851</x:v>
      </x:c>
      <x:c r="I183" s="12" t="n">
        <x:v>4102</x:v>
      </x:c>
      <x:c r="J183" s="12" t="n">
        <x:v>106</x:v>
      </x:c>
      <x:c r="K183" s="2" t="n">
        <x:v>196</x:v>
      </x:c>
      <x:c r="L183" s="2" t="n">
        <x:v>988</x:v>
      </x:c>
    </x:row>
    <x:row r="184" ht="24" customHeight="1">
      <x:c r="A184" s="2" t="n">
        <x:v>294</x:v>
      </x:c>
      <x:c r="B184" s="2" t="n">
        <x:v>2</x:v>
      </x:c>
      <x:c r="C184" s="12" t="n">
        <x:v>119472.9999999851</x:v>
      </x:c>
      <x:c r="D184" s="12" t="n">
        <x:v>62680.9999999851</x:v>
      </x:c>
      <x:c r="E184" s="12" t="n">
        <x:v>56576.666666671634</x:v>
      </x:c>
      <x:c r="F184" s="12" t="n">
        <x:v>31724</x:v>
      </x:c>
      <x:c r="G184" s="12" t="n">
        <x:v>26748.9999999851</x:v>
      </x:c>
      <x:c r="H184" s="12" t="n">
        <x:v>56792</x:v>
      </x:c>
      <x:c r="I184" s="12" t="n">
        <x:v>4102.000000014901</x:v>
      </x:c>
      <x:c r="J184" s="12" t="n">
        <x:v>105.99999998509884</x:v>
      </x:c>
      <x:c r="K184" s="2" t="n">
        <x:v>196</x:v>
      </x:c>
      <x:c r="L184" s="2" t="n">
        <x:v>984</x:v>
      </x:c>
    </x:row>
    <x:row r="185" ht="24" customHeight="1">
      <x:c r="A185" s="2" t="n">
        <x:v>295</x:v>
      </x:c>
      <x:c r="B185" s="2" t="n">
        <x:v>2</x:v>
      </x:c>
      <x:c r="C185" s="12" t="n">
        <x:v>119471</x:v>
      </x:c>
      <x:c r="D185" s="12" t="n">
        <x:v>74718.9999999851</x:v>
      </x:c>
      <x:c r="E185" s="12" t="n">
        <x:v>44537.666666671634</x:v>
      </x:c>
      <x:c r="F185" s="12" t="n">
        <x:v>32163</x:v>
      </x:c>
      <x:c r="G185" s="12" t="n">
        <x:v>38347.9999999851</x:v>
      </x:c>
      <x:c r="H185" s="12" t="n">
        <x:v>44752.0000000149</x:v>
      </x:c>
      <x:c r="I185" s="12" t="n">
        <x:v>4101.999999985099</x:v>
      </x:c>
      <x:c r="J185" s="12" t="n">
        <x:v>106.00000001490116</x:v>
      </x:c>
      <x:c r="K185" s="2" t="n">
        <x:v>196</x:v>
      </x:c>
      <x:c r="L185" s="2" t="n">
        <x:v>980</x:v>
      </x:c>
    </x:row>
    <x:row r="186" ht="24" customHeight="1">
      <x:c r="A186" s="2" t="n">
        <x:v>296</x:v>
      </x:c>
      <x:c r="B186" s="2" t="n">
        <x:v>2</x:v>
      </x:c>
      <x:c r="C186" s="12" t="n">
        <x:v>119473.0000000149</x:v>
      </x:c>
      <x:c r="D186" s="12" t="n">
        <x:v>69801.0000000298</x:v>
      </x:c>
      <x:c r="E186" s="12" t="n">
        <x:v>49456.666666671634</x:v>
      </x:c>
      <x:c r="F186" s="12" t="n">
        <x:v>39346</x:v>
      </x:c>
      <x:c r="G186" s="12" t="n">
        <x:v>26247</x:v>
      </x:c>
      <x:c r="H186" s="12" t="n">
        <x:v>49671.9999999851</x:v>
      </x:c>
      <x:c r="I186" s="12" t="n">
        <x:v>4101.999999985099</x:v>
      </x:c>
      <x:c r="J186" s="12" t="n">
        <x:v>106.00000004470348</x:v>
      </x:c>
      <x:c r="K186" s="2" t="n">
        <x:v>196</x:v>
      </x:c>
      <x:c r="L186" s="2" t="n">
        <x:v>976</x:v>
      </x:c>
    </x:row>
    <x:row r="187" ht="24" customHeight="1">
      <x:c r="A187" s="2" t="n">
        <x:v>297</x:v>
      </x:c>
      <x:c r="B187" s="2" t="n">
        <x:v>2</x:v>
      </x:c>
      <x:c r="C187" s="12" t="n">
        <x:v>119473</x:v>
      </x:c>
      <x:c r="D187" s="12" t="n">
        <x:v>79076</x:v>
      </x:c>
      <x:c r="E187" s="12" t="n">
        <x:v>40180.666666671634</x:v>
      </x:c>
      <x:c r="F187" s="12" t="n">
        <x:v>36520</x:v>
      </x:c>
      <x:c r="G187" s="12" t="n">
        <x:v>38348</x:v>
      </x:c>
      <x:c r="H187" s="12" t="n">
        <x:v>40397</x:v>
      </x:c>
      <x:c r="I187" s="12" t="n">
        <x:v>4102.000000014901</x:v>
      </x:c>
      <x:c r="J187" s="12" t="n">
        <x:v>105.99999998509884</x:v>
      </x:c>
      <x:c r="K187" s="2" t="n">
        <x:v>196</x:v>
      </x:c>
      <x:c r="L187" s="2" t="n">
        <x:v>972</x:v>
      </x:c>
    </x:row>
    <x:row r="188" ht="24" customHeight="1">
      <x:c r="A188" s="2" t="n">
        <x:v>298</x:v>
      </x:c>
      <x:c r="B188" s="2" t="n">
        <x:v>2</x:v>
      </x:c>
      <x:c r="C188" s="12" t="n">
        <x:v>119470</x:v>
      </x:c>
      <x:c r="D188" s="12" t="n">
        <x:v>65622.9999999851</x:v>
      </x:c>
      <x:c r="E188" s="12" t="n">
        <x:v>53632.666666671634</x:v>
      </x:c>
      <x:c r="F188" s="12" t="n">
        <x:v>35168</x:v>
      </x:c>
      <x:c r="G188" s="12" t="n">
        <x:v>26247</x:v>
      </x:c>
      <x:c r="H188" s="12" t="n">
        <x:v>53847.0000000149</x:v>
      </x:c>
      <x:c r="I188" s="12" t="n">
        <x:v>4101.999999985099</x:v>
      </x:c>
      <x:c r="J188" s="12" t="n">
        <x:v>106</x:v>
      </x:c>
      <x:c r="K188" s="2" t="n">
        <x:v>196</x:v>
      </x:c>
      <x:c r="L188" s="2" t="n">
        <x:v>968</x:v>
      </x:c>
    </x:row>
    <x:row r="189" ht="24" customHeight="1">
      <x:c r="A189" s="2" t="n">
        <x:v>299</x:v>
      </x:c>
      <x:c r="B189" s="2" t="n">
        <x:v>2</x:v>
      </x:c>
      <x:c r="C189" s="12" t="n">
        <x:v>119473.9999999851</x:v>
      </x:c>
      <x:c r="D189" s="12" t="n">
        <x:v>74636.9999999702</x:v>
      </x:c>
      <x:c r="E189" s="12" t="n">
        <x:v>44620.666666671634</x:v>
      </x:c>
      <x:c r="F189" s="12" t="n">
        <x:v>32081</x:v>
      </x:c>
      <x:c r="G189" s="12" t="n">
        <x:v>38348.0000000149</x:v>
      </x:c>
      <x:c r="H189" s="12" t="n">
        <x:v>44837.0000000149</x:v>
      </x:c>
      <x:c r="I189" s="12" t="n">
        <x:v>4101.999999985099</x:v>
      </x:c>
      <x:c r="J189" s="12" t="n">
        <x:v>105.99999997019768</x:v>
      </x:c>
      <x:c r="K189" s="2" t="n">
        <x:v>196</x:v>
      </x:c>
      <x:c r="L189" s="2" t="n">
        <x:v>964</x:v>
      </x:c>
    </x:row>
    <x:row r="190" ht="24" customHeight="1">
      <x:c r="A190" s="2" t="n">
        <x:v>300</x:v>
      </x:c>
      <x:c r="B190" s="2" t="n">
        <x:v>2</x:v>
      </x:c>
      <x:c r="C190" s="12" t="n">
        <x:v>119469</x:v>
      </x:c>
      <x:c r="D190" s="12" t="n">
        <x:v>67667</x:v>
      </x:c>
      <x:c r="E190" s="12" t="n">
        <x:v>51588.666666671634</x:v>
      </x:c>
      <x:c r="F190" s="12" t="n">
        <x:v>36311</x:v>
      </x:c>
      <x:c r="G190" s="12" t="n">
        <x:v>27148</x:v>
      </x:c>
      <x:c r="H190" s="12" t="n">
        <x:v>51802</x:v>
      </x:c>
      <x:c r="I190" s="12" t="n">
        <x:v>4101.999999985099</x:v>
      </x:c>
      <x:c r="J190" s="12" t="n">
        <x:v>106.00000001490116</x:v>
      </x:c>
      <x:c r="K190" s="2" t="n">
        <x:v>196</x:v>
      </x:c>
      <x:c r="L190" s="2" t="n">
        <x:v>960</x:v>
      </x:c>
    </x:row>
    <x:row r="191" ht="24" customHeight="1">
      <x:c r="A191" s="2" t="n">
        <x:v>301</x:v>
      </x:c>
      <x:c r="B191" s="2" t="n">
        <x:v>2</x:v>
      </x:c>
      <x:c r="C191" s="12" t="n">
        <x:v>119472</x:v>
      </x:c>
      <x:c r="D191" s="12" t="n">
        <x:v>77140</x:v>
      </x:c>
      <x:c r="E191" s="12" t="n">
        <x:v>42118.666666671634</x:v>
      </x:c>
      <x:c r="F191" s="12" t="n">
        <x:v>34016.0000000149</x:v>
      </x:c>
      <x:c r="G191" s="12" t="n">
        <x:v>38916</x:v>
      </x:c>
      <x:c r="H191" s="12" t="n">
        <x:v>42332</x:v>
      </x:c>
      <x:c r="I191" s="12" t="n">
        <x:v>4102.000000014901</x:v>
      </x:c>
      <x:c r="J191" s="12" t="n">
        <x:v>105.99999997019768</x:v>
      </x:c>
      <x:c r="K191" s="2" t="n">
        <x:v>196</x:v>
      </x:c>
      <x:c r="L191" s="2" t="n">
        <x:v>956</x:v>
      </x:c>
    </x:row>
    <x:row r="192" ht="24" customHeight="1">
      <x:c r="A192" s="2" t="n">
        <x:v>302</x:v>
      </x:c>
      <x:c r="B192" s="2" t="n">
        <x:v>2</x:v>
      </x:c>
      <x:c r="C192" s="12" t="n">
        <x:v>119473</x:v>
      </x:c>
      <x:c r="D192" s="12" t="n">
        <x:v>66976</x:v>
      </x:c>
      <x:c r="E192" s="12" t="n">
        <x:v>52282.666666671634</x:v>
      </x:c>
      <x:c r="F192" s="12" t="n">
        <x:v>35087.9999999851</x:v>
      </x:c>
      <x:c r="G192" s="12" t="n">
        <x:v>27679.9999999851</x:v>
      </x:c>
      <x:c r="H192" s="12" t="n">
        <x:v>52497</x:v>
      </x:c>
      <x:c r="I192" s="12" t="n">
        <x:v>4101.999999985099</x:v>
      </x:c>
      <x:c r="J192" s="12" t="n">
        <x:v>106.00000004470348</x:v>
      </x:c>
      <x:c r="K192" s="2" t="n">
        <x:v>196</x:v>
      </x:c>
      <x:c r="L192" s="2" t="n">
        <x:v>952</x:v>
      </x:c>
    </x:row>
    <x:row r="193" ht="24" customHeight="1">
      <x:c r="A193" s="2" t="n">
        <x:v>303</x:v>
      </x:c>
      <x:c r="B193" s="2" t="n">
        <x:v>2</x:v>
      </x:c>
      <x:c r="C193" s="12" t="n">
        <x:v>119472</x:v>
      </x:c>
      <x:c r="D193" s="12" t="n">
        <x:v>81360</x:v>
      </x:c>
      <x:c r="E193" s="12" t="n">
        <x:v>37897.666666671634</x:v>
      </x:c>
      <x:c r="F193" s="12" t="n">
        <x:v>38763</x:v>
      </x:c>
      <x:c r="G193" s="12" t="n">
        <x:v>38389</x:v>
      </x:c>
      <x:c r="H193" s="12" t="n">
        <x:v>38112</x:v>
      </x:c>
      <x:c r="I193" s="12" t="n">
        <x:v>4102.000000014901</x:v>
      </x:c>
      <x:c r="J193" s="12" t="n">
        <x:v>105.99999998509884</x:v>
      </x:c>
      <x:c r="K193" s="2" t="n">
        <x:v>196</x:v>
      </x:c>
      <x:c r="L193" s="2" t="n">
        <x:v>948</x:v>
      </x:c>
    </x:row>
    <x:row r="194" ht="24" customHeight="1">
      <x:c r="A194" s="2" t="n">
        <x:v>304</x:v>
      </x:c>
      <x:c r="B194" s="2" t="n">
        <x:v>2</x:v>
      </x:c>
      <x:c r="C194" s="12" t="n">
        <x:v>119470.0000000149</x:v>
      </x:c>
      <x:c r="D194" s="12" t="n">
        <x:v>68143.0000000149</x:v>
      </x:c>
      <x:c r="E194" s="12" t="n">
        <x:v>51114.666666671634</x:v>
      </x:c>
      <x:c r="F194" s="12" t="n">
        <x:v>36766</x:v>
      </x:c>
      <x:c r="G194" s="12" t="n">
        <x:v>27169.000000029802</x:v>
      </x:c>
      <x:c r="H194" s="12" t="n">
        <x:v>51327</x:v>
      </x:c>
      <x:c r="I194" s="12" t="n">
        <x:v>4101.999999985099</x:v>
      </x:c>
      <x:c r="J194" s="12" t="n">
        <x:v>106</x:v>
      </x:c>
      <x:c r="K194" s="2" t="n">
        <x:v>196</x:v>
      </x:c>
      <x:c r="L194" s="2" t="n">
        <x:v>944</x:v>
      </x:c>
    </x:row>
    <x:row r="195" ht="24" customHeight="1">
      <x:c r="A195" s="2" t="n">
        <x:v>305</x:v>
      </x:c>
      <x:c r="B195" s="2" t="n">
        <x:v>2</x:v>
      </x:c>
      <x:c r="C195" s="12" t="n">
        <x:v>119474</x:v>
      </x:c>
      <x:c r="D195" s="12" t="n">
        <x:v>75901.9999999851</x:v>
      </x:c>
      <x:c r="E195" s="12" t="n">
        <x:v>43357.666666671634</x:v>
      </x:c>
      <x:c r="F195" s="12" t="n">
        <x:v>33305.0000000149</x:v>
      </x:c>
      <x:c r="G195" s="12" t="n">
        <x:v>38389</x:v>
      </x:c>
      <x:c r="H195" s="12" t="n">
        <x:v>43572.0000000149</x:v>
      </x:c>
      <x:c r="I195" s="12" t="n">
        <x:v>4101.999999985099</x:v>
      </x:c>
      <x:c r="J195" s="12" t="n">
        <x:v>105.99999998509884</x:v>
      </x:c>
      <x:c r="K195" s="2" t="n">
        <x:v>196</x:v>
      </x:c>
      <x:c r="L195" s="2" t="n">
        <x:v>940</x:v>
      </x:c>
    </x:row>
    <x:row r="196" ht="24" customHeight="1">
      <x:c r="A196" s="2" t="n">
        <x:v>306</x:v>
      </x:c>
      <x:c r="B196" s="2" t="n">
        <x:v>2</x:v>
      </x:c>
      <x:c r="C196" s="12" t="n">
        <x:v>119474</x:v>
      </x:c>
      <x:c r="D196" s="12" t="n">
        <x:v>66042</x:v>
      </x:c>
      <x:c r="E196" s="12" t="n">
        <x:v>53215.666666671634</x:v>
      </x:c>
      <x:c r="F196" s="12" t="n">
        <x:v>34665</x:v>
      </x:c>
      <x:c r="G196" s="12" t="n">
        <x:v>27168.9999999851</x:v>
      </x:c>
      <x:c r="H196" s="12" t="n">
        <x:v>53432</x:v>
      </x:c>
      <x:c r="I196" s="12" t="n">
        <x:v>4101.999999985099</x:v>
      </x:c>
      <x:c r="J196" s="12" t="n">
        <x:v>106.00000002980232</x:v>
      </x:c>
      <x:c r="K196" s="2" t="n">
        <x:v>196</x:v>
      </x:c>
      <x:c r="L196" s="2" t="n">
        <x:v>936</x:v>
      </x:c>
    </x:row>
    <x:row r="197" ht="24" customHeight="1">
      <x:c r="A197" s="2" t="n">
        <x:v>307</x:v>
      </x:c>
      <x:c r="B197" s="2" t="n">
        <x:v>2</x:v>
      </x:c>
      <x:c r="C197" s="12" t="n">
        <x:v>119468.9999999851</x:v>
      </x:c>
      <x:c r="D197" s="12" t="n">
        <x:v>76476.9999999702</x:v>
      </x:c>
      <x:c r="E197" s="12" t="n">
        <x:v>42778.666666671634</x:v>
      </x:c>
      <x:c r="F197" s="12" t="n">
        <x:v>33880.0000000149</x:v>
      </x:c>
      <x:c r="G197" s="12" t="n">
        <x:v>38389</x:v>
      </x:c>
      <x:c r="H197" s="12" t="n">
        <x:v>42992.0000000149</x:v>
      </x:c>
      <x:c r="I197" s="12" t="n">
        <x:v>4101.999999985099</x:v>
      </x:c>
      <x:c r="J197" s="12" t="n">
        <x:v>105.99999997019768</x:v>
      </x:c>
      <x:c r="K197" s="2" t="n">
        <x:v>196</x:v>
      </x:c>
      <x:c r="L197" s="2" t="n">
        <x:v>932</x:v>
      </x:c>
    </x:row>
    <x:row r="198" ht="24" customHeight="1">
      <x:c r="A198" s="2" t="n">
        <x:v>308</x:v>
      </x:c>
      <x:c r="B198" s="2" t="n">
        <x:v>2</x:v>
      </x:c>
      <x:c r="C198" s="12" t="n">
        <x:v>124528.0000000149</x:v>
      </x:c>
      <x:c r="D198" s="12" t="n">
        <x:v>80591.0000000149</x:v>
      </x:c>
      <x:c r="E198" s="12" t="n">
        <x:v>43724.666666671634</x:v>
      </x:c>
      <x:c r="F198" s="12" t="n">
        <x:v>44157.0000000149</x:v>
      </x:c>
      <x:c r="G198" s="12" t="n">
        <x:v>27169</x:v>
      </x:c>
      <x:c r="H198" s="12" t="n">
        <x:v>43937</x:v>
      </x:c>
      <x:c r="I198" s="12" t="n">
        <x:v>9159</x:v>
      </x:c>
      <x:c r="J198" s="12" t="n">
        <x:v>106</x:v>
      </x:c>
      <x:c r="K198" s="2" t="n">
        <x:v>196</x:v>
      </x:c>
      <x:c r="L198" s="2" t="n">
        <x:v>928</x:v>
      </x:c>
    </x:row>
    <x:row r="199" ht="24" customHeight="1">
      <x:c r="A199" s="2" t="n">
        <x:v>309</x:v>
      </x:c>
      <x:c r="B199" s="2" t="n">
        <x:v>2</x:v>
      </x:c>
      <x:c r="C199" s="12" t="n">
        <x:v>119472.9999999851</x:v>
      </x:c>
      <x:c r="D199" s="12" t="n">
        <x:v>94435.9999999851</x:v>
      </x:c>
      <x:c r="E199" s="12" t="n">
        <x:v>24823.666666671634</x:v>
      </x:c>
      <x:c r="F199" s="12" t="n">
        <x:v>46304.9999999851</x:v>
      </x:c>
      <x:c r="G199" s="12" t="n">
        <x:v>38865.9999999851</x:v>
      </x:c>
      <x:c r="H199" s="12" t="n">
        <x:v>25037</x:v>
      </x:c>
      <x:c r="I199" s="12" t="n">
        <x:v>9159</x:v>
      </x:c>
      <x:c r="J199" s="12" t="n">
        <x:v>106.00000001490116</x:v>
      </x:c>
      <x:c r="K199" s="2" t="n">
        <x:v>196</x:v>
      </x:c>
      <x:c r="L199" s="2" t="n">
        <x:v>924</x:v>
      </x:c>
    </x:row>
    <x:row r="200" ht="24" customHeight="1">
      <x:c r="A200" s="2" t="n">
        <x:v>310</x:v>
      </x:c>
      <x:c r="B200" s="2" t="n">
        <x:v>2</x:v>
      </x:c>
      <x:c r="C200" s="12" t="n">
        <x:v>114415.0000000149</x:v>
      </x:c>
      <x:c r="D200" s="12" t="n">
        <x:v>69468.0000000149</x:v>
      </x:c>
      <x:c r="E200" s="12" t="n">
        <x:v>44733.666666671634</x:v>
      </x:c>
      <x:c r="F200" s="12" t="n">
        <x:v>37609.9999999851</x:v>
      </x:c>
      <x:c r="G200" s="12" t="n">
        <x:v>27649.9999999851</x:v>
      </x:c>
      <x:c r="H200" s="12" t="n">
        <x:v>44947</x:v>
      </x:c>
      <x:c r="I200" s="12" t="n">
        <x:v>4101.999999985099</x:v>
      </x:c>
      <x:c r="J200" s="12" t="n">
        <x:v>106.00000005960464</x:v>
      </x:c>
      <x:c r="K200" s="2" t="n">
        <x:v>196</x:v>
      </x:c>
      <x:c r="L200" s="2" t="n">
        <x:v>920</x:v>
      </x:c>
    </x:row>
    <x:row r="201" ht="24" customHeight="1">
      <x:c r="A201" s="2" t="n">
        <x:v>311</x:v>
      </x:c>
      <x:c r="B201" s="2" t="n">
        <x:v>2</x:v>
      </x:c>
      <x:c r="C201" s="12" t="n">
        <x:v>119471.9999999851</x:v>
      </x:c>
      <x:c r="D201" s="12" t="n">
        <x:v>74654.9999999702</x:v>
      </x:c>
      <x:c r="E201" s="12" t="n">
        <x:v>44603.666666671634</x:v>
      </x:c>
      <x:c r="F201" s="12" t="n">
        <x:v>32099</x:v>
      </x:c>
      <x:c r="G201" s="12" t="n">
        <x:v>38348</x:v>
      </x:c>
      <x:c r="H201" s="12" t="n">
        <x:v>44817.0000000149</x:v>
      </x:c>
      <x:c r="I201" s="12" t="n">
        <x:v>4101.999999985099</x:v>
      </x:c>
      <x:c r="J201" s="12" t="n">
        <x:v>105.99999998509884</x:v>
      </x:c>
      <x:c r="K201" s="2" t="n">
        <x:v>196</x:v>
      </x:c>
      <x:c r="L201" s="2" t="n">
        <x:v>916</x:v>
      </x:c>
    </x:row>
    <x:row r="202" ht="24" customHeight="1">
      <x:c r="A202" s="2" t="n">
        <x:v>312</x:v>
      </x:c>
      <x:c r="B202" s="2" t="n">
        <x:v>2</x:v>
      </x:c>
      <x:c r="C202" s="12" t="n">
        <x:v>119472</x:v>
      </x:c>
      <x:c r="D202" s="12" t="n">
        <x:v>66415</x:v>
      </x:c>
      <x:c r="E202" s="12" t="n">
        <x:v>52843.666666671634</x:v>
      </x:c>
      <x:c r="F202" s="12" t="n">
        <x:v>35075.0000000149</x:v>
      </x:c>
      <x:c r="G202" s="12" t="n">
        <x:v>27132.0000000149</x:v>
      </x:c>
      <x:c r="H202" s="12" t="n">
        <x:v>53057</x:v>
      </x:c>
      <x:c r="I202" s="12" t="n">
        <x:v>4102.000000014901</x:v>
      </x:c>
      <x:c r="J202" s="12" t="n">
        <x:v>105.99999995529652</x:v>
      </x:c>
      <x:c r="K202" s="2" t="n">
        <x:v>196</x:v>
      </x:c>
      <x:c r="L202" s="2" t="n">
        <x:v>912</x:v>
      </x:c>
    </x:row>
    <x:row r="203" ht="24" customHeight="1">
      <x:c r="A203" s="2" t="n">
        <x:v>313</x:v>
      </x:c>
      <x:c r="B203" s="2" t="n">
        <x:v>2</x:v>
      </x:c>
      <x:c r="C203" s="12" t="n">
        <x:v>119473</x:v>
      </x:c>
      <x:c r="D203" s="12" t="n">
        <x:v>77320.9999999851</x:v>
      </x:c>
      <x:c r="E203" s="12" t="n">
        <x:v>41937.666666671634</x:v>
      </x:c>
      <x:c r="F203" s="12" t="n">
        <x:v>33879.9999999851</x:v>
      </x:c>
      <x:c r="G203" s="12" t="n">
        <x:v>39233.0000000149</x:v>
      </x:c>
      <x:c r="H203" s="12" t="n">
        <x:v>42152.0000000149</x:v>
      </x:c>
      <x:c r="I203" s="12" t="n">
        <x:v>4101.999999985099</x:v>
      </x:c>
      <x:c r="J203" s="12" t="n">
        <x:v>106</x:v>
      </x:c>
      <x:c r="K203" s="2" t="n">
        <x:v>196</x:v>
      </x:c>
      <x:c r="L203" s="2" t="n">
        <x:v>908</x:v>
      </x:c>
    </x:row>
    <x:row r="204" ht="24" customHeight="1">
      <x:c r="A204" s="2" t="n">
        <x:v>314</x:v>
      </x:c>
      <x:c r="B204" s="2" t="n">
        <x:v>2</x:v>
      </x:c>
      <x:c r="C204" s="12" t="n">
        <x:v>119470.0000000149</x:v>
      </x:c>
      <x:c r="D204" s="12" t="n">
        <x:v>66503.0000000298</x:v>
      </x:c>
      <x:c r="E204" s="12" t="n">
        <x:v>52754.666666671634</x:v>
      </x:c>
      <x:c r="F204" s="12" t="n">
        <x:v>35163</x:v>
      </x:c>
      <x:c r="G204" s="12" t="n">
        <x:v>27131.9999999851</x:v>
      </x:c>
      <x:c r="H204" s="12" t="n">
        <x:v>52966.9999999851</x:v>
      </x:c>
      <x:c r="I204" s="12" t="n">
        <x:v>4102</x:v>
      </x:c>
      <x:c r="J204" s="12" t="n">
        <x:v>106.00000004470348</x:v>
      </x:c>
      <x:c r="K204" s="2" t="n">
        <x:v>196</x:v>
      </x:c>
      <x:c r="L204" s="2" t="n">
        <x:v>904</x:v>
      </x:c>
    </x:row>
    <x:row r="205" ht="24" customHeight="1">
      <x:c r="A205" s="2" t="n">
        <x:v>315</x:v>
      </x:c>
      <x:c r="B205" s="2" t="n">
        <x:v>2</x:v>
      </x:c>
      <x:c r="C205" s="12" t="n">
        <x:v>119472.9999999851</x:v>
      </x:c>
      <x:c r="D205" s="12" t="n">
        <x:v>77515.9999999851</x:v>
      </x:c>
      <x:c r="E205" s="12" t="n">
        <x:v>41743.666666671634</x:v>
      </x:c>
      <x:c r="F205" s="12" t="n">
        <x:v>34075</x:v>
      </x:c>
      <x:c r="G205" s="12" t="n">
        <x:v>39233.0000000149</x:v>
      </x:c>
      <x:c r="H205" s="12" t="n">
        <x:v>41957</x:v>
      </x:c>
      <x:c r="I205" s="12" t="n">
        <x:v>4102.000000014901</x:v>
      </x:c>
      <x:c r="J205" s="12" t="n">
        <x:v>105.99999995529652</x:v>
      </x:c>
      <x:c r="K205" s="2" t="n">
        <x:v>196</x:v>
      </x:c>
      <x:c r="L205" s="2" t="n">
        <x:v>900</x:v>
      </x:c>
    </x:row>
    <x:row r="206" ht="24" customHeight="1">
      <x:c r="A206" s="2" t="n">
        <x:v>316</x:v>
      </x:c>
      <x:c r="B206" s="2" t="n">
        <x:v>2</x:v>
      </x:c>
      <x:c r="C206" s="12" t="n">
        <x:v>119474</x:v>
      </x:c>
      <x:c r="D206" s="12" t="n">
        <x:v>72846.9999999851</x:v>
      </x:c>
      <x:c r="E206" s="12" t="n">
        <x:v>46411.666666671634</x:v>
      </x:c>
      <x:c r="F206" s="12" t="n">
        <x:v>41506.9999999851</x:v>
      </x:c>
      <x:c r="G206" s="12" t="n">
        <x:v>27132</x:v>
      </x:c>
      <x:c r="H206" s="12" t="n">
        <x:v>46627.0000000149</x:v>
      </x:c>
      <x:c r="I206" s="12" t="n">
        <x:v>4102.000000014901</x:v>
      </x:c>
      <x:c r="J206" s="12" t="n">
        <x:v>105.99999998509884</x:v>
      </x:c>
      <x:c r="K206" s="2" t="n">
        <x:v>196</x:v>
      </x:c>
      <x:c r="L206" s="2" t="n">
        <x:v>896</x:v>
      </x:c>
    </x:row>
    <x:row r="207" ht="24" customHeight="1">
      <x:c r="A207" s="2" t="n">
        <x:v>317</x:v>
      </x:c>
      <x:c r="B207" s="2" t="n">
        <x:v>2</x:v>
      </x:c>
      <x:c r="C207" s="12" t="n">
        <x:v>119472.0000000149</x:v>
      </x:c>
      <x:c r="D207" s="12" t="n">
        <x:v>76180.0000000298</x:v>
      </x:c>
      <x:c r="E207" s="12" t="n">
        <x:v>43076.666666671634</x:v>
      </x:c>
      <x:c r="F207" s="12" t="n">
        <x:v>32161.9999999851</x:v>
      </x:c>
      <x:c r="G207" s="12" t="n">
        <x:v>39810.0000000149</x:v>
      </x:c>
      <x:c r="H207" s="12" t="n">
        <x:v>43291.9999999851</x:v>
      </x:c>
      <x:c r="I207" s="12" t="n">
        <x:v>4102</x:v>
      </x:c>
      <x:c r="J207" s="12" t="n">
        <x:v>106.00000002980232</x:v>
      </x:c>
      <x:c r="K207" s="2" t="n">
        <x:v>196</x:v>
      </x:c>
      <x:c r="L207" s="2" t="n">
        <x:v>892</x:v>
      </x:c>
    </x:row>
    <x:row r="208" ht="24" customHeight="1">
      <x:c r="A208" s="2" t="n">
        <x:v>318</x:v>
      </x:c>
      <x:c r="B208" s="2" t="n">
        <x:v>2</x:v>
      </x:c>
      <x:c r="C208" s="12" t="n">
        <x:v>122338</x:v>
      </x:c>
      <x:c r="D208" s="12" t="n">
        <x:v>85221</x:v>
      </x:c>
      <x:c r="E208" s="12" t="n">
        <x:v>36903.666666671634</x:v>
      </x:c>
      <x:c r="F208" s="12" t="n">
        <x:v>50464.9999999851</x:v>
      </x:c>
      <x:c r="G208" s="12" t="n">
        <x:v>27680</x:v>
      </x:c>
      <x:c r="H208" s="12" t="n">
        <x:v>37117</x:v>
      </x:c>
      <x:c r="I208" s="12" t="n">
        <x:v>6969.999999985099</x:v>
      </x:c>
      <x:c r="J208" s="12" t="n">
        <x:v>106.00000002980232</x:v>
      </x:c>
      <x:c r="K208" s="2" t="n">
        <x:v>196</x:v>
      </x:c>
      <x:c r="L208" s="2" t="n">
        <x:v>888</x:v>
      </x:c>
    </x:row>
    <x:row r="209" ht="24" customHeight="1">
      <x:c r="A209" s="2" t="n">
        <x:v>319</x:v>
      </x:c>
      <x:c r="B209" s="2" t="n">
        <x:v>2</x:v>
      </x:c>
      <x:c r="C209" s="12" t="n">
        <x:v>116607</x:v>
      </x:c>
      <x:c r="D209" s="12" t="n">
        <x:v>77480.0000000149</x:v>
      </x:c>
      <x:c r="E209" s="12" t="n">
        <x:v>38910.666666671634</x:v>
      </x:c>
      <x:c r="F209" s="12" t="n">
        <x:v>33973.0000000149</x:v>
      </x:c>
      <x:c r="G209" s="12" t="n">
        <x:v>39299</x:v>
      </x:c>
      <x:c r="H209" s="12" t="n">
        <x:v>39126.9999999851</x:v>
      </x:c>
      <x:c r="I209" s="12" t="n">
        <x:v>4102</x:v>
      </x:c>
      <x:c r="J209" s="12" t="n">
        <x:v>106</x:v>
      </x:c>
      <x:c r="K209" s="2" t="n">
        <x:v>196</x:v>
      </x:c>
      <x:c r="L209" s="2" t="n">
        <x:v>884</x:v>
      </x:c>
    </x:row>
    <x:row r="210" ht="24" customHeight="1">
      <x:c r="A210" s="2" t="n">
        <x:v>320</x:v>
      </x:c>
      <x:c r="B210" s="2" t="n">
        <x:v>2</x:v>
      </x:c>
      <x:c r="C210" s="12" t="n">
        <x:v>122291</x:v>
      </x:c>
      <x:c r="D210" s="12" t="n">
        <x:v>73863.9999999851</x:v>
      </x:c>
      <x:c r="E210" s="12" t="n">
        <x:v>48212.666666671634</x:v>
      </x:c>
      <x:c r="F210" s="12" t="n">
        <x:v>39666</x:v>
      </x:c>
      <x:c r="G210" s="12" t="n">
        <x:v>27169.0000000149</x:v>
      </x:c>
      <x:c r="H210" s="12" t="n">
        <x:v>48427.0000000149</x:v>
      </x:c>
      <x:c r="I210" s="12" t="n">
        <x:v>6922.999999985099</x:v>
      </x:c>
      <x:c r="J210" s="12" t="n">
        <x:v>105.99999998509884</x:v>
      </x:c>
      <x:c r="K210" s="2" t="n">
        <x:v>196</x:v>
      </x:c>
      <x:c r="L210" s="2" t="n">
        <x:v>880</x:v>
      </x:c>
    </x:row>
    <x:row r="211" ht="24" customHeight="1">
      <x:c r="A211" s="2" t="n">
        <x:v>321</x:v>
      </x:c>
      <x:c r="B211" s="2" t="n">
        <x:v>2</x:v>
      </x:c>
      <x:c r="C211" s="12" t="n">
        <x:v>116652</x:v>
      </x:c>
      <x:c r="D211" s="12" t="n">
        <x:v>77565.0000000149</x:v>
      </x:c>
      <x:c r="E211" s="12" t="n">
        <x:v>38871.666666671634</x:v>
      </x:c>
      <x:c r="F211" s="12" t="n">
        <x:v>34058</x:v>
      </x:c>
      <x:c r="G211" s="12" t="n">
        <x:v>39299</x:v>
      </x:c>
      <x:c r="H211" s="12" t="n">
        <x:v>39086.9999999851</x:v>
      </x:c>
      <x:c r="I211" s="12" t="n">
        <x:v>4102</x:v>
      </x:c>
      <x:c r="J211" s="12" t="n">
        <x:v>106.00000001490116</x:v>
      </x:c>
      <x:c r="K211" s="2" t="n">
        <x:v>196</x:v>
      </x:c>
      <x:c r="L211" s="2" t="n">
        <x:v>876</x:v>
      </x:c>
    </x:row>
    <x:row r="212" ht="24" customHeight="1">
      <x:c r="A212" s="2" t="n">
        <x:v>322</x:v>
      </x:c>
      <x:c r="B212" s="2" t="n">
        <x:v>2</x:v>
      </x:c>
      <x:c r="C212" s="12" t="n">
        <x:v>119469.9999999851</x:v>
      </x:c>
      <x:c r="D212" s="12" t="n">
        <x:v>71307.9999999702</x:v>
      </x:c>
      <x:c r="E212" s="12" t="n">
        <x:v>47948.666666671634</x:v>
      </x:c>
      <x:c r="F212" s="12" t="n">
        <x:v>39931</x:v>
      </x:c>
      <x:c r="G212" s="12" t="n">
        <x:v>27169.0000000149</x:v>
      </x:c>
      <x:c r="H212" s="12" t="n">
        <x:v>48162.0000000149</x:v>
      </x:c>
      <x:c r="I212" s="12" t="n">
        <x:v>4102.000000014901</x:v>
      </x:c>
      <x:c r="J212" s="12" t="n">
        <x:v>105.99999994039536</x:v>
      </x:c>
      <x:c r="K212" s="2" t="n">
        <x:v>196</x:v>
      </x:c>
      <x:c r="L212" s="2" t="n">
        <x:v>872</x:v>
      </x:c>
    </x:row>
    <x:row r="213" ht="24" customHeight="1">
      <x:c r="A213" s="2" t="n">
        <x:v>323</x:v>
      </x:c>
      <x:c r="B213" s="2" t="n">
        <x:v>2</x:v>
      </x:c>
      <x:c r="C213" s="12" t="n">
        <x:v>119471</x:v>
      </x:c>
      <x:c r="D213" s="12" t="n">
        <x:v>79178.9999999851</x:v>
      </x:c>
      <x:c r="E213" s="12" t="n">
        <x:v>40079.666666671634</x:v>
      </x:c>
      <x:c r="F213" s="12" t="n">
        <x:v>35672</x:v>
      </x:c>
      <x:c r="G213" s="12" t="n">
        <x:v>39299</x:v>
      </x:c>
      <x:c r="H213" s="12" t="n">
        <x:v>40292.0000000149</x:v>
      </x:c>
      <x:c r="I213" s="12" t="n">
        <x:v>4101.999999985099</x:v>
      </x:c>
      <x:c r="J213" s="12" t="n">
        <x:v>106</x:v>
      </x:c>
      <x:c r="K213" s="2" t="n">
        <x:v>196</x:v>
      </x:c>
      <x:c r="L213" s="2" t="n">
        <x:v>868</x:v>
      </x:c>
    </x:row>
    <x:row r="214" ht="24" customHeight="1">
      <x:c r="A214" s="2" t="n">
        <x:v>324</x:v>
      </x:c>
      <x:c r="B214" s="2" t="n">
        <x:v>2</x:v>
      </x:c>
      <x:c r="C214" s="12" t="n">
        <x:v>119472</x:v>
      </x:c>
      <x:c r="D214" s="12" t="n">
        <x:v>67639.9999999851</x:v>
      </x:c>
      <x:c r="E214" s="12" t="n">
        <x:v>51619.666666671634</x:v>
      </x:c>
      <x:c r="F214" s="12" t="n">
        <x:v>36263.0000000149</x:v>
      </x:c>
      <x:c r="G214" s="12" t="n">
        <x:v>27169.0000000149</x:v>
      </x:c>
      <x:c r="H214" s="12" t="n">
        <x:v>51832.0000000149</x:v>
      </x:c>
      <x:c r="I214" s="12" t="n">
        <x:v>4102.000000014901</x:v>
      </x:c>
      <x:c r="J214" s="12" t="n">
        <x:v>105.99999994039536</x:v>
      </x:c>
      <x:c r="K214" s="2" t="n">
        <x:v>196</x:v>
      </x:c>
      <x:c r="L214" s="2" t="n">
        <x:v>864</x:v>
      </x:c>
    </x:row>
    <x:row r="215" ht="24" customHeight="1">
      <x:c r="A215" s="2" t="n">
        <x:v>325</x:v>
      </x:c>
      <x:c r="B215" s="2" t="n">
        <x:v>2</x:v>
      </x:c>
      <x:c r="C215" s="12" t="n">
        <x:v>119476</x:v>
      </x:c>
      <x:c r="D215" s="12" t="n">
        <x:v>77933.9999999851</x:v>
      </x:c>
      <x:c r="E215" s="12" t="n">
        <x:v>41325.666666671634</x:v>
      </x:c>
      <x:c r="F215" s="12" t="n">
        <x:v>33959</x:v>
      </x:c>
      <x:c r="G215" s="12" t="n">
        <x:v>39767.0000000149</x:v>
      </x:c>
      <x:c r="H215" s="12" t="n">
        <x:v>41542.0000000149</x:v>
      </x:c>
      <x:c r="I215" s="12" t="n">
        <x:v>4102.000000014901</x:v>
      </x:c>
      <x:c r="J215" s="12" t="n">
        <x:v>105.99999995529652</x:v>
      </x:c>
      <x:c r="K215" s="2" t="n">
        <x:v>196</x:v>
      </x:c>
      <x:c r="L215" s="2" t="n">
        <x:v>860</x:v>
      </x:c>
    </x:row>
    <x:row r="216" ht="24" customHeight="1">
      <x:c r="A216" s="2" t="n">
        <x:v>326</x:v>
      </x:c>
      <x:c r="B216" s="2" t="n">
        <x:v>2</x:v>
      </x:c>
      <x:c r="C216" s="12" t="n">
        <x:v>119472.0000000149</x:v>
      </x:c>
      <x:c r="D216" s="12" t="n">
        <x:v>65205.0000000149</x:v>
      </x:c>
      <x:c r="E216" s="12" t="n">
        <x:v>54050.666666671634</x:v>
      </x:c>
      <x:c r="F216" s="12" t="n">
        <x:v>33347</x:v>
      </x:c>
      <x:c r="G216" s="12" t="n">
        <x:v>27650.0000000149</x:v>
      </x:c>
      <x:c r="H216" s="12" t="n">
        <x:v>54267</x:v>
      </x:c>
      <x:c r="I216" s="12" t="n">
        <x:v>4102.000000014901</x:v>
      </x:c>
      <x:c r="J216" s="12" t="n">
        <x:v>105.99999998509884</x:v>
      </x:c>
      <x:c r="K216" s="2" t="n">
        <x:v>196</x:v>
      </x:c>
      <x:c r="L216" s="2" t="n">
        <x:v>856</x:v>
      </x:c>
    </x:row>
    <x:row r="217" ht="24" customHeight="1">
      <x:c r="A217" s="2" t="n">
        <x:v>327</x:v>
      </x:c>
      <x:c r="B217" s="2" t="n">
        <x:v>2</x:v>
      </x:c>
      <x:c r="C217" s="12" t="n">
        <x:v>119469</x:v>
      </x:c>
      <x:c r="D217" s="12" t="n">
        <x:v>77377.0000000149</x:v>
      </x:c>
      <x:c r="E217" s="12" t="n">
        <x:v>41878.666666671634</x:v>
      </x:c>
      <x:c r="F217" s="12" t="n">
        <x:v>33919.9999999851</x:v>
      </x:c>
      <x:c r="G217" s="12" t="n">
        <x:v>39249</x:v>
      </x:c>
      <x:c r="H217" s="12" t="n">
        <x:v>42091.9999999851</x:v>
      </x:c>
      <x:c r="I217" s="12" t="n">
        <x:v>4102</x:v>
      </x:c>
      <x:c r="J217" s="12" t="n">
        <x:v>106.00000002980232</x:v>
      </x:c>
      <x:c r="K217" s="2" t="n">
        <x:v>196</x:v>
      </x:c>
      <x:c r="L217" s="2" t="n">
        <x:v>852</x:v>
      </x:c>
    </x:row>
    <x:row r="218" ht="24" customHeight="1">
      <x:c r="A218" s="2" t="n">
        <x:v>328</x:v>
      </x:c>
      <x:c r="B218" s="2" t="n">
        <x:v>2</x:v>
      </x:c>
      <x:c r="C218" s="12" t="n">
        <x:v>119471</x:v>
      </x:c>
      <x:c r="D218" s="12" t="n">
        <x:v>73189.0000000149</x:v>
      </x:c>
      <x:c r="E218" s="12" t="n">
        <x:v>46069.666666671634</x:v>
      </x:c>
      <x:c r="F218" s="12" t="n">
        <x:v>41833</x:v>
      </x:c>
      <x:c r="G218" s="12" t="n">
        <x:v>27148</x:v>
      </x:c>
      <x:c r="H218" s="12" t="n">
        <x:v>46281.9999999851</x:v>
      </x:c>
      <x:c r="I218" s="12" t="n">
        <x:v>4102.000000014901</x:v>
      </x:c>
      <x:c r="J218" s="12" t="n">
        <x:v>106</x:v>
      </x:c>
      <x:c r="K218" s="2" t="n">
        <x:v>196</x:v>
      </x:c>
      <x:c r="L218" s="2" t="n">
        <x:v>848</x:v>
      </x:c>
    </x:row>
    <x:row r="219" ht="24" customHeight="1">
      <x:c r="A219" s="2" t="n">
        <x:v>329</x:v>
      </x:c>
      <x:c r="B219" s="2" t="n">
        <x:v>2</x:v>
      </x:c>
      <x:c r="C219" s="12" t="n">
        <x:v>119475</x:v>
      </x:c>
      <x:c r="D219" s="12" t="n">
        <x:v>79333</x:v>
      </x:c>
      <x:c r="E219" s="12" t="n">
        <x:v>39926.666666671634</x:v>
      </x:c>
      <x:c r="F219" s="12" t="n">
        <x:v>35875.9999999851</x:v>
      </x:c>
      <x:c r="G219" s="12" t="n">
        <x:v>39248.9999999851</x:v>
      </x:c>
      <x:c r="H219" s="12" t="n">
        <x:v>40142</x:v>
      </x:c>
      <x:c r="I219" s="12" t="n">
        <x:v>4101.999999985099</x:v>
      </x:c>
      <x:c r="J219" s="12" t="n">
        <x:v>106.00000004470348</x:v>
      </x:c>
      <x:c r="K219" s="2" t="n">
        <x:v>196</x:v>
      </x:c>
      <x:c r="L219" s="2" t="n">
        <x:v>844</x:v>
      </x:c>
    </x:row>
    <x:row r="220" ht="24" customHeight="1">
      <x:c r="A220" s="2" t="n">
        <x:v>330</x:v>
      </x:c>
      <x:c r="B220" s="2" t="n">
        <x:v>2</x:v>
      </x:c>
      <x:c r="C220" s="12" t="n">
        <x:v>119471.9999999851</x:v>
      </x:c>
      <x:c r="D220" s="12" t="n">
        <x:v>66169.9999999702</x:v>
      </x:c>
      <x:c r="E220" s="12" t="n">
        <x:v>53086.666666671634</x:v>
      </x:c>
      <x:c r="F220" s="12" t="n">
        <x:v>34830.0000000149</x:v>
      </x:c>
      <x:c r="G220" s="12" t="n">
        <x:v>27132.0000000149</x:v>
      </x:c>
      <x:c r="H220" s="12" t="n">
        <x:v>53302.0000000149</x:v>
      </x:c>
      <x:c r="I220" s="12" t="n">
        <x:v>4102.000000014901</x:v>
      </x:c>
      <x:c r="J220" s="12" t="n">
        <x:v>105.9999999254942</x:v>
      </x:c>
      <x:c r="K220" s="2" t="n">
        <x:v>196</x:v>
      </x:c>
      <x:c r="L220" s="2" t="n">
        <x:v>840</x:v>
      </x:c>
    </x:row>
    <x:row r="221" ht="24" customHeight="1">
      <x:c r="A221" s="2" t="n">
        <x:v>331</x:v>
      </x:c>
      <x:c r="B221" s="2" t="n">
        <x:v>2</x:v>
      </x:c>
      <x:c r="C221" s="12" t="n">
        <x:v>119470.0000000149</x:v>
      </x:c>
      <x:c r="D221" s="12" t="n">
        <x:v>77348.0000000298</x:v>
      </x:c>
      <x:c r="E221" s="12" t="n">
        <x:v>41908.666666671634</x:v>
      </x:c>
      <x:c r="F221" s="12" t="n">
        <x:v>33907</x:v>
      </x:c>
      <x:c r="G221" s="12" t="n">
        <x:v>39233.0000000149</x:v>
      </x:c>
      <x:c r="H221" s="12" t="n">
        <x:v>42121.9999999851</x:v>
      </x:c>
      <x:c r="I221" s="12" t="n">
        <x:v>4102</x:v>
      </x:c>
      <x:c r="J221" s="12" t="n">
        <x:v>106.00000001490116</x:v>
      </x:c>
      <x:c r="K221" s="2" t="n">
        <x:v>196</x:v>
      </x:c>
      <x:c r="L221" s="2" t="n">
        <x:v>836</x:v>
      </x:c>
    </x:row>
    <x:row r="222" ht="24" customHeight="1">
      <x:c r="A222" s="2" t="n">
        <x:v>332</x:v>
      </x:c>
      <x:c r="B222" s="2" t="n">
        <x:v>2</x:v>
      </x:c>
      <x:c r="C222" s="12" t="n">
        <x:v>119472.9999999851</x:v>
      </x:c>
      <x:c r="D222" s="12" t="n">
        <x:v>69420.9999999702</x:v>
      </x:c>
      <x:c r="E222" s="12" t="n">
        <x:v>49837.666666671634</x:v>
      </x:c>
      <x:c r="F222" s="12" t="n">
        <x:v>38081</x:v>
      </x:c>
      <x:c r="G222" s="12" t="n">
        <x:v>27132</x:v>
      </x:c>
      <x:c r="H222" s="12" t="n">
        <x:v>50052.0000000149</x:v>
      </x:c>
      <x:c r="I222" s="12" t="n">
        <x:v>4102.000000014901</x:v>
      </x:c>
      <x:c r="J222" s="12" t="n">
        <x:v>105.99999995529652</x:v>
      </x:c>
      <x:c r="K222" s="2" t="n">
        <x:v>196</x:v>
      </x:c>
      <x:c r="L222" s="2" t="n">
        <x:v>832</x:v>
      </x:c>
    </x:row>
    <x:row r="223" ht="24" customHeight="1">
      <x:c r="A223" s="2" t="n">
        <x:v>333</x:v>
      </x:c>
      <x:c r="B223" s="2" t="n">
        <x:v>2</x:v>
      </x:c>
      <x:c r="C223" s="12" t="n">
        <x:v>119473</x:v>
      </x:c>
      <x:c r="D223" s="12" t="n">
        <x:v>78221</x:v>
      </x:c>
      <x:c r="E223" s="12" t="n">
        <x:v>41036.666666671634</x:v>
      </x:c>
      <x:c r="F223" s="12" t="n">
        <x:v>34202.9999999851</x:v>
      </x:c>
      <x:c r="G223" s="12" t="n">
        <x:v>39810</x:v>
      </x:c>
      <x:c r="H223" s="12" t="n">
        <x:v>41252</x:v>
      </x:c>
      <x:c r="I223" s="12" t="n">
        <x:v>4101.999999985099</x:v>
      </x:c>
      <x:c r="J223" s="12" t="n">
        <x:v>106.00000002980232</x:v>
      </x:c>
      <x:c r="K223" s="2" t="n">
        <x:v>196</x:v>
      </x:c>
      <x:c r="L223" s="2" t="n">
        <x:v>828</x:v>
      </x:c>
    </x:row>
    <x:row r="224" ht="24" customHeight="1">
      <x:c r="A224" s="2" t="n">
        <x:v>334</x:v>
      </x:c>
      <x:c r="B224" s="2" t="n">
        <x:v>2</x:v>
      </x:c>
      <x:c r="C224" s="12" t="n">
        <x:v>119473.0000000149</x:v>
      </x:c>
      <x:c r="D224" s="12" t="n">
        <x:v>68331.0000000298</x:v>
      </x:c>
      <x:c r="E224" s="12" t="n">
        <x:v>50925.666666671634</x:v>
      </x:c>
      <x:c r="F224" s="12" t="n">
        <x:v>36459.0000000149</x:v>
      </x:c>
      <x:c r="G224" s="12" t="n">
        <x:v>27664.0000000149</x:v>
      </x:c>
      <x:c r="H224" s="12" t="n">
        <x:v>51141.9999999851</x:v>
      </x:c>
      <x:c r="I224" s="12" t="n">
        <x:v>4102.000000014901</x:v>
      </x:c>
      <x:c r="J224" s="12" t="n">
        <x:v>105.99999998509884</x:v>
      </x:c>
      <x:c r="K224" s="2" t="n">
        <x:v>196</x:v>
      </x:c>
      <x:c r="L224" s="2" t="n">
        <x:v>824</x:v>
      </x:c>
    </x:row>
    <x:row r="225" ht="24" customHeight="1">
      <x:c r="A225" s="2" t="n">
        <x:v>335</x:v>
      </x:c>
      <x:c r="B225" s="2" t="n">
        <x:v>2</x:v>
      </x:c>
      <x:c r="C225" s="12" t="n">
        <x:v>119471</x:v>
      </x:c>
      <x:c r="D225" s="12" t="n">
        <x:v>80544</x:v>
      </x:c>
      <x:c r="E225" s="12" t="n">
        <x:v>38711.666666671634</x:v>
      </x:c>
      <x:c r="F225" s="12" t="n">
        <x:v>37052.9999999851</x:v>
      </x:c>
      <x:c r="G225" s="12" t="n">
        <x:v>39283.0000000149</x:v>
      </x:c>
      <x:c r="H225" s="12" t="n">
        <x:v>38927</x:v>
      </x:c>
      <x:c r="I225" s="12" t="n">
        <x:v>4102</x:v>
      </x:c>
      <x:c r="J225" s="12" t="n">
        <x:v>106</x:v>
      </x:c>
      <x:c r="K225" s="2" t="n">
        <x:v>196</x:v>
      </x:c>
      <x:c r="L225" s="2" t="n">
        <x:v>820</x:v>
      </x:c>
    </x:row>
    <x:row r="226" ht="24" customHeight="1">
      <x:c r="A226" s="2" t="n">
        <x:v>336</x:v>
      </x:c>
      <x:c r="B226" s="2" t="n">
        <x:v>2</x:v>
      </x:c>
      <x:c r="C226" s="12" t="n">
        <x:v>119472.9999999851</x:v>
      </x:c>
      <x:c r="D226" s="12" t="n">
        <x:v>66100.9999999851</x:v>
      </x:c>
      <x:c r="E226" s="12" t="n">
        <x:v>53155.666666671634</x:v>
      </x:c>
      <x:c r="F226" s="12" t="n">
        <x:v>34724</x:v>
      </x:c>
      <x:c r="G226" s="12" t="n">
        <x:v>27169</x:v>
      </x:c>
      <x:c r="H226" s="12" t="n">
        <x:v>53372</x:v>
      </x:c>
      <x:c r="I226" s="12" t="n">
        <x:v>4102.000000014901</x:v>
      </x:c>
      <x:c r="J226" s="12" t="n">
        <x:v>105.99999997019768</x:v>
      </x:c>
      <x:c r="K226" s="2" t="n">
        <x:v>196</x:v>
      </x:c>
      <x:c r="L226" s="2" t="n">
        <x:v>816</x:v>
      </x:c>
    </x:row>
    <x:row r="227" ht="24" customHeight="1">
      <x:c r="A227" s="2" t="n">
        <x:v>337</x:v>
      </x:c>
      <x:c r="B227" s="2" t="n">
        <x:v>2</x:v>
      </x:c>
      <x:c r="C227" s="12" t="n">
        <x:v>119470.0000000149</x:v>
      </x:c>
      <x:c r="D227" s="12" t="n">
        <x:v>77193.0000000149</x:v>
      </x:c>
      <x:c r="E227" s="12" t="n">
        <x:v>42062.666666671634</x:v>
      </x:c>
      <x:c r="F227" s="12" t="n">
        <x:v>33686</x:v>
      </x:c>
      <x:c r="G227" s="12" t="n">
        <x:v>39299</x:v>
      </x:c>
      <x:c r="H227" s="12" t="n">
        <x:v>42277</x:v>
      </x:c>
      <x:c r="I227" s="12" t="n">
        <x:v>4101.999999985099</x:v>
      </x:c>
      <x:c r="J227" s="12" t="n">
        <x:v>106.00000002980232</x:v>
      </x:c>
      <x:c r="K227" s="2" t="n">
        <x:v>196</x:v>
      </x:c>
      <x:c r="L227" s="2" t="n">
        <x:v>812</x:v>
      </x:c>
    </x:row>
    <x:row r="228" ht="24" customHeight="1">
      <x:c r="A228" s="2" t="n">
        <x:v>338</x:v>
      </x:c>
      <x:c r="B228" s="2" t="n">
        <x:v>2</x:v>
      </x:c>
      <x:c r="C228" s="12" t="n">
        <x:v>119471</x:v>
      </x:c>
      <x:c r="D228" s="12" t="n">
        <x:v>66329</x:v>
      </x:c>
      <x:c r="E228" s="12" t="n">
        <x:v>52928.666666671634</x:v>
      </x:c>
      <x:c r="F228" s="12" t="n">
        <x:v>34952</x:v>
      </x:c>
      <x:c r="G228" s="12" t="n">
        <x:v>27169.0000000149</x:v>
      </x:c>
      <x:c r="H228" s="12" t="n">
        <x:v>53142</x:v>
      </x:c>
      <x:c r="I228" s="12" t="n">
        <x:v>4102</x:v>
      </x:c>
      <x:c r="J228" s="12" t="n">
        <x:v>105.99999998509884</x:v>
      </x:c>
      <x:c r="K228" s="2" t="n">
        <x:v>196</x:v>
      </x:c>
      <x:c r="L228" s="2" t="n">
        <x:v>808</x:v>
      </x:c>
    </x:row>
    <x:row r="229" ht="24" customHeight="1">
      <x:c r="A229" s="2" t="n">
        <x:v>339</x:v>
      </x:c>
      <x:c r="B229" s="2" t="n">
        <x:v>2</x:v>
      </x:c>
      <x:c r="C229" s="12" t="n">
        <x:v>119472.9999999851</x:v>
      </x:c>
      <x:c r="D229" s="12" t="n">
        <x:v>77330.9999999702</x:v>
      </x:c>
      <x:c r="E229" s="12" t="n">
        <x:v>41927.666666671634</x:v>
      </x:c>
      <x:c r="F229" s="12" t="n">
        <x:v>33824</x:v>
      </x:c>
      <x:c r="G229" s="12" t="n">
        <x:v>39299</x:v>
      </x:c>
      <x:c r="H229" s="12" t="n">
        <x:v>42142.0000000149</x:v>
      </x:c>
      <x:c r="I229" s="12" t="n">
        <x:v>4102.000000014901</x:v>
      </x:c>
      <x:c r="J229" s="12" t="n">
        <x:v>105.99999995529652</x:v>
      </x:c>
      <x:c r="K229" s="2" t="n">
        <x:v>196</x:v>
      </x:c>
      <x:c r="L229" s="2" t="n">
        <x:v>804</x:v>
      </x:c>
    </x:row>
    <x:row r="230" ht="24" customHeight="1">
      <x:c r="A230" s="2" t="n">
        <x:v>340</x:v>
      </x:c>
      <x:c r="B230" s="2" t="n">
        <x:v>2</x:v>
      </x:c>
      <x:c r="C230" s="12" t="n">
        <x:v>119472.0000000149</x:v>
      </x:c>
      <x:c r="D230" s="12" t="n">
        <x:v>67925.0000000149</x:v>
      </x:c>
      <x:c r="E230" s="12" t="n">
        <x:v>51332.666666671634</x:v>
      </x:c>
      <x:c r="F230" s="12" t="n">
        <x:v>36547.9999999851</x:v>
      </x:c>
      <x:c r="G230" s="12" t="n">
        <x:v>27169</x:v>
      </x:c>
      <x:c r="H230" s="12" t="n">
        <x:v>51547</x:v>
      </x:c>
      <x:c r="I230" s="12" t="n">
        <x:v>4102</x:v>
      </x:c>
      <x:c r="J230" s="12" t="n">
        <x:v>106.00000002980232</x:v>
      </x:c>
      <x:c r="K230" s="2" t="n">
        <x:v>196</x:v>
      </x:c>
      <x:c r="L230" s="2" t="n">
        <x:v>800</x:v>
      </x:c>
    </x:row>
    <x:row r="231" ht="24" customHeight="1">
      <x:c r="A231" s="2" t="n">
        <x:v>341</x:v>
      </x:c>
      <x:c r="B231" s="2" t="n">
        <x:v>2</x:v>
      </x:c>
      <x:c r="C231" s="12" t="n">
        <x:v>119474</x:v>
      </x:c>
      <x:c r="D231" s="12" t="n">
        <x:v>82737.0000000149</x:v>
      </x:c>
      <x:c r="E231" s="12" t="n">
        <x:v>36520.666666671634</x:v>
      </x:c>
      <x:c r="F231" s="12" t="n">
        <x:v>37883</x:v>
      </x:c>
      <x:c r="G231" s="12" t="n">
        <x:v>40646</x:v>
      </x:c>
      <x:c r="H231" s="12" t="n">
        <x:v>36736.9999999851</x:v>
      </x:c>
      <x:c r="I231" s="12" t="n">
        <x:v>4102</x:v>
      </x:c>
      <x:c r="J231" s="12" t="n">
        <x:v>106.00000001490116</x:v>
      </x:c>
      <x:c r="K231" s="2" t="n">
        <x:v>196</x:v>
      </x:c>
      <x:c r="L231" s="2" t="n">
        <x:v>796</x:v>
      </x:c>
    </x:row>
    <x:row r="232" ht="24" customHeight="1">
      <x:c r="A232" s="2" t="n">
        <x:v>342</x:v>
      </x:c>
      <x:c r="B232" s="2" t="n">
        <x:v>2</x:v>
      </x:c>
      <x:c r="C232" s="12" t="n">
        <x:v>119471</x:v>
      </x:c>
      <x:c r="D232" s="12" t="n">
        <x:v>72519.0000000149</x:v>
      </x:c>
      <x:c r="E232" s="12" t="n">
        <x:v>46736.666666671634</x:v>
      </x:c>
      <x:c r="F232" s="12" t="n">
        <x:v>39782</x:v>
      </x:c>
      <x:c r="G232" s="12" t="n">
        <x:v>28528.9999999851</x:v>
      </x:c>
      <x:c r="H232" s="12" t="n">
        <x:v>46951.9999999851</x:v>
      </x:c>
      <x:c r="I232" s="12" t="n">
        <x:v>4102.000000014901</x:v>
      </x:c>
      <x:c r="J232" s="12" t="n">
        <x:v>106.00000001490116</x:v>
      </x:c>
      <x:c r="K232" s="2" t="n">
        <x:v>196</x:v>
      </x:c>
      <x:c r="L232" s="2" t="n">
        <x:v>792</x:v>
      </x:c>
    </x:row>
    <x:row r="233" ht="24" customHeight="1">
      <x:c r="A233" s="2" t="n">
        <x:v>343</x:v>
      </x:c>
      <x:c r="B233" s="2" t="n">
        <x:v>2</x:v>
      </x:c>
      <x:c r="C233" s="12" t="n">
        <x:v>117919</x:v>
      </x:c>
      <x:c r="D233" s="12" t="n">
        <x:v>83277</x:v>
      </x:c>
      <x:c r="E233" s="12" t="n">
        <x:v>34427.666666671634</x:v>
      </x:c>
      <x:c r="F233" s="12" t="n">
        <x:v>33321.9999999851</x:v>
      </x:c>
      <x:c r="G233" s="12" t="n">
        <x:v>47299</x:v>
      </x:c>
      <x:c r="H233" s="12" t="n">
        <x:v>34642</x:v>
      </x:c>
      <x:c r="I233" s="12" t="n">
        <x:v>2550.000000014901</x:v>
      </x:c>
      <x:c r="J233" s="12" t="n">
        <x:v>106</x:v>
      </x:c>
      <x:c r="K233" s="2" t="n">
        <x:v>200</x:v>
      </x:c>
      <x:c r="L233" s="2" t="n">
        <x:v>792</x:v>
      </x:c>
    </x:row>
    <x:row r="234" ht="24" customHeight="1">
      <x:c r="A234" s="2" t="n">
        <x:v>344</x:v>
      </x:c>
      <x:c r="B234" s="2" t="n">
        <x:v>2</x:v>
      </x:c>
      <x:c r="C234" s="12" t="n">
        <x:v>121026</x:v>
      </x:c>
      <x:c r="D234" s="12" t="n">
        <x:v>89474.0000000149</x:v>
      </x:c>
      <x:c r="E234" s="12" t="n">
        <x:v>31335.666666671634</x:v>
      </x:c>
      <x:c r="F234" s="12" t="n">
        <x:v>38476.9999999851</x:v>
      </x:c>
      <x:c r="G234" s="12" t="n">
        <x:v>46788.9999999851</x:v>
      </x:c>
      <x:c r="H234" s="12" t="n">
        <x:v>31551.9999999851</x:v>
      </x:c>
      <x:c r="I234" s="12" t="n">
        <x:v>4102.000000014901</x:v>
      </x:c>
      <x:c r="J234" s="12" t="n">
        <x:v>106.00000002980232</x:v>
      </x:c>
      <x:c r="K234" s="2" t="n">
        <x:v>204</x:v>
      </x:c>
      <x:c r="L234" s="2" t="n">
        <x:v>793</x:v>
      </x:c>
    </x:row>
    <x:row r="235" ht="24" customHeight="1">
      <x:c r="A235" s="2" t="n">
        <x:v>345</x:v>
      </x:c>
      <x:c r="B235" s="2" t="n">
        <x:v>2</x:v>
      </x:c>
      <x:c r="C235" s="12" t="n">
        <x:v>117918.9999999851</x:v>
      </x:c>
      <x:c r="D235" s="12" t="n">
        <x:v>97451.9999999702</x:v>
      </x:c>
      <x:c r="E235" s="12" t="n">
        <x:v>20251.666666671634</x:v>
      </x:c>
      <x:c r="F235" s="12" t="n">
        <x:v>33422</x:v>
      </x:c>
      <x:c r="G235" s="12" t="n">
        <x:v>61374</x:v>
      </x:c>
      <x:c r="H235" s="12" t="n">
        <x:v>20467.0000000149</x:v>
      </x:c>
      <x:c r="I235" s="12" t="n">
        <x:v>2550.000000014901</x:v>
      </x:c>
      <x:c r="J235" s="12" t="n">
        <x:v>105.99999995529652</x:v>
      </x:c>
      <x:c r="K235" s="2" t="n">
        <x:v>208</x:v>
      </x:c>
      <x:c r="L235" s="2" t="n">
        <x:v>793</x:v>
      </x:c>
    </x:row>
    <x:row r="236" ht="24" customHeight="1">
      <x:c r="A236" s="2" t="n">
        <x:v>346</x:v>
      </x:c>
      <x:c r="B236" s="2" t="n">
        <x:v>2</x:v>
      </x:c>
      <x:c r="C236" s="12" t="n">
        <x:v>121025</x:v>
      </x:c>
      <x:c r="D236" s="12" t="n">
        <x:v>90132.9999999851</x:v>
      </x:c>
      <x:c r="E236" s="12" t="n">
        <x:v>30675.666666671634</x:v>
      </x:c>
      <x:c r="F236" s="12" t="n">
        <x:v>37234.9999999851</x:v>
      </x:c>
      <x:c r="G236" s="12" t="n">
        <x:v>48689.9999999851</x:v>
      </x:c>
      <x:c r="H236" s="12" t="n">
        <x:v>30892.0000000149</x:v>
      </x:c>
      <x:c r="I236" s="12" t="n">
        <x:v>4101.999999985099</x:v>
      </x:c>
      <x:c r="J236" s="12" t="n">
        <x:v>106.00000002980232</x:v>
      </x:c>
      <x:c r="K236" s="2" t="n">
        <x:v>212</x:v>
      </x:c>
      <x:c r="L236" s="2" t="n">
        <x:v>794</x:v>
      </x:c>
    </x:row>
    <x:row r="237" ht="24" customHeight="1">
      <x:c r="A237" s="2" t="n">
        <x:v>347</x:v>
      </x:c>
      <x:c r="B237" s="2" t="n">
        <x:v>2</x:v>
      </x:c>
      <x:c r="C237" s="12" t="n">
        <x:v>117918.0000000149</x:v>
      </x:c>
      <x:c r="D237" s="12" t="n">
        <x:v>99981.0000000298</x:v>
      </x:c>
      <x:c r="E237" s="12" t="n">
        <x:v>17722.666666671634</x:v>
      </x:c>
      <x:c r="F237" s="12" t="n">
        <x:v>34309.0000000149</x:v>
      </x:c>
      <x:c r="G237" s="12" t="n">
        <x:v>63016.0000000149</x:v>
      </x:c>
      <x:c r="H237" s="12" t="n">
        <x:v>17936.9999999851</x:v>
      </x:c>
      <x:c r="I237" s="12" t="n">
        <x:v>2550.000000014901</x:v>
      </x:c>
      <x:c r="J237" s="12" t="n">
        <x:v>105.99999998509884</x:v>
      </x:c>
      <x:c r="K237" s="2" t="n">
        <x:v>216</x:v>
      </x:c>
      <x:c r="L237" s="2" t="n">
        <x:v>794</x:v>
      </x:c>
    </x:row>
    <x:row r="238" ht="24" customHeight="1">
      <x:c r="A238" s="2" t="n">
        <x:v>348</x:v>
      </x:c>
      <x:c r="B238" s="2" t="n">
        <x:v>2</x:v>
      </x:c>
      <x:c r="C238" s="12" t="n">
        <x:v>121026</x:v>
      </x:c>
      <x:c r="D238" s="12" t="n">
        <x:v>91649.0000000149</x:v>
      </x:c>
      <x:c r="E238" s="12" t="n">
        <x:v>29160.666666671634</x:v>
      </x:c>
      <x:c r="F238" s="12" t="n">
        <x:v>39490.9999999851</x:v>
      </x:c>
      <x:c r="G238" s="12" t="n">
        <x:v>47950</x:v>
      </x:c>
      <x:c r="H238" s="12" t="n">
        <x:v>29376.9999999851</x:v>
      </x:c>
      <x:c r="I238" s="12" t="n">
        <x:v>4102</x:v>
      </x:c>
      <x:c r="J238" s="12" t="n">
        <x:v>106.00000002980232</x:v>
      </x:c>
      <x:c r="K238" s="2" t="n">
        <x:v>220</x:v>
      </x:c>
      <x:c r="L238" s="2" t="n">
        <x:v>795</x:v>
      </x:c>
    </x:row>
    <x:row r="239" ht="24" customHeight="1">
      <x:c r="A239" s="2" t="n">
        <x:v>349</x:v>
      </x:c>
      <x:c r="B239" s="2" t="n">
        <x:v>2</x:v>
      </x:c>
      <x:c r="C239" s="12" t="n">
        <x:v>117919</x:v>
      </x:c>
      <x:c r="D239" s="12" t="n">
        <x:v>98122.0000000149</x:v>
      </x:c>
      <x:c r="E239" s="12" t="n">
        <x:v>19581.666666671634</x:v>
      </x:c>
      <x:c r="F239" s="12" t="n">
        <x:v>33311.9999999851</x:v>
      </x:c>
      <x:c r="G239" s="12" t="n">
        <x:v>62153.9999999851</x:v>
      </x:c>
      <x:c r="H239" s="12" t="n">
        <x:v>19796.9999999851</x:v>
      </x:c>
      <x:c r="I239" s="12" t="n">
        <x:v>2550.000000014901</x:v>
      </x:c>
      <x:c r="J239" s="12" t="n">
        <x:v>106.00000002980232</x:v>
      </x:c>
      <x:c r="K239" s="2" t="n">
        <x:v>224</x:v>
      </x:c>
      <x:c r="L239" s="2" t="n">
        <x:v>795</x:v>
      </x:c>
    </x:row>
    <x:row r="240" ht="24" customHeight="1">
      <x:c r="A240" s="2" t="n">
        <x:v>350</x:v>
      </x:c>
      <x:c r="B240" s="2" t="n">
        <x:v>2</x:v>
      </x:c>
      <x:c r="C240" s="12" t="n">
        <x:v>119472</x:v>
      </x:c>
      <x:c r="D240" s="12" t="n">
        <x:v>67580</x:v>
      </x:c>
      <x:c r="E240" s="12" t="n">
        <x:v>51676.666666671634</x:v>
      </x:c>
      <x:c r="F240" s="12" t="n">
        <x:v>34501</x:v>
      </x:c>
      <x:c r="G240" s="12" t="n">
        <x:v>30422.9999999851</x:v>
      </x:c>
      <x:c r="H240" s="12" t="n">
        <x:v>51892</x:v>
      </x:c>
      <x:c r="I240" s="12" t="n">
        <x:v>2549.999999985099</x:v>
      </x:c>
      <x:c r="J240" s="12" t="n">
        <x:v>106.00000002980232</x:v>
      </x:c>
      <x:c r="K240" s="2" t="n">
        <x:v>228</x:v>
      </x:c>
      <x:c r="L240" s="2" t="n">
        <x:v>795</x:v>
      </x:c>
    </x:row>
    <x:row r="241" ht="24" customHeight="1">
      <x:c r="A241" s="2" t="n">
        <x:v>351</x:v>
      </x:c>
      <x:c r="B241" s="2" t="n">
        <x:v>2</x:v>
      </x:c>
      <x:c r="C241" s="12" t="n">
        <x:v>119473</x:v>
      </x:c>
      <x:c r="D241" s="12" t="n">
        <x:v>83396.0000000149</x:v>
      </x:c>
      <x:c r="E241" s="12" t="n">
        <x:v>35860.666666671634</x:v>
      </x:c>
      <x:c r="F241" s="12" t="n">
        <x:v>33432.0000000149</x:v>
      </x:c>
      <x:c r="G241" s="12" t="n">
        <x:v>47308</x:v>
      </x:c>
      <x:c r="H241" s="12" t="n">
        <x:v>36076.9999999851</x:v>
      </x:c>
      <x:c r="I241" s="12" t="n">
        <x:v>2550.000000014901</x:v>
      </x:c>
      <x:c r="J241" s="12" t="n">
        <x:v>105.99999998509884</x:v>
      </x:c>
      <x:c r="K241" s="2" t="n">
        <x:v>232</x:v>
      </x:c>
      <x:c r="L241" s="2" t="n">
        <x:v>795</x:v>
      </x:c>
    </x:row>
    <x:row r="242" ht="24" customHeight="1">
      <x:c r="A242" s="2" t="n">
        <x:v>352</x:v>
      </x:c>
      <x:c r="B242" s="2" t="n">
        <x:v>2</x:v>
      </x:c>
      <x:c r="C242" s="12" t="n">
        <x:v>119470</x:v>
      </x:c>
      <x:c r="D242" s="12" t="n">
        <x:v>68778</x:v>
      </x:c>
      <x:c r="E242" s="12" t="n">
        <x:v>50477.666666671634</x:v>
      </x:c>
      <x:c r="F242" s="12" t="n">
        <x:v>36210</x:v>
      </x:c>
      <x:c r="G242" s="12" t="n">
        <x:v>29912</x:v>
      </x:c>
      <x:c r="H242" s="12" t="n">
        <x:v>50692</x:v>
      </x:c>
      <x:c r="I242" s="12" t="n">
        <x:v>2549.999999985099</x:v>
      </x:c>
      <x:c r="J242" s="12" t="n">
        <x:v>106.00000001490116</x:v>
      </x:c>
      <x:c r="K242" s="2" t="n">
        <x:v>236</x:v>
      </x:c>
      <x:c r="L242" s="2" t="n">
        <x:v>795</x:v>
      </x:c>
    </x:row>
    <x:row r="243" ht="24" customHeight="1">
      <x:c r="A243" s="2" t="n">
        <x:v>353</x:v>
      </x:c>
      <x:c r="B243" s="2" t="n">
        <x:v>2</x:v>
      </x:c>
      <x:c r="C243" s="12" t="n">
        <x:v>119471.9999999851</x:v>
      </x:c>
      <x:c r="D243" s="12" t="n">
        <x:v>81434.9999999851</x:v>
      </x:c>
      <x:c r="E243" s="12" t="n">
        <x:v>37822.666666671634</x:v>
      </x:c>
      <x:c r="F243" s="12" t="n">
        <x:v>31471</x:v>
      </x:c>
      <x:c r="G243" s="12" t="n">
        <x:v>47308.0000000149</x:v>
      </x:c>
      <x:c r="H243" s="12" t="n">
        <x:v>38037</x:v>
      </x:c>
      <x:c r="I243" s="12" t="n">
        <x:v>2550.000000014901</x:v>
      </x:c>
      <x:c r="J243" s="12" t="n">
        <x:v>105.99999995529652</x:v>
      </x:c>
      <x:c r="K243" s="2" t="n">
        <x:v>240</x:v>
      </x:c>
      <x:c r="L243" s="2" t="n">
        <x:v>795</x:v>
      </x:c>
    </x:row>
    <x:row r="244" ht="24" customHeight="1">
      <x:c r="A244" s="2" t="n">
        <x:v>354</x:v>
      </x:c>
      <x:c r="B244" s="2" t="n">
        <x:v>2</x:v>
      </x:c>
      <x:c r="C244" s="12" t="n">
        <x:v>119474</x:v>
      </x:c>
      <x:c r="D244" s="12" t="n">
        <x:v>71006.9999999851</x:v>
      </x:c>
      <x:c r="E244" s="12" t="n">
        <x:v>48250.666666671634</x:v>
      </x:c>
      <x:c r="F244" s="12" t="n">
        <x:v>37576</x:v>
      </x:c>
      <x:c r="G244" s="12" t="n">
        <x:v>30775</x:v>
      </x:c>
      <x:c r="H244" s="12" t="n">
        <x:v>48467.0000000149</x:v>
      </x:c>
      <x:c r="I244" s="12" t="n">
        <x:v>2550.000000014901</x:v>
      </x:c>
      <x:c r="J244" s="12" t="n">
        <x:v>105.99999997019768</x:v>
      </x:c>
      <x:c r="K244" s="2" t="n">
        <x:v>244</x:v>
      </x:c>
      <x:c r="L244" s="2" t="n">
        <x:v>795</x:v>
      </x:c>
    </x:row>
    <x:row r="245" ht="24" customHeight="1">
      <x:c r="A245" s="2" t="n">
        <x:v>355</x:v>
      </x:c>
      <x:c r="B245" s="2" t="n">
        <x:v>2</x:v>
      </x:c>
      <x:c r="C245" s="12" t="n">
        <x:v>119470.0000000149</x:v>
      </x:c>
      <x:c r="D245" s="12" t="n">
        <x:v>86558.0000000149</x:v>
      </x:c>
      <x:c r="E245" s="12" t="n">
        <x:v>32697.666666671634</x:v>
      </x:c>
      <x:c r="F245" s="12" t="n">
        <x:v>35731</x:v>
      </x:c>
      <x:c r="G245" s="12" t="n">
        <x:v>48170.9999999851</x:v>
      </x:c>
      <x:c r="H245" s="12" t="n">
        <x:v>32912</x:v>
      </x:c>
      <x:c r="I245" s="12" t="n">
        <x:v>2549.999999985099</x:v>
      </x:c>
      <x:c r="J245" s="12" t="n">
        <x:v>106.00000004470348</x:v>
      </x:c>
      <x:c r="K245" s="2" t="n">
        <x:v>248</x:v>
      </x:c>
      <x:c r="L245" s="2" t="n">
        <x:v>795</x:v>
      </x:c>
    </x:row>
    <x:row r="246" ht="24" customHeight="1">
      <x:c r="A246" s="2" t="n">
        <x:v>356</x:v>
      </x:c>
      <x:c r="B246" s="2" t="n">
        <x:v>2</x:v>
      </x:c>
      <x:c r="C246" s="12" t="n">
        <x:v>119471.9999999851</x:v>
      </x:c>
      <x:c r="D246" s="12" t="n">
        <x:v>70059.9999999851</x:v>
      </x:c>
      <x:c r="E246" s="12" t="n">
        <x:v>49197.666666671634</x:v>
      </x:c>
      <x:c r="F246" s="12" t="n">
        <x:v>36629</x:v>
      </x:c>
      <x:c r="G246" s="12" t="n">
        <x:v>30775</x:v>
      </x:c>
      <x:c r="H246" s="12" t="n">
        <x:v>49412</x:v>
      </x:c>
      <x:c r="I246" s="12" t="n">
        <x:v>2549.999999985099</x:v>
      </x:c>
      <x:c r="J246" s="12" t="n">
        <x:v>106</x:v>
      </x:c>
      <x:c r="K246" s="2" t="n">
        <x:v>252</x:v>
      </x:c>
      <x:c r="L246" s="2" t="n">
        <x:v>795</x:v>
      </x:c>
    </x:row>
    <x:row r="247" ht="24" customHeight="1">
      <x:c r="A247" s="2" t="n">
        <x:v>357</x:v>
      </x:c>
      <x:c r="B247" s="2" t="n">
        <x:v>2</x:v>
      </x:c>
      <x:c r="C247" s="12" t="n">
        <x:v>119470.0000000149</x:v>
      </x:c>
      <x:c r="D247" s="12" t="n">
        <x:v>84903.0000000298</x:v>
      </x:c>
      <x:c r="E247" s="12" t="n">
        <x:v>34354.666666671634</x:v>
      </x:c>
      <x:c r="F247" s="12" t="n">
        <x:v>33524</x:v>
      </x:c>
      <x:c r="G247" s="12" t="n">
        <x:v>48722.9999999851</x:v>
      </x:c>
      <x:c r="H247" s="12" t="n">
        <x:v>34566.9999999851</x:v>
      </x:c>
      <x:c r="I247" s="12" t="n">
        <x:v>2550.000000014901</x:v>
      </x:c>
      <x:c r="J247" s="12" t="n">
        <x:v>106.00000002980232</x:v>
      </x:c>
      <x:c r="K247" s="2" t="n">
        <x:v>256</x:v>
      </x:c>
      <x:c r="L247" s="2" t="n">
        <x:v>795</x:v>
      </x:c>
    </x:row>
    <x:row r="248" ht="24" customHeight="1">
      <x:c r="A248" s="2" t="n">
        <x:v>358</x:v>
      </x:c>
      <x:c r="B248" s="2" t="n">
        <x:v>2</x:v>
      </x:c>
      <x:c r="C248" s="12" t="n">
        <x:v>119472.9999999851</x:v>
      </x:c>
      <x:c r="D248" s="12" t="n">
        <x:v>68960.9999999702</x:v>
      </x:c>
      <x:c r="E248" s="12" t="n">
        <x:v>50298.666666671634</x:v>
      </x:c>
      <x:c r="F248" s="12" t="n">
        <x:v>35042.9999999851</x:v>
      </x:c>
      <x:c r="G248" s="12" t="n">
        <x:v>31261.9999999851</x:v>
      </x:c>
      <x:c r="H248" s="12" t="n">
        <x:v>50512.0000000149</x:v>
      </x:c>
      <x:c r="I248" s="12" t="n">
        <x:v>2550.000000014901</x:v>
      </x:c>
      <x:c r="J248" s="12" t="n">
        <x:v>105.99999998509884</x:v>
      </x:c>
      <x:c r="K248" s="2" t="n">
        <x:v>260</x:v>
      </x:c>
      <x:c r="L248" s="2" t="n">
        <x:v>795</x:v>
      </x:c>
    </x:row>
    <x:row r="249" ht="24" customHeight="1">
      <x:c r="A249" s="2" t="n">
        <x:v>359</x:v>
      </x:c>
      <x:c r="B249" s="2" t="n">
        <x:v>2</x:v>
      </x:c>
      <x:c r="C249" s="12" t="n">
        <x:v>119474</x:v>
      </x:c>
      <x:c r="D249" s="12" t="n">
        <x:v>84921.9999999851</x:v>
      </x:c>
      <x:c r="E249" s="12" t="n">
        <x:v>34336.666666671634</x:v>
      </x:c>
      <x:c r="F249" s="12" t="n">
        <x:v>31537</x:v>
      </x:c>
      <x:c r="G249" s="12" t="n">
        <x:v>50729</x:v>
      </x:c>
      <x:c r="H249" s="12" t="n">
        <x:v>34552.0000000149</x:v>
      </x:c>
      <x:c r="I249" s="12" t="n">
        <x:v>2550.000000014901</x:v>
      </x:c>
      <x:c r="J249" s="12" t="n">
        <x:v>105.99999997019768</x:v>
      </x:c>
      <x:c r="K249" s="2" t="n">
        <x:v>264</x:v>
      </x:c>
      <x:c r="L249" s="2" t="n">
        <x:v>795</x:v>
      </x:c>
    </x:row>
    <x:row r="250" ht="24" customHeight="1">
      <x:c r="A250" s="2" t="n">
        <x:v>360</x:v>
      </x:c>
      <x:c r="B250" s="2" t="n">
        <x:v>2</x:v>
      </x:c>
      <x:c r="C250" s="12" t="n">
        <x:v>123845</x:v>
      </x:c>
      <x:c r="D250" s="12" t="n">
        <x:v>79603.0000000149</x:v>
      </x:c>
      <x:c r="E250" s="12" t="n">
        <x:v>44026.666666671634</x:v>
      </x:c>
      <x:c r="F250" s="12" t="n">
        <x:v>39238</x:v>
      </x:c>
      <x:c r="G250" s="12" t="n">
        <x:v>33336</x:v>
      </x:c>
      <x:c r="H250" s="12" t="n">
        <x:v>44241.9999999851</x:v>
      </x:c>
      <x:c r="I250" s="12" t="n">
        <x:v>6923.000000014901</x:v>
      </x:c>
      <x:c r="J250" s="12" t="n">
        <x:v>106</x:v>
      </x:c>
      <x:c r="K250" s="2" t="n">
        <x:v>268</x:v>
      </x:c>
      <x:c r="L250" s="2" t="n">
        <x:v>795</x:v>
      </x:c>
    </x:row>
    <x:row r="251" ht="24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 ht="24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4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 fixtures: entry through RET,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2645.000000000491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0.7389207287519758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2645.000000000491</x:v>
      </x:c>
      <x:c r="J6" s="8" t="n">
        <x:f>I6/'Summary'!$B$20*1000</x:f>
        <x:v>0.7389207287519758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1004.5544041447815</x:v>
      </x:c>
      <x:c r="D7" s="12" t="n">
        <x:v>4939.999999997298</x:v>
      </x:c>
      <x:c r="E7" s="12" t="n">
        <x:v>18636.000000006232</x:v>
      </x:c>
      <x:c r="F7" s="8" t="n">
        <x:f>C7/'Summary'!$B$20*1000</x:f>
        <x:v>0.2806374564769493</x:v>
      </x:c>
      <x:c r="G7" s="8" t="n">
        <x:f>D7/'Summary'!$B$20*1000</x:f>
        <x:v>1.380063667308917</x:v>
      </x:c>
      <x:c r="H7" s="8" t="n">
        <x:f>E7/'Summary'!$B$20*1000</x:f>
        <x:v>5.206248280160253</x:v>
      </x:c>
      <x:c r="I7" s="12" t="n">
        <x:v>1004.5544041447815</x:v>
      </x:c>
      <x:c r="J7" s="8" t="n">
        <x:f>I7/'Summary'!$B$20*1000</x:f>
        <x:v>0.2806374564769493</x:v>
      </x:c>
      <x:c r="K7" s="12" t="n">
        <x:v>4939.999999997298</x:v>
      </x:c>
      <x:c r="L7" s="12" t="n">
        <x:v>18636.000000006232</x:v>
      </x:c>
      <x:c r="M7" s="8" t="n">
        <x:f>K7/'Summary'!$B$20*1000</x:f>
        <x:v>1.380063667308917</x:v>
      </x:c>
      <x:c r="N7" s="8" t="n">
        <x:f>L7/'Summary'!$B$20*1000</x:f>
        <x:v>5.206248280160253</x:v>
      </x:c>
    </x:row>
    <x:row r="8" ht="24" customHeight="1">
      <x:c r="A8" s="2" t="str">
        <x:v>GameSession_ColdLoad</x:v>
      </x:c>
      <x:c r="B8" s="2" t="n">
        <x:v>13</x:v>
      </x:c>
      <x:c r="C8" s="12" t="n">
        <x:v>6350153.076923075</x:v>
      </x:c>
      <x:c r="D8" s="12" t="n">
        <x:v>6411045.000000014</x:v>
      </x:c>
      <x:c r="E8" s="12" t="n">
        <x:v>6411045.000000014</x:v>
      </x:c>
      <x:c r="F8" s="8" t="n">
        <x:f>C8/'Summary'!$B$20*1000</x:f>
        <x:v>1774.011243586287</x:v>
      </x:c>
      <x:c r="G8" s="8" t="n">
        <x:f>D8/'Summary'!$B$20*1000</x:f>
        <x:v>1791.0223226695052</x:v>
      </x:c>
      <x:c r="H8" s="8" t="n">
        <x:f>E8/'Summary'!$B$20*1000</x:f>
        <x:v>1791.0223226695052</x:v>
      </x:c>
      <x:c r="I8" s="12" t="n">
        <x:v>4835065</x:v>
      </x:c>
      <x:c r="J8" s="8" t="n">
        <x:f>I8/'Summary'!$B$20*1000</x:f>
        <x:v>1350.7484889839352</x:v>
      </x:c>
      <x:c r="K8" s="12" t="n">
        <x:v>4901218.00000002</x:v>
      </x:c>
      <x:c r="L8" s="12" t="n">
        <x:v>4901218.00000002</x:v>
      </x:c>
      <x:c r="M8" s="8" t="n">
        <x:f>K8/'Summary'!$B$20*1000</x:f>
        <x:v>1369.229329425952</x:v>
      </x:c>
      <x:c r="N8" s="8" t="n">
        <x:f>L8/'Summary'!$B$20*1000</x:f>
        <x:v>1369.229329425952</x:v>
      </x:c>
    </x:row>
    <x:row r="9" ht="24" customHeight="1">
      <x:c r="A9" s="2" t="str">
        <x:v>GameSession_Prewarm</x:v>
      </x:c>
      <x:c r="B9" s="2" t="n">
        <x:v>14</x:v>
      </x:c>
      <x:c r="C9" s="12" t="n">
        <x:v>438980.7142857172</x:v>
      </x:c>
      <x:c r="D9" s="12" t="n">
        <x:v>442399.0000000187</x:v>
      </x:c>
      <x:c r="E9" s="12" t="n">
        <x:v>442399.0000000187</x:v>
      </x:c>
      <x:c r="F9" s="8" t="n">
        <x:f>C9/'Summary'!$B$20*1000</x:f>
        <x:v>122.63589765898101</x:v>
      </x:c>
      <x:c r="G9" s="8" t="n">
        <x:f>D9/'Summary'!$B$20*1000</x:f>
        <x:v>123.59084744011282</x:v>
      </x:c>
      <x:c r="H9" s="8" t="n">
        <x:f>E9/'Summary'!$B$20*1000</x:f>
        <x:v>123.59084744011282</x:v>
      </x:c>
      <x:c r="I9" s="12" t="n">
        <x:v>438980.7142857172</x:v>
      </x:c>
      <x:c r="J9" s="8" t="n">
        <x:f>I9/'Summary'!$B$20*1000</x:f>
        <x:v>122.63589765898101</x:v>
      </x:c>
      <x:c r="K9" s="12" t="n">
        <x:v>442399.0000000187</x:v>
      </x:c>
      <x:c r="L9" s="12" t="n">
        <x:v>442399.0000000187</x:v>
      </x:c>
      <x:c r="M9" s="8" t="n">
        <x:f>K9/'Summary'!$B$20*1000</x:f>
        <x:v>123.59084744011282</x:v>
      </x:c>
      <x:c r="N9" s="8" t="n">
        <x:f>L9/'Summary'!$B$20*1000</x:f>
        <x:v>123.59084744011282</x:v>
      </x:c>
    </x:row>
    <x:row r="10" ht="24" customHeight="1">
      <x:c r="A10" s="2" t="str">
        <x:v>GameSession_Video</x:v>
      </x:c>
      <x:c r="B10" s="2" t="n">
        <x:v>14</x:v>
      </x:c>
      <x:c r="C10" s="12" t="n">
        <x:v>1512735.5714285716</x:v>
      </x:c>
      <x:c r="D10" s="12" t="n">
        <x:v>1534177.000000002</x:v>
      </x:c>
      <x:c r="E10" s="12" t="n">
        <x:v>1534177.000000002</x:v>
      </x:c>
      <x:c r="F10" s="8" t="n">
        <x:f>C10/'Summary'!$B$20*1000</x:f>
        <x:v>422.605546634718</x:v>
      </x:c>
      <x:c r="G10" s="8" t="n">
        <x:f>D10/'Summary'!$B$20*1000</x:f>
        <x:v>428.5955337899096</x:v>
      </x:c>
      <x:c r="H10" s="8" t="n">
        <x:f>E10/'Summary'!$B$20*1000</x:f>
        <x:v>428.5955337899096</x:v>
      </x:c>
      <x:c r="I10" s="12" t="n">
        <x:v>1071109.8571428536</x:v>
      </x:c>
      <x:c r="J10" s="8" t="n">
        <x:f>I10/'Summary'!$B$20*1000</x:f>
        <x:v>299.2307282469849</x:v>
      </x:c>
      <x:c r="K10" s="12" t="n">
        <x:v>1092344.0000000158</x:v>
      </x:c>
      <x:c r="L10" s="12" t="n">
        <x:v>1092344.0000000158</x:v>
      </x:c>
      <x:c r="M10" s="8" t="n">
        <x:f>K10/'Summary'!$B$20*1000</x:f>
        <x:v>305.1628070048053</x:v>
      </x:c>
      <x:c r="N10" s="8" t="n">
        <x:f>L10/'Summary'!$B$20*1000</x:f>
        <x:v>305.1628070048053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15909.999999999964</x:v>
      </x:c>
      <x:c r="D11" s="12" t="n">
        <x:v>15910.000000007594</x:v>
      </x:c>
      <x:c r="E11" s="12" t="n">
        <x:v>15910.000000007594</x:v>
      </x:c>
      <x:c r="F11" s="8" t="n">
        <x:f>C11/'Summary'!$B$20*1000</x:f>
        <x:v>4.444698977104622</x:v>
      </x:c>
      <x:c r="G11" s="8" t="n">
        <x:f>D11/'Summary'!$B$20*1000</x:f>
        <x:v>4.4446989771067535</x:v>
      </x:c>
      <x:c r="H11" s="8" t="n">
        <x:f>E11/'Summary'!$B$20*1000</x:f>
        <x:v>4.4446989771067535</x:v>
      </x:c>
      <x:c r="I11" s="12" t="n">
        <x:v>15909.999999999964</x:v>
      </x:c>
      <x:c r="J11" s="8" t="n">
        <x:f>I11/'Summary'!$B$20*1000</x:f>
        <x:v>4.444698977104622</x:v>
      </x:c>
      <x:c r="K11" s="12" t="n">
        <x:v>15910.000000007594</x:v>
      </x:c>
      <x:c r="L11" s="12" t="n">
        <x:v>15910.000000007594</x:v>
      </x:c>
      <x:c r="M11" s="8" t="n">
        <x:f>K11/'Summary'!$B$20*1000</x:f>
        <x:v>4.4446989771067535</x:v>
      </x:c>
      <x:c r="N11" s="8" t="n">
        <x:f>L11/'Summary'!$B$20*1000</x:f>
        <x:v>4.4446989771067535</x:v>
      </x:c>
    </x:row>
    <x:row r="12" ht="24" customHeight="1">
      <x:c r="A12" s="2" t="str">
        <x:v>GameAudio_Tick (engine)</x:v>
      </x:c>
      <x:c r="B12" s="2" t="n">
        <x:v>180</x:v>
      </x:c>
      <x:c r="C12" s="12" t="n">
        <x:v>2270.727777777821</x:v>
      </x:c>
      <x:c r="D12" s="12" t="n">
        <x:v>2989.0000000004893</x:v>
      </x:c>
      <x:c r="E12" s="12" t="n">
        <x:v>3940.0000000019127</x:v>
      </x:c>
      <x:c r="F12" s="8" t="n">
        <x:f>C12/'Summary'!$B$20*1000</x:f>
        <x:v>0.634362126409312</x:v>
      </x:c>
      <x:c r="G12" s="8" t="n">
        <x:f>D12/'Summary'!$B$20*1000</x:f>
        <x:v>0.8350223282569403</x:v>
      </x:c>
      <x:c r="H12" s="8" t="n">
        <x:f>E12/'Summary'!$B$20*1000</x:f>
        <x:v>1.1006985524701918</x:v>
      </x:c>
      <x:c r="I12" s="13" t="str">
        <x:v>n.a.</x:v>
      </x:c>
      <x:c r="J12" s="14" t="str">
        <x:v>n.a.</x:v>
      </x:c>
      <x:c r="K12" s="13" t="str">
        <x:v>n.a.</x:v>
      </x:c>
      <x:c r="L12" s="13" t="str">
        <x:v>n.a.</x:v>
      </x:c>
      <x:c r="M12" s="14" t="str">
        <x:v>n.a.</x:v>
      </x:c>
      <x:c r="N12" s="14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2" t="n">
        <x:v>3781.4999999974366</x:v>
      </x:c>
      <x:c r="D13" s="12" t="n">
        <x:v>4261.00000000103</x:v>
      </x:c>
      <x:c r="E13" s="12" t="n">
        <x:v>4261.00000000103</x:v>
      </x:c>
      <x:c r="F13" s="8" t="n">
        <x:f>C13/'Summary'!$B$20*1000</x:f>
        <x:v>1.056419181766799</x:v>
      </x:c>
      <x:c r="G13" s="8" t="n">
        <x:f>D13/'Summary'!$B$20*1000</x:f>
        <x:v>1.1903747543335899</x:v>
      </x:c>
      <x:c r="H13" s="8" t="n">
        <x:f>E13/'Summary'!$B$20*1000</x:f>
        <x:v>1.1903747543335899</x:v>
      </x:c>
      <x:c r="I13" s="13" t="str">
        <x:v>n.a.</x:v>
      </x:c>
      <x:c r="J13" s="14" t="str">
        <x:v>n.a.</x:v>
      </x:c>
      <x:c r="K13" s="13" t="str">
        <x:v>n.a.</x:v>
      </x:c>
      <x:c r="L13" s="13" t="str">
        <x:v>n.a.</x:v>
      </x:c>
      <x:c r="M13" s="14" t="str">
        <x:v>n.a.</x:v>
      </x:c>
      <x:c r="N13" s="14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2" t="n">
        <x:v>2306.218749998814</x:v>
      </x:c>
      <x:c r="D14" s="12" t="n">
        <x:v>3744.00000000063</x:v>
      </x:c>
      <x:c r="E14" s="12" t="n">
        <x:v>3779.000000003584</x:v>
      </x:c>
      <x:c r="F14" s="8" t="n">
        <x:f>C14/'Summary'!$B$20*1000</x:f>
        <x:v>0.6442770659396135</x:v>
      </x:c>
      <x:c r="G14" s="8" t="n">
        <x:f>D14/'Summary'!$B$20*1000</x:f>
        <x:v>1.0459429899611905</x:v>
      </x:c>
      <x:c r="H14" s="8" t="n">
        <x:f>E14/'Summary'!$B$20*1000</x:f>
        <x:v>1.0557207689814163</x:v>
      </x:c>
      <x:c r="I14" s="13" t="str">
        <x:v>n.a.</x:v>
      </x:c>
      <x:c r="J14" s="14" t="str">
        <x:v>n.a.</x:v>
      </x:c>
      <x:c r="K14" s="13" t="str">
        <x:v>n.a.</x:v>
      </x:c>
      <x:c r="L14" s="13" t="str">
        <x:v>n.a.</x:v>
      </x:c>
      <x:c r="M14" s="14" t="str">
        <x:v>n.a.</x:v>
      </x:c>
      <x:c r="N14" s="14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2" t="n">
        <x:v>2613.791666666219</x:v>
      </x:c>
      <x:c r="D15" s="12" t="n">
        <x:v>3413.99999999821</x:v>
      </x:c>
      <x:c r="E15" s="12" t="n">
        <x:v>4207.999999991469</x:v>
      </x:c>
      <x:c r="F15" s="8" t="n">
        <x:f>C15/'Summary'!$B$20*1000</x:f>
        <x:v>0.7302022091260814</x:v>
      </x:c>
      <x:c r="G15" s="8" t="n">
        <x:f>D15/'Summary'!$B$20*1000</x:f>
        <x:v>0.9537525020633097</x:v>
      </x:c>
      <x:c r="H15" s="8" t="n">
        <x:f>E15/'Summary'!$B$20*1000</x:f>
        <x:v>1.175568403244398</x:v>
      </x:c>
      <x:c r="I15" s="13" t="str">
        <x:v>n.a.</x:v>
      </x:c>
      <x:c r="J15" s="14" t="str">
        <x:v>n.a.</x:v>
      </x:c>
      <x:c r="K15" s="13" t="str">
        <x:v>n.a.</x:v>
      </x:c>
      <x:c r="L15" s="13" t="str">
        <x:v>n.a.</x:v>
      </x:c>
      <x:c r="M15" s="14" t="str">
        <x:v>n.a.</x:v>
      </x:c>
      <x:c r="N15" s="14" t="str">
        <x:v>n.a.</x:v>
      </x:c>
    </x:row>
    <x:row r="16" ht="24" customHeight="1">
      <x:c r="A16" s="2" t="str">
        <x:v>GameAudio_Tick (fuel)</x:v>
      </x:c>
      <x:c r="B16" s="2" t="n">
        <x:v>30</x:v>
      </x:c>
      <x:c r="C16" s="12" t="n">
        <x:v>2508.200000000517</x:v>
      </x:c>
      <x:c r="D16" s="12" t="n">
        <x:v>3786.000000011805</x:v>
      </x:c>
      <x:c r="E16" s="12" t="n">
        <x:v>3864.999999995582</x:v>
      </x:c>
      <x:c r="F16" s="8" t="n">
        <x:f>C16/'Summary'!$B$20*1000</x:f>
        <x:v>0.7007035810418689</x:v>
      </x:c>
      <x:c r="G16" s="8" t="n">
        <x:f>D16/'Summary'!$B$20*1000</x:f>
        <x:v>1.057676324787593</x:v>
      </x:c>
      <x:c r="H16" s="8" t="n">
        <x:f>E16/'Summary'!$B$20*1000</x:f>
        <x:v>1.0797461688554222</x:v>
      </x:c>
      <x:c r="I16" s="13" t="str">
        <x:v>n.a.</x:v>
      </x:c>
      <x:c r="J16" s="14" t="str">
        <x:v>n.a.</x:v>
      </x:c>
      <x:c r="K16" s="13" t="str">
        <x:v>n.a.</x:v>
      </x:c>
      <x:c r="L16" s="13" t="str">
        <x:v>n.a.</x:v>
      </x:c>
      <x:c r="M16" s="14" t="str">
        <x:v>n.a.</x:v>
      </x:c>
      <x:c r="N16" s="14" t="str">
        <x:v>n.a.</x:v>
      </x:c>
    </x:row>
    <x:row r="17" ht="24" customHeight="1">
      <x:c r="A17" s="2" t="str">
        <x:v>GameSession_AudioStop</x:v>
      </x:c>
      <x:c r="B17" s="2" t="n">
        <x:v>1</x:v>
      </x:c>
      <x:c r="C17" s="12" t="n">
        <x:v>2655.9999999927295</x:v>
      </x:c>
      <x:c r="D17" s="12" t="n">
        <x:v>2655.9999999927295</x:v>
      </x:c>
      <x:c r="E17" s="12" t="n">
        <x:v>2655.9999999927295</x:v>
      </x:c>
      <x:c r="F17" s="8" t="n">
        <x:f>C17/'Summary'!$B$20*1000</x:f>
        <x:v>0.7419937450130476</x:v>
      </x:c>
      <x:c r="G17" s="8" t="n">
        <x:f>D17/'Summary'!$B$20*1000</x:f>
        <x:v>0.7419937450130476</x:v>
      </x:c>
      <x:c r="H17" s="8" t="n">
        <x:f>E17/'Summary'!$B$20*1000</x:f>
        <x:v>0.7419937450130476</x:v>
      </x:c>
      <x:c r="I17" s="13" t="str">
        <x:v>n.a.</x:v>
      </x:c>
      <x:c r="J17" s="14" t="str">
        <x:v>n.a.</x:v>
      </x:c>
      <x:c r="K17" s="13" t="str">
        <x:v>n.a.</x:v>
      </x:c>
      <x:c r="L17" s="13" t="str">
        <x:v>n.a.</x:v>
      </x:c>
      <x:c r="M17" s="14" t="str">
        <x:v>n.a.</x:v>
      </x:c>
      <x:c r="N17" s="14" t="str">
        <x:v>n.a.</x:v>
      </x:c>
    </x:row>
    <x:row r="18" ht="24" customHeight="1">
      <x:c r="A18" s="2" t="str">
        <x:v>GameAudio_Tick (gameover)</x:v>
      </x:c>
      <x:c r="B18" s="2" t="n">
        <x:v>249</x:v>
      </x:c>
      <x:c r="C18" s="12" t="n">
        <x:v>2661.3293172689255</x:v>
      </x:c>
      <x:c r="D18" s="12" t="n">
        <x:v>3598.000000003567</x:v>
      </x:c>
      <x:c r="E18" s="12" t="n">
        <x:v>6525.00000000391</x:v>
      </x:c>
      <x:c r="F18" s="8" t="n">
        <x:f>C18/'Summary'!$B$20*1000</x:f>
        <x:v>0.7434825703459309</x:v>
      </x:c>
      <x:c r="G18" s="8" t="n">
        <x:f>D18/'Summary'!$B$20*1000</x:f>
        <x:v>1.005155683195369</x:v>
      </x:c>
      <x:c r="H18" s="8" t="n">
        <x:f>E18/'Summary'!$B$20*1000</x:f>
        <x:v>1.8228573743321874</x:v>
      </x:c>
      <x:c r="I18" s="13" t="str">
        <x:v>n.a.</x:v>
      </x:c>
      <x:c r="J18" s="14" t="str">
        <x:v>n.a.</x:v>
      </x:c>
      <x:c r="K18" s="13" t="str">
        <x:v>n.a.</x:v>
      </x:c>
      <x:c r="L18" s="13" t="str">
        <x:v>n.a.</x:v>
      </x:c>
      <x:c r="M18" s="14" t="str">
        <x:v>n.a.</x:v>
      </x:c>
      <x:c r="N18" s="14" t="str">
        <x:v>n.a.</x:v>
      </x:c>
    </x:row>
    <x:row r="19" ht="24" customHeight="1">
      <x:c r="A19" s="2" t="str">
        <x:v>GameAudio_Tick (challenge_intro)</x:v>
      </x:c>
      <x:c r="B19" s="2" t="n">
        <x:v>193</x:v>
      </x:c>
      <x:c r="C19" s="12" t="n">
        <x:v>2182.1968911917447</x:v>
      </x:c>
      <x:c r="D19" s="12" t="n">
        <x:v>3455.0000000118443</x:v>
      </x:c>
      <x:c r="E19" s="12" t="n">
        <x:v>6502.000000009599</x:v>
      </x:c>
      <x:c r="F19" s="8" t="n">
        <x:f>C19/'Summary'!$B$20*1000</x:f>
        <x:v>0.6096296851113046</x:v>
      </x:c>
      <x:c r="G19" s="8" t="n">
        <x:f>D19/'Summary'!$B$20*1000</x:f>
        <x:v>0.9652064717755593</x:v>
      </x:c>
      <x:c r="H19" s="8" t="n">
        <x:f>E19/'Summary'!$B$20*1000</x:f>
        <x:v>1.8164319766924564</x:v>
      </x:c>
      <x:c r="I19" s="13" t="str">
        <x:v>n.a.</x:v>
      </x:c>
      <x:c r="J19" s="14" t="str">
        <x:v>n.a.</x:v>
      </x:c>
      <x:c r="K19" s="13" t="str">
        <x:v>n.a.</x:v>
      </x:c>
      <x:c r="L19" s="13" t="str">
        <x:v>n.a.</x:v>
      </x:c>
      <x:c r="M19" s="14" t="str">
        <x:v>n.a.</x:v>
      </x:c>
      <x:c r="N19" s="14" t="str">
        <x:v>n.a.</x:v>
      </x:c>
    </x:row>
    <x:row r="20" ht="24" customHeight="1">
      <x:c r="A20" s="2" t="str">
        <x:v>GameAudio_Tick (challenge)</x:v>
      </x:c>
      <x:c r="B20" s="2" t="n">
        <x:v>31</x:v>
      </x:c>
      <x:c r="C20" s="12" t="n">
        <x:v>2845.0322580637658</x:v>
      </x:c>
      <x:c r="D20" s="12" t="n">
        <x:v>3865.0000000210166</x:v>
      </x:c>
      <x:c r="E20" s="12" t="n">
        <x:v>7100.999999999115</x:v>
      </x:c>
      <x:c r="F20" s="8" t="n">
        <x:f>C20/'Summary'!$B$20*1000</x:f>
        <x:v>0.7948027634975299</x:v>
      </x:c>
      <x:c r="G20" s="8" t="n">
        <x:f>D20/'Summary'!$B$20*1000</x:f>
        <x:v>1.0797461688625276</x:v>
      </x:c>
      <x:c r="H20" s="8" t="n">
        <x:f>E20/'Summary'!$B$20*1000</x:f>
        <x:v>1.9837716804786965</x:v>
      </x:c>
      <x:c r="I20" s="13" t="str">
        <x:v>n.a.</x:v>
      </x:c>
      <x:c r="J20" s="14" t="str">
        <x:v>n.a.</x:v>
      </x:c>
      <x:c r="K20" s="13" t="str">
        <x:v>n.a.</x:v>
      </x:c>
      <x:c r="L20" s="13" t="str">
        <x:v>n.a.</x:v>
      </x:c>
      <x:c r="M20" s="14" t="str">
        <x:v>n.a.</x:v>
      </x:c>
      <x:c r="N20" s="14" t="str">
        <x:v>n.a.</x:v>
      </x:c>
    </x:row>
    <x:row r="21" ht="24" customHeight="1">
      <x:c r="A21" s="2" t="str">
        <x:v>Full_MSXPlayerSpeed (ordinary)</x:v>
      </x:c>
      <x:c r="B21" s="2" t="n">
        <x:v>24</x:v>
      </x:c>
      <x:c r="C21" s="12" t="n">
        <x:v>281.08333333363765</x:v>
      </x:c>
      <x:c r="D21" s="12" t="n">
        <x:v>340.0000000032636</x:v>
      </x:c>
      <x:c r="E21" s="12" t="n">
        <x:v>340.0000000032636</x:v>
      </x:c>
      <x:c r="F21" s="8" t="n">
        <x:f>C21/'Summary'!$B$20*1000</x:f>
        <x:v>0.07852487769636578</x:v>
      </x:c>
      <x:c r="G21" s="8" t="n">
        <x:f>D21/'Summary'!$B$20*1000</x:f>
        <x:v>0.0949841390465167</x:v>
      </x:c>
      <x:c r="H21" s="8" t="n">
        <x:f>E21/'Summary'!$B$20*1000</x:f>
        <x:v>0.0949841390465167</x:v>
      </x:c>
      <x:c r="I21" s="13" t="str">
        <x:v>n.a.</x:v>
      </x:c>
      <x:c r="J21" s="14" t="str">
        <x:v>n.a.</x:v>
      </x:c>
      <x:c r="K21" s="13" t="str">
        <x:v>n.a.</x:v>
      </x:c>
      <x:c r="L21" s="13" t="str">
        <x:v>n.a.</x:v>
      </x:c>
      <x:c r="M21" s="14" t="str">
        <x:v>n.a.</x:v>
      </x:c>
      <x:c r="N21" s="14" t="str">
        <x:v>n.a.</x:v>
      </x:c>
    </x:row>
    <x:row r="22" ht="24" customHeight="1">
      <x:c r="A22" s="2" t="str">
        <x:v>Full_MSXPlayerSpeed (parked)</x:v>
      </x:c>
      <x:c r="B22" s="2" t="n">
        <x:v>40</x:v>
      </x:c>
      <x:c r="C22" s="12" t="n">
        <x:v>70.99999999995215</x:v>
      </x:c>
      <x:c r="D22" s="12" t="n">
        <x:v>71.00000000344936</x:v>
      </x:c>
      <x:c r="E22" s="12" t="n">
        <x:v>71.00000000344936</x:v>
      </x:c>
      <x:c r="F22" s="8" t="n">
        <x:f>C22/'Summary'!$B$20*1000</x:f>
        <x:v>0.019834923153627667</x:v>
      </x:c>
      <x:c r="G22" s="8" t="n">
        <x:f>D22/'Summary'!$B$20*1000</x:f>
        <x:v>0.019834923154604667</x:v>
      </x:c>
      <x:c r="H22" s="8" t="n">
        <x:f>E22/'Summary'!$B$20*1000</x:f>
        <x:v>0.019834923154604667</x:v>
      </x:c>
      <x:c r="I22" s="13" t="str">
        <x:v>n.a.</x:v>
      </x:c>
      <x:c r="J22" s="14" t="str">
        <x:v>n.a.</x:v>
      </x:c>
      <x:c r="K22" s="13" t="str">
        <x:v>n.a.</x:v>
      </x:c>
      <x:c r="L22" s="13" t="str">
        <x:v>n.a.</x:v>
      </x:c>
      <x:c r="M22" s="14" t="str">
        <x:v>n.a.</x:v>
      </x:c>
      <x:c r="N22" s="14" t="str">
        <x:v>n.a.</x:v>
      </x:c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 t="str">
        <x:v>Cold/UI source: /Users/sandersouza/Developer/msx-gamePorts/newrallyx/references/experiments/full-session/session-start-919nn8s5/cold-hooks.tsv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 t="str">
        <x:v>Separate controlled full-session integration, native rounds2..14, UI/cold restoration; not part of the active frame statistics.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 t="str">
        <x:v>Flag cache invalidation: ten real contact-handler captures; normal and S-hidden caches cleared together.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 t="str">
        <x:v>Challenge callback includes typed glyphs, complete item blits, delay ticks and final wait; this is cold UI only.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 t="str">
        <x:v>AudioStop disables PSG tones/noise, zeroes all three volumes and clears queued effects before blocking work.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 t="str">
        <x:v>Challenge reveal: 66 units over 276 physical refreshes; original font/items at 1:1 scale.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 t="str">
        <x:v>Audio: original WSG challenge loop 1540 ticks; 770 cached PSG frames; 181/256 dictionary entries.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 t="str">
        <x:v>Collision: cached attack/hold/release, 25 sound frames on B/C. AY timbre remains for user acceptance.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 t="str">
        <x:v>ROM SHA256: 3fdb910e545855aa16b6f6c73a441ece72e802b2dfb20249ac1451149f468a79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36" customHeight="1">
      <x:c r="A36" s="7" t="str">
        <x:v>Engine range</x:v>
      </x:c>
      <x:c r="B36" s="7" t="str">
        <x:v>Baseline RMS</x:v>
      </x:c>
      <x:c r="C36" s="7" t="str">
        <x:v>Current RMS</x:v>
      </x:c>
      <x:c r="D36" s="7" t="str">
        <x:v>Amplitude ratio</x:v>
      </x:c>
      <x:c r="E36" s="7" t="str">
        <x:v>Reduction</x:v>
      </x:c>
      <x:c r="F36" s="7" t="str">
        <x:v>PCM window</x:v>
      </x:c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Idle</x:v>
      </x:c>
      <x:c r="B37" s="12" t="n">
        <x:v>1859.5379802147925</x:v>
      </x:c>
      <x:c r="C37" s="12" t="n">
        <x:v>1596.0545826287614</x:v>
      </x:c>
      <x:c r="D37" s="15" t="n">
        <x:f>C37/B37</x:f>
        <x:v>0.8583070631579159</x:v>
      </x:c>
      <x:c r="E37" s="15" t="n">
        <x:f>1-D37</x:f>
        <x:v>0.14169293684208406</x:v>
      </x:c>
      <x:c r="F37" s="2" t="str">
        <x:v>0.15..1.95s</x:v>
      </x:c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Cruise</x:v>
      </x:c>
      <x:c r="B38" s="12" t="n">
        <x:v>1864.2795080726773</x:v>
      </x:c>
      <x:c r="C38" s="12" t="n">
        <x:v>1584.1972405705067</x:v>
      </x:c>
      <x:c r="D38" s="15" t="n">
        <x:f>C38/B38</x:f>
        <x:v>0.849763800819908</x:v>
      </x:c>
      <x:c r="E38" s="15" t="n">
        <x:f>1-D38</x:f>
        <x:v>0.150236199180092</x:v>
      </x:c>
      <x:c r="F38" s="2" t="str">
        <x:v>0.15..1.95s</x:v>
      </x:c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Drive</x:v>
      </x:c>
      <x:c r="B39" s="12" t="n">
        <x:v>1848.802028607675</x:v>
      </x:c>
      <x:c r="C39" s="12" t="n">
        <x:v>1560.6549337247047</x:v>
      </x:c>
      <x:c r="D39" s="15" t="n">
        <x:f>C39/B39</x:f>
        <x:v>0.8441438886239363</x:v>
      </x:c>
      <x:c r="E39" s="15" t="n">
        <x:f>1-D39</x:f>
        <x:v>0.1558561113760637</x:v>
      </x:c>
      <x:c r="F39" s="2" t="str">
        <x:v>0.15..1.95s</x:v>
      </x:c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6" customHeight="1">
      <x:c r="A41" s="7" t="str">
        <x:v>Smoke cue</x:v>
      </x:c>
      <x:c r="B41" s="7" t="str">
        <x:v>15c931 RMS</x:v>
      </x:c>
      <x:c r="C41" s="7" t="str">
        <x:v>Current RMS</x:v>
      </x:c>
      <x:c r="D41" s="7" t="str">
        <x:v>Amplitude gain</x:v>
      </x:c>
      <x:c r="E41" s="7" t="str">
        <x:v>Gain dB</x:v>
      </x:c>
      <x:c r="F41" s="7" t="str">
        <x:v>Sound frames</x:v>
      </x:c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smoke1</x:v>
      </x:c>
      <x:c r="B42" s="12" t="n">
        <x:v>467.3932640588231</x:v>
      </x:c>
      <x:c r="C42" s="12" t="n">
        <x:v>2860.18695524694</x:v>
      </x:c>
      <x:c r="D42" s="16" t="n">
        <x:f>C42/B42</x:f>
        <x:v>6.119444106680526</x:v>
      </x:c>
      <x:c r="E42" s="17" t="n">
        <x:f>20*LOG10(D42)</x:f>
        <x:v>15.73423944825024</x:v>
      </x:c>
      <x:c r="F42" s="2" t="n">
        <x:v>2</x:v>
      </x:c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 t="str">
        <x:v>smoke2</x:v>
      </x:c>
      <x:c r="B43" s="12" t="n">
        <x:v>457.35800657544866</x:v>
      </x:c>
      <x:c r="C43" s="12" t="n">
        <x:v>2637.129976094653</x:v>
      </x:c>
      <x:c r="D43" s="16" t="n">
        <x:f>C43/B43</x:f>
        <x:v>5.766008112202176</x:v>
      </x:c>
      <x:c r="E43" s="17" t="n">
        <x:f>20*LOG10(D43)</x:f>
        <x:v>15.21750498123858</x:v>
      </x:c>
      <x:c r="F43" s="2" t="n">
        <x:v>2</x:v>
      </x:c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4" customHeight="1">
      <x:c r="A45" s="2" t="str">
        <x:v>Captured rising gated tone replaces authored noise. B/C hardware envelope for two sound frames; B then returns to music.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Arcade capture: 37 smoke bursts; engine H/V nominal 49.80469 Hz. PSG timbre is an approximation.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Smoke visual regression: 300 committed frames, all8 H/V fine phases, three native enemies. Phase metadata moved2820..2827; smoke rows remain2800..281F.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Challenger RND</x:v>
      </x:c>
      <x:c r="B50" s="7" t="str">
        <x:v>Arcade target px/tick</x:v>
      </x:c>
      <x:c r="C50" s="7" t="str">
        <x:v>Previous cap px/tick</x:v>
      </x:c>
      <x:c r="D50" s="7" t="str">
        <x:v>Restored / previous</x:v>
      </x:c>
      <x:c r="E50" s="7" t="str">
        <x:v>Enemy cohorts</x:v>
      </x:c>
      <x:c r="F50" s="7" t="str">
        <x:v>Scope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n">
        <x:v>3</x:v>
      </x:c>
      <x:c r="B51" s="19" t="n">
        <x:v>2.625</x:v>
      </x:c>
      <x:c r="C51" s="19" t="n">
        <x:v>2</x:v>
      </x:c>
      <x:c r="D51" s="20" t="n">
        <x:f>B51/C51</x:f>
        <x:v>1.3125</x:v>
      </x:c>
      <x:c r="E51" s="18" t="str">
        <x:v>Parked</x:v>
      </x:c>
      <x:c r="F51" s="2" t="str">
        <x:v>Native target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n">
        <x:v>7</x:v>
      </x:c>
      <x:c r="B52" s="19" t="n">
        <x:v>2.6875</x:v>
      </x:c>
      <x:c r="C52" s="19" t="n">
        <x:v>2</x:v>
      </x:c>
      <x:c r="D52" s="20" t="n">
        <x:f>B52/C52</x:f>
        <x:v>1.34375</x:v>
      </x:c>
      <x:c r="E52" s="18" t="str">
        <x:v>Parked</x:v>
      </x:c>
      <x:c r="F52" s="2" t="str">
        <x:v>Native target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 t="n">
        <x:v>11</x:v>
      </x:c>
      <x:c r="B53" s="19" t="n">
        <x:v>2.75</x:v>
      </x:c>
      <x:c r="C53" s="19" t="n">
        <x:v>2</x:v>
      </x:c>
      <x:c r="D53" s="20" t="n">
        <x:f>B53/C53</x:f>
        <x:v>1.375</x:v>
      </x:c>
      <x:c r="E53" s="18" t="str">
        <x:v>Parked</x:v>
      </x:c>
      <x:c r="F53" s="2" t="str">
        <x:v>Native target</x:v>
      </x:c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n">
        <x:v>15</x:v>
      </x:c>
      <x:c r="B54" s="19" t="n">
        <x:v>2.75</x:v>
      </x:c>
      <x:c r="C54" s="19" t="n">
        <x:v>2</x:v>
      </x:c>
      <x:c r="D54" s="20" t="n">
        <x:f>B54/C54</x:f>
        <x:v>1.375</x:v>
      </x:c>
      <x:c r="E54" s="18" t="str">
        <x:v>Parked</x:v>
      </x:c>
      <x:c r="F54" s="2" t="str">
        <x:v>Native target</x:v>
      </x:c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Original first credit/start, then seeded native round initializers; no ROM/speed-table edits.64 limiter cases include both signs and fuel-exhaustion activation.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 t="str">
        <x:v>Real integrated RND3 snapshot: 2.625 px/tick; original target 2.625. Other phases retain their existing cap.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4" hidden="0" customWidth="1"/>
    <x:col min="4" max="4" width="79" hidden="0" customWidth="1"/>
    <x:col min="5" max="5" width="22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HUD variants, startup and optional test controls</x:v>
      </x:c>
      <x:c r="B2" s="2"/>
      <x:c r="C2" s="2"/>
      <x:c r="D2" s="2"/>
      <x:c r="E2" s="2"/>
      <x:c r="F2" s="2"/>
    </x:row>
    <x:row r="3" ht="24" customHeight="1">
      <x:c r="A3" s="2" t="str">
        <x:v>Active FPS belongs only to the measured compact, TEST_MODE=0 ROM. Variant checks have separate hashes.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7" t="str">
        <x:v>Item</x:v>
      </x:c>
      <x:c r="B5" s="7" t="str">
        <x:v>Value</x:v>
      </x:c>
      <x:c r="C5" s="7" t="str">
        <x:v>Unit</x:v>
      </x:c>
      <x:c r="D5" s="7" t="str">
        <x:v>Contract / evidence</x:v>
      </x:c>
      <x:c r="E5" s="2"/>
      <x:c r="F5" s="2"/>
    </x:row>
    <x:row r="6" ht="24" customHeight="1">
      <x:c r="A6" s="2" t="str">
        <x:v>Selected include</x:v>
      </x:c>
      <x:c r="B6" s="2" t="str">
        <x:v>hud/compact.inc</x:v>
      </x:c>
      <x:c r="C6" s="2" t="str">
        <x:v>build-time</x:v>
      </x:c>
      <x:c r="D6" s="2" t="str">
        <x:v>No runtime variant dispatch or input staging copies.</x:v>
      </x:c>
      <x:c r="E6" s="2"/>
      <x:c r="F6" s="2"/>
    </x:row>
    <x:row r="7" ht="24" customHeight="1">
      <x:c r="A7" s="2" t="str">
        <x:v>Full fuel bar</x:v>
      </x:c>
      <x:c r="B7" s="2" t="n">
        <x:v>48</x:v>
      </x:c>
      <x:c r="C7" s="2" t="str">
        <x:v>px</x:v>
      </x:c>
      <x:c r="D7" s="2" t="str">
        <x:v>Remaining fuel is anchored right; depletion advances from left to right.</x:v>
      </x:c>
      <x:c r="E7" s="2"/>
      <x:c r="F7" s="2"/>
    </x:row>
    <x:row r="8" ht="24" customHeight="1">
      <x:c r="A8" s="2" t="str">
        <x:v>Red endpoints</x:v>
      </x:c>
      <x:c r="B8" s="2" t="str">
        <x:v>2 x 2</x:v>
      </x:c>
      <x:c r="C8" s="2" t="str">
        <x:v>px</x:v>
      </x:c>
      <x:c r="D8" s="2" t="str">
        <x:v>Columns0..1 and46..47 align exactly with the full bar.</x:v>
      </x:c>
      <x:c r="E8" s="2"/>
      <x:c r="F8" s="2"/>
    </x:row>
    <x:row r="9" ht="24" customHeight="1">
      <x:c r="A9" s="2" t="str">
        <x:v>Red center</x:v>
      </x:c>
      <x:c r="B9" s="2" t="str">
        <x:v>2 x 3</x:v>
      </x:c>
      <x:c r="C9" s="2" t="str">
        <x:v>px</x:v>
      </x:c>
      <x:c r="D9" s="2" t="str">
        <x:v>Columns23..24, rows56..58. Symmetry axis x=23.5.</x:v>
      </x:c>
      <x:c r="E9" s="2"/>
      <x:c r="F9" s="2"/>
    </x:row>
    <x:row r="10" ht="24" customHeight="1">
      <x:c r="A10" s="2" t="str">
        <x:v>Yellow markers</x:v>
      </x:c>
      <x:c r="B10" s="2" t="str">
        <x:v>6 x 1 x 1</x:v>
      </x:c>
      <x:c r="C10" s="2" t="str">
        <x:v>px</x:v>
      </x:c>
      <x:c r="D10" s="2" t="str">
        <x:v>Columns6,12,18,29,35,41, row58; existing three fuel sprites.</x:v>
      </x:c>
      <x:c r="E10" s="2"/>
      <x:c r="F10" s="2"/>
    </x:row>
    <x:row r="11" ht="24" customHeight="1">
      <x:c r="A11" s="2" t="str">
        <x:v>ROUND font</x:v>
      </x:c>
      <x:c r="B11" s="2" t="str">
        <x:v>4 x 5</x:v>
      </x:c>
      <x:c r="C11" s="2" t="str">
        <x:v>px</x:v>
      </x:c>
      <x:c r="D11" s="2" t="str">
        <x:v>White label and number; display cap99. Classic include restores previous RND/gauge.</x:v>
      </x:c>
      <x:c r="E11" s="2"/>
      <x:c r="F11" s="2"/>
    </x:row>
    <x:row r="12" ht="24" customHeight="1">
      <x:c r="A12" s="2" t="str">
        <x:v>Score display</x:v>
      </x:c>
      <x:c r="B12" s="2" t="n">
        <x:v>999999</x:v>
      </x:c>
      <x:c r="C12" s="2" t="str">
        <x:v>cap</x:v>
      </x:c>
      <x:c r="D12" s="2" t="str">
        <x:v>Hide leading zeroes; keep one zero. Native counters/rules stay unchanged.</x:v>
      </x:c>
      <x:c r="E12" s="2"/>
      <x:c r="F12" s="2"/>
    </x:row>
    <x:row r="13" ht="24" customHeight="1">
      <x:c r="A13" s="2" t="str">
        <x:v>HUD Prepare mean</x:v>
      </x:c>
      <x:c r="B13" s="12" t="n">
        <x:v>1889.1673469396878</x:v>
      </x:c>
      <x:c r="C13" s="2" t="str">
        <x:v>cycles/frame</x:v>
      </x:c>
      <x:c r="D13" s="2" t="str">
        <x:v>Foreground inclusive parent cost includes any styling worker.</x:v>
      </x:c>
      <x:c r="E13" s="2"/>
      <x:c r="F13" s="2"/>
    </x:row>
    <x:row r="14" ht="24" customHeight="1">
      <x:c r="A14" s="2" t="str">
        <x:v>HUD Commit mean</x:v>
      </x:c>
      <x:c r="B14" s="12" t="n">
        <x:v>1325.6367346935735</x:v>
      </x:c>
      <x:c r="C14" s="2" t="str">
        <x:v>cycles/frame</x:v>
      </x:c>
      <x:c r="D14" s="2" t="str">
        <x:v>Part of synchronized commit. Do not add to commit inclusive cost.</x:v>
      </x:c>
      <x:c r="E14" s="2"/>
      <x:c r="F14" s="2"/>
    </x:row>
    <x:row r="15" ht="24" customHeight="1">
      <x:c r="A15" s="2" t="str">
        <x:v>Boot sampled pages</x:v>
      </x:c>
      <x:c r="B15" s="2" t="n">
        <x:v>10</x:v>
      </x:c>
      <x:c r="C15" s="2" t="str">
        <x:v>pages</x:v>
      </x:c>
      <x:c r="D15" s="2" t="str">
        <x:v>Untouched original boot capture; explicit1:1 crop/palette adaptation.</x:v>
      </x:c>
      <x:c r="E15" s="2"/>
      <x:c r="F15" s="2"/>
    </x:row>
    <x:row r="16" ht="24" customHeight="1">
      <x:c r="A16" s="2" t="str">
        <x:v>Boot measured duration</x:v>
      </x:c>
      <x:c r="B16" s="8" t="n">
        <x:v>8.4274601939632</x:v>
      </x:c>
      <x:c r="C16" s="2" t="str">
        <x:v>s</x:v>
      </x:c>
      <x:c r="D16" s="2" t="str">
        <x:v>One startup-only interval, including decode, upload, IRQs and waits.</x:v>
      </x:c>
      <x:c r="E16" s="2"/>
      <x:c r="F16" s="2"/>
    </x:row>
    <x:row r="17" ht="24" customHeight="1">
      <x:c r="A17" s="2" t="str">
        <x:v>Boot target duration</x:v>
      </x:c>
      <x:c r="B17" s="8" t="n">
        <x:v>8.444206177042053</x:v>
      </x:c>
      <x:c r="C17" s="2" t="str">
        <x:v>s</x:v>
      </x:c>
      <x:c r="D17" s="2" t="str">
        <x:v>1.5x original timing; uncertainty includes sampled matrix endpoint.</x:v>
      </x:c>
      <x:c r="E17" s="2"/>
      <x:c r="F17" s="2"/>
    </x:row>
    <x:row r="18" ht="24" customHeight="1">
      <x:c r="A18" s="2" t="str">
        <x:v>Boot elapsed incl cycles</x:v>
      </x:c>
      <x:c r="B18" s="10" t="n">
        <x:f>B16*'Summary'!$B$20</x:f>
        <x:v>30166473</x:v>
      </x:c>
      <x:c r="C18" s="2" t="str">
        <x:v>cycles/call</x:v>
      </x:c>
      <x:c r="D18" s="2" t="str">
        <x:v>Not CPU-only. Self and waits are not separated; never add to active-frame work.</x:v>
      </x:c>
      <x:c r="E18" s="2"/>
      <x:c r="F18" s="2"/>
    </x:row>
    <x:row r="19" ht="24" customHeight="1">
      <x:c r="A19" s="2" t="str">
        <x:v>Boot scratch</x:v>
      </x:c>
      <x:c r="B19" s="2" t="str">
        <x:v>D300..F2FF</x:v>
      </x:c>
      <x:c r="C19" s="2" t="str">
        <x:v>RAM</x:v>
      </x:c>
      <x:c r="D19" s="2" t="str">
        <x:v>Preserves IM2 vectors/trampoline. StackF380; seed/audio restored before UI.</x:v>
      </x:c>
      <x:c r="E19" s="2"/>
      <x:c r="F19" s="2"/>
    </x:row>
    <x:row r="20" ht="24" customHeight="1">
      <x:c r="A20" s="2" t="str">
        <x:v>Controls normal build</x:v>
      </x:c>
      <x:c r="B20" s="2" t="n">
        <x:v>0</x:v>
      </x:c>
      <x:c r="C20" s="2" t="str">
        <x:v>TEST_MODE</x:v>
      </x:c>
      <x:c r="D20" s="2" t="str">
        <x:v>Return/equals do not activate new controls.</x:v>
      </x:c>
      <x:c r="E20" s="2"/>
      <x:c r="F20" s="2"/>
    </x:row>
    <x:row r="21" ht="24" customHeight="1">
      <x:c r="A21" s="2" t="str">
        <x:v>Controls test build</x:v>
      </x:c>
      <x:c r="B21" s="2" t="n">
        <x:v>1</x:v>
      </x:c>
      <x:c r="C21" s="2" t="str">
        <x:v>TEST_MODE</x:v>
      </x:c>
      <x:c r="D21" s="2" t="str">
        <x:v>Return edges advance; equals toggles car/rock invulnerability. Walls remain solid.</x:v>
      </x:c>
      <x:c r="E21" s="2"/>
      <x:c r="F21" s="2"/>
    </x:row>
    <x:row r="22" ht="24" customHeight="1">
      <x:c r="A22" s="2" t="str">
        <x:v>Broader module extraction</x:v>
      </x:c>
      <x:c r="B22" s="2" t="n">
        <x:v>32</x:v>
      </x:c>
      <x:c r="C22" s="2" t="str">
        <x:v>issue</x:v>
      </x:c>
      <x:c r="D22" s="2" t="str">
        <x:v>Backlog only; zero additional cycles/latency/memory/transfer/stack use required.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6" customHeight="1">
      <x:c r="A25" s="7" t="str">
        <x:v>Variant check</x:v>
      </x:c>
      <x:c r="B25" s="7" t="str">
        <x:v>Passed</x:v>
      </x:c>
      <x:c r="C25" s="7" t="str">
        <x:v>Scenario</x:v>
      </x:c>
      <x:c r="D25" s="7" t="str">
        <x:v>ROM SHA256</x:v>
      </x:c>
      <x:c r="E25" s="7" t="str">
        <x:v>Mode</x:v>
      </x:c>
      <x:c r="F25" s="7" t="str">
        <x:v>Evidence</x:v>
      </x:c>
    </x:row>
    <x:row r="26" ht="24" customHeight="1">
      <x:c r="A26" s="2" t="str">
        <x:v>compact normal</x:v>
      </x:c>
      <x:c r="B26" s="21" t="b">
        <x:v>1</x:v>
      </x:c>
      <x:c r="C26" s="2" t="str">
        <x:v>controls</x:v>
      </x:c>
      <x:c r="D26" s="2" t="str">
        <x:v>3fdb910e545855aa16b6f6c73a441ece72e802b2dfb20249ac1451149f468a79</x:v>
      </x:c>
      <x:c r="E26" s="2" t="n">
        <x:v>0</x:v>
      </x:c>
      <x:c r="F26" s="2" t="str">
        <x:v>/Users/sandersouza/Developer/msx-gamePorts/newrallyx/references/experiments/full-session/session-start-x246sv3y</x:v>
      </x:c>
    </x:row>
    <x:row r="27" ht="24" customHeight="1">
      <x:c r="A27" s="2" t="str">
        <x:v>compact test</x:v>
      </x:c>
      <x:c r="B27" s="21" t="b">
        <x:v>1</x:v>
      </x:c>
      <x:c r="C27" s="2" t="str">
        <x:v>controls</x:v>
      </x:c>
      <x:c r="D27" s="2" t="str">
        <x:v>9544adf5ea00d25420e36ac721417a13f20f49ae8ff8f4bdf567c78f612e3527</x:v>
      </x:c>
      <x:c r="E27" s="2" t="n">
        <x:v>1</x:v>
      </x:c>
      <x:c r="F27" s="2" t="str">
        <x:v>/Users/sandersouza/Developer/msx-gamePorts/newrallyx/references/experiments/full-session-test/session-start-dvf1osio</x:v>
      </x:c>
    </x:row>
    <x:row r="28" ht="24" customHeight="1">
      <x:c r="A28" s="2" t="str">
        <x:v>classic</x:v>
      </x:c>
      <x:c r="B28" s="21" t="b">
        <x:v>1</x:v>
      </x:c>
      <x:c r="C28" s="2" t="str">
        <x:v>start</x:v>
      </x:c>
      <x:c r="D28" s="2" t="str">
        <x:v>f8783cf05e7198a14154393b7eda188ffb1f7a609afcf715bec87edd9bb55ac8</x:v>
      </x:c>
      <x:c r="E28" s="2" t="n">
        <x:v>0</x:v>
      </x:c>
      <x:c r="F28" s="2" t="str">
        <x:v>/Users/sandersouza/Developer/msx-gamePorts/newrallyx/references/experiments/full-session-hud-classic/session-start-c5sku9sd</x:v>
      </x:c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36" customHeight="1">
      <x:c r="A31" s="7" t="str">
        <x:v>Explosion</x:v>
      </x:c>
      <x:c r="B31" s="7" t="str">
        <x:v>70d633 low band</x:v>
      </x:c>
      <x:c r="C31" s="7" t="str">
        <x:v>Current low band</x:v>
      </x:c>
      <x:c r="D31" s="7" t="str">
        <x:v>Power ratio</x:v>
      </x:c>
      <x:c r="E31" s="7" t="str">
        <x:v>Gain dB</x:v>
      </x:c>
      <x:c r="F31" s="7" t="str">
        <x:v>Band / method</x:v>
      </x:c>
    </x:row>
    <x:row r="32" ht="24" customHeight="1">
      <x:c r="A32" s="2" t="str">
        <x:v>crash1</x:v>
      </x:c>
      <x:c r="B32" s="10" t="n">
        <x:v>290915981639022.44</x:v>
      </x:c>
      <x:c r="C32" s="10" t="n">
        <x:v>813548336332000.8</x:v>
      </x:c>
      <x:c r="D32" s="22" t="n">
        <x:f>C32/B32</x:f>
        <x:v>2.7965061656237116</x:v>
      </x:c>
      <x:c r="E32" s="22" t="n">
        <x:f>10*LOG10(D32)</x:f>
        <x:v>4.46615781180235</x:v>
      </x:c>
      <x:c r="F32" s="2" t="str">
        <x:v>30..200Hz; Hann/Goertzel</x:v>
      </x:c>
    </x:row>
    <x:row r="33" ht="24" customHeight="1">
      <x:c r="A33" s="2" t="str">
        <x:v>crash2</x:v>
      </x:c>
      <x:c r="B33" s="10" t="n">
        <x:v>325790397680385.7</x:v>
      </x:c>
      <x:c r="C33" s="10" t="n">
        <x:v>810235141989268.9</x:v>
      </x:c>
      <x:c r="D33" s="22" t="n">
        <x:f>C33/B33</x:f>
        <x:v>2.4869828815032915</x:v>
      </x:c>
      <x:c r="E33" s="22" t="n">
        <x:f>10*LOG10(D33)</x:f>
        <x:v>3.9567279592765803</x:v>
      </x:c>
      <x:c r="F33" s="2" t="str">
        <x:v>30..200Hz; Hann/Goertzel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Bass100..32Hz borrows B during the cached crash; C retains noise. No PCM/sample-rate ISR. Human timbre acceptance remains pending.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 t="str">
        <x:v>Boot evidence: /Users/sandersouza/Developer/msx-gamePorts/newrallyx/references/experiments/full-session/boot-proof-216icl3y</x:v>
      </x:c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</x:sheetData>
  <x:pageMargins left="0.7" right="0.7" top="0.75" bottom="0.75" header="0.3" footer="0.3"/>
</x:worksheet>
</file>