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294749d96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" sheetId="1" r:id="R0f74e7f7a8524364"/>
    <x:sheet xmlns:r="http://schemas.openxmlformats.org/officeDocument/2006/relationships" name="Components" sheetId="2" r:id="R3c267c0393e14449"/>
    <x:sheet xmlns:r="http://schemas.openxmlformats.org/officeDocument/2006/relationships" name="Movement" sheetId="3" r:id="Rbc12aa5840144c7d"/>
    <x:sheet xmlns:r="http://schemas.openxmlformats.org/officeDocument/2006/relationships" name="Raster" sheetId="4" r:id="R046d05bfa01b475e"/>
    <x:sheet xmlns:r="http://schemas.openxmlformats.org/officeDocument/2006/relationships" name="Inputs" sheetId="5" r:id="R62d20c0a176245b3"/>
    <x:sheet xmlns:r="http://schemas.openxmlformats.org/officeDocument/2006/relationships" name="Changes" sheetId="6" r:id="Rce4a994bb4dc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000"/>
    <x:numFmt numFmtId="202" formatCode="0.00"/>
    <x:numFmt numFmtId="203" formatCode="#,##0.00"/>
    <x:numFmt numFmtId="204" formatCode="0.000"/>
    <x:numFmt numFmtId="205" formatCode="#,##0.000"/>
    <x:numFmt numFmtId="206" formatCode="0.0%"/>
  </x:numFmts>
  <x:fonts count="5">
    <x:font>
      <x:sz val="11"/>
      <x:name val="Carlito"/>
    </x:font>
    <x:font>
      <x:sz val="11"/>
      <x:color rgb="FF183153"/>
      <x:name val="Arial"/>
    </x:font>
    <x:font>
      <x:b/>
      <x:sz val="11"/>
      <x:color rgb="FFFFFFFF"/>
      <x:name val="Arial"/>
    </x:font>
    <x:font>
      <x:b/>
      <x:sz val="16"/>
      <x:color rgb="FF183153"/>
      <x:name val="Arial"/>
    </x:font>
    <x:font>
      <x:sz val="11"/>
      <x:color rgb="FF52647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6153191ea43bb" /><Relationship Type="http://schemas.openxmlformats.org/officeDocument/2006/relationships/theme" Target="/xl/theme/theme1.xml" Id="Rc23edc6a8fb644c6" /><Relationship Type="http://schemas.openxmlformats.org/officeDocument/2006/relationships/sharedStrings" Target="/xl/sharedStrings.xml" Id="R183853078ae24c6d" /><Relationship Type="http://schemas.openxmlformats.org/officeDocument/2006/relationships/worksheet" Target="/xl/worksheets/sheet1.xml" Id="R0f74e7f7a8524364" /><Relationship Type="http://schemas.openxmlformats.org/officeDocument/2006/relationships/worksheet" Target="/xl/worksheets/sheet2.xml" Id="R3c267c0393e14449" /><Relationship Type="http://schemas.openxmlformats.org/officeDocument/2006/relationships/worksheet" Target="/xl/worksheets/sheet3.xml" Id="Rbc12aa5840144c7d" /><Relationship Type="http://schemas.openxmlformats.org/officeDocument/2006/relationships/worksheet" Target="/xl/worksheets/sheet4.xml" Id="R046d05bfa01b475e" /><Relationship Type="http://schemas.openxmlformats.org/officeDocument/2006/relationships/worksheet" Target="/xl/worksheets/sheet5.xml" Id="R62d20c0a176245b3" /><Relationship Type="http://schemas.openxmlformats.org/officeDocument/2006/relationships/worksheet" Target="/xl/worksheets/sheet6.xml" Id="Rce4a994bb4dc458b" /></Relationships>
</file>

<file path=xl/tables/table1.xml><?xml version="1.0" encoding="utf-8"?>
<x:table xmlns:x="http://schemas.openxmlformats.org/spreadsheetml/2006/main" id="2" name="ComponentCosts" displayName="ComponentCosts" ref="A5:H49" headerRowCount="1" totalsRowCount="0" totalsRowShown="0">
  <x:tableColumns count="8">
    <x:tableColumn id="1" name="Component"/>
    <x:tableColumn id="2" name="Mean/frame ms"/>
    <x:tableColumn id="3" name="P95/frame ms"/>
    <x:tableColumn id="4" name="Max/frame ms"/>
    <x:tableColumn id="5" name="Mean/call ms"/>
    <x:tableColumn id="6" name="Max/call ms"/>
    <x:tableColumn id="7" name="Calls/frame"/>
    <x:tableColumn id="8" name="Scope / ownershi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omponentInputs" displayName="ComponentInputs" ref="A6:M50" headerRowCount="1" totalsRowCount="0" totalsRowShown="0">
  <x:tableColumns count="13">
    <x:tableColumn id="1" name="Measured owner"/>
    <x:tableColumn id="2" name="Frames"/>
    <x:tableColumn id="3" name="Calls"/>
    <x:tableColumn id="4" name="Calls/frame"/>
    <x:tableColumn id="5" name="Mean/frame cycles"/>
    <x:tableColumn id="6" name="P95/frame cycles"/>
    <x:tableColumn id="7" name="Max/frame cycles"/>
    <x:tableColumn id="8" name="Mean/call cycles"/>
    <x:tableColumn id="9" name="P95/call cycles"/>
    <x:tableColumn id="10" name="Max/call cycles"/>
    <x:tableColumn id="11" name="Cycle basis"/>
    <x:tableColumn id="12" name="Tracked terms"/>
    <x:tableColumn id="13" name="Evidence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943b3596d642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f44ef4bdea5499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30" hidden="0" customWidth="1"/>
    <x:col min="6" max="6" width="92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11" t="str">
        <x:v>Presenter + logic: two-refresh deadline</x:v>
      </x:c>
      <x:c r="B2" s="2"/>
      <x:c r="C2" s="2"/>
      <x:c r="D2" s="2"/>
      <x:c r="E2" s="2"/>
      <x:c r="F2" s="2"/>
    </x:row>
    <x:row r="3" ht="25" customHeight="1">
      <x:c r="A3" s="12" t="str">
        <x:v>913 active frames; nominal target 29.97 FPS; measured two-refresh cadence 29.96137 FPS.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42" customHeight="1">
      <x:c r="A5" s="9" t="str">
        <x:v>Deadline result</x:v>
      </x:c>
      <x:c r="B5" s="9" t="str">
        <x:v>Observed</x:v>
      </x:c>
      <x:c r="C5" s="9" t="str">
        <x:v>Unit</x:v>
      </x:c>
      <x:c r="D5" s="9" t="str">
        <x:v>Reference</x:v>
      </x:c>
      <x:c r="E5" s="9" t="str">
        <x:v>Status</x:v>
      </x:c>
      <x:c r="F5" s="9" t="str">
        <x:v>Interpretation</x:v>
      </x:c>
    </x:row>
    <x:row r="6" ht="40" customHeight="1">
      <x:c r="A6" s="2" t="str">
        <x:v>Foreground ready margin P05</x:v>
      </x:c>
      <x:c r="B6" s="13" t="n">
        <x:f>Inputs!B144/Inputs!$B$2*1000</x:f>
        <x:v>4.728999542307167</x:v>
      </x:c>
      <x:c r="C6" s="2" t="str">
        <x:v>ms</x:v>
      </x:c>
      <x:c r="D6" s="2" t="str">
        <x:v>Two refreshes</x:v>
      </x:c>
      <x:c r="E6" s="2" t="str">
        <x:v>Measured</x:v>
      </x:c>
      <x:c r="F6" s="14" t="str">
        <x:v>Negative means the foreground was ready after its target VBlank edge.</x:v>
      </x:c>
    </x:row>
    <x:row r="7" ht="40" customHeight="1">
      <x:c r="A7" s="2" t="str">
        <x:v>Late-frame shortfall mean</x:v>
      </x:c>
      <x:c r="B7" s="13" t="n">
        <x:f>Inputs!B146/Inputs!$B$2*1000</x:f>
        <x:v>5.978035150649099</x:v>
      </x:c>
      <x:c r="C7" s="2" t="str">
        <x:v>ms</x:v>
      </x:c>
      <x:c r="D7" s="2" t="str">
        <x:v>Late frames only</x:v>
      </x:c>
      <x:c r="E7" s="2" t="str">
        <x:v>Measured</x:v>
      </x:c>
      <x:c r="F7" s="14" t="str">
        <x:v>Mean work to remove from the critical path in those frames; includes no proposed gain.</x:v>
      </x:c>
    </x:row>
    <x:row r="8" ht="40" customHeight="1">
      <x:c r="A8" s="2" t="str">
        <x:v>Publications after two refreshes</x:v>
      </x:c>
      <x:c r="B8" s="17" t="n">
        <x:f>Inputs!B139/Inputs!B138</x:f>
        <x:v>0.017524644030668127</x:v>
      </x:c>
      <x:c r="C8" s="2" t="str">
        <x:v>frames</x:v>
      </x:c>
      <x:c r="D8" s="2" t="str">
        <x:v>Actual VDP edges</x:v>
      </x:c>
      <x:c r="E8" s="2" t="str">
        <x:v>Measured</x:v>
      </x:c>
      <x:c r="F8" s="14" t="str">
        <x:v>Averages alone do not establish stable presentation cadence.</x:v>
      </x:c>
    </x:row>
    <x:row r="9" ht="40" customHeight="1">
      <x:c r="A9" s="2" t="str">
        <x:v>Nominal target interval</x:v>
      </x:c>
      <x:c r="B9" s="13" t="n">
        <x:f>1000/Inputs!$B$4</x:f>
        <x:v>33.366700033366705</x:v>
      </x:c>
      <x:c r="C9" s="2" t="str">
        <x:v>ms</x:v>
      </x:c>
      <x:c r="D9" s="2" t="str">
        <x:v>29.97 FPS</x:v>
      </x:c>
      <x:c r="E9" s="2" t="str">
        <x:v>Planning</x:v>
      </x:c>
      <x:c r="F9" s="14" t="str">
        <x:v>Use alongside the actual physical refresh clock.</x:v>
      </x:c>
    </x:row>
    <x:row r="10" ht="40" customHeight="1">
      <x:c r="A10" s="2" t="str">
        <x:v>Physical two-refresh interval</x:v>
      </x:c>
      <x:c r="B10" s="13" t="n">
        <x:f>2000/Inputs!$B$3</x:f>
        <x:v>33.37630900016622</x:v>
      </x:c>
      <x:c r="C10" s="2" t="str">
        <x:v>ms</x:v>
      </x:c>
      <x:c r="D10" s="2" t="str">
        <x:v>Measured refresh</x:v>
      </x:c>
      <x:c r="E10" s="2" t="str">
        <x:v>Measured</x:v>
      </x:c>
      <x:c r="F10" s="14" t="str">
        <x:v>Physical update cadence is not changed to force the nominal target.</x:v>
      </x:c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2"/>
      <x:c r="B12" s="2"/>
      <x:c r="C12" s="2"/>
      <x:c r="D12" s="2"/>
      <x:c r="E12" s="2"/>
      <x:c r="F12" s="2"/>
    </x:row>
    <x:row r="13" ht="42" customHeight="1">
      <x:c r="A13" s="9" t="str">
        <x:v>Refreshes until publication</x:v>
      </x:c>
      <x:c r="B13" s="9" t="str">
        <x:v>Active frames</x:v>
      </x:c>
      <x:c r="C13" s="9" t="str">
        <x:v>Share</x:v>
      </x:c>
      <x:c r="D13" s="9" t="str">
        <x:v>Meaning</x:v>
      </x:c>
      <x:c r="E13" s="2"/>
      <x:c r="F13" s="2"/>
    </x:row>
    <x:row r="14" ht="25" customHeight="1">
      <x:c r="A14" s="2" t="n">
        <x:v>1</x:v>
      </x:c>
      <x:c r="B14" s="2" t="n">
        <x:v>13</x:v>
      </x:c>
      <x:c r="C14" s="17" t="n">
        <x:f>B14/Inputs!B138</x:f>
        <x:v>0.014238773274917854</x:v>
      </x:c>
      <x:c r="D14" s="2" t="str">
        <x:v>Earlier publication</x:v>
      </x:c>
      <x:c r="E14" s="2"/>
      <x:c r="F14" s="2"/>
    </x:row>
    <x:row r="15" ht="25" customHeight="1">
      <x:c r="A15" s="2" t="n">
        <x:v>2</x:v>
      </x:c>
      <x:c r="B15" s="2" t="n">
        <x:v>884</x:v>
      </x:c>
      <x:c r="C15" s="17" t="n">
        <x:f>B15/Inputs!B138</x:f>
        <x:v>0.968236582694414</x:v>
      </x:c>
      <x:c r="D15" s="2" t="str">
        <x:v>Target cadence</x:v>
      </x:c>
      <x:c r="E15" s="2"/>
      <x:c r="F15" s="2"/>
    </x:row>
    <x:row r="16" ht="25" customHeight="1">
      <x:c r="A16" s="2" t="n">
        <x:v>3</x:v>
      </x:c>
      <x:c r="B16" s="2" t="n">
        <x:v>16</x:v>
      </x:c>
      <x:c r="C16" s="17" t="n">
        <x:f>B16/Inputs!B138</x:f>
        <x:v>0.017524644030668127</x:v>
      </x:c>
      <x:c r="D16" s="2" t="str">
        <x:v>Missed target</x:v>
      </x:c>
      <x:c r="E16" s="2"/>
      <x:c r="F16" s="2"/>
    </x:row>
    <x:row r="17" ht="25" customHeight="1">
      <x:c r="A17" s="2"/>
      <x:c r="B17" s="2"/>
      <x:c r="C17" s="17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2"/>
      <x:c r="B19" s="2"/>
      <x:c r="C19" s="2"/>
      <x:c r="D19" s="2"/>
      <x:c r="E19" s="2"/>
      <x:c r="F19" s="2"/>
    </x:row>
    <x:row r="20" ht="42" customHeight="1">
      <x:c r="A20" s="9" t="str">
        <x:v>Foreground owner</x:v>
      </x:c>
      <x:c r="B20" s="9" t="str">
        <x:v>Mean all ms</x:v>
      </x:c>
      <x:c r="C20" s="9" t="str">
        <x:v>Mean late ms</x:v>
      </x:c>
      <x:c r="D20" s="9" t="str">
        <x:v>Max call ms</x:v>
      </x:c>
      <x:c r="E20" s="9" t="str">
        <x:v>Current placement</x:v>
      </x:c>
      <x:c r="F20" s="9" t="str">
        <x:v>Scheduling / optimization direction</x:v>
      </x:c>
    </x:row>
    <x:row r="21" ht="46" customHeight="1">
      <x:c r="A21" s="2" t="str">
        <x:v>GameSmoke_BuildCache</x:v>
      </x:c>
      <x:c r="B21" s="13" t="n">
        <x:f>Inputs!B153/Inputs!$B$2*1000</x:f>
        <x:v>0.1201588219134553</x:v>
      </x:c>
      <x:c r="C21" s="13" t="n">
        <x:f>Inputs!C153/Inputs!$B$2*1000</x:f>
        <x:v>3.1650146876204572</x:v>
      </x:c>
      <x:c r="D21" s="13" t="n">
        <x:f>Inputs!D153/Inputs!$B$2*1000</x:f>
        <x:v>8.567010611683887</x:v>
      </x:c>
      <x:c r="E21" s="2" t="str">
        <x:v>Foreground</x:v>
      </x:c>
      <x:c r="F21" s="14" t="str">
        <x:v>Preserve current native tick/input dependencies; a candidate must reduce measured work before being rescheduled.</x:v>
      </x:c>
    </x:row>
    <x:row r="22" ht="46" customHeight="1">
      <x:c r="A22" s="2" t="str">
        <x:v>Ring_UploadNames</x:v>
      </x:c>
      <x:c r="B22" s="13" t="n">
        <x:f>Inputs!B154/Inputs!$B$2*1000</x:f>
        <x:v>3.0542685079430814</x:v>
      </x:c>
      <x:c r="C22" s="13" t="n">
        <x:f>Inputs!C154/Inputs!$B$2*1000</x:f>
        <x:v>2.9783813305868043</x:v>
      </x:c>
      <x:c r="D22" s="13" t="n">
        <x:f>Inputs!D154/Inputs!$B$2*1000</x:f>
        <x:v>10.708623582047439</x:v>
      </x:c>
      <x:c r="E22" s="2" t="str">
        <x:v>Foreground</x:v>
      </x:c>
      <x:c r="F22" s="14" t="str">
        <x:v>Publish terrain into inactive table; reduce writes or prepare reusable name strips. Current names must be ready before commit.</x:v>
      </x:c>
    </x:row>
    <x:row r="23" ht="46" customHeight="1">
      <x:c r="A23" s="2" t="str">
        <x:v>Game_RingPatch</x:v>
      </x:c>
      <x:c r="B23" s="13" t="n">
        <x:f>Inputs!B155/Inputs!$B$2*1000</x:f>
        <x:v>0.41185149616944566</x:v>
      </x:c>
      <x:c r="C23" s="13" t="n">
        <x:f>Inputs!C155/Inputs!$B$2*1000</x:f>
        <x:v>2.5471114345531825</x:v>
      </x:c>
      <x:c r="D23" s="13" t="n">
        <x:f>Inputs!D155/Inputs!$B$2*1000</x:f>
        <x:v>16.390630652778494</x:v>
      </x:c>
      <x:c r="E23" s="2" t="str">
        <x:v>Foreground</x:v>
      </x:c>
      <x:c r="F23" s="14" t="str">
        <x:v>Terrain event overlays and smoke cache: split work only with current native rings and exact dirty-cell visibility preserved.</x:v>
      </x:c>
    </x:row>
    <x:row r="24" ht="46" customHeight="1">
      <x:c r="A24" s="2" t="str">
        <x:v>GameSprites_Prepare</x:v>
      </x:c>
      <x:c r="B24" s="13" t="n">
        <x:f>Inputs!B156/Inputs!$B$2*1000</x:f>
        <x:v>1.62620667045339</x:v>
      </x:c>
      <x:c r="C24" s="13" t="n">
        <x:f>Inputs!C156/Inputs!$B$2*1000</x:f>
        <x:v>2.371949507547713</x:v>
      </x:c>
      <x:c r="D24" s="13" t="n">
        <x:f>Inputs!D156/Inputs!$B$2*1000</x:f>
        <x:v>7.8275311527023685</x:v>
      </x:c>
      <x:c r="E24" s="2" t="str">
        <x:v>Foreground</x:v>
      </x:c>
      <x:c r="F24" s="14" t="str">
        <x:v>Car/effect patterns: reuse unchanged preparation; preserve complete cars, masking and sprite limits.</x:v>
      </x:c>
    </x:row>
    <x:row r="25" ht="46" customHeight="1">
      <x:c r="A25" s="2" t="str">
        <x:v>Smoke_PreTick</x:v>
      </x:c>
      <x:c r="B25" s="13" t="n">
        <x:f>Inputs!B157/Inputs!$B$2*1000</x:f>
        <x:v>0.6454809004781549</x:v>
      </x:c>
      <x:c r="C25" s="13" t="n">
        <x:f>Inputs!C157/Inputs!$B$2*1000</x:f>
        <x:v>1.9778351717893088</x:v>
      </x:c>
      <x:c r="D25" s="13" t="n">
        <x:f>Inputs!D157/Inputs!$B$2*1000</x:f>
        <x:v>13.753703333804639</x:v>
      </x:c>
      <x:c r="E25" s="2" t="str">
        <x:v>Foreground</x:v>
      </x:c>
      <x:c r="F25" s="14" t="str">
        <x:v>Preserve current native tick/input dependencies; a candidate must reduce measured work before being rescheduled.</x:v>
      </x:c>
    </x:row>
    <x:row r="26" ht="46" customHeight="1">
      <x:c r="A26" s="2" t="str">
        <x:v>Game_PatchOne</x:v>
      </x:c>
      <x:c r="B26" s="13" t="n">
        <x:f>Inputs!B158/Inputs!$B$2*1000</x:f>
        <x:v>0.2857342110783485</x:v>
      </x:c>
      <x:c r="C26" s="13" t="n">
        <x:f>Inputs!C158/Inputs!$B$2*1000</x:f>
        <x:v>1.743238316603122</x:v>
      </x:c>
      <x:c r="D26" s="13" t="n">
        <x:f>Inputs!D158/Inputs!$B$2*1000</x:f>
        <x:v>0.2475174917461715</x:v>
      </x:c>
      <x:c r="E26" s="2" t="str">
        <x:v>Foreground</x:v>
      </x:c>
      <x:c r="F26" s="14" t="str">
        <x:v>Preserve current native tick/input dependencies; a candidate must reduce measured work before being rescheduled.</x:v>
      </x:c>
    </x:row>
    <x:row r="27" ht="46" customHeight="1">
      <x:c r="A27" s="2" t="str">
        <x:v>Ring_Prepare</x:v>
      </x:c>
      <x:c r="B27" s="13" t="n">
        <x:f>Inputs!B159/Inputs!$B$2*1000</x:f>
        <x:v>1.2784873683143332</x:v>
      </x:c>
      <x:c r="C27" s="13" t="n">
        <x:f>Inputs!C159/Inputs!$B$2*1000</x:f>
        <x:v>1.4923509831560056</x:v>
      </x:c>
      <x:c r="D27" s="13" t="n">
        <x:f>Inputs!D159/Inputs!$B$2*1000</x:f>
        <x:v>5.159035575754713</x:v>
      </x:c>
      <x:c r="E27" s="2" t="str">
        <x:v>Foreground</x:v>
      </x:c>
      <x:c r="F27" s="14" t="str">
        <x:v>Preserve current native tick/input dependencies; a candidate must reduce measured work before being rescheduled.</x:v>
      </x:c>
    </x:row>
    <x:row r="28" ht="46" customHeight="1">
      <x:c r="A28" s="2" t="str">
        <x:v>GameNameStream_Wide</x:v>
      </x:c>
      <x:c r="B28" s="13" t="n">
        <x:f>Inputs!B160/Inputs!$B$2*1000</x:f>
        <x:v>0.04809057791781203</x:v>
      </x:c>
      <x:c r="C28" s="13" t="n">
        <x:f>Inputs!C160/Inputs!$B$2*1000</x:f>
        <x:v>1.327700168597107</x:v>
      </x:c>
      <x:c r="D28" s="13" t="n">
        <x:f>Inputs!D160/Inputs!$B$2*1000</x:f>
        <x:v>10.665321989247236</x:v>
      </x:c>
      <x:c r="E28" s="2" t="str">
        <x:v>Foreground</x:v>
      </x:c>
      <x:c r="F28" s="14" t="str">
        <x:v>Preserve current native tick/input dependencies; a candidate must reduce measured work before being rescheduled.</x:v>
      </x:c>
    </x:row>
    <x:row r="29" ht="46" customHeight="1">
      <x:c r="A29" s="2" t="str">
        <x:v>Game_Radar</x:v>
      </x:c>
      <x:c r="B29" s="13" t="n">
        <x:f>Inputs!B161/Inputs!$B$2*1000</x:f>
        <x:v>1.316529063716756</x:v>
      </x:c>
      <x:c r="C29" s="13" t="n">
        <x:f>Inputs!C161/Inputs!$B$2*1000</x:f>
        <x:v>1.3103969917970288</x:v>
      </x:c>
      <x:c r="D29" s="13" t="n">
        <x:f>Inputs!D161/Inputs!$B$2*1000</x:f>
        <x:v>1.628139889283442</x:v>
      </x:c>
      <x:c r="E29" s="2" t="str">
        <x:v>Foreground</x:v>
      </x:c>
      <x:c r="F29" s="14" t="str">
        <x:v>Character-dot preparation: current source fast path is measured; further caches must win during moving phases.</x:v>
      </x:c>
    </x:row>
    <x:row r="30" ht="46" customHeight="1">
      <x:c r="A30" s="2" t="str">
        <x:v>Game_DirtyTileUpload</x:v>
      </x:c>
      <x:c r="B30" s="13" t="n">
        <x:f>Inputs!B162/Inputs!$B$2*1000</x:f>
        <x:v>0.09593606114013256</x:v>
      </x:c>
      <x:c r="C30" s="13" t="n">
        <x:f>Inputs!C162/Inputs!$B$2*1000</x:f>
        <x:v>1.3025398479413077</x:v>
      </x:c>
      <x:c r="D30" s="13" t="n">
        <x:f>Inputs!D162/Inputs!$B$2*1000</x:f>
        <x:v>2.3690161738474864</x:v>
      </x:c>
      <x:c r="E30" s="2" t="str">
        <x:v>Foreground</x:v>
      </x:c>
      <x:c r="F30" s="14" t="str">
        <x:v>Preserve current native tick/input dependencies; a candidate must reduce measured work before being rescheduled.</x:v>
      </x:c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2"/>
      <x:c r="B32" s="2"/>
      <x:c r="C32" s="2"/>
      <x:c r="D32" s="2"/>
      <x:c r="E32" s="2"/>
      <x:c r="F32" s="2"/>
    </x:row>
    <x:row r="33" ht="42" customHeight="1">
      <x:c r="A33" s="9" t="str">
        <x:v>Phase / boundary</x:v>
      </x:c>
      <x:c r="B33" s="9" t="str">
        <x:v>Mean ms</x:v>
      </x:c>
      <x:c r="C33" s="9" t="str">
        <x:v>P95 ms</x:v>
      </x:c>
      <x:c r="D33" s="9" t="str">
        <x:v>Max ms</x:v>
      </x:c>
      <x:c r="E33" s="9" t="str">
        <x:v>Execution window</x:v>
      </x:c>
      <x:c r="F33" s="9" t="str">
        <x:v>Dependency / constraint</x:v>
      </x:c>
    </x:row>
    <x:row r="34" ht="44" customHeight="1">
      <x:c r="A34" s="2" t="str">
        <x:v>Game_Prepare</x:v>
      </x:c>
      <x:c r="B34" s="13" t="n">
        <x:f>Inputs!B166/Inputs!$B$2*1000</x:f>
        <x:v>10.4063223770889</x:v>
      </x:c>
      <x:c r="C34" s="13" t="n">
        <x:f>Inputs!C166/Inputs!$B$2*1000</x:f>
        <x:v>13.083506423306801</x:v>
      </x:c>
      <x:c r="D34" s="13" t="n">
        <x:f>Inputs!D166/Inputs!$B$2*1000</x:f>
        <x:v>25.683431832816517</x:v>
      </x:c>
      <x:c r="E34" s="14" t="str">
        <x:v>Foreground, includes display time</x:v>
      </x:c>
      <x:c r="F34" s="14" t="str">
        <x:v>Native ticks -&gt; coordinates -&gt; actors/HUD; current input, collision and S/L/bonus rules remain required.</x:v>
      </x:c>
    </x:row>
    <x:row r="35" ht="44" customHeight="1">
      <x:c r="A35" s="2" t="str">
        <x:v>render</x:v>
      </x:c>
      <x:c r="B35" s="13" t="n">
        <x:f>Inputs!B167/Inputs!$B$2*1000</x:f>
        <x:v>10.198215561601653</x:v>
      </x:c>
      <x:c r="C35" s="13" t="n">
        <x:f>Inputs!C167/Inputs!$B$2*1000</x:f>
        <x:v>16.658821163024307</x:v>
      </x:c>
      <x:c r="D35" s="13" t="n">
        <x:f>Inputs!D167/Inputs!$B$2*1000</x:f>
        <x:v>27.201781231973143</x:v>
      </x:c>
      <x:c r="E35" s="14" t="str">
        <x:v>Foreground, includes display time</x:v>
      </x:c>
      <x:c r="F35" s="14" t="str">
        <x:v>Consumes current camera, terrain events and actors; writes inactive pattern/color/name tables.</x:v>
      </x:c>
    </x:row>
    <x:row r="36" ht="44" customHeight="1">
      <x:c r="A36" s="2" t="str">
        <x:v>wait_blank</x:v>
      </x:c>
      <x:c r="B36" s="13" t="n">
        <x:f>Inputs!B168/Inputs!$B$2*1000</x:f>
        <x:v>11.748364850050539</x:v>
      </x:c>
      <x:c r="C36" s="13" t="n">
        <x:f>Inputs!C168/Inputs!$B$2*1000</x:f>
        <x:v>15.10387493382126</x:v>
      </x:c>
      <x:c r="D36" s="13" t="n">
        <x:f>Inputs!D168/Inputs!$B$2*1000</x:f>
        <x:v>16.472763996540962</x:v>
      </x:c>
      <x:c r="E36" s="14" t="str">
        <x:v>HALT / synchronization</x:v>
      </x:c>
      <x:c r="F36" s="14" t="str">
        <x:v>Wait cycles are idle time; moving CPU work inside this wait requires a bounded producer and correct publication.</x:v>
      </x:c>
    </x:row>
    <x:row r="37" ht="44" customHeight="1">
      <x:c r="A37" s="2" t="str">
        <x:v>commit</x:v>
      </x:c>
      <x:c r="B37" s="13" t="n">
        <x:f>Inputs!B169/Inputs!$B$2*1000</x:f>
        <x:v>1.0464249177331588</x:v>
      </x:c>
      <x:c r="C37" s="13" t="n">
        <x:f>Inputs!C169/Inputs!$B$2*1000</x:f>
        <x:v>1.150146177799627</x:v>
      </x:c>
      <x:c r="D37" s="13" t="n">
        <x:f>Inputs!D169/Inputs!$B$2*1000</x:f>
        <x:v>1.9382351667616147</x:v>
      </x:c>
      <x:c r="E37" s="14" t="str">
        <x:v>Fresh VBlank</x:v>
      </x:c>
      <x:c r="F37" s="14" t="str">
        <x:v>Publish registers and HUD/world SAT; every measured commit wholly fits VR.</x:v>
      </x:c>
    </x:row>
    <x:row r="38" ht="25" customHeight="1">
      <x:c r="A38" s="2"/>
      <x:c r="B38" s="2"/>
      <x:c r="C38" s="2"/>
      <x:c r="D38" s="2"/>
      <x:c r="E38" s="2"/>
      <x:c r="F38" s="2"/>
    </x:row>
    <x:row r="39" ht="25" customHeight="1">
      <x:c r="A39" s="2"/>
      <x:c r="B39" s="2"/>
      <x:c r="C39" s="2"/>
      <x:c r="D39" s="2"/>
      <x:c r="E39" s="2"/>
      <x:c r="F39" s="2"/>
    </x:row>
    <x:row r="40" ht="25" customHeight="1">
      <x:c r="A40" s="2" t="str">
        <x:v>Ranking uses disjoint SELF time per late frame. Max call is INCLUSIVE and must not be added to parent/child maxima.</x:v>
      </x:c>
      <x:c r="B40" s="2"/>
      <x:c r="C40" s="2"/>
      <x:c r="D40" s="2"/>
      <x:c r="E40" s="2"/>
      <x:c r="F40" s="2"/>
    </x:row>
    <x:row r="41" ht="25" customHeight="1">
      <x:c r="A41" s="2" t="str">
        <x:v>Late = actual publication after more than two refresh edges. Ready margin uses the preceding publish edge and wait_blank entry.</x:v>
      </x:c>
      <x:c r="B41" s="2"/>
      <x:c r="C41" s="2"/>
      <x:c r="D41" s="2"/>
      <x:c r="E41" s="2"/>
      <x:c r="F41" s="2"/>
    </x:row>
    <x:row r="42" ht="25" customHeight="1">
      <x:c r="A42" s="2" t="str">
        <x:v>Averages hide overload: optimize the measured late-frame path before moving unrelated cheap event/music work.</x:v>
      </x:c>
      <x:c r="B42" s="2"/>
      <x:c r="C42" s="2"/>
      <x:c r="D42" s="2"/>
      <x:c r="E42" s="2"/>
      <x:c r="F42" s="2"/>
    </x:row>
    <x:row r="43" ht="25" customHeight="1">
      <x:c r="A43" s="2" t="str">
        <x:v>Earlier scheduling helps only when it reuses work, removes waiting safely, or moves work outside the critical path with validated semantics.</x:v>
      </x:c>
      <x:c r="B43" s="2"/>
      <x:c r="C43" s="2"/>
      <x:c r="D43" s="2"/>
      <x:c r="E43" s="2"/>
      <x:c r="F43" s="2"/>
    </x:row>
    <x:row r="44" ht="25" customHeight="1">
      <x:c r="A44" s="2" t="str">
        <x:v>Applied: cache four exact fine phases in VRAM; exclude visible set from all background writes. No pause or cadence reduction.</x:v>
      </x:c>
      <x:c r="B44" s="2"/>
      <x:c r="C44" s="2"/>
      <x:c r="D44" s="2"/>
      <x:c r="E44" s="2"/>
      <x:c r="F44" s="2"/>
    </x:row>
    <x:row r="45" ht="25" customHeight="1">
      <x:c r="A45" s="2" t="str">
        <x:v>Source: references/experiments/raster-phase-ooxym__m/endpoints.json</x:v>
      </x:c>
      <x:c r="B45" s="2"/>
      <x:c r="C45" s="2"/>
      <x:c r="D45" s="2"/>
      <x:c r="E45" s="2"/>
      <x:c r="F45" s="2"/>
    </x:row>
    <x:row r="46" ht="25" customHeight="1">
      <x:c r="A46" s="2"/>
      <x:c r="B46" s="2"/>
      <x:c r="C46" s="2"/>
      <x:c r="D46" s="2"/>
      <x:c r="E46" s="2"/>
      <x:c r="F46" s="2"/>
    </x:row>
    <x:row r="47" ht="25" customHeight="1">
      <x:c r="A47" s="2"/>
      <x:c r="B47" s="2"/>
      <x:c r="C47" s="2"/>
      <x:c r="D47" s="2"/>
      <x:c r="E47" s="2"/>
      <x:c r="F47" s="2"/>
    </x:row>
    <x:row r="48" ht="42" customHeight="1">
      <x:c r="A48" s="9" t="str">
        <x:v>Transfer bytes</x:v>
      </x:c>
      <x:c r="B48" s="9" t="str">
        <x:v>Inline OTIR cycles</x:v>
      </x:c>
      <x:c r="C48" s="9" t="str">
        <x:v>CALL/helper cycles</x:v>
      </x:c>
      <x:c r="D48" s="9" t="str">
        <x:v>Saved cycles</x:v>
      </x:c>
      <x:c r="E48" s="9" t="str">
        <x:v>Saved ms</x:v>
      </x:c>
      <x:c r="F48" s="9" t="str">
        <x:v>Isolated helper scope</x:v>
      </x:c>
    </x:row>
    <x:row r="49" ht="25" customHeight="1">
      <x:c r="A49" s="2" t="n">
        <x:v>32</x:v>
      </x:c>
      <x:c r="B49" s="3" t="n">
        <x:f>Inputs!B173-11</x:f>
        <x:v>763</x:v>
      </x:c>
      <x:c r="C49" s="3" t="n">
        <x:f>Inputs!C173+18</x:f>
        <x:v>711</x:v>
      </x:c>
      <x:c r="D49" s="3" t="n">
        <x:f>B49-C49</x:f>
        <x:v>52</x:v>
      </x:c>
      <x:c r="E49" s="13" t="n">
        <x:f>D49/Inputs!$B$2*1000</x:f>
        <x:v>0.014526985971680758</x:v>
      </x:c>
      <x:c r="F49" s="2" t="str">
        <x:v>47 bytes of code, no RAM; same compiled helper as the gameplay ROM</x:v>
      </x:c>
    </x:row>
    <x:row r="50" ht="25" customHeight="1">
      <x:c r="A50" s="2" t="n">
        <x:v>64</x:v>
      </x:c>
      <x:c r="B50" s="3" t="n">
        <x:f>Inputs!B174-11</x:f>
        <x:v>1531</x:v>
      </x:c>
      <x:c r="C50" s="3" t="n">
        <x:f>Inputs!C174+18</x:f>
        <x:v>1371</x:v>
      </x:c>
      <x:c r="D50" s="3" t="n">
        <x:f>B50-C50</x:f>
        <x:v>160</x:v>
      </x:c>
      <x:c r="E50" s="13" t="n">
        <x:f>D50/Inputs!$B$2*1000</x:f>
        <x:v>0.04469841837440233</x:v>
      </x:c>
      <x:c r="F50" s="2" t="str">
        <x:v>47 bytes of code, no RAM; same compiled helper as the gameplay ROM</x:v>
      </x:c>
    </x:row>
    <x:row r="51" ht="25" customHeight="1">
      <x:c r="A51" s="2" t="n">
        <x:v>128</x:v>
      </x:c>
      <x:c r="B51" s="3" t="n">
        <x:f>Inputs!B175-11</x:f>
        <x:v>3067</x:v>
      </x:c>
      <x:c r="C51" s="3" t="n">
        <x:f>Inputs!C175+18</x:f>
        <x:v>2691</x:v>
      </x:c>
      <x:c r="D51" s="3" t="n">
        <x:f>B51-C51</x:f>
        <x:v>376</x:v>
      </x:c>
      <x:c r="E51" s="13" t="n">
        <x:f>D51/Inputs!$B$2*1000</x:f>
        <x:v>0.10504128317984548</x:v>
      </x:c>
      <x:c r="F51" s="2" t="str">
        <x:v>47 bytes of code, no RAM; same compiled helper as the gameplay ROM</x:v>
      </x:c>
    </x:row>
    <x:row r="52" ht="25" customHeight="1">
      <x:c r="A52" s="2" t="n">
        <x:v>255</x:v>
      </x:c>
      <x:c r="B52" s="3" t="n">
        <x:f>Inputs!B176-11</x:f>
        <x:v>6115</x:v>
      </x:c>
      <x:c r="C52" s="3" t="n">
        <x:f>Inputs!C176+18</x:f>
        <x:v>5361</x:v>
      </x:c>
      <x:c r="D52" s="3" t="n">
        <x:f>B52-C52</x:f>
        <x:v>754</x:v>
      </x:c>
      <x:c r="E52" s="13" t="n">
        <x:f>D52/Inputs!$B$2*1000</x:f>
        <x:v>0.210641296589371</x:v>
      </x:c>
      <x:c r="F52" s="2" t="str">
        <x:v>47 bytes of code, no RAM; same compiled helper as the gameplay ROM</x:v>
      </x:c>
    </x:row>
    <x:row r="53" ht="25" customHeight="1">
      <x:c r="A53" s="2"/>
      <x:c r="B53" s="2"/>
      <x:c r="C53" s="2"/>
      <x:c r="D53" s="2"/>
      <x:c r="E53" s="2"/>
      <x:c r="F53" s="2"/>
    </x:row>
    <x:row r="54" ht="25" customHeight="1">
      <x:c r="A54" s="2" t="str">
        <x:v>CPU cost correction: RET=11 and CALL=18 cycles in this measured model. Lengths1..31 can cost more; integration is accepted by route timing.</x:v>
      </x:c>
      <x:c r="B54" s="2"/>
      <x:c r="C54" s="2"/>
      <x:c r="D54" s="2"/>
      <x:c r="E54" s="2"/>
      <x:c r="F54" s="2"/>
    </x:row>
    <x:row r="55" ht="25" customHeight="1">
      <x:c r="A55" s="2" t="str">
        <x:v>Helper time remains inside HUD/border owners above; do not add this isolated table to the frame ledger.</x:v>
      </x:c>
      <x:c r="B55" s="2"/>
      <x:c r="C55" s="2"/>
      <x:c r="D55" s="2"/>
      <x:c r="E55" s="2"/>
      <x:c r="F55" s="2"/>
    </x:row>
    <x:row r="56" ht="25" customHeight="1">
      <x:c r="A56" s="2" t="str">
        <x:v>Source: /Users/sandersouza/.codex/worktrees/fixed-hud-lab/newrallyx/outputs/fixed-hud/packet-fast-root/native-result.json</x:v>
      </x:c>
      <x:c r="B56" s="2"/>
      <x:c r="C56" s="2"/>
      <x:c r="D56" s="2"/>
      <x:c r="E56" s="2"/>
      <x:c r="F56" s="2"/>
    </x:row>
    <x:row r="57" ht="25" customHeight="1">
      <x:c r="A57" s="2"/>
      <x:c r="B57" s="2"/>
      <x:c r="C57" s="2"/>
      <x:c r="D57" s="2"/>
      <x:c r="E57" s="2"/>
      <x:c r="F57" s="2"/>
    </x:row>
    <x:row r="58" ht="25" customHeight="1">
      <x:c r="A58" s="2"/>
      <x:c r="B58" s="2"/>
      <x:c r="C58" s="2"/>
      <x:c r="D58" s="2"/>
      <x:c r="E58" s="2"/>
      <x:c r="F58" s="2"/>
    </x:row>
    <x:row r="59" ht="42" customHeight="1">
      <x:c r="A59" s="9" t="str">
        <x:v>Phase cache resource / proof</x:v>
      </x:c>
      <x:c r="B59" s="9" t="str">
        <x:v>Before</x:v>
      </x:c>
      <x:c r="C59" s="9" t="str">
        <x:v>Current</x:v>
      </x:c>
      <x:c r="D59" s="9" t="str">
        <x:v>Unit</x:v>
      </x:c>
      <x:c r="E59" s="9" t="str">
        <x:v>Window</x:v>
      </x:c>
      <x:c r="F59" s="9" t="str">
        <x:v>Interpretation</x:v>
      </x:c>
    </x:row>
    <x:row r="60" ht="42" customHeight="1">
      <x:c r="A60" s="2" t="str">
        <x:v>Pattern/color sets</x:v>
      </x:c>
      <x:c r="B60" s="3" t="n">
        <x:v>2</x:v>
      </x:c>
      <x:c r="C60" s="3" t="n">
        <x:v>4</x:v>
      </x:c>
      <x:c r="D60" s="2" t="str">
        <x:v>sets</x:v>
      </x:c>
      <x:c r="E60" s="2" t="str">
        <x:v>Foreground</x:v>
      </x:c>
      <x:c r="F60" s="14" t="str">
        <x:v>Every selected set differs from the visible set.</x:v>
      </x:c>
    </x:row>
    <x:row r="61" ht="42" customHeight="1">
      <x:c r="A61" s="2" t="str">
        <x:v>Name tables</x:v>
      </x:c>
      <x:c r="B61" s="3" t="n">
        <x:v>2</x:v>
      </x:c>
      <x:c r="C61" s="3" t="n">
        <x:v>2</x:v>
      </x:c>
      <x:c r="D61" s="2" t="str">
        <x:v>tables</x:v>
      </x:c>
      <x:c r="E61" s="2" t="str">
        <x:v>Foreground</x:v>
      </x:c>
      <x:c r="F61" s="14" t="str">
        <x:v>Existing two independent terrain name queues.</x:v>
      </x:c>
    </x:row>
    <x:row r="62" ht="42" customHeight="1">
      <x:c r="A62" s="2" t="str">
        <x:v>Extra CPU RAM</x:v>
      </x:c>
      <x:c r="B62" s="3" t="n">
        <x:v>0</x:v>
      </x:c>
      <x:c r="C62" s="3" t="n">
        <x:v>7</x:v>
      </x:c>
      <x:c r="D62" s="2" t="str">
        <x:v>bytes</x:v>
      </x:c>
      <x:c r="E62" s="2" t="str">
        <x:v>C027..C02D</x:v>
      </x:c>
      <x:c r="F62" s="14" t="str">
        <x:v>Four phase keys, selected/visible set and victim cursor.</x:v>
      </x:c>
    </x:row>
    <x:row r="63" ht="42" customHeight="1">
      <x:c r="A63" s="2" t="str">
        <x:v>Extra initialized VRAM</x:v>
      </x:c>
      <x:c r="B63" s="3" t="n">
        <x:v>0</x:v>
      </x:c>
      <x:c r="C63" s="3" t="n">
        <x:v>8192</x:v>
      </x:c>
      <x:c r="D63" s="2" t="str">
        <x:v>bytes</x:v>
      </x:c>
      <x:c r="E63" s="2" t="str">
        <x:v>Upper64KiB</x:v>
      </x:c>
      <x:c r="F63" s="14" t="str">
        <x:v>Two additional exact terrain/pattern/color sets.</x:v>
      </x:c>
    </x:row>
    <x:row r="64" ht="42" customHeight="1">
      <x:c r="A64" s="2" t="str">
        <x:v>Cartridge size</x:v>
      </x:c>
      <x:c r="B64" s="3" t="n">
        <x:v>3520</x:v>
      </x:c>
      <x:c r="C64" s="3" t="n">
        <x:v>3520</x:v>
      </x:c>
      <x:c r="D64" s="2" t="str">
        <x:v>KiB</x:v>
      </x:c>
      <x:c r="E64" s="2" t="str">
        <x:v>ROM</x:v>
      </x:c>
      <x:c r="F64" s="14" t="str">
        <x:v>Resident code fits existing bank; immutable graphics payloads unchanged.</x:v>
      </x:c>
    </x:row>
    <x:row r="65" ht="42" customHeight="1">
      <x:c r="A65" s="2" t="str">
        <x:v>Native exact transition cases</x:v>
      </x:c>
      <x:c r="B65" s="3"/>
      <x:c r="C65" s="3" t="n">
        <x:v>16640</x:v>
      </x:c>
      <x:c r="D65" s="2" t="str">
        <x:v>cases</x:v>
      </x:c>
      <x:c r="E65" s="2" t="str">
        <x:v>Display on</x:v>
      </x:c>
      <x:c r="F65" s="14" t="str">
        <x:v>All64x65 transitions and cold starts in all4 physical sets; full128KiB guards.</x:v>
      </x:c>
    </x:row>
    <x:row r="66" ht="42" customHeight="1">
      <x:c r="A66" s="2" t="str">
        <x:v>Live visible-set guards</x:v>
      </x:c>
      <x:c r="B66" s="3"/>
      <x:c r="C66" s="3" t="n">
        <x:v>1247</x:v>
      </x:c>
      <x:c r="D66" s="2" t="str">
        <x:v>renders</x:v>
      </x:c>
      <x:c r="E66" s="2" t="str">
        <x:v>Gameplay route</x:v>
      </x:c>
      <x:c r="F66" s="14" t="str">
        <x:v>Visible pattern/color bytes unchanged before/after every render.</x:v>
      </x:c>
    </x:row>
    <x:row r="67" ht="42" customHeight="1">
      <x:c r="A67" s="2" t="str">
        <x:v>Exact phase cache hits</x:v>
      </x:c>
      <x:c r="B67" s="3"/>
      <x:c r="C67" s="3" t="n">
        <x:v>1231</x:v>
      </x:c>
      <x:c r="D67" s="2" t="str">
        <x:v>renders</x:v>
      </x:c>
      <x:c r="E67" s="2" t="str">
        <x:v>Gameplay route</x:v>
      </x:c>
      <x:c r="F67" s="14" t="str">
        <x:v>Reuse phase bytes; dynamic radar remains current.</x:v>
      </x:c>
    </x:row>
    <x:row r="68" ht="25" customHeight="1">
      <x:c r="A68" s="2"/>
      <x:c r="B68" s="2"/>
      <x:c r="C68" s="2"/>
      <x:c r="D68" s="2"/>
      <x:c r="E68" s="2"/>
      <x:c r="F68" s="2"/>
    </x:row>
    <x:row r="69" ht="25" customHeight="1">
      <x:c r="A69" s="2" t="str">
        <x:v>Proof: outputs/fixed-hud/phase-cache-proof.json; first-stage emulator workload, no physical hardware claim.</x:v>
      </x:c>
      <x:c r="B69" s="2"/>
      <x:c r="C69" s="2"/>
      <x:c r="D69" s="2"/>
      <x:c r="E69" s="2"/>
      <x:c r="F69" s="2"/>
    </x:row>
    <x:row r="70" ht="25" customHeight="1">
      <x:c r="A70" s="2" t="str">
        <x:v>Late frames remain. Shared game-session/UI integration is tracked separately and is not included in this first-stage measurement.</x:v>
      </x:c>
      <x:c r="B70" s="2"/>
      <x:c r="C70" s="2"/>
      <x:c r="D70" s="2"/>
      <x:c r="E70" s="2"/>
      <x:c r="F70" s="2"/>
    </x:row>
    <x:row r="71" ht="25" customHeight="1">
      <x:c r="A71" s="2"/>
      <x:c r="B71" s="2"/>
      <x:c r="C71" s="2"/>
      <x:c r="D71" s="2"/>
      <x:c r="E71" s="2"/>
      <x:c r="F71" s="2"/>
    </x:row>
    <x:row r="72" ht="25" customHeight="1">
      <x:c r="A72" s="2"/>
      <x:c r="B72" s="2"/>
      <x:c r="C72" s="2"/>
      <x:c r="D72" s="2"/>
      <x:c r="E72" s="2"/>
      <x:c r="F72" s="2"/>
    </x:row>
    <x:row r="73" ht="25" customHeight="1">
      <x:c r="A73" s="2"/>
      <x:c r="B73" s="2"/>
      <x:c r="C73" s="2"/>
      <x:c r="D73" s="2"/>
      <x:c r="E73" s="2"/>
      <x:c r="F73" s="2"/>
    </x:row>
    <x:row r="74" ht="25" customHeight="1">
      <x:c r="A74" s="2"/>
      <x:c r="B74" s="2"/>
      <x:c r="C74" s="2"/>
      <x:c r="D74" s="2"/>
      <x:c r="E74" s="2"/>
      <x:c r="F74" s="2"/>
    </x:row>
    <x:row r="75" ht="25" customHeight="1">
      <x:c r="A75" s="2"/>
      <x:c r="B75" s="2"/>
      <x:c r="C75" s="2"/>
      <x:c r="D75" s="2"/>
      <x:c r="E75" s="2"/>
      <x:c r="F75" s="2"/>
    </x:row>
    <x:row r="76" ht="25" customHeight="1">
      <x:c r="A76" s="2"/>
      <x:c r="B76" s="2"/>
      <x:c r="C76" s="2"/>
      <x:c r="D76" s="2"/>
      <x:c r="E76" s="2"/>
      <x:c r="F7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91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11" t="str">
        <x:v>Measured component costs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12" t="str">
        <x:v>Milliseconds per presented gameplay frame; 3 enemies unless the scope specifies otherwise.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9" t="str">
        <x:v>Component</x:v>
      </x:c>
      <x:c r="B5" s="9" t="str">
        <x:v>Mean/frame ms</x:v>
      </x:c>
      <x:c r="C5" s="9" t="str">
        <x:v>P95/frame ms</x:v>
      </x:c>
      <x:c r="D5" s="9" t="str">
        <x:v>Max/frame ms</x:v>
      </x:c>
      <x:c r="E5" s="9" t="str">
        <x:v>Mean/call ms</x:v>
      </x:c>
      <x:c r="F5" s="9" t="str">
        <x:v>Max/call ms</x:v>
      </x:c>
      <x:c r="G5" s="9" t="str">
        <x:v>Calls/frame</x:v>
      </x:c>
      <x:c r="H5" s="9" t="str">
        <x:v>Scope / ownership</x:v>
      </x:c>
    </x:row>
    <x:row r="6" ht="38" customHeight="1">
      <x:c r="A6" s="2" t="str">
        <x:v>Player graphics</x:v>
      </x:c>
      <x:c r="B6" s="13" t="n">
        <x:f>Inputs!E42/Inputs!$B$2*1000</x:f>
        <x:v>0.43187924858197235</x:v>
      </x:c>
      <x:c r="C6" s="13" t="n">
        <x:f>Inputs!F42/Inputs!$B$2*1000</x:f>
        <x:v>0.9696763136055278</x:v>
      </x:c>
      <x:c r="D6" s="13" t="n">
        <x:f>Inputs!G42/Inputs!$B$2*1000</x:f>
        <x:v>0.9696763136180163</x:v>
      </x:c>
      <x:c r="E6" s="13" t="n">
        <x:f>Inputs!H42/Inputs!$B$2*1000</x:f>
        <x:v>0.43187924858197235</x:v>
      </x:c>
      <x:c r="F6" s="13" t="n">
        <x:f>Inputs!J42/Inputs!$B$2*1000</x:f>
        <x:v>0.9696763136180163</x:v>
      </x:c>
      <x:c r="G6" s="5" t="n">
        <x:f>Inputs!D42</x:f>
        <x:v>1</x:v>
      </x:c>
      <x:c r="H6" s="14" t="str">
        <x:v>1-enemy diagnostic, actual per-frame sum; shared dispatch/SAT/motion excluded</x:v>
      </x:c>
    </x:row>
    <x:row r="7" ht="38" customHeight="1">
      <x:c r="A7" s="2" t="str">
        <x:v>1 enemy graphics</x:v>
      </x:c>
      <x:c r="B7" s="13" t="n">
        <x:f>Inputs!E43/Inputs!$B$2*1000</x:f>
        <x:v>0.18230532803110408</x:v>
      </x:c>
      <x:c r="C7" s="13" t="n">
        <x:f>Inputs!F43/Inputs!$B$2*1000</x:f>
        <x:v>0.369320681826825</x:v>
      </x:c>
      <x:c r="D7" s="13" t="n">
        <x:f>Inputs!G43/Inputs!$B$2*1000</x:f>
        <x:v>3.210743264856288</x:v>
      </x:c>
      <x:c r="E7" s="13" t="n">
        <x:f>Inputs!H43/Inputs!$B$2*1000</x:f>
        <x:v>0.18230532803110408</x:v>
      </x:c>
      <x:c r="F7" s="13" t="n">
        <x:f>Inputs!J43/Inputs!$B$2*1000</x:f>
        <x:v>3.210743264856288</x:v>
      </x:c>
      <x:c r="G7" s="5" t="n">
        <x:f>Inputs!D43</x:f>
        <x:v>1</x:v>
      </x:c>
      <x:c r="H7" s="14" t="str">
        <x:v>1-enemy diagnostic, actual per-frame sum; shared dispatch/SAT/motion excluded</x:v>
      </x:c>
    </x:row>
    <x:row r="8" ht="38" customHeight="1">
      <x:c r="A8" s="2" t="str">
        <x:v>1 enemy AI decisions</x:v>
      </x:c>
      <x:c r="B8" s="13" t="n">
        <x:f>Inputs!E44/Inputs!$B$2*1000</x:f>
        <x:v>0.16139393071030128</x:v>
      </x:c>
      <x:c r="C8" s="13" t="n">
        <x:f>Inputs!F44/Inputs!$B$2*1000</x:f>
        <x:v>0.6187937293727138</x:v>
      </x:c>
      <x:c r="D8" s="13" t="n">
        <x:f>Inputs!G44/Inputs!$B$2*1000</x:f>
        <x:v>0.8366985189458437</x:v>
      </x:c>
      <x:c r="E8" s="13" t="n">
        <x:f>Inputs!H44/Inputs!$B$2*1000</x:f>
        <x:v>0.2813965750157738</x:v>
      </x:c>
      <x:c r="F8" s="13" t="n">
        <x:f>Inputs!J44/Inputs!$B$2*1000</x:f>
        <x:v>0.8366985189458437</x:v>
      </x:c>
      <x:c r="G8" s="5" t="n">
        <x:f>Inputs!D44</x:f>
        <x:v>0.5735461801596351</x:v>
      </x:c>
      <x:c r="H8" s="14" t="str">
        <x:v>1-enemy diagnostic, actual per-frame sum; shared dispatch/SAT/motion excluded</x:v>
      </x:c>
    </x:row>
    <x:row r="9" ht="38" customHeight="1">
      <x:c r="A9" s="2" t="str">
        <x:v>Player graphics</x:v>
      </x:c>
      <x:c r="B9" s="13" t="n">
        <x:f>Inputs!E45/Inputs!$B$2*1000</x:f>
        <x:v>0.44820020194693844</x:v>
      </x:c>
      <x:c r="C9" s="13" t="n">
        <x:f>Inputs!F45/Inputs!$B$2*1000</x:f>
        <x:v>0.9696763136096906</x:v>
      </x:c>
      <x:c r="D9" s="13" t="n">
        <x:f>Inputs!G45/Inputs!$B$2*1000</x:f>
        <x:v>0.9696763136180163</x:v>
      </x:c>
      <x:c r="E9" s="13" t="n">
        <x:f>Inputs!H45/Inputs!$B$2*1000</x:f>
        <x:v>0.44820020194693844</x:v>
      </x:c>
      <x:c r="F9" s="13" t="n">
        <x:f>Inputs!J45/Inputs!$B$2*1000</x:f>
        <x:v>0.9696763136180163</x:v>
      </x:c>
      <x:c r="G9" s="5" t="n">
        <x:f>Inputs!D45</x:f>
        <x:v>1</x:v>
      </x:c>
      <x:c r="H9" s="14" t="str">
        <x:v>2-enemy diagnostic, actual per-frame sum; shared dispatch/SAT/motion excluded</x:v>
      </x:c>
    </x:row>
    <x:row r="10" ht="38" customHeight="1">
      <x:c r="A10" s="2" t="str">
        <x:v>2 enemy graphics</x:v>
      </x:c>
      <x:c r="B10" s="13" t="n">
        <x:f>Inputs!E46/Inputs!$B$2*1000</x:f>
        <x:v>0.5735533615813646</x:v>
      </x:c>
      <x:c r="C10" s="13" t="n">
        <x:f>Inputs!F46/Inputs!$B$2*1000</x:f>
        <x:v>2.1424510657163975</x:v>
      </x:c>
      <x:c r="D10" s="13" t="n">
        <x:f>Inputs!G46/Inputs!$B$2*1000</x:f>
        <x:v>5.880635667373981</x:v>
      </x:c>
      <x:c r="E10" s="13" t="n">
        <x:f>Inputs!H46/Inputs!$B$2*1000</x:f>
        <x:v>0.2867766807906823</x:v>
      </x:c>
      <x:c r="F10" s="13" t="n">
        <x:f>Inputs!J46/Inputs!$B$2*1000</x:f>
        <x:v>5.154565733921435</x:v>
      </x:c>
      <x:c r="G10" s="5" t="n">
        <x:f>Inputs!D46</x:f>
        <x:v>2</x:v>
      </x:c>
      <x:c r="H10" s="14" t="str">
        <x:v>2-enemy diagnostic, actual per-frame sum; shared dispatch/SAT/motion excluded</x:v>
      </x:c>
    </x:row>
    <x:row r="11" ht="38" customHeight="1">
      <x:c r="A11" s="2" t="str">
        <x:v>2 enemy AI decisions</x:v>
      </x:c>
      <x:c r="B11" s="13" t="n">
        <x:f>Inputs!E47/Inputs!$B$2*1000</x:f>
        <x:v>0.2927530143726253</x:v>
      </x:c>
      <x:c r="C11" s="13" t="n">
        <x:f>Inputs!F47/Inputs!$B$2*1000</x:f>
        <x:v>0.8730159838750455</x:v>
      </x:c>
      <x:c r="D11" s="13" t="n">
        <x:f>Inputs!G47/Inputs!$B$2*1000</x:f>
        <x:v>1.3529652511701906</x:v>
      </x:c>
      <x:c r="E11" s="13" t="n">
        <x:f>Inputs!H47/Inputs!$B$2*1000</x:f>
        <x:v>0.21061111563508406</x:v>
      </x:c>
      <x:c r="F11" s="13" t="n">
        <x:f>Inputs!J47/Inputs!$B$2*1000</x:f>
        <x:v>0.772444542533681</x:v>
      </x:c>
      <x:c r="G11" s="5" t="n">
        <x:f>Inputs!D47</x:f>
        <x:v>1.3900169204737733</x:v>
      </x:c>
      <x:c r="H11" s="14" t="str">
        <x:v>2-enemy diagnostic, actual per-frame sum; shared dispatch/SAT/motion excluded</x:v>
      </x:c>
    </x:row>
    <x:row r="12" ht="38" customHeight="1">
      <x:c r="A12" s="2" t="str">
        <x:v>Player graphics</x:v>
      </x:c>
      <x:c r="B12" s="13" t="n">
        <x:f>Inputs!E48/Inputs!$B$2*1000</x:f>
        <x:v>0.4961744749397694</x:v>
      </x:c>
      <x:c r="C12" s="13" t="n">
        <x:f>Inputs!F48/Inputs!$B$2*1000</x:f>
        <x:v>0.9696763136096906</x:v>
      </x:c>
      <x:c r="D12" s="13" t="n">
        <x:f>Inputs!G48/Inputs!$B$2*1000</x:f>
        <x:v>0.9696763136180163</x:v>
      </x:c>
      <x:c r="E12" s="13" t="n">
        <x:f>Inputs!H48/Inputs!$B$2*1000</x:f>
        <x:v>0.4961744749397694</x:v>
      </x:c>
      <x:c r="F12" s="13" t="n">
        <x:f>Inputs!J48/Inputs!$B$2*1000</x:f>
        <x:v>0.9696763136180163</x:v>
      </x:c>
      <x:c r="G12" s="5" t="n">
        <x:f>Inputs!D48</x:f>
        <x:v>1</x:v>
      </x:c>
      <x:c r="H12" s="14" t="str">
        <x:v>3-enemy diagnostic, actual per-frame sum; shared dispatch/SAT/motion excluded</x:v>
      </x:c>
    </x:row>
    <x:row r="13" ht="38" customHeight="1">
      <x:c r="A13" s="2" t="str">
        <x:v>3 enemy graphics</x:v>
      </x:c>
      <x:c r="B13" s="13" t="n">
        <x:f>Inputs!E49/Inputs!$B$2*1000</x:f>
        <x:v>0.7993963914323912</x:v>
      </x:c>
      <x:c r="C13" s="13" t="n">
        <x:f>Inputs!F49/Inputs!$B$2*1000</x:f>
        <x:v>2.782476543802382</x:v>
      </x:c>
      <x:c r="D13" s="13" t="n">
        <x:f>Inputs!G49/Inputs!$B$2*1000</x:f>
        <x:v>7.039442163739729</x:v>
      </x:c>
      <x:c r="E13" s="13" t="n">
        <x:f>Inputs!H49/Inputs!$B$2*1000</x:f>
        <x:v>0.266465463810797</x:v>
      </x:c>
      <x:c r="F13" s="13" t="n">
        <x:f>Inputs!J49/Inputs!$B$2*1000</x:f>
        <x:v>3.166882941826405</x:v>
      </x:c>
      <x:c r="G13" s="5" t="n">
        <x:f>Inputs!D49</x:f>
        <x:v>3</x:v>
      </x:c>
      <x:c r="H13" s="14" t="str">
        <x:v>3-enemy diagnostic, actual per-frame sum; shared dispatch/SAT/motion excluded</x:v>
      </x:c>
    </x:row>
    <x:row r="14" ht="38" customHeight="1">
      <x:c r="A14" s="2" t="str">
        <x:v>3 enemy AI decisions</x:v>
      </x:c>
      <x:c r="B14" s="13" t="n">
        <x:f>Inputs!E50/Inputs!$B$2*1000</x:f>
        <x:v>0.8325928003139087</x:v>
      </x:c>
      <x:c r="C14" s="13" t="n">
        <x:f>Inputs!F50/Inputs!$B$2*1000</x:f>
        <x:v>1.3892827160993926</x:v>
      </x:c>
      <x:c r="D14" s="13" t="n">
        <x:f>Inputs!G50/Inputs!$B$2*1000</x:f>
        <x:v>2.457574915243445</x:v>
      </x:c>
      <x:c r="E14" s="13" t="n">
        <x:f>Inputs!H50/Inputs!$B$2*1000</x:f>
        <x:v>0.27662198933282334</x:v>
      </x:c>
      <x:c r="F14" s="13" t="n">
        <x:f>Inputs!J50/Inputs!$B$2*1000</x:f>
        <x:v>0.8512255049216872</x:v>
      </x:c>
      <x:c r="G14" s="5" t="n">
        <x:f>Inputs!D50</x:f>
        <x:v>3.009857612267251</x:v>
      </x:c>
      <x:c r="H14" s="14" t="str">
        <x:v>3-enemy diagnostic, actual per-frame sum; shared dispatch/SAT/motion excluded</x:v>
      </x:c>
    </x:row>
    <x:row r="15" ht="38" customHeight="1">
      <x:c r="A15" s="2" t="str">
        <x:v>Simulation including audio</x:v>
      </x:c>
      <x:c r="B15" s="13" t="n">
        <x:f>Inputs!E7/Inputs!$B$2*1000</x:f>
        <x:v>7.031917970777175</x:v>
      </x:c>
      <x:c r="C15" s="13" t="n">
        <x:f>Inputs!F7/Inputs!$B$2*1000</x:f>
        <x:v>8.280382003862195</x:v>
      </x:c>
      <x:c r="D15" s="13" t="n">
        <x:f>Inputs!G7/Inputs!$B$2*1000</x:f>
        <x:v>20.84566613913117</x:v>
      </x:c>
      <x:c r="E15" s="13" t="n">
        <x:f>Inputs!H7/Inputs!$B$2*1000</x:f>
        <x:v>7.031917970777175</x:v>
      </x:c>
      <x:c r="F15" s="13" t="n">
        <x:f>Inputs!J7/Inputs!$B$2*1000</x:f>
        <x:v>20.84566613913117</x:v>
      </x:c>
      <x:c r="G15" s="5" t="n">
        <x:f>Inputs!D7</x:f>
        <x:v>1</x:v>
      </x:c>
      <x:c r="H15" s="14" t="str">
        <x:v>3 enemies; parent of logic/audio; do not add children</x:v>
      </x:c>
    </x:row>
    <x:row r="16" ht="38" customHeight="1">
      <x:c r="A16" s="2" t="str">
        <x:v>Gameplay tick</x:v>
      </x:c>
      <x:c r="B16" s="13" t="n">
        <x:f>Inputs!E8/Inputs!$B$2*1000</x:f>
        <x:v>5.876571256845241</x:v>
      </x:c>
      <x:c r="C16" s="13" t="n">
        <x:f>Inputs!F8/Inputs!$B$2*1000</x:f>
        <x:v>7.055086610169728</x:v>
      </x:c>
      <x:c r="D16" s="13" t="n">
        <x:f>Inputs!G8/Inputs!$B$2*1000</x:f>
        <x:v>19.73435171229863</x:v>
      </x:c>
      <x:c r="E16" s="13" t="n">
        <x:f>Inputs!H8/Inputs!$B$2*1000</x:f>
        <x:v>2.927064679487018</x:v>
      </x:c>
      <x:c r="F16" s="13" t="n">
        <x:f>Inputs!J8/Inputs!$B$2*1000</x:f>
        <x:v>17.83550702673105</x:v>
      </x:c>
      <x:c r="G16" s="5" t="n">
        <x:f>Inputs!D8</x:f>
        <x:v>2.0076670317634173</x:v>
      </x:c>
      <x:c r="H16" s="14" t="str">
        <x:v>3 enemies; flags, fuel, motion and collisions</x:v>
      </x:c>
    </x:row>
    <x:row r="17" ht="38" customHeight="1">
      <x:c r="A17" s="2" t="str">
        <x:v>Player steering / wall probes</x:v>
      </x:c>
      <x:c r="B17" s="13" t="n">
        <x:f>Inputs!E9/Inputs!$B$2*1000</x:f>
        <x:v>0.5603372675585732</x:v>
      </x:c>
      <x:c r="C17" s="13" t="n">
        <x:f>Inputs!F9/Inputs!$B$2*1000</x:f>
        <x:v>0.6403048432091506</x:v>
      </x:c>
      <x:c r="D17" s="13" t="n">
        <x:f>Inputs!G9/Inputs!$B$2*1000</x:f>
        <x:v>1.6312129055591709</x:v>
      </x:c>
      <x:c r="E17" s="13" t="n">
        <x:f>Inputs!H9/Inputs!$B$2*1000</x:f>
        <x:v>0.558502101835128</x:v>
      </x:c>
      <x:c r="F17" s="13" t="n">
        <x:f>Inputs!J9/Inputs!$B$2*1000</x:f>
        <x:v>1.1370160173988593</x:v>
      </x:c>
      <x:c r="G17" s="5" t="n">
        <x:f>Inputs!D9</x:f>
        <x:v>1.0032858707557504</x:v>
      </x:c>
      <x:c r="H17" s="14" t="str">
        <x:v>Player logic subset; original 9052 routine</x:v>
      </x:c>
    </x:row>
    <x:row r="18" ht="38" customHeight="1">
      <x:c r="A18" s="2" t="str">
        <x:v>Player velocity cap</x:v>
      </x:c>
      <x:c r="B18" s="13" t="n">
        <x:f>Inputs!E10/Inputs!$B$2*1000</x:f>
        <x:v>0.06092852179305694</x:v>
      </x:c>
      <x:c r="C18" s="13" t="n">
        <x:f>Inputs!F10/Inputs!$B$2*1000</x:f>
        <x:v>0.07682540658100401</x:v>
      </x:c>
      <x:c r="D18" s="13" t="n">
        <x:f>Inputs!G10/Inputs!$B$2*1000</x:f>
        <x:v>0.14024128764968732</x:v>
      </x:c>
      <x:c r="E18" s="13" t="n">
        <x:f>Inputs!H10/Inputs!$B$2*1000</x:f>
        <x:v>0.06072897423259933</x:v>
      </x:c>
      <x:c r="F18" s="13" t="n">
        <x:f>Inputs!J10/Inputs!$B$2*1000</x:f>
        <x:v>0.07682540658516687</x:v>
      </x:c>
      <x:c r="G18" s="5" t="n">
        <x:f>Inputs!D10</x:f>
        <x:v>1.0032858707557504</x:v>
      </x:c>
      <x:c r="H18" s="14" t="str">
        <x:v>Player logic subset; not all native motion</x:v>
      </x:c>
    </x:row>
    <x:row r="19" ht="38" customHeight="1">
      <x:c r="A19" s="2" t="str">
        <x:v>Camera pan logic</x:v>
      </x:c>
      <x:c r="B19" s="13" t="n">
        <x:f>Inputs!E11/Inputs!$B$2*1000</x:f>
        <x:v>0.11502193084219677</x:v>
      </x:c>
      <x:c r="C19" s="13" t="n">
        <x:f>Inputs!F11/Inputs!$B$2*1000</x:f>
        <x:v>0.12180319007649065</x:v>
      </x:c>
      <x:c r="D19" s="13" t="n">
        <x:f>Inputs!G11/Inputs!$B$2*1000</x:f>
        <x:v>0.24360638014465558</x:v>
      </x:c>
      <x:c r="E19" s="13" t="n">
        <x:f>Inputs!H11/Inputs!$B$2*1000</x:f>
        <x:v>0.028645669083176662</x:v>
      </x:c>
      <x:c r="F19" s="13" t="n">
        <x:f>Inputs!J11/Inputs!$B$2*1000</x:f>
        <x:v>0.036317464937527626</x:v>
      </x:c>
      <x:c r="G19" s="5" t="n">
        <x:f>Inputs!D11</x:f>
        <x:v>4.015334063526835</x:v>
      </x:c>
      <x:c r="H19" s="14" t="str">
        <x:v>Camera movement calculation; no drawing</x:v>
      </x:c>
    </x:row>
    <x:row r="20" ht="38" customHeight="1">
      <x:c r="A20" s="2" t="str">
        <x:v>Player / camera projection</x:v>
      </x:c>
      <x:c r="B20" s="13" t="n">
        <x:f>Inputs!E12/Inputs!$B$2*1000</x:f>
        <x:v>0.247205998115278</x:v>
      </x:c>
      <x:c r="C20" s="13" t="n">
        <x:f>Inputs!F12/Inputs!$B$2*1000</x:f>
        <x:v>0.25142860335601314</x:v>
      </x:c>
      <x:c r="D20" s="13" t="n">
        <x:f>Inputs!G12/Inputs!$B$2*1000</x:f>
        <x:v>0.25142860336433887</x:v>
      </x:c>
      <x:c r="E20" s="13" t="n">
        <x:f>Inputs!H12/Inputs!$B$2*1000</x:f>
        <x:v>0.247205998115278</x:v>
      </x:c>
      <x:c r="F20" s="13" t="n">
        <x:f>Inputs!J12/Inputs!$B$2*1000</x:f>
        <x:v>0.25142860336433887</x:v>
      </x:c>
      <x:c r="G20" s="5" t="n">
        <x:f>Inputs!D12</x:f>
        <x:v>1</x:v>
      </x:c>
      <x:c r="H20" s="14" t="str">
        <x:v>Coordinate conversion and camera clamp</x:v>
      </x:c>
    </x:row>
    <x:row r="21" ht="38" customHeight="1">
      <x:c r="A21" s="2" t="str">
        <x:v>Enemy AI dispatcher</x:v>
      </x:c>
      <x:c r="B21" s="13" t="n">
        <x:f>Inputs!E13/Inputs!$B$2*1000</x:f>
        <x:v>1.0279761106474867</x:v>
      </x:c>
      <x:c r="C21" s="13" t="n">
        <x:f>Inputs!F13/Inputs!$B$2*1000</x:f>
        <x:v>1.5840002011428826</x:v>
      </x:c>
      <x:c r="D21" s="13" t="n">
        <x:f>Inputs!G13/Inputs!$B$2*1000</x:f>
        <x:v>2.8232638505731873</x:v>
      </x:c>
      <x:c r="E21" s="13" t="n">
        <x:f>Inputs!H13/Inputs!$B$2*1000</x:f>
        <x:v>0.5120251985931018</x:v>
      </x:c>
      <x:c r="F21" s="13" t="n">
        <x:f>Inputs!J13/Inputs!$B$2*1000</x:f>
        <x:v>1.9468954853158986</x:v>
      </x:c>
      <x:c r="G21" s="5" t="n">
        <x:f>Inputs!D13</x:f>
        <x:v>2.0076670317634173</x:v>
      </x:c>
      <x:c r="H21" s="14" t="str">
        <x:v>3 enemies; includes individual AI decisions</x:v>
      </x:c>
    </x:row>
    <x:row r="22" ht="38" customHeight="1">
      <x:c r="A22" s="2" t="str">
        <x:v>Enemy contact scan</x:v>
      </x:c>
      <x:c r="B22" s="13" t="n">
        <x:f>Inputs!E14/Inputs!$B$2*1000</x:f>
        <x:v>0.1951180205696203</x:v>
      </x:c>
      <x:c r="C22" s="13" t="n">
        <x:f>Inputs!F14/Inputs!$B$2*1000</x:f>
        <x:v>0.29864130776397557</x:v>
      </x:c>
      <x:c r="D22" s="13" t="n">
        <x:f>Inputs!G14/Inputs!$B$2*1000</x:f>
        <x:v>0.5486730855416259</x:v>
      </x:c>
      <x:c r="E22" s="13" t="n">
        <x:f>Inputs!H14/Inputs!$B$2*1000</x:f>
        <x:v>0.19447898775116085</x:v>
      </x:c>
      <x:c r="F22" s="13" t="n">
        <x:f>Inputs!J14/Inputs!$B$2*1000</x:f>
        <x:v>0.33998734476446063</x:v>
      </x:c>
      <x:c r="G22" s="5" t="n">
        <x:f>Inputs!D14</x:f>
        <x:v>1.0032858707557504</x:v>
      </x:c>
      <x:c r="H22" s="14" t="str">
        <x:v>Shared collision pass over native enemies</x:v>
      </x:c>
    </x:row>
    <x:row r="23" ht="38" customHeight="1">
      <x:c r="A23" s="2" t="str">
        <x:v>Native motion dispatcher</x:v>
      </x:c>
      <x:c r="B23" s="13" t="n">
        <x:f>Inputs!E15/Inputs!$B$2*1000</x:f>
        <x:v>1.7991759025919098</x:v>
      </x:c>
      <x:c r="C23" s="13" t="n">
        <x:f>Inputs!F15/Inputs!$B$2*1000</x:f>
        <x:v>1.8608510299535</x:v>
      </x:c>
      <x:c r="D23" s="13" t="n">
        <x:f>Inputs!G15/Inputs!$B$2*1000</x:f>
        <x:v>3.237003585651249</x:v>
      </x:c>
      <x:c r="E23" s="13" t="n">
        <x:f>Inputs!H15/Inputs!$B$2*1000</x:f>
        <x:v>0.8961525363155558</x:v>
      </x:c>
      <x:c r="F23" s="13" t="n">
        <x:f>Inputs!J15/Inputs!$B$2*1000</x:f>
        <x:v>1.4658287575655564</x:v>
      </x:c>
      <x:c r="G23" s="5" t="n">
        <x:f>Inputs!D15</x:f>
        <x:v>2.0076670317634173</x:v>
      </x:c>
      <x:c r="H23" s="14" t="str">
        <x:v>Shared player/enemy motion; overlaps player and enemy hooks; not individually attributable</x:v>
      </x:c>
    </x:row>
    <x:row r="24" ht="38" customHeight="1">
      <x:c r="A24" s="2" t="str">
        <x:v>Actor records</x:v>
      </x:c>
      <x:c r="B24" s="13" t="n">
        <x:f>Inputs!E16/Inputs!$B$2*1000</x:f>
        <x:v>1.1132699826375367</x:v>
      </x:c>
      <x:c r="C24" s="13" t="n">
        <x:f>Inputs!F16/Inputs!$B$2*1000</x:f>
        <x:v>1.1132699826416208</x:v>
      </x:c>
      <x:c r="D24" s="13" t="n">
        <x:f>Inputs!G16/Inputs!$B$2*1000</x:f>
        <x:v>1.113269982645784</x:v>
      </x:c>
      <x:c r="E24" s="13" t="n">
        <x:f>Inputs!H16/Inputs!$B$2*1000</x:f>
        <x:v>1.1132699826375367</x:v>
      </x:c>
      <x:c r="F24" s="13" t="n">
        <x:f>Inputs!J16/Inputs!$B$2*1000</x:f>
        <x:v>1.113269982645784</x:v>
      </x:c>
      <x:c r="G24" s="5" t="n">
        <x:f>Inputs!D16</x:f>
        <x:v>1</x:v>
      </x:c>
      <x:c r="H24" s="14" t="str">
        <x:v>All player/enemy/effect descriptors to render list</x:v>
      </x:c>
    </x:row>
    <x:row r="25" ht="38" customHeight="1">
      <x:c r="A25" s="2" t="str">
        <x:v>World sprites prepare</x:v>
      </x:c>
      <x:c r="B25" s="13" t="n">
        <x:f>Inputs!E17/Inputs!$B$2*1000</x:f>
        <x:v>1.7143391735170848</x:v>
      </x:c>
      <x:c r="C25" s="13" t="n">
        <x:f>Inputs!F17/Inputs!$B$2*1000</x:f>
        <x:v>3.6680639578452285</x:v>
      </x:c>
      <x:c r="D25" s="13" t="n">
        <x:f>Inputs!G17/Inputs!$B$2*1000</x:f>
        <x:v>7.8275311527023685</x:v>
      </x:c>
      <x:c r="E25" s="13" t="n">
        <x:f>Inputs!H17/Inputs!$B$2*1000</x:f>
        <x:v>1.7143391735170848</x:v>
      </x:c>
      <x:c r="F25" s="13" t="n">
        <x:f>Inputs!J17/Inputs!$B$2*1000</x:f>
        <x:v>7.8275311527023685</x:v>
      </x:c>
      <x:c r="G25" s="5" t="n">
        <x:f>Inputs!D17</x:f>
        <x:v>1</x:v>
      </x:c>
      <x:c r="H25" s="14" t="str">
        <x:v>All slots; includes individual preparation/uploads</x:v>
      </x:c>
    </x:row>
    <x:row r="26" ht="38" customHeight="1">
      <x:c r="A26" s="2" t="str">
        <x:v>World sprites publish</x:v>
      </x:c>
      <x:c r="B26" s="13" t="n">
        <x:f>Inputs!E18/Inputs!$B$2*1000</x:f>
        <x:v>0.5485222345034233</x:v>
      </x:c>
      <x:c r="C26" s="13" t="n">
        <x:f>Inputs!F18/Inputs!$B$2*1000</x:f>
        <x:v>0.5450413390570312</x:v>
      </x:c>
      <x:c r="D26" s="13" t="n">
        <x:f>Inputs!G18/Inputs!$B$2*1000</x:f>
        <x:v>1.0747175967895362</x:v>
      </x:c>
      <x:c r="E26" s="13" t="n">
        <x:f>Inputs!H18/Inputs!$B$2*1000</x:f>
        <x:v>0.5485222345034233</x:v>
      </x:c>
      <x:c r="F26" s="13" t="n">
        <x:f>Inputs!J18/Inputs!$B$2*1000</x:f>
        <x:v>1.0747175967895362</x:v>
      </x:c>
      <x:c r="G26" s="5" t="n">
        <x:f>Inputs!D18</x:f>
        <x:v>1</x:v>
      </x:c>
      <x:c r="H26" s="14" t="str">
        <x:v>Shared SAT/color work during final commit</x:v>
      </x:c>
    </x:row>
    <x:row r="27" ht="38" customHeight="1">
      <x:c r="A27" s="2" t="str">
        <x:v>Map drawing</x:v>
      </x:c>
      <x:c r="B27" s="13" t="n">
        <x:f>Inputs!E19/Inputs!$B$2*1000</x:f>
        <x:v>6.356687592434665</x:v>
      </x:c>
      <x:c r="C27" s="13" t="n">
        <x:f>Inputs!F19/Inputs!$B$2*1000</x:f>
        <x:v>12.946617517039122</x:v>
      </x:c>
      <x:c r="D27" s="13" t="n">
        <x:f>Inputs!G19/Inputs!$B$2*1000</x:f>
        <x:v>23.146796590069407</x:v>
      </x:c>
      <x:c r="E27" s="13" t="n">
        <x:f>Inputs!H19/Inputs!$B$2*1000</x:f>
        <x:v>1.2713375184869329</x:v>
      </x:c>
      <x:c r="F27" s="13" t="n">
        <x:f>Inputs!J19/Inputs!$B$2*1000</x:f>
        <x:v>16.390630652778494</x:v>
      </x:c>
      <x:c r="G27" s="5" t="n">
        <x:f>Inputs!D19</x:f>
        <x:v>5</x:v>
      </x:c>
      <x:c r="H27" s="14" t="str">
        <x:v>Disjoint map owners: ring, overlays, terrain names/tiles and dirty planning</x:v>
      </x:c>
    </x:row>
    <x:row r="28" ht="38" customHeight="1">
      <x:c r="A28" s="2" t="str">
        <x:v>Map ring prepare</x:v>
      </x:c>
      <x:c r="B28" s="13" t="n">
        <x:f>Inputs!E20/Inputs!$B$2*1000</x:f>
        <x:v>1.6672604909276632</x:v>
      </x:c>
      <x:c r="C28" s="13" t="n">
        <x:f>Inputs!F20/Inputs!$B$2*1000</x:f>
        <x:v>4.674895831732805</x:v>
      </x:c>
      <x:c r="D28" s="13" t="n">
        <x:f>Inputs!G20/Inputs!$B$2*1000</x:f>
        <x:v>5.159035575754713</x:v>
      </x:c>
      <x:c r="E28" s="13" t="n">
        <x:f>Inputs!H20/Inputs!$B$2*1000</x:f>
        <x:v>1.6672604909276632</x:v>
      </x:c>
      <x:c r="F28" s="13" t="n">
        <x:f>Inputs!J20/Inputs!$B$2*1000</x:f>
        <x:v>5.159035575754713</x:v>
      </x:c>
      <x:c r="G28" s="5" t="n">
        <x:f>Inputs!D20</x:f>
        <x:v>1</x:v>
      </x:c>
      <x:c r="H28" s="14" t="str">
        <x:v>Child of map drawing</x:v>
      </x:c>
    </x:row>
    <x:row r="29" ht="38" customHeight="1">
      <x:c r="A29" s="2" t="str">
        <x:v>Map terrain names</x:v>
      </x:c>
      <x:c r="B29" s="13" t="n">
        <x:f>Inputs!E21/Inputs!$B$2*1000</x:f>
        <x:v>3.6517601118318943</x:v>
      </x:c>
      <x:c r="C29" s="13" t="n">
        <x:f>Inputs!F21/Inputs!$B$2*1000</x:f>
        <x:v>4.821841882138652</x:v>
      </x:c>
      <x:c r="D29" s="13" t="n">
        <x:f>Inputs!G21/Inputs!$B$2*1000</x:f>
        <x:v>10.708623582047439</x:v>
      </x:c>
      <x:c r="E29" s="13" t="n">
        <x:f>Inputs!H21/Inputs!$B$2*1000</x:f>
        <x:v>3.6517601118318943</x:v>
      </x:c>
      <x:c r="F29" s="13" t="n">
        <x:f>Inputs!J21/Inputs!$B$2*1000</x:f>
        <x:v>10.708623582047439</x:v>
      </x:c>
      <x:c r="G29" s="5" t="n">
        <x:f>Inputs!D21</x:f>
        <x:v>1</x:v>
      </x:c>
      <x:c r="H29" s="14" t="str">
        <x:v>Child of map drawing; includes row/column transfers</x:v>
      </x:c>
    </x:row>
    <x:row r="30" ht="38" customHeight="1">
      <x:c r="A30" s="2" t="str">
        <x:v>Radar</x:v>
      </x:c>
      <x:c r="B30" s="13" t="n">
        <x:f>Inputs!E22/Inputs!$B$2*1000</x:f>
        <x:v>1.8815243544333409</x:v>
      </x:c>
      <x:c r="C30" s="13" t="n">
        <x:f>Inputs!F22/Inputs!$B$2*1000</x:f>
        <x:v>2.121778047209911</x:v>
      </x:c>
      <x:c r="D30" s="13" t="n">
        <x:f>Inputs!G22/Inputs!$B$2*1000</x:f>
        <x:v>2.280736797553879</x:v>
      </x:c>
      <x:c r="E30" s="13" t="n">
        <x:f>Inputs!H22/Inputs!$B$2*1000</x:f>
        <x:v>0.9407621772166704</x:v>
      </x:c>
      <x:c r="F30" s="13" t="n">
        <x:f>Inputs!J22/Inputs!$B$2*1000</x:f>
        <x:v>1.628139889283442</x:v>
      </x:c>
      <x:c r="G30" s="5" t="n">
        <x:f>Inputs!D22</x:f>
        <x:v>2</x:v>
      </x:c>
      <x:c r="H30" s="14" t="str">
        <x:v>Pattern preparation plus VRAM transfer; independent of terrain</x:v>
      </x:c>
    </x:row>
    <x:row r="31" ht="38" customHeight="1">
      <x:c r="A31" s="2" t="str">
        <x:v>HUD dynamic</x:v>
      </x:c>
      <x:c r="B31" s="13" t="n">
        <x:f>Inputs!E23/Inputs!$B$2*1000</x:f>
        <x:v>0.8477455274246307</x:v>
      </x:c>
      <x:c r="C31" s="13" t="n">
        <x:f>Inputs!F23/Inputs!$B$2*1000</x:f>
        <x:v>1.018565208715019</x:v>
      </x:c>
      <x:c r="D31" s="13" t="n">
        <x:f>Inputs!G23/Inputs!$B$2*1000</x:f>
        <x:v>2.95260989875244</x:v>
      </x:c>
      <x:c r="E31" s="13" t="n">
        <x:f>Inputs!H23/Inputs!$B$2*1000</x:f>
        <x:v>0.42387276371231536</x:v>
      </x:c>
      <x:c r="F31" s="13" t="n">
        <x:f>Inputs!J23/Inputs!$B$2*1000</x:f>
        <x:v>1.7111113283992523</x:v>
      </x:c>
      <x:c r="G31" s="5" t="n">
        <x:f>Inputs!D23</x:f>
        <x:v>2</x:v>
      </x:c>
      <x:c r="H31" s="14" t="str">
        <x:v>Score, fuel, lives and round; preparation + publication</x:v>
      </x:c>
    </x:row>
    <x:row r="32" ht="38" customHeight="1">
      <x:c r="A32" s="2" t="str">
        <x:v>Phase cache selection</x:v>
      </x:c>
      <x:c r="B32" s="13" t="n">
        <x:f>Inputs!E24/Inputs!$B$2*1000</x:f>
        <x:v>0.045036226793613354</x:v>
      </x:c>
      <x:c r="C32" s="13" t="n">
        <x:f>Inputs!F24/Inputs!$B$2*1000</x:f>
        <x:v>0.07347302520708669</x:v>
      </x:c>
      <x:c r="D32" s="13" t="n">
        <x:f>Inputs!G24/Inputs!$B$2*1000</x:f>
        <x:v>0.14610795506132762</x:v>
      </x:c>
      <x:c r="E32" s="13" t="n">
        <x:f>Inputs!H24/Inputs!$B$2*1000</x:f>
        <x:v>0.045036226793613354</x:v>
      </x:c>
      <x:c r="F32" s="13" t="n">
        <x:f>Inputs!J24/Inputs!$B$2*1000</x:f>
        <x:v>0.14610795506132762</x:v>
      </x:c>
      <x:c r="G32" s="5" t="n">
        <x:f>Inputs!D24</x:f>
        <x:v>1</x:v>
      </x:c>
      <x:c r="H32" s="14" t="str">
        <x:v>New foreground cache ownership hook; one call per presentation; included in background parent</x:v>
      </x:c>
    </x:row>
    <x:row r="33" ht="38" customHeight="1">
      <x:c r="A33" s="2" t="str">
        <x:v>HUD static / border</x:v>
      </x:c>
      <x:c r="B33" s="13" t="n">
        <x:f>Inputs!E25/Inputs!$B$2*1000</x:f>
        <x:v>1.7166352916132146</x:v>
      </x:c>
      <x:c r="C33" s="13" t="n">
        <x:f>Inputs!F25/Inputs!$B$2*1000</x:f>
        <x:v>1.677866879731209</x:v>
      </x:c>
      <x:c r="D33" s="13" t="n">
        <x:f>Inputs!G25/Inputs!$B$2*1000</x:f>
        <x:v>14.963913011290542</x:v>
      </x:c>
      <x:c r="E33" s="13" t="n">
        <x:f>Inputs!H25/Inputs!$B$2*1000</x:f>
        <x:v>0.4282207708313838</x:v>
      </x:c>
      <x:c r="F33" s="13" t="n">
        <x:f>Inputs!J25/Inputs!$B$2*1000</x:f>
        <x:v>7.797918450529328</x:v>
      </x:c>
      <x:c r="G33" s="5" t="n">
        <x:f>Inputs!D25</x:f>
        <x:v>4.008762322015334</x:v>
      </x:c>
      <x:c r="H33" s="14" t="str">
        <x:v>Static phase packet self + boundary packet + names; terrain/radar child spans excluded</x:v>
      </x:c>
    </x:row>
    <x:row r="34" ht="38" customHeight="1">
      <x:c r="A34" s="2" t="str">
        <x:v>HUD total excluding radar</x:v>
      </x:c>
      <x:c r="B34" s="13" t="n">
        <x:f>Inputs!E26/Inputs!$B$2*1000</x:f>
        <x:v>2.6094170458314587</x:v>
      </x:c>
      <x:c r="C34" s="13" t="n">
        <x:f>Inputs!F26/Inputs!$B$2*1000</x:f>
        <x:v>2.7699051136377038</x:v>
      </x:c>
      <x:c r="D34" s="13" t="n">
        <x:f>Inputs!G26/Inputs!$B$2*1000</x:f>
        <x:v>15.375976555680603</x:v>
      </x:c>
      <x:c r="E34" s="13" t="n">
        <x:f>Inputs!H26/Inputs!$B$2*1000</x:f>
        <x:v>0.3723078235418224</x:v>
      </x:c>
      <x:c r="F34" s="13" t="n">
        <x:f>Inputs!J26/Inputs!$B$2*1000</x:f>
        <x:v>7.797918450529328</x:v>
      </x:c>
      <x:c r="G34" s="5" t="n">
        <x:f>Inputs!D26</x:f>
        <x:v>7.008762322015334</x:v>
      </x:c>
      <x:c r="H34" s="14" t="str">
        <x:v>Static/border + dynamic HUD + cache selection owners; radar and terrain excluded; overlaps the HUD/cache rows above</x:v>
      </x:c>
    </x:row>
    <x:row r="35" ht="38" customHeight="1">
      <x:c r="A35" s="2" t="str">
        <x:v>Audio total</x:v>
      </x:c>
      <x:c r="B35" s="13" t="n">
        <x:f>Inputs!E27/Inputs!$B$2*1000</x:f>
        <x:v>0.3395975187400306</x:v>
      </x:c>
      <x:c r="C35" s="13" t="n">
        <x:f>Inputs!F27/Inputs!$B$2*1000</x:f>
        <x:v>0.5679492784739125</x:v>
      </x:c>
      <x:c r="D35" s="13" t="n">
        <x:f>Inputs!G27/Inputs!$B$2*1000</x:f>
        <x:v>1.0914795036716112</x:v>
      </x:c>
      <x:c r="E35" s="13" t="n">
        <x:f>Inputs!H27/Inputs!$B$2*1000</x:f>
        <x:v>0.16915031893597815</x:v>
      </x:c>
      <x:c r="F35" s="13" t="n">
        <x:f>Inputs!J27/Inputs!$B$2*1000</x:f>
        <x:v>0.6408635734429935</x:v>
      </x:c>
      <x:c r="G35" s="5" t="n">
        <x:f>Inputs!D27</x:f>
        <x:v>2.0076670317634173</x:v>
      </x:c>
      <x:c r="H35" s="14" t="str">
        <x:v>Parent: divider, music, effects and PSG; inside simulation</x:v>
      </x:c>
    </x:row>
    <x:row r="36" ht="38" customHeight="1">
      <x:c r="A36" s="2" t="str">
        <x:v>Music sequence</x:v>
      </x:c>
      <x:c r="B36" s="13" t="n">
        <x:f>Inputs!E28/Inputs!$B$2*1000</x:f>
        <x:v>0.08838371747686824</x:v>
      </x:c>
      <x:c r="C36" s="13" t="n">
        <x:f>Inputs!F28/Inputs!$B$2*1000</x:f>
        <x:v>0.14778414575453058</x:v>
      </x:c>
      <x:c r="D36" s="13" t="n">
        <x:f>Inputs!G28/Inputs!$B$2*1000</x:f>
        <x:v>0.22265399652541018</x:v>
      </x:c>
      <x:c r="E36" s="13" t="n">
        <x:f>Inputs!H28/Inputs!$B$2*1000</x:f>
        <x:v>0.08799818326759073</x:v>
      </x:c>
      <x:c r="F36" s="13" t="n">
        <x:f>Inputs!J28/Inputs!$B$2*1000</x:f>
        <x:v>0.22265399652541018</x:v>
      </x:c>
      <x:c r="G36" s="5" t="n">
        <x:f>Inputs!D28</x:f>
        <x:v>1.004381161007667</x:v>
      </x:c>
      <x:c r="H36" s="14" t="str">
        <x:v>30 Hz sequence advance; excludes shared PSG output</x:v>
      </x:c>
    </x:row>
    <x:row r="37" ht="38" customHeight="1">
      <x:c r="A37" s="2" t="str">
        <x:v>Engine / sound effects</x:v>
      </x:c>
      <x:c r="B37" s="13" t="n">
        <x:f>Inputs!E29/Inputs!$B$2*1000</x:f>
        <x:v>0.05003450625789456</x:v>
      </x:c>
      <x:c r="C37" s="13" t="n">
        <x:f>Inputs!F29/Inputs!$B$2*1000</x:f>
        <x:v>0.09498413904560496</x:v>
      </x:c>
      <x:c r="D37" s="13" t="n">
        <x:f>Inputs!G29/Inputs!$B$2*1000</x:f>
        <x:v>0.19834923153641035</x:v>
      </x:c>
      <x:c r="E37" s="13" t="n">
        <x:f>Inputs!H29/Inputs!$B$2*1000</x:f>
        <x:v>0.04981625323168783</x:v>
      </x:c>
      <x:c r="F37" s="13" t="n">
        <x:f>Inputs!J29/Inputs!$B$2*1000</x:f>
        <x:v>0.12236192030408925</x:v>
      </x:c>
      <x:c r="G37" s="5" t="n">
        <x:f>Inputs!D29</x:f>
        <x:v>1.004381161007667</x:v>
      </x:c>
      <x:c r="H37" s="14" t="str">
        <x:v>30 Hz effect/engine worker; excludes shared PSG output</x:v>
      </x:c>
    </x:row>
    <x:row r="38" ht="38" customHeight="1">
      <x:c r="A38" s="2" t="str">
        <x:v>Audio mix overhead</x:v>
      </x:c>
      <x:c r="B38" s="13" t="n">
        <x:f>Inputs!E30/Inputs!$B$2*1000</x:f>
        <x:v>0.008287015777816594</x:v>
      </x:c>
      <x:c r="C38" s="13" t="n">
        <x:f>Inputs!F30/Inputs!$B$2*1000</x:f>
        <x:v>0.020393653387483928</x:v>
      </x:c>
      <x:c r="D38" s="13" t="n">
        <x:f>Inputs!G30/Inputs!$B$2*1000</x:f>
        <x:v>0.04078730676768284</x:v>
      </x:c>
      <x:c r="E38" s="13" t="n">
        <x:f>Inputs!H30/Inputs!$B$2*1000</x:f>
        <x:v>0.020393653383144337</x:v>
      </x:c>
      <x:c r="F38" s="13" t="n">
        <x:f>Inputs!J30/Inputs!$B$2*1000</x:f>
        <x:v>0.020393653391646793</x:v>
      </x:c>
      <x:c r="G38" s="5" t="n">
        <x:f>Inputs!D30</x:f>
        <x:v>0.4063526834611172</x:v>
      </x:c>
      <x:c r="H38" s="14" t="str">
        <x:v>Mix/output dispatch self; PSG writes excluded</x:v>
      </x:c>
    </x:row>
    <x:row r="39" ht="38" customHeight="1">
      <x:c r="A39" s="2" t="str">
        <x:v>PSG register output</x:v>
      </x:c>
      <x:c r="B39" s="13" t="n">
        <x:f>Inputs!E31/Inputs!$B$2*1000</x:f>
        <x:v>0.09756849584730745</x:v>
      </x:c>
      <x:c r="C39" s="13" t="n">
        <x:f>Inputs!F31/Inputs!$B$2*1000</x:f>
        <x:v>0.2586920963418535</x:v>
      </x:c>
      <x:c r="D39" s="13" t="n">
        <x:f>Inputs!G31/Inputs!$B$2*1000</x:f>
        <x:v>0.4838603789029053</x:v>
      </x:c>
      <x:c r="E39" s="13" t="n">
        <x:f>Inputs!H31/Inputs!$B$2*1000</x:f>
        <x:v>0.24010791565658138</x:v>
      </x:c>
      <x:c r="F39" s="13" t="n">
        <x:f>Inputs!J31/Inputs!$B$2*1000</x:f>
        <x:v>0.2810413055290547</x:v>
      </x:c>
      <x:c r="G39" s="5" t="n">
        <x:f>Inputs!D31</x:f>
        <x:v>0.4063526834611172</x:v>
      </x:c>
      <x:c r="H39" s="14" t="str">
        <x:v>Changed-register output shared by music and effects</x:v>
      </x:c>
    </x:row>
    <x:row r="40" ht="38" customHeight="1">
      <x:c r="A40" s="2" t="str">
        <x:v>Flags</x:v>
      </x:c>
      <x:c r="B40" s="13" t="n">
        <x:f>Inputs!E32/Inputs!$B$2*1000</x:f>
        <x:v>0.1935177143804925</x:v>
      </x:c>
      <x:c r="C40" s="13" t="n">
        <x:f>Inputs!F32/Inputs!$B$2*1000</x:f>
        <x:v>0.18857145251700985</x:v>
      </x:c>
      <x:c r="D40" s="13" t="n">
        <x:f>Inputs!G32/Inputs!$B$2*1000</x:f>
        <x:v>1.2023874542714228</x:v>
      </x:c>
      <x:c r="E40" s="13" t="n">
        <x:f>Inputs!H32/Inputs!$B$2*1000</x:f>
        <x:v>0.19288392273950836</x:v>
      </x:c>
      <x:c r="F40" s="13" t="n">
        <x:f>Inputs!J32/Inputs!$B$2*1000</x:f>
        <x:v>1.2023874542714228</x:v>
      </x:c>
      <x:c r="G40" s="5" t="n">
        <x:f>Inputs!D32</x:f>
        <x:v>1.0032858707557504</x:v>
      </x:c>
      <x:c r="H40" s="14" t="str">
        <x:v>3 enemies; logic subset, already contained in simulation</x:v>
      </x:c>
    </x:row>
    <x:row r="41" ht="38" customHeight="1">
      <x:c r="A41" s="2" t="str">
        <x:v>Score events</x:v>
      </x:c>
      <x:c r="B41" s="13" t="n">
        <x:f>Inputs!E33/Inputs!$B$2*1000</x:f>
        <x:v>0.027173076696033794</x:v>
      </x:c>
      <x:c r="C41" s="13" t="n">
        <x:f>Inputs!F33/Inputs!$B$2*1000</x:f>
        <x:v>0.0178793673539238</x:v>
      </x:c>
      <x:c r="D41" s="13" t="n">
        <x:f>Inputs!G33/Inputs!$B$2*1000</x:f>
        <x:v>1.4596827250390763</x:v>
      </x:c>
      <x:c r="E41" s="13" t="n">
        <x:f>Inputs!H33/Inputs!$B$2*1000</x:f>
        <x:v>0.02708408190336119</x:v>
      </x:c>
      <x:c r="F41" s="13" t="n">
        <x:f>Inputs!J33/Inputs!$B$2*1000</x:f>
        <x:v>1.4596827250390763</x:v>
      </x:c>
      <x:c r="G41" s="5" t="n">
        <x:f>Inputs!D33</x:f>
        <x:v>1.0032858707557504</x:v>
      </x:c>
      <x:c r="H41" s="14" t="str">
        <x:v>3 enemies; logic subset, already contained in simulation</x:v>
      </x:c>
    </x:row>
    <x:row r="42" ht="38" customHeight="1">
      <x:c r="A42" s="2" t="str">
        <x:v>Fuel</x:v>
      </x:c>
      <x:c r="B42" s="13" t="n">
        <x:f>Inputs!E34/Inputs!$B$2*1000</x:f>
        <x:v>0.268103610254575</x:v>
      </x:c>
      <x:c r="C42" s="13" t="n">
        <x:f>Inputs!F34/Inputs!$B$2*1000</x:f>
        <x:v>0.586108010936432</x:v>
      </x:c>
      <x:c r="D42" s="13" t="n">
        <x:f>Inputs!G34/Inputs!$B$2*1000</x:f>
        <x:v>0.6861207220470757</x:v>
      </x:c>
      <x:c r="E42" s="13" t="n">
        <x:f>Inputs!H34/Inputs!$B$2*1000</x:f>
        <x:v>0.13353987788457555</x:v>
      </x:c>
      <x:c r="F42" s="13" t="n">
        <x:f>Inputs!J34/Inputs!$B$2*1000</x:f>
        <x:v>0.5246476856737102</x:v>
      </x:c>
      <x:c r="G42" s="5" t="n">
        <x:f>Inputs!D34</x:f>
        <x:v>2.0076670317634173</x:v>
      </x:c>
      <x:c r="H42" s="14" t="str">
        <x:v>3 enemies; logic subset, already contained in simulation</x:v>
      </x:c>
    </x:row>
    <x:row r="43" ht="38" customHeight="1">
      <x:c r="A43" s="2" t="str">
        <x:v>Rocks</x:v>
      </x:c>
      <x:c r="B43" s="13" t="n">
        <x:f>Inputs!E35/Inputs!$B$2*1000</x:f>
        <x:v>0.08100547978358724</x:v>
      </x:c>
      <x:c r="C43" s="13" t="n">
        <x:f>Inputs!F35/Inputs!$B$2*1000</x:f>
        <x:v>0.08855874140636606</x:v>
      </x:c>
      <x:c r="D43" s="13" t="n">
        <x:f>Inputs!G35/Inputs!$B$2*1000</x:f>
        <x:v>0.16398732241108857</x:v>
      </x:c>
      <x:c r="E43" s="13" t="n">
        <x:f>Inputs!H35/Inputs!$B$2*1000</x:f>
        <x:v>0.080740177993903</x:v>
      </x:c>
      <x:c r="F43" s="13" t="n">
        <x:f>Inputs!J35/Inputs!$B$2*1000</x:f>
        <x:v>0.08855874141261036</x:v>
      </x:c>
      <x:c r="G43" s="5" t="n">
        <x:f>Inputs!D35</x:f>
        <x:v>1.0032858707557504</x:v>
      </x:c>
      <x:c r="H43" s="14" t="str">
        <x:v>3 enemies; logic subset, already contained in simulation</x:v>
      </x:c>
    </x:row>
    <x:row r="44" ht="38" customHeight="1">
      <x:c r="A44" s="2" t="str">
        <x:v>Smoke</x:v>
      </x:c>
      <x:c r="B44" s="13" t="n">
        <x:f>Inputs!E36/Inputs!$B$2*1000</x:f>
        <x:v>0.23814850987396485</x:v>
      </x:c>
      <x:c r="C44" s="13" t="n">
        <x:f>Inputs!F36/Inputs!$B$2*1000</x:f>
        <x:v>0.7442286659317174</x:v>
      </x:c>
      <x:c r="D44" s="13" t="n">
        <x:f>Inputs!G36/Inputs!$B$2*1000</x:f>
        <x:v>1.6692065611690872</x:v>
      </x:c>
      <x:c r="E44" s="13" t="n">
        <x:f>Inputs!H36/Inputs!$B$2*1000</x:f>
        <x:v>0.11861952510361697</x:v>
      </x:c>
      <x:c r="F44" s="13" t="n">
        <x:f>Inputs!J36/Inputs!$B$2*1000</x:f>
        <x:v>1.2705525422965491</x:v>
      </x:c>
      <x:c r="G44" s="5" t="n">
        <x:f>Inputs!D36</x:f>
        <x:v>2.0076670317634173</x:v>
      </x:c>
      <x:c r="H44" s="14" t="str">
        <x:v>3 enemies; logic subset, already contained in simulation</x:v>
      </x:c>
    </x:row>
    <x:row r="45" ht="38" customHeight="1">
      <x:c r="A45" s="2" t="str">
        <x:v>Gameplay events</x:v>
      </x:c>
      <x:c r="B45" s="13" t="n">
        <x:f>Inputs!E37/Inputs!$B$2*1000</x:f>
        <x:v>0.1197925568066623</x:v>
      </x:c>
      <x:c r="C45" s="13" t="n">
        <x:f>Inputs!F37/Inputs!$B$2*1000</x:f>
        <x:v>0.11789207846664902</x:v>
      </x:c>
      <x:c r="D45" s="13" t="n">
        <x:f>Inputs!G37/Inputs!$B$2*1000</x:f>
        <x:v>0.23578415692497232</x:v>
      </x:c>
      <x:c r="E45" s="13" t="n">
        <x:f>Inputs!H37/Inputs!$B$2*1000</x:f>
        <x:v>0.05966754193370577</x:v>
      </x:c>
      <x:c r="F45" s="13" t="n">
        <x:f>Inputs!J37/Inputs!$B$2*1000</x:f>
        <x:v>0.14890160621389065</x:v>
      </x:c>
      <x:c r="G45" s="5" t="n">
        <x:f>Inputs!D37</x:f>
        <x:v>2.0076670317634173</x:v>
      </x:c>
      <x:c r="H45" s="14" t="str">
        <x:v>3 enemies; logic subset, already contained in simulation</x:v>
      </x:c>
    </x:row>
    <x:row r="46" ht="38" customHeight="1">
      <x:c r="A46" s="2" t="str">
        <x:v>Background owner</x:v>
      </x:c>
      <x:c r="B46" s="13" t="n">
        <x:f>Inputs!E38/Inputs!$B$2*1000</x:f>
        <x:v>10.19821556160166</x:v>
      </x:c>
      <x:c r="C46" s="13" t="n">
        <x:f>Inputs!F38/Inputs!$B$2*1000</x:f>
        <x:v>16.65882116302387</x:v>
      </x:c>
      <x:c r="D46" s="13" t="n">
        <x:f>Inputs!G38/Inputs!$B$2*1000</x:f>
        <x:v>27.201781231980547</x:v>
      </x:c>
      <x:c r="E46" s="13" t="n">
        <x:f>Inputs!H38/Inputs!$B$2*1000</x:f>
        <x:v>10.19821556160166</x:v>
      </x:c>
      <x:c r="F46" s="13" t="n">
        <x:f>Inputs!J38/Inputs!$B$2*1000</x:f>
        <x:v>27.201781231980547</x:v>
      </x:c>
      <x:c r="G46" s="5" t="n">
        <x:f>Inputs!D38</x:f>
        <x:v>1</x:v>
      </x:c>
      <x:c r="H46" s="14" t="str">
        <x:v>Inclusive parent: map, radar, static HUD, other scaffolding</x:v>
      </x:c>
    </x:row>
    <x:row r="47" ht="38" customHeight="1">
      <x:c r="A47" s="2" t="str">
        <x:v>Atomic commit</x:v>
      </x:c>
      <x:c r="B47" s="13" t="n">
        <x:f>Inputs!E39/Inputs!$B$2*1000</x:f>
        <x:v>1.0464249177331704</x:v>
      </x:c>
      <x:c r="C47" s="13" t="n">
        <x:f>Inputs!F39/Inputs!$B$2*1000</x:f>
        <x:v>1.1501461778005029</x:v>
      </x:c>
      <x:c r="D47" s="13" t="n">
        <x:f>Inputs!G39/Inputs!$B$2*1000</x:f>
        <x:v>1.938235166764184</x:v>
      </x:c>
      <x:c r="E47" s="13" t="n">
        <x:f>Inputs!H39/Inputs!$B$2*1000</x:f>
        <x:v>1.0464249177331704</x:v>
      </x:c>
      <x:c r="F47" s="13" t="n">
        <x:f>Inputs!J39/Inputs!$B$2*1000</x:f>
        <x:v>1.938235166764184</x:v>
      </x:c>
      <x:c r="G47" s="5" t="n">
        <x:f>Inputs!D39</x:f>
        <x:v>1</x:v>
      </x:c>
      <x:c r="H47" s="14" t="str">
        <x:v>Inclusive parent: registers, dynamic HUD and world sprite publication</x:v>
      </x:c>
    </x:row>
    <x:row r="48" ht="38" customHeight="1">
      <x:c r="A48" s="2" t="str">
        <x:v>Synchronization wait</x:v>
      </x:c>
      <x:c r="B48" s="13" t="n">
        <x:f>Inputs!E40/Inputs!$B$2*1000</x:f>
        <x:v>11.748364850050454</x:v>
      </x:c>
      <x:c r="C48" s="13" t="n">
        <x:f>Inputs!F40/Inputs!$B$2*1000</x:f>
        <x:v>15.103874933821224</x:v>
      </x:c>
      <x:c r="D48" s="13" t="n">
        <x:f>Inputs!G40/Inputs!$B$2*1000</x:f>
        <x:v>16.47276399654146</x:v>
      </x:c>
      <x:c r="E48" s="13" t="n">
        <x:f>Inputs!H40/Inputs!$B$2*1000</x:f>
        <x:v>11.748364850050454</x:v>
      </x:c>
      <x:c r="F48" s="13" t="n">
        <x:f>Inputs!J40/Inputs!$B$2*1000</x:f>
        <x:v>16.47276399654146</x:v>
      </x:c>
      <x:c r="G48" s="5" t="n">
        <x:f>Inputs!D40</x:f>
        <x:v>1</x:v>
      </x:c>
      <x:c r="H48" s="14" t="str">
        <x:v>HALT + wake-up IRQ; waiting, not processing work</x:v>
      </x:c>
    </x:row>
    <x:row r="49" ht="38" customHeight="1">
      <x:c r="A49" s="2" t="str">
        <x:v>VBlank ISR body</x:v>
      </x:c>
      <x:c r="B49" s="13" t="n">
        <x:f>Inputs!E41/Inputs!$B$2*1000</x:f>
        <x:v>0.07779109804042199</x:v>
      </x:c>
      <x:c r="C49" s="13" t="n">
        <x:f>Inputs!F41/Inputs!$B$2*1000</x:f>
        <x:v>0.07766350192968692</x:v>
      </x:c>
      <x:c r="D49" s="13" t="n">
        <x:f>Inputs!G41/Inputs!$B$2*1000</x:f>
        <x:v>0.11649525289661182</x:v>
      </x:c>
      <x:c r="E49" s="13" t="n">
        <x:f>Inputs!H41/Inputs!$B$2*1000</x:f>
        <x:v>0.038831750962769425</x:v>
      </x:c>
      <x:c r="F49" s="13" t="n">
        <x:f>Inputs!J41/Inputs!$B$2*1000</x:f>
        <x:v>0.03883175097108776</x:v>
      </x:c>
      <x:c r="G49" s="5" t="n">
        <x:f>Inputs!D41</x:f>
        <x:v>2.00328587075575</x:v>
      </x:c>
      <x:c r="H49" s="14" t="str">
        <x:v>139-cycle body; hardware entry/vector charged to interrupted owner</x:v>
      </x:c>
    </x:row>
    <x:row r="50" ht="25" customHeight="1">
      <x:c r="A50" s="2"/>
      <x:c r="B50" s="2"/>
      <x:c r="C50" s="2"/>
      <x:c r="D50" s="2"/>
      <x:c r="E50" s="2"/>
      <x:c r="F50" s="2"/>
      <x:c r="G50" s="2"/>
      <x:c r="H50" s="2"/>
    </x:row>
    <x:row r="51" ht="25" customHeight="1">
      <x:c r="A51" s="2" t="str">
        <x:v>Inclusive parents overlap children. These rows must not be added as a frame total.</x:v>
      </x:c>
      <x:c r="B51" s="2"/>
      <x:c r="C51" s="2"/>
      <x:c r="D51" s="2"/>
      <x:c r="E51" s="2"/>
      <x:c r="F51" s="2"/>
      <x:c r="G51" s="2"/>
      <x:c r="H51" s="2"/>
    </x:row>
    <x:row r="52" ht="25" customHeight="1">
      <x:c r="A52" s="2" t="str">
        <x:v>Player/enemy graphics include dirty uploads; shared motion, actor conversion and SAT publication remain separate.</x:v>
      </x:c>
      <x:c r="B52" s="2"/>
      <x:c r="C52" s="2"/>
      <x:c r="D52" s="2"/>
      <x:c r="E52" s="2"/>
      <x:c r="F52" s="2"/>
      <x:c r="G52" s="2"/>
      <x:c r="H52" s="2"/>
    </x:row>
    <x:row r="53" ht="25" customHeight="1">
      <x:c r="A53" s="2" t="str">
        <x:v>Pure music is sequence work. PSG register output is shared with engine/effects and is reported separately.</x:v>
      </x:c>
      <x:c r="B53" s="2"/>
      <x:c r="C53" s="2"/>
      <x:c r="D53" s="2"/>
      <x:c r="E53" s="2"/>
      <x:c r="F53" s="2"/>
      <x:c r="G53" s="2"/>
      <x:c r="H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</x:row>
  </x:sheetData>
  <x:pageMargins left="0.7" right="0.7" top="0.75" bottom="0.75" header="0.3" footer="0.3"/>
  <x:tableParts count="1">
    <x:tablePart xmlns:r="http://schemas.openxmlformats.org/officeDocument/2006/relationships" r:id="R9b943b3596d642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1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11" t="str">
        <x:v>Horizontal and vertical movement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12" t="str">
        <x:v>Observed camera delta on the same 913 active frames; workload groups are not matched marginal experiments.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2" customHeight="1">
      <x:c r="A5" s="9" t="str">
        <x:v>Direction</x:v>
      </x:c>
      <x:c r="B5" s="9" t="str">
        <x:v>Transition</x:v>
      </x:c>
      <x:c r="C5" s="9" t="str">
        <x:v>Frames</x:v>
      </x:c>
      <x:c r="D5" s="9" t="str">
        <x:v>Map mean ms</x:v>
      </x:c>
      <x:c r="E5" s="9" t="str">
        <x:v>Map P95 ms</x:v>
      </x:c>
      <x:c r="F5" s="9" t="str">
        <x:v>Render mean ms</x:v>
      </x:c>
      <x:c r="G5" s="9" t="str">
        <x:v>CPU work mean ms</x:v>
      </x:c>
      <x:c r="H5" s="9" t="str">
        <x:v>Interval mean ms</x:v>
      </x:c>
      <x:c r="I5" s="2"/>
      <x:c r="J5" s="2"/>
      <x:c r="K5" s="2"/>
      <x:c r="L5" s="2"/>
    </x:row>
    <x:row r="6" ht="25" customHeight="1">
      <x:c r="A6" s="2" t="str">
        <x:v>horizontal</x:v>
      </x:c>
      <x:c r="B6" s="2" t="str">
        <x:v>within tile</x:v>
      </x:c>
      <x:c r="C6" s="2" t="n">
        <x:v>115</x:v>
      </x:c>
      <x:c r="D6" s="13" t="n">
        <x:f>D21/Inputs!$B$2*1000</x:f>
        <x:v>6.234117561820547</x:v>
      </x:c>
      <x:c r="E6" s="13" t="n">
        <x:f>E21/Inputs!$B$2*1000</x:f>
        <x:v>16.309335404364212</x:v>
      </x:c>
      <x:c r="F6" s="13" t="n">
        <x:f>G21/Inputs!$B$2*1000</x:f>
        <x:v>10.151982517574012</x:v>
      </x:c>
      <x:c r="G6" s="13" t="n">
        <x:f>I21/Inputs!$B$2*1000</x:f>
        <x:v>21.86083281048565</x:v>
      </x:c>
      <x:c r="H6" s="13" t="n">
        <x:f>K21/Inputs!$B$2*1000</x:f>
        <x:v>34.179328232571706</x:v>
      </x:c>
      <x:c r="I6" s="2"/>
      <x:c r="J6" s="2"/>
      <x:c r="K6" s="2"/>
      <x:c r="L6" s="2"/>
    </x:row>
    <x:row r="7" ht="25" customHeight="1">
      <x:c r="A7" s="2" t="str">
        <x:v>horizontal</x:v>
      </x:c>
      <x:c r="B7" s="2" t="str">
        <x:v>tile crossing</x:v>
      </x:c>
      <x:c r="C7" s="2" t="n">
        <x:v>121</x:v>
      </x:c>
      <x:c r="D7" s="13" t="n">
        <x:f>D22/Inputs!$B$2*1000</x:f>
        <x:v>11.217527542774233</x:v>
      </x:c>
      <x:c r="E7" s="13" t="n">
        <x:f>E22/Inputs!$B$2*1000</x:f>
        <x:v>14.153754178254498</x:v>
      </x:c>
      <x:c r="F7" s="13" t="n">
        <x:f>G22/Inputs!$B$2*1000</x:f>
        <x:v>15.19593843757969</x:v>
      </x:c>
      <x:c r="G7" s="13" t="n">
        <x:f>I22/Inputs!$B$2*1000</x:f>
        <x:v>26.336809116362694</x:v>
      </x:c>
      <x:c r="H7" s="13" t="n">
        <x:f>K22/Inputs!$B$2*1000</x:f>
        <x:v>34.36663986185324</x:v>
      </x:c>
      <x:c r="I7" s="2"/>
      <x:c r="J7" s="2"/>
      <x:c r="K7" s="2"/>
      <x:c r="L7" s="2"/>
    </x:row>
    <x:row r="8" ht="25" customHeight="1">
      <x:c r="A8" s="2" t="str">
        <x:v>vertical</x:v>
      </x:c>
      <x:c r="B8" s="2" t="str">
        <x:v>within tile</x:v>
      </x:c>
      <x:c r="C8" s="2" t="n">
        <x:v>314</x:v>
      </x:c>
      <x:c r="D8" s="13" t="n">
        <x:f>D23/Inputs!$B$2*1000</x:f>
        <x:v>3.728183508502453</x:v>
      </x:c>
      <x:c r="E8" s="13" t="n">
        <x:f>E23/Inputs!$B$2*1000</x:f>
        <x:v>4.251378317631179</x:v>
      </x:c>
      <x:c r="F8" s="13" t="n">
        <x:f>G23/Inputs!$B$2*1000</x:f>
        <x:v>7.491004732453919</x:v>
      </x:c>
      <x:c r="G8" s="13" t="n">
        <x:f>I23/Inputs!$B$2*1000</x:f>
        <x:v>19.55819154434228</x:v>
      </x:c>
      <x:c r="H8" s="13" t="n">
        <x:f>K23/Inputs!$B$2*1000</x:f>
        <x:v>33.439666161178955</x:v>
      </x:c>
      <x:c r="I8" s="2"/>
      <x:c r="J8" s="2"/>
      <x:c r="K8" s="2"/>
      <x:c r="L8" s="2"/>
    </x:row>
    <x:row r="9" ht="25" customHeight="1">
      <x:c r="A9" s="2" t="str">
        <x:v>vertical</x:v>
      </x:c>
      <x:c r="B9" s="2" t="str">
        <x:v>tile crossing</x:v>
      </x:c>
      <x:c r="C9" s="2" t="n">
        <x:v>316</x:v>
      </x:c>
      <x:c r="D9" s="13" t="n">
        <x:f>D24/Inputs!$B$2*1000</x:f>
        <x:v>7.602112679231557</x:v>
      </x:c>
      <x:c r="E9" s="13" t="n">
        <x:f>E24/Inputs!$B$2*1000</x:f>
        <x:v>10.757233112017113</x:v>
      </x:c>
      <x:c r="F9" s="13" t="n">
        <x:f>G24/Inputs!$B$2*1000</x:f>
        <x:v>11.457636817606238</x:v>
      </x:c>
      <x:c r="G9" s="13" t="n">
        <x:f>I24/Inputs!$B$2*1000</x:f>
        <x:v>22.606988926585657</x:v>
      </x:c>
      <x:c r="H9" s="13" t="n">
        <x:f>K24/Inputs!$B$2*1000</x:f>
        <x:v>33.48849000697718</x:v>
      </x:c>
      <x:c r="I9" s="2"/>
      <x:c r="J9" s="2"/>
      <x:c r="K9" s="2"/>
      <x:c r="L9" s="2"/>
    </x:row>
    <x:row r="10" ht="25" customHeight="1">
      <x:c r="A10" s="2" t="str">
        <x:v>stationary</x:v>
      </x:c>
      <x:c r="B10" s="2" t="str">
        <x:v>within tile</x:v>
      </x:c>
      <x:c r="C10" s="2" t="n">
        <x:v>47</x:v>
      </x:c>
      <x:c r="D10" s="13" t="n">
        <x:f>D25/Inputs!$B$2*1000</x:f>
        <x:v>3.3296636446991736</x:v>
      </x:c>
      <x:c r="E10" s="13" t="n">
        <x:f>E25/Inputs!$B$2*1000</x:f>
        <x:v>3.5032385400937827</x:v>
      </x:c>
      <x:c r="F10" s="13" t="n">
        <x:f>G25/Inputs!$B$2*1000</x:f>
        <x:v>7.06373504085232</x:v>
      </x:c>
      <x:c r="G10" s="13" t="n">
        <x:f>I25/Inputs!$B$2*1000</x:f>
        <x:v>17.202875808267695</x:v>
      </x:c>
      <x:c r="H10" s="13" t="n">
        <x:f>K25/Inputs!$B$2*1000</x:f>
        <x:v>28.706774601062833</x:v>
      </x:c>
      <x:c r="I10" s="2"/>
      <x:c r="J10" s="2"/>
      <x:c r="K10" s="2"/>
      <x:c r="L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5" customHeight="1">
      <x:c r="A15" s="2" t="str">
        <x:v>Map = ring preparation + terrain overlays + terrain names/tiles + dirty planning; radar/HUD excluded.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5" customHeight="1">
      <x:c r="A16" s="2" t="str">
        <x:v>Render includes map, static HUD and radar; CPU work also includes logic/sprites/commit, excluding HALT.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5" customHeight="1">
      <x:c r="A17" s="2" t="str">
        <x:v>A tile crossing compares integer camera tile coordinates at the frame endpoints.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5" customHeight="1">
      <x:c r="A18" s="2" t="str">
        <x:v>Source: references/experiments/stage-one-3-enemies/profile-route-7x904ch1/summary.json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42" customHeight="1">
      <x:c r="A20" s="9" t="str">
        <x:v>Direction</x:v>
      </x:c>
      <x:c r="B20" s="9" t="str">
        <x:v>Transition</x:v>
      </x:c>
      <x:c r="C20" s="9" t="str">
        <x:v>Frames</x:v>
      </x:c>
      <x:c r="D20" s="9" t="str">
        <x:v>Map mean cycles</x:v>
      </x:c>
      <x:c r="E20" s="9" t="str">
        <x:v>Map P95 cycles</x:v>
      </x:c>
      <x:c r="F20" s="9" t="str">
        <x:v>Map max cycles</x:v>
      </x:c>
      <x:c r="G20" s="9" t="str">
        <x:v>Render mean cycles</x:v>
      </x:c>
      <x:c r="H20" s="9" t="str">
        <x:v>Render P95 cycles</x:v>
      </x:c>
      <x:c r="I20" s="9" t="str">
        <x:v>Work mean cycles</x:v>
      </x:c>
      <x:c r="J20" s="9" t="str">
        <x:v>Work P95 cycles</x:v>
      </x:c>
      <x:c r="K20" s="9" t="str">
        <x:v>Interval mean cycles</x:v>
      </x:c>
      <x:c r="L20" s="9" t="str">
        <x:v>Interval max cycles</x:v>
      </x:c>
    </x:row>
    <x:row r="21" ht="25" customHeight="1">
      <x:c r="A21" s="2" t="str">
        <x:v>horizontal</x:v>
      </x:c>
      <x:c r="B21" s="2" t="str">
        <x:v>within tile</x:v>
      </x:c>
      <x:c r="C21" s="2" t="n">
        <x:v>115</x:v>
      </x:c>
      <x:c r="D21" s="10" t="n">
        <x:v>22315.30434782693</x:v>
      </x:c>
      <x:c r="E21" s="10" t="n">
        <x:v>58380.0000000149</x:v>
      </x:c>
      <x:c r="F21" s="10" t="n">
        <x:v>81696.0000000149</x:v>
      </x:c>
      <x:c r="G21" s="10" t="n">
        <x:v>36339.478260869466</x:v>
      </x:c>
      <x:c r="H21" s="10" t="n">
        <x:v>75193</x:v>
      </x:c>
      <x:c r="I21" s="10" t="n">
        <x:v>78251.83478260986</x:v>
      </x:c>
      <x:c r="J21" s="10" t="n">
        <x:v>122357</x:v>
      </x:c>
      <x:c r="K21" s="10" t="n">
        <x:v>122346.4434782609</x:v>
      </x:c>
      <x:c r="L21" s="10" t="n">
        <x:v>183585</x:v>
      </x:c>
    </x:row>
    <x:row r="22" ht="25" customHeight="1">
      <x:c r="A22" s="2" t="str">
        <x:v>horizontal</x:v>
      </x:c>
      <x:c r="B22" s="2" t="str">
        <x:v>tile crossing</x:v>
      </x:c>
      <x:c r="C22" s="2" t="n">
        <x:v>121</x:v>
      </x:c>
      <x:c r="D22" s="10" t="n">
        <x:v>40153.64462809979</x:v>
      </x:c>
      <x:c r="E22" s="10" t="n">
        <x:v>50664</x:v>
      </x:c>
      <x:c r="F22" s="10" t="n">
        <x:v>82855</x:v>
      </x:c>
      <x:c r="G22" s="10" t="n">
        <x:v>54394.54545454619</x:v>
      </x:c>
      <x:c r="H22" s="10" t="n">
        <x:v>65470</x:v>
      </x:c>
      <x:c r="I22" s="10" t="n">
        <x:v>94273.7933884305</x:v>
      </x:c>
      <x:c r="J22" s="10" t="n">
        <x:v>119914.0000000149</x:v>
      </x:c>
      <x:c r="K22" s="10" t="n">
        <x:v>123016.93388429745</x:v>
      </x:c>
      <x:c r="L22" s="10" t="n">
        <x:v>179209</x:v>
      </x:c>
    </x:row>
    <x:row r="23" ht="25" customHeight="1">
      <x:c r="A23" s="2" t="str">
        <x:v>vertical</x:v>
      </x:c>
      <x:c r="B23" s="2" t="str">
        <x:v>within tile</x:v>
      </x:c>
      <x:c r="C23" s="2" t="n">
        <x:v>314</x:v>
      </x:c>
      <x:c r="D23" s="10" t="n">
        <x:v>13345.200636942414</x:v>
      </x:c>
      <x:c r="E23" s="10" t="n">
        <x:v>15217.999999985099</x:v>
      </x:c>
      <x:c r="F23" s="10" t="n">
        <x:v>61039.0000000149</x:v>
      </x:c>
      <x:c r="G23" s="10" t="n">
        <x:v>26814.388535031765</x:v>
      </x:c>
      <x:c r="H23" s="10" t="n">
        <x:v>27690</x:v>
      </x:c>
      <x:c r="I23" s="10" t="n">
        <x:v>70009.42675159268</x:v>
      </x:c>
      <x:c r="J23" s="10" t="n">
        <x:v>78752.0000000298</x:v>
      </x:c>
      <x:c r="K23" s="10" t="n">
        <x:v>119698.78980891734</x:v>
      </x:c>
      <x:c r="L23" s="10" t="n">
        <x:v>179205.9999999851</x:v>
      </x:c>
    </x:row>
    <x:row r="24" ht="25" customHeight="1">
      <x:c r="A24" s="2" t="str">
        <x:v>vertical</x:v>
      </x:c>
      <x:c r="B24" s="2" t="str">
        <x:v>tile crossing</x:v>
      </x:c>
      <x:c r="C24" s="2" t="n">
        <x:v>316</x:v>
      </x:c>
      <x:c r="D24" s="10" t="n">
        <x:v>27212.104430379924</x:v>
      </x:c>
      <x:c r="E24" s="10" t="n">
        <x:v>38505.9999999553</x:v>
      </x:c>
      <x:c r="F24" s="10" t="n">
        <x:v>51618.9999999702</x:v>
      </x:c>
      <x:c r="G24" s="10" t="n">
        <x:v>41013.126582278324</x:v>
      </x:c>
      <x:c r="H24" s="10" t="n">
        <x:v>52437</x:v>
      </x:c>
      <x:c r="I24" s="10" t="n">
        <x:v>80922.73417721505</x:v>
      </x:c>
      <x:c r="J24" s="10" t="n">
        <x:v>95102.0000000149</x:v>
      </x:c>
      <x:c r="K24" s="10" t="n">
        <x:v>119873.55696202513</x:v>
      </x:c>
      <x:c r="L24" s="10" t="n">
        <x:v>176387</x:v>
      </x:c>
    </x:row>
    <x:row r="25" ht="25" customHeight="1">
      <x:c r="A25" s="2" t="str">
        <x:v>stationary</x:v>
      </x:c>
      <x:c r="B25" s="2" t="str">
        <x:v>within tile</x:v>
      </x:c>
      <x:c r="C25" s="2" t="n">
        <x:v>47</x:v>
      </x:c>
      <x:c r="D25" s="10" t="n">
        <x:v>11918.680851064702</x:v>
      </x:c>
      <x:c r="E25" s="10" t="n">
        <x:v>12540</x:v>
      </x:c>
      <x:c r="F25" s="10" t="n">
        <x:v>29600</x:v>
      </x:c>
      <x:c r="G25" s="10" t="n">
        <x:v>25284.95744680772</x:v>
      </x:c>
      <x:c r="H25" s="10" t="n">
        <x:v>26321</x:v>
      </x:c>
      <x:c r="I25" s="10" t="n">
        <x:v>61578.46808510559</x:v>
      </x:c>
      <x:c r="J25" s="10" t="n">
        <x:v>72829</x:v>
      </x:c>
      <x:c r="K25" s="10" t="n">
        <x:v>102757.19148936146</x:v>
      </x:c>
      <x:c r="L25" s="10" t="n">
        <x:v>123849</x:v>
      </x:c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9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11" t="str">
        <x:v>Raster placement of logic and publication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12" t="str">
        <x:v>Physical line 0 = VSYNC; 228 CPU cycles per line. Endpoint ranges vary together; no fixed logic scanline.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9" t="str">
        <x:v>Routine</x:v>
      </x:c>
      <x:c r="B5" s="9" t="str">
        <x:v>Calls</x:v>
      </x:c>
      <x:c r="C5" s="9" t="str">
        <x:v>Start line min..max</x:v>
      </x:c>
      <x:c r="D5" s="9" t="str">
        <x:v>Start cycle min..max</x:v>
      </x:c>
      <x:c r="E5" s="9" t="str">
        <x:v>Mean span ms</x:v>
      </x:c>
      <x:c r="F5" s="9" t="str">
        <x:v>Mean in VBlank ms</x:v>
      </x:c>
      <x:c r="G5" s="9" t="str">
        <x:v>Mean outside ms</x:v>
      </x:c>
      <x:c r="H5" s="9" t="str">
        <x:v>Fully in blank</x:v>
      </x:c>
      <x:c r="I5" s="9" t="str">
        <x:v>Fully outside</x:v>
      </x:c>
      <x:c r="J5" s="9" t="str">
        <x:v>Crosses edge</x:v>
      </x:c>
      <x:c r="K5" s="9" t="str">
        <x:v>Mean span cycles</x:v>
      </x:c>
      <x:c r="L5" s="9" t="str">
        <x:v>Mean blank cycles</x:v>
      </x:c>
      <x:c r="M5" s="9" t="str">
        <x:v>Mean outside cycles</x:v>
      </x:c>
    </x:row>
    <x:row r="6" ht="25" customHeight="1">
      <x:c r="A6" s="2" t="str">
        <x:v>Game_Prepare</x:v>
      </x:c>
      <x:c r="B6" s="2" t="n">
        <x:v>913</x:v>
      </x:c>
      <x:c r="C6" s="15" t="str">
        <x:v>1..256</x:v>
      </x:c>
      <x:c r="D6" s="15" t="str">
        <x:v>69..188</x:v>
      </x:c>
      <x:c r="E6" s="13" t="n">
        <x:f>K6/Inputs!$B$2*1000</x:f>
        <x:v>10.4063223770889</x:v>
      </x:c>
      <x:c r="F6" s="13" t="n">
        <x:f>L6/Inputs!$B$2*1000</x:f>
        <x:v>2.020967936875638</x:v>
      </x:c>
      <x:c r="G6" s="13" t="n">
        <x:f>M6/Inputs!$B$2*1000</x:f>
        <x:v>8.385354440213302</x:v>
      </x:c>
      <x:c r="H6" s="2" t="n">
        <x:v>0</x:v>
      </x:c>
      <x:c r="I6" s="2" t="n">
        <x:v>0</x:v>
      </x:c>
      <x:c r="J6" s="2" t="n">
        <x:v>913</x:v>
      </x:c>
      <x:c r="K6" s="10" t="n">
        <x:v>37249.89923329668</x:v>
      </x:c>
      <x:c r="L6" s="10" t="n">
        <x:v>7234.145673603505</x:v>
      </x:c>
      <x:c r="M6" s="10" t="n">
        <x:v>30015.75355969332</x:v>
      </x:c>
    </x:row>
    <x:row r="7" ht="25" customHeight="1">
      <x:c r="A7" s="2" t="str">
        <x:v>Game_Frame</x:v>
      </x:c>
      <x:c r="B7" s="2" t="n">
        <x:v>913</x:v>
      </x:c>
      <x:c r="C7" s="15" t="str">
        <x:v>1..257</x:v>
      </x:c>
      <x:c r="D7" s="15" t="str">
        <x:v>0..188</x:v>
      </x:c>
      <x:c r="E7" s="13" t="n">
        <x:f>K7/Inputs!$B$2*1000</x:f>
        <x:v>7.031917970777181</x:v>
      </x:c>
      <x:c r="F7" s="13" t="n">
        <x:f>L7/Inputs!$B$2*1000</x:f>
        <x:v>1.9692185837115712</x:v>
      </x:c>
      <x:c r="G7" s="13" t="n">
        <x:f>M7/Inputs!$B$2*1000</x:f>
        <x:v>5.0626993870655435</x:v>
      </x:c>
      <x:c r="H7" s="2" t="n">
        <x:v>6</x:v>
      </x:c>
      <x:c r="I7" s="2" t="n">
        <x:v>0</x:v>
      </x:c>
      <x:c r="J7" s="2" t="n">
        <x:v>907</x:v>
      </x:c>
      <x:c r="K7" s="10" t="n">
        <x:v>25171.066812705605</x:v>
      </x:c>
      <x:c r="L7" s="10" t="n">
        <x:v>7048.906535231837</x:v>
      </x:c>
      <x:c r="M7" s="10" t="n">
        <x:v>18122.16027747353</x:v>
      </x:c>
    </x:row>
    <x:row r="8" ht="25" customHeight="1">
      <x:c r="A8" s="2" t="str">
        <x:v>Game_LogicTick</x:v>
      </x:c>
      <x:c r="B8" s="2" t="n">
        <x:v>1833</x:v>
      </x:c>
      <x:c r="C8" s="15" t="str">
        <x:v>0..260</x:v>
      </x:c>
      <x:c r="D8" s="15" t="str">
        <x:v>0..227</x:v>
      </x:c>
      <x:c r="E8" s="13" t="n">
        <x:f>K8/Inputs!$B$2*1000</x:f>
        <x:v>2.927064679487012</x:v>
      </x:c>
      <x:c r="F8" s="13" t="n">
        <x:f>L8/Inputs!$B$2*1000</x:f>
        <x:v>0.7748442680399295</x:v>
      </x:c>
      <x:c r="G8" s="13" t="n">
        <x:f>M8/Inputs!$B$2*1000</x:f>
        <x:v>2.1522204114470465</x:v>
      </x:c>
      <x:c r="H8" s="2" t="n">
        <x:v>292</x:v>
      </x:c>
      <x:c r="I8" s="2" t="n">
        <x:v>695</x:v>
      </x:c>
      <x:c r="J8" s="2" t="n">
        <x:v>846</x:v>
      </x:c>
      <x:c r="K8" s="10" t="n">
        <x:v>10477.559738134338</x:v>
      </x:c>
      <x:c r="L8" s="10" t="n">
        <x:v>2773.589925440989</x:v>
      </x:c>
      <x:c r="M8" s="10" t="n">
        <x:v>7703.969812693217</x:v>
      </x:c>
    </x:row>
    <x:row r="9" ht="25" customHeight="1">
      <x:c r="A9" s="2" t="str">
        <x:v>GameAudio_Tick</x:v>
      </x:c>
      <x:c r="B9" s="2" t="n">
        <x:v>1833</x:v>
      </x:c>
      <x:c r="C9" s="15" t="str">
        <x:v>2..257</x:v>
      </x:c>
      <x:c r="D9" s="15" t="str">
        <x:v>1..227</x:v>
      </x:c>
      <x:c r="E9" s="13" t="n">
        <x:f>K9/Inputs!$B$2*1000</x:f>
        <x:v>0.1691503189360377</x:v>
      </x:c>
      <x:c r="F9" s="13" t="n">
        <x:f>L9/Inputs!$B$2*1000</x:f>
        <x:v>0.06665964585910611</x:v>
      </x:c>
      <x:c r="G9" s="13" t="n">
        <x:f>M9/Inputs!$B$2*1000</x:f>
        <x:v>0.10249067307697991</x:v>
      </x:c>
      <x:c r="H9" s="2" t="n">
        <x:v>1168</x:v>
      </x:c>
      <x:c r="I9" s="2" t="n">
        <x:v>660</x:v>
      </x:c>
      <x:c r="J9" s="2" t="n">
        <x:v>5</x:v>
      </x:c>
      <x:c r="K9" s="10" t="n">
        <x:v>605.4811783958991</x:v>
      </x:c>
      <x:c r="L9" s="10" t="n">
        <x:v>238.61120203673394</x:v>
      </x:c>
      <x:c r="M9" s="10" t="n">
        <x:v>366.86997635933807</x:v>
      </x:c>
    </x:row>
    <x:row r="10" ht="25" customHeight="1">
      <x:c r="A10" s="2" t="str">
        <x:v>render</x:v>
      </x:c>
      <x:c r="B10" s="2" t="n">
        <x:v>913</x:v>
      </x:c>
      <x:c r="C10" s="15" t="str">
        <x:v>19..259</x:v>
      </x:c>
      <x:c r="D10" s="15" t="str">
        <x:v>0..227</x:v>
      </x:c>
      <x:c r="E10" s="13" t="n">
        <x:f>K10/Inputs!$B$2*1000</x:f>
        <x:v>10.198215561601653</x:v>
      </x:c>
      <x:c r="F10" s="13" t="n">
        <x:f>L10/Inputs!$B$2*1000</x:f>
        <x:v>2.7669250150898597</x:v>
      </x:c>
      <x:c r="G10" s="13" t="n">
        <x:f>M10/Inputs!$B$2*1000</x:f>
        <x:v>7.431290546511811</x:v>
      </x:c>
      <x:c r="H10" s="2" t="n">
        <x:v>0</x:v>
      </x:c>
      <x:c r="I10" s="2" t="n">
        <x:v>13</x:v>
      </x:c>
      <x:c r="J10" s="2" t="n">
        <x:v>900</x:v>
      </x:c>
      <x:c r="K10" s="10" t="n">
        <x:v>36504.971522453394</x:v>
      </x:c>
      <x:c r="L10" s="10" t="n">
        <x:v>9904.332603139832</x:v>
      </x:c>
      <x:c r="M10" s="10" t="n">
        <x:v>26600.63891931362</x:v>
      </x:c>
    </x:row>
    <x:row r="11" ht="25" customHeight="1">
      <x:c r="A11" s="2" t="str">
        <x:v>wait_blank</x:v>
      </x:c>
      <x:c r="B11" s="2" t="n">
        <x:v>913</x:v>
      </x:c>
      <x:c r="C11" s="15" t="str">
        <x:v>0..261</x:v>
      </x:c>
      <x:c r="D11" s="15" t="str">
        <x:v>0..226</x:v>
      </x:c>
      <x:c r="E11" s="13" t="n">
        <x:f>K11/Inputs!$B$2*1000</x:f>
        <x:v>11.748364850050539</x:v>
      </x:c>
      <x:c r="F11" s="13" t="n">
        <x:f>L11/Inputs!$B$2*1000</x:f>
        <x:v>0.39447516961780693</x:v>
      </x:c>
      <x:c r="G11" s="13" t="n">
        <x:f>M11/Inputs!$B$2*1000</x:f>
        <x:v>11.35388968043273</x:v>
      </x:c>
      <x:c r="H11" s="2" t="n">
        <x:v>0</x:v>
      </x:c>
      <x:c r="I11" s="2" t="n">
        <x:v>0</x:v>
      </x:c>
      <x:c r="J11" s="2" t="n">
        <x:v>913</x:v>
      </x:c>
      <x:c r="K11" s="10" t="n">
        <x:v>42053.80065717416</x:v>
      </x:c>
      <x:c r="L11" s="10" t="n">
        <x:v>1412.0416210295728</x:v>
      </x:c>
      <x:c r="M11" s="10" t="n">
        <x:v>40641.75903614458</x:v>
      </x:c>
    </x:row>
    <x:row r="12" ht="25" customHeight="1">
      <x:c r="A12" s="2" t="str">
        <x:v>commit</x:v>
      </x:c>
      <x:c r="B12" s="2" t="n">
        <x:v>913</x:v>
      </x:c>
      <x:c r="C12" s="15" t="str">
        <x:v>245..245</x:v>
      </x:c>
      <x:c r="D12" s="15" t="str">
        <x:v>4..8</x:v>
      </x:c>
      <x:c r="E12" s="13" t="n">
        <x:f>K12/Inputs!$B$2*1000</x:f>
        <x:v>1.0464249177331588</x:v>
      </x:c>
      <x:c r="F12" s="13" t="n">
        <x:f>L12/Inputs!$B$2*1000</x:f>
        <x:v>1.0464249177330551</x:v>
      </x:c>
      <x:c r="G12" s="13" t="n">
        <x:f>M12/Inputs!$B$2*1000</x:f>
        <x:v>0</x:v>
      </x:c>
      <x:c r="H12" s="2" t="n">
        <x:v>913</x:v>
      </x:c>
      <x:c r="I12" s="2" t="n">
        <x:v>0</x:v>
      </x:c>
      <x:c r="J12" s="2" t="n">
        <x:v>0</x:v>
      </x:c>
      <x:c r="K12" s="10" t="n">
        <x:v>3745.7250821471403</x:v>
      </x:c>
      <x:c r="L12" s="10" t="n">
        <x:v>3745.7250821467687</x:v>
      </x:c>
      <x:c r="M12" s="10" t="n">
        <x:v>0</x:v>
      </x:c>
    </x:row>
    <x:row r="13" ht="25" customHeight="1">
      <x:c r="A13" s="2" t="str">
        <x:v>clock_irq</x:v>
      </x:c>
      <x:c r="B13" s="2" t="n">
        <x:v>1829</x:v>
      </x:c>
      <x:c r="C13" s="15" t="str">
        <x:v>244..244</x:v>
      </x:c>
      <x:c r="D13" s="15" t="str">
        <x:v>64..198</x:v>
      </x:c>
      <x:c r="E13" s="13" t="n">
        <x:f>K13/Inputs!$B$2*1000</x:f>
        <x:v>0.03883175096275653</x:v>
      </x:c>
      <x:c r="F13" s="13" t="n">
        <x:f>L13/Inputs!$B$2*1000</x:f>
        <x:v>0.03883175096276203</x:v>
      </x:c>
      <x:c r="G13" s="13" t="n">
        <x:f>M13/Inputs!$B$2*1000</x:f>
        <x:v>0</x:v>
      </x:c>
      <x:c r="H13" s="2" t="n">
        <x:v>1829</x:v>
      </x:c>
      <x:c r="I13" s="2" t="n">
        <x:v>0</x:v>
      </x:c>
      <x:c r="J13" s="2" t="n">
        <x:v>0</x:v>
      </x:c>
      <x:c r="K13" s="10" t="n">
        <x:v>138.99999999998033</x:v>
      </x:c>
      <x:c r="L13" s="10" t="n">
        <x:v>139</x:v>
      </x:c>
      <x:c r="M13" s="10" t="n">
        <x:v>0</x:v>
      </x:c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42" customHeight="1">
      <x:c r="A17" s="9" t="str">
        <x:v>Clock / budget</x:v>
      </x:c>
      <x:c r="B17" s="9" t="str">
        <x:v>Cycles</x:v>
      </x:c>
      <x:c r="C17" s="9" t="str">
        <x:v>Milliseconds</x:v>
      </x:c>
      <x:c r="D17" s="9" t="str">
        <x:v>Meaning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5" customHeight="1">
      <x:c r="A18" s="2" t="str">
        <x:v>Physical refresh</x:v>
      </x:c>
      <x:c r="B18" s="13" t="n">
        <x:v>59736</x:v>
      </x:c>
      <x:c r="C18" s="13" t="n">
        <x:f>B18/Inputs!$B$2*1000</x:f>
        <x:v>16.68815450008311</x:v>
      </x:c>
      <x:c r="D18" s="2" t="str">
        <x:v>262 lines; 59.922743 Hz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5" customHeight="1">
      <x:c r="A19" s="2" t="str">
        <x:v>Physical VBlank (VR=1)</x:v>
      </x:c>
      <x:c r="B19" s="13" t="n">
        <x:v>11172</x:v>
      </x:c>
      <x:c r="C19" s="13" t="n">
        <x:f>B19/Inputs!$B$2*1000</x:f>
        <x:v>3.1210670629926427</x:v>
      </x:c>
      <x:c r="D19" s="2" t="str">
        <x:v>Not a guaranteed usable VRAM budget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5" customHeight="1">
      <x:c r="A20" s="2" t="str">
        <x:v>Usable VBlank reserve</x:v>
      </x:c>
      <x:c r="B20" s="13" t="n">
        <x:v>5000</x:v>
      </x:c>
      <x:c r="C20" s="13" t="n">
        <x:f>B20/Inputs!$B$2*1000</x:f>
        <x:v>1.3968255742000728</x:v>
      </x:c>
      <x:c r="D20" s="2" t="str">
        <x:v>Planning assumption; not measured limit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5" customHeight="1">
      <x:c r="A21" s="2" t="str">
        <x:v>Target presentation budget</x:v>
      </x:c>
      <x:c r="B21" s="13" t="n">
        <x:f>Inputs!$B$2/Inputs!$B$4</x:f>
        <x:v>119437.6042709376</x:v>
      </x:c>
      <x:c r="C21" s="13" t="n">
        <x:f>B21/Inputs!$B$2*1000</x:f>
        <x:v>33.3667000333667</x:v>
      </x:c>
      <x:c r="D21" s="2" t="str">
        <x:v>Nominal NTSC target; physical cadence is separate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5" customHeight="1">
      <x:c r="A22" s="2" t="str">
        <x:v>Maximum atomic commit</x:v>
      </x:c>
      <x:c r="B22" s="13" t="n">
        <x:v>6938.000000005704</x:v>
      </x:c>
      <x:c r="C22" s="13" t="n">
        <x:f>B22/Inputs!$B$2*1000</x:f>
        <x:v>1.9382351667616147</x:v>
      </x:c>
      <x:c r="D22" s="2" t="str">
        <x:v>Measured; 913/913 wholly in blank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5" customHeight="1">
      <x:c r="A23" s="2" t="str">
        <x:v>Mean CPU work/frame</x:v>
      </x:c>
      <x:c r="B23" s="13" t="n">
        <x:v>77606.59583789732</x:v>
      </x:c>
      <x:c r="C23" s="13" t="n">
        <x:f>B23/Inputs!$B$2*1000</x:f>
        <x:v>21.68057555859678</x:v>
      </x:c>
      <x:c r="D23" s="2" t="str">
        <x:v>Excludes synchronization HALT; includes preparation and publication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5" customHeight="1">
      <x:c r="A24" s="2" t="str">
        <x:v>Mean target work margin</x:v>
      </x:c>
      <x:c r="B24" s="13" t="n">
        <x:f>B21-B23</x:f>
        <x:v>41831.00843304029</x:v>
      </x:c>
      <x:c r="C24" s="13" t="n">
        <x:f>B24/Inputs!$B$2*1000</x:f>
        <x:v>11.686124474769919</x:v>
      </x:c>
      <x:c r="D24" s="2" t="str">
        <x:v>Mean time margin; tail overruns and refresh alignment still matter</x:v>
      </x:c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5" customHeight="1">
      <x:c r="A26" s="2" t="str">
        <x:v>VR rises at physical line 244 + 33 2/3 CPU cycles; falls next line 31 + 33 2/3. Visible picture begins line 32.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5" customHeight="1">
      <x:c r="A27" s="2" t="str">
        <x:v>Loop: Game_Prepare -&gt; render -&gt; EI/HALT -&gt; commit -&gt; next loop. Foreground work continues during visible scanlines.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5" customHeight="1">
      <x:c r="A28" s="2" t="str">
        <x:v>Game_Frame begins on physical lines 1..257; 907/913 calls cross a VBlank edge.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5" customHeight="1">
      <x:c r="A29" s="2" t="str">
        <x:v>Commit begins line 245..245, cycles 4..8; IRQ body only acknowledges VBlank and increments the clock.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2" t="str">
        <x:v>Observed interval 5: Game_Frame line1 cycle186 -&gt; line107 cycle143; 24125 cycles.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5" customHeight="1">
      <x:c r="A31" s="2" t="str">
        <x:v>Raster spans are inclusive elapsed costs. In-blank/outside costs partition that span; do not add parent and child rows.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 t="str">
        <x:v>Native VDP counter: 1368 ticks/line, 6 ticks/CPU cycle. Every endpoint VR bit and duration was checked.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5" customHeight="1">
      <x:c r="A33" s="2" t="str">
        <x:v>Measured/control: 1244 intervals, 913 active; states identical; &lt;=3 cycles boundary jitter.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5" customHeight="1">
      <x:c r="A34" s="2" t="str">
        <x:v>Emulator evidence only. No physical hardware certification or new quality reduction.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5" customHeight="1">
      <x:c r="A35" s="2" t="str">
        <x:v>Refresh 59.922743 Hz; primary active presentation 29.914200 FPS. These are distinct rates.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5" customHeight="1">
      <x:c r="A36" s="2" t="str">
        <x:v>Source: references/experiments/raster-phase-ooxym__m/summary.json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42" customHeight="1">
      <x:c r="A39" s="9" t="str">
        <x:v>Video mode</x:v>
      </x:c>
      <x:c r="B39" s="9" t="str">
        <x:v>Lines</x:v>
      </x:c>
      <x:c r="C39" s="9" t="str">
        <x:v>Cycles/refresh</x:v>
      </x:c>
      <x:c r="D39" s="9" t="str">
        <x:v>Refresh ms</x:v>
      </x:c>
      <x:c r="E39" s="9" t="str">
        <x:v>Physical Hz</x:v>
      </x:c>
      <x:c r="F39" s="9" t="str">
        <x:v>Two-refresh FPS</x:v>
      </x:c>
      <x:c r="G39" s="2"/>
      <x:c r="H39" s="2"/>
      <x:c r="I39" s="2"/>
      <x:c r="J39" s="2"/>
      <x:c r="K39" s="2"/>
      <x:c r="L39" s="2"/>
      <x:c r="M39" s="2"/>
    </x:row>
    <x:row r="40" ht="25" customHeight="1">
      <x:c r="A40" s="2" t="str">
        <x:v>60Hz nominal</x:v>
      </x:c>
      <x:c r="B40" s="3" t="n">
        <x:f>Inputs!B205</x:f>
        <x:v>262</x:v>
      </x:c>
      <x:c r="C40" s="3" t="n">
        <x:f>B40*228</x:f>
        <x:v>59736</x:v>
      </x:c>
      <x:c r="D40" s="13" t="n">
        <x:f>C40/Inputs!$B$2*1000</x:f>
        <x:v>16.68815450008311</x:v>
      </x:c>
      <x:c r="E40" s="13" t="n">
        <x:f>Inputs!$B$2/C40</x:f>
        <x:v>59.92274340431231</x:v>
      </x:c>
      <x:c r="F40" s="13" t="n">
        <x:f>E40/2</x:f>
        <x:v>29.961371702156153</x:v>
      </x:c>
      <x:c r="G40" s="2"/>
      <x:c r="H40" s="2"/>
      <x:c r="I40" s="2"/>
      <x:c r="J40" s="2"/>
      <x:c r="K40" s="2"/>
      <x:c r="L40" s="2"/>
      <x:c r="M40" s="2"/>
    </x:row>
    <x:row r="41" ht="25" customHeight="1">
      <x:c r="A41" s="2" t="str">
        <x:v>50Hz nominal (calculated)</x:v>
      </x:c>
      <x:c r="B41" s="3" t="n">
        <x:f>Inputs!B206</x:f>
        <x:v>313</x:v>
      </x:c>
      <x:c r="C41" s="3" t="n">
        <x:f>B41*228</x:f>
        <x:v>71364</x:v>
      </x:c>
      <x:c r="D41" s="13" t="n">
        <x:f>C41/Inputs!$B$2*1000</x:f>
        <x:v>19.9366120554428</x:v>
      </x:c>
      <x:c r="E41" s="13" t="n">
        <x:f>Inputs!$B$2/C41</x:f>
        <x:v>50.15897371223586</x:v>
      </x:c>
      <x:c r="F41" s="13" t="n">
        <x:f>E41/2</x:f>
        <x:v>25.07948685611793</x:v>
      </x:c>
      <x:c r="G41" s="2"/>
      <x:c r="H41" s="2"/>
      <x:c r="I41" s="2"/>
      <x:c r="J41" s="2"/>
      <x:c r="K41" s="2"/>
      <x:c r="L41" s="2"/>
      <x:c r="M41" s="2"/>
    </x:row>
    <x:row r="43">
      <x:c r="A43" t="str">
        <x:v>50Hz row is calculated from official timing constants; no50Hz gameplay measurement or ROM change.</x:v>
      </x:c>
    </x:row>
    <x:row r="44">
      <x:c r="A44" t="str">
        <x:v>Same CPU cycles/second. Reusing the two-refresh cadence gives25.079FPS; near30 needs uneven1/2-refresh intervals and native clock/audio adaptation.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20" hidden="0" customWidth="1"/>
    <x:col min="13" max="13" width="9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2" t="str">
        <x:v>CPU clock (Hz)</x:v>
      </x:c>
      <x:c r="B2" s="3" t="n">
        <x:v>3579545</x:v>
      </x:c>
      <x:c r="C2" s="2"/>
      <x:c r="D2" s="2" t="str">
        <x:v>Panasonic_FS-A1WSX_NR128; openMSX 21.0; HUD on; hardware sprite limits on; primary active presentation 29.914 FPS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Physical refresh (Hz)</x:v>
      </x:c>
      <x:c r="B3" s="4" t="n">
        <x:v>59.92274340431231</x:v>
      </x:c>
      <x:c r="C3" s="2"/>
      <x:c r="D3" s="2" t="str">
        <x:v>Measured active gameplay; death, stopped and bonus intervals excluded at both endpoints.</x:v>
      </x:c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Target presentation FPS</x:v>
      </x:c>
      <x:c r="B4" s="5" t="n">
        <x:v>29.97</x:v>
      </x:c>
      <x:c r="C4" s="2"/>
      <x:c r="D4" s="2" t="str">
        <x:v>1/2-enemy diagnostics clamp only active population in RAM on the unchanged 3-enemy ROM.</x:v>
      </x:c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 t="str">
        <x:v>SHA256: 34aab943550df300e3258bd6bb43f853330eca48a7a06acbf8a4b1d8702cf46a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2" customHeight="1">
      <x:c r="A6" s="9" t="str">
        <x:v>Measured owner</x:v>
      </x:c>
      <x:c r="B6" s="9" t="str">
        <x:v>Frames</x:v>
      </x:c>
      <x:c r="C6" s="9" t="str">
        <x:v>Calls</x:v>
      </x:c>
      <x:c r="D6" s="9" t="str">
        <x:v>Calls/frame</x:v>
      </x:c>
      <x:c r="E6" s="9" t="str">
        <x:v>Mean/frame cycles</x:v>
      </x:c>
      <x:c r="F6" s="9" t="str">
        <x:v>P95/frame cycles</x:v>
      </x:c>
      <x:c r="G6" s="9" t="str">
        <x:v>Max/frame cycles</x:v>
      </x:c>
      <x:c r="H6" s="9" t="str">
        <x:v>Mean/call cycles</x:v>
      </x:c>
      <x:c r="I6" s="9" t="str">
        <x:v>P95/call cycles</x:v>
      </x:c>
      <x:c r="J6" s="9" t="str">
        <x:v>Max/call cycles</x:v>
      </x:c>
      <x:c r="K6" s="9" t="str">
        <x:v>Cycle basis</x:v>
      </x:c>
      <x:c r="L6" s="9" t="str">
        <x:v>Tracked terms</x:v>
      </x:c>
      <x:c r="M6" s="9" t="str">
        <x:v>Evidence source</x:v>
      </x:c>
    </x:row>
    <x:row r="7" ht="25" customHeight="1">
      <x:c r="A7" s="2" t="str">
        <x:v>Simulation including audio</x:v>
      </x:c>
      <x:c r="B7" s="3" t="n">
        <x:v>913</x:v>
      </x:c>
      <x:c r="C7" s="3" t="n">
        <x:v>913</x:v>
      </x:c>
      <x:c r="D7" s="10" t="n">
        <x:v>1</x:v>
      </x:c>
      <x:c r="E7" s="10" t="n">
        <x:v>25171.066812705583</x:v>
      </x:c>
      <x:c r="F7" s="10" t="n">
        <x:v>29640.0000000149</x:v>
      </x:c>
      <x:c r="G7" s="10" t="n">
        <x:v>74617.99999999627</x:v>
      </x:c>
      <x:c r="H7" s="10" t="n">
        <x:v>25171.066812705583</x:v>
      </x:c>
      <x:c r="I7" s="10" t="n">
        <x:v>29640.0000000149</x:v>
      </x:c>
      <x:c r="J7" s="10" t="n">
        <x:v>74617.99999999627</x:v>
      </x:c>
      <x:c r="K7" s="2" t="str">
        <x:v>Emulated CPU cycles</x:v>
      </x:c>
      <x:c r="L7" s="2" t="str">
        <x:v>Game_Frame</x:v>
      </x:c>
      <x:c r="M7" s="2" t="str">
        <x:v>references/experiments/stage-one-3-enemies/profile-route-7x904ch1/summary.json</x:v>
      </x:c>
    </x:row>
    <x:row r="8" ht="25" customHeight="1">
      <x:c r="A8" s="2" t="str">
        <x:v>Gameplay tick</x:v>
      </x:c>
      <x:c r="B8" s="3" t="n">
        <x:v>913</x:v>
      </x:c>
      <x:c r="C8" s="3" t="n">
        <x:v>1833</x:v>
      </x:c>
      <x:c r="D8" s="10" t="n">
        <x:v>2.0076670317634173</x:v>
      </x:c>
      <x:c r="E8" s="10" t="n">
        <x:v>21035.451259584097</x:v>
      </x:c>
      <x:c r="F8" s="10" t="n">
        <x:v>25254</x:v>
      </x:c>
      <x:c r="G8" s="10" t="n">
        <x:v>70640</x:v>
      </x:c>
      <x:c r="H8" s="10" t="n">
        <x:v>10477.559738134358</x:v>
      </x:c>
      <x:c r="I8" s="10" t="n">
        <x:v>20986</x:v>
      </x:c>
      <x:c r="J8" s="10" t="n">
        <x:v>63843</x:v>
      </x:c>
      <x:c r="K8" s="2" t="str">
        <x:v>Emulated CPU cycles</x:v>
      </x:c>
      <x:c r="L8" s="2" t="str">
        <x:v>Game_LogicTick</x:v>
      </x:c>
      <x:c r="M8" s="2" t="str">
        <x:v>references/experiments/stage-one-3-enemies/profile-route-7x904ch1/summary.json</x:v>
      </x:c>
    </x:row>
    <x:row r="9" ht="25" customHeight="1">
      <x:c r="A9" s="2" t="str">
        <x:v>Player steering / wall probes</x:v>
      </x:c>
      <x:c r="B9" s="3" t="n">
        <x:v>913</x:v>
      </x:c>
      <x:c r="C9" s="3" t="n">
        <x:v>916</x:v>
      </x:c>
      <x:c r="D9" s="10" t="n">
        <x:v>1.0032858707557504</x:v>
      </x:c>
      <x:c r="E9" s="10" t="n">
        <x:v>2005.7524644029525</x:v>
      </x:c>
      <x:c r="F9" s="10" t="n">
        <x:v>2291.999999985099</x:v>
      </x:c>
      <x:c r="G9" s="10" t="n">
        <x:v>5839.000000029802</x:v>
      </x:c>
      <x:c r="H9" s="10" t="n">
        <x:v>1999.1834061134232</x:v>
      </x:c>
      <x:c r="I9" s="10" t="n">
        <x:v>2261</x:v>
      </x:c>
      <x:c r="J9" s="10" t="n">
        <x:v>4070</x:v>
      </x:c>
      <x:c r="K9" s="2" t="str">
        <x:v>Emulated CPU cycles</x:v>
      </x:c>
      <x:c r="L9" s="2" t="str">
        <x:v>Native_PlayerFinalize</x:v>
      </x:c>
      <x:c r="M9" s="2" t="str">
        <x:v>references/experiments/stage-one-3-enemies/profile-route-7x904ch1/summary.json</x:v>
      </x:c>
    </x:row>
    <x:row r="10" ht="25" customHeight="1">
      <x:c r="A10" s="2" t="str">
        <x:v>Player velocity cap</x:v>
      </x:c>
      <x:c r="B10" s="3" t="n">
        <x:v>913</x:v>
      </x:c>
      <x:c r="C10" s="3" t="n">
        <x:v>916</x:v>
      </x:c>
      <x:c r="D10" s="10" t="n">
        <x:v>1.0032858707557504</x:v>
      </x:c>
      <x:c r="E10" s="10" t="n">
        <x:v>218.096385541728</x:v>
      </x:c>
      <x:c r="F10" s="10" t="n">
        <x:v>275</x:v>
      </x:c>
      <x:c r="G10" s="10" t="n">
        <x:v>502</x:v>
      </x:c>
      <x:c r="H10" s="10" t="n">
        <x:v>217.38209606942976</x:v>
      </x:c>
      <x:c r="I10" s="10" t="n">
        <x:v>275</x:v>
      </x:c>
      <x:c r="J10" s="10" t="n">
        <x:v>275.00000001490116</x:v>
      </x:c>
      <x:c r="K10" s="2" t="str">
        <x:v>Emulated CPU cycles</x:v>
      </x:c>
      <x:c r="L10" s="2" t="str">
        <x:v>Full_MSXPlayerSpeed</x:v>
      </x:c>
      <x:c r="M10" s="2" t="str">
        <x:v>references/experiments/stage-one-3-enemies/profile-route-7x904ch1/summary.json</x:v>
      </x:c>
    </x:row>
    <x:row r="11" ht="25" customHeight="1">
      <x:c r="A11" s="2" t="str">
        <x:v>Camera pan logic</x:v>
      </x:c>
      <x:c r="B11" s="3" t="n">
        <x:v>913</x:v>
      </x:c>
      <x:c r="C11" s="3" t="n">
        <x:v>3666</x:v>
      </x:c>
      <x:c r="D11" s="10" t="n">
        <x:v>4.015334063526835</x:v>
      </x:c>
      <x:c r="E11" s="10" t="n">
        <x:v>411.7261774365312</x:v>
      </x:c>
      <x:c r="F11" s="10" t="n">
        <x:v>436.00000002235174</x:v>
      </x:c>
      <x:c r="G11" s="10" t="n">
        <x:v>872.0000000149012</x:v>
      </x:c>
      <x:c r="H11" s="10" t="n">
        <x:v>102.5384615383396</x:v>
      </x:c>
      <x:c r="I11" s="10" t="n">
        <x:v>130.00000000745058</x:v>
      </x:c>
      <x:c r="J11" s="10" t="n">
        <x:v>130.00000002980232</x:v>
      </x:c>
      <x:c r="K11" s="2" t="str">
        <x:v>Emulated CPU cycles</x:v>
      </x:c>
      <x:c r="L11" s="2" t="str">
        <x:v>Full_MSXPan</x:v>
      </x:c>
      <x:c r="M11" s="2" t="str">
        <x:v>references/experiments/stage-one-3-enemies/profile-route-7x904ch1/summary.json</x:v>
      </x:c>
    </x:row>
    <x:row r="12" ht="25" customHeight="1">
      <x:c r="A12" s="2" t="str">
        <x:v>Player / camera projection</x:v>
      </x:c>
      <x:c r="B12" s="3" t="n">
        <x:v>913</x:v>
      </x:c>
      <x:c r="C12" s="3" t="n">
        <x:v>913</x:v>
      </x:c>
      <x:c r="D12" s="10" t="n">
        <x:v>1</x:v>
      </x:c>
      <x:c r="E12" s="10" t="n">
        <x:v>884.8849945235528</x:v>
      </x:c>
      <x:c r="F12" s="10" t="n">
        <x:v>900</x:v>
      </x:c>
      <x:c r="G12" s="10" t="n">
        <x:v>900.0000000298023</x:v>
      </x:c>
      <x:c r="H12" s="10" t="n">
        <x:v>884.8849945235528</x:v>
      </x:c>
      <x:c r="I12" s="10" t="n">
        <x:v>900</x:v>
      </x:c>
      <x:c r="J12" s="10" t="n">
        <x:v>900.0000000298023</x:v>
      </x:c>
      <x:c r="K12" s="2" t="str">
        <x:v>Emulated CPU cycles</x:v>
      </x:c>
      <x:c r="L12" s="2" t="str">
        <x:v>Game_Position</x:v>
      </x:c>
      <x:c r="M12" s="2" t="str">
        <x:v>references/experiments/stage-one-3-enemies/profile-route-7x904ch1/summary.json</x:v>
      </x:c>
    </x:row>
    <x:row r="13" ht="25" customHeight="1">
      <x:c r="A13" s="2" t="str">
        <x:v>Enemy AI dispatcher</x:v>
      </x:c>
      <x:c r="B13" s="3" t="n">
        <x:v>913</x:v>
      </x:c>
      <x:c r="C13" s="3" t="n">
        <x:v>1833</x:v>
      </x:c>
      <x:c r="D13" s="10" t="n">
        <x:v>2.0076670317634173</x:v>
      </x:c>
      <x:c r="E13" s="10" t="n">
        <x:v>3679.686746987658</x:v>
      </x:c>
      <x:c r="F13" s="10" t="n">
        <x:v>5670</x:v>
      </x:c>
      <x:c r="G13" s="10" t="n">
        <x:v>10106</x:v>
      </x:c>
      <x:c r="H13" s="10" t="n">
        <x:v>1832.8172394979442</x:v>
      </x:c>
      <x:c r="I13" s="10" t="n">
        <x:v>5234.000000014901</x:v>
      </x:c>
      <x:c r="J13" s="10" t="n">
        <x:v>6968.999999985099</x:v>
      </x:c>
      <x:c r="K13" s="2" t="str">
        <x:v>Emulated CPU cycles</x:v>
      </x:c>
      <x:c r="L13" s="2" t="str">
        <x:v>Full_MSXAI</x:v>
      </x:c>
      <x:c r="M13" s="2" t="str">
        <x:v>references/experiments/stage-one-3-enemies/profile-route-7x904ch1/summary.json</x:v>
      </x:c>
    </x:row>
    <x:row r="14" ht="25" customHeight="1">
      <x:c r="A14" s="2" t="str">
        <x:v>Enemy contact scan</x:v>
      </x:c>
      <x:c r="B14" s="3" t="n">
        <x:v>913</x:v>
      </x:c>
      <x:c r="C14" s="3" t="n">
        <x:v>916</x:v>
      </x:c>
      <x:c r="D14" s="10" t="n">
        <x:v>1.0032858707557504</x:v>
      </x:c>
      <x:c r="E14" s="10" t="n">
        <x:v>698.4337349398814</x:v>
      </x:c>
      <x:c r="F14" s="10" t="n">
        <x:v>1069</x:v>
      </x:c>
      <x:c r="G14" s="10" t="n">
        <x:v>1963.9999999850988</x:v>
      </x:c>
      <x:c r="H14" s="10" t="n">
        <x:v>696.146288209729</x:v>
      </x:c>
      <x:c r="I14" s="10" t="n">
        <x:v>1069</x:v>
      </x:c>
      <x:c r="J14" s="10" t="n">
        <x:v>1217.0000000149012</x:v>
      </x:c>
      <x:c r="K14" s="2" t="str">
        <x:v>Emulated CPU cycles</x:v>
      </x:c>
      <x:c r="L14" s="2" t="str">
        <x:v>Full_MSXContact</x:v>
      </x:c>
      <x:c r="M14" s="2" t="str">
        <x:v>references/experiments/stage-one-3-enemies/profile-route-7x904ch1/summary.json</x:v>
      </x:c>
    </x:row>
    <x:row r="15" ht="25" customHeight="1">
      <x:c r="A15" s="2" t="str">
        <x:v>Native motion dispatcher</x:v>
      </x:c>
      <x:c r="B15" s="3" t="n">
        <x:v>913</x:v>
      </x:c>
      <x:c r="C15" s="3" t="n">
        <x:v>1833</x:v>
      </x:c>
      <x:c r="D15" s="10" t="n">
        <x:v>2.0076670317634173</x:v>
      </x:c>
      <x:c r="E15" s="10" t="n">
        <x:v>6440.231106243358</x:v>
      </x:c>
      <x:c r="F15" s="10" t="n">
        <x:v>6661.000000014901</x:v>
      </x:c>
      <x:c r="G15" s="10" t="n">
        <x:v>11587</x:v>
      </x:c>
      <x:c r="H15" s="10" t="n">
        <x:v>3207.8183306056662</x:v>
      </x:c>
      <x:c r="I15" s="10" t="n">
        <x:v>5078.999999985099</x:v>
      </x:c>
      <x:c r="J15" s="10" t="n">
        <x:v>5247</x:v>
      </x:c>
      <x:c r="K15" s="2" t="str">
        <x:v>Emulated CPU cycles</x:v>
      </x:c>
      <x:c r="L15" s="2" t="str">
        <x:v>Native_MotionDispatcher</x:v>
      </x:c>
      <x:c r="M15" s="2" t="str">
        <x:v>references/experiments/stage-one-3-enemies/profile-route-7x904ch1/summary.json</x:v>
      </x:c>
    </x:row>
    <x:row r="16" ht="25" customHeight="1">
      <x:c r="A16" s="2" t="str">
        <x:v>Actor records</x:v>
      </x:c>
      <x:c r="B16" s="3" t="n">
        <x:v>913</x:v>
      </x:c>
      <x:c r="C16" s="3" t="n">
        <x:v>913</x:v>
      </x:c>
      <x:c r="D16" s="10" t="n">
        <x:v>1</x:v>
      </x:c>
      <x:c r="E16" s="10" t="n">
        <x:v>3985.0000000002815</x:v>
      </x:c>
      <x:c r="F16" s="10" t="n">
        <x:v>3985.000000014901</x:v>
      </x:c>
      <x:c r="G16" s="10" t="n">
        <x:v>3985.0000000298023</x:v>
      </x:c>
      <x:c r="H16" s="10" t="n">
        <x:v>3985.0000000002815</x:v>
      </x:c>
      <x:c r="I16" s="10" t="n">
        <x:v>3985.000000014901</x:v>
      </x:c>
      <x:c r="J16" s="10" t="n">
        <x:v>3985.0000000298023</x:v>
      </x:c>
      <x:c r="K16" s="2" t="str">
        <x:v>Emulated CPU cycles</x:v>
      </x:c>
      <x:c r="L16" s="2" t="str">
        <x:v>Game_Actors</x:v>
      </x:c>
      <x:c r="M16" s="2" t="str">
        <x:v>references/experiments/stage-one-3-enemies/profile-route-7x904ch1/summary.json</x:v>
      </x:c>
    </x:row>
    <x:row r="17" ht="25" customHeight="1">
      <x:c r="A17" s="2" t="str">
        <x:v>World sprites prepare</x:v>
      </x:c>
      <x:c r="B17" s="3" t="n">
        <x:v>913</x:v>
      </x:c>
      <x:c r="C17" s="3" t="n">
        <x:v>913</x:v>
      </x:c>
      <x:c r="D17" s="10" t="n">
        <x:v>1</x:v>
      </x:c>
      <x:c r="E17" s="10" t="n">
        <x:v>6136.554216867213</x:v>
      </x:c>
      <x:c r="F17" s="10" t="n">
        <x:v>13129.999999985099</x:v>
      </x:c>
      <x:c r="G17" s="10" t="n">
        <x:v>28019</x:v>
      </x:c>
      <x:c r="H17" s="10" t="n">
        <x:v>6136.554216867213</x:v>
      </x:c>
      <x:c r="I17" s="10" t="n">
        <x:v>13129.999999985099</x:v>
      </x:c>
      <x:c r="J17" s="10" t="n">
        <x:v>28019</x:v>
      </x:c>
      <x:c r="K17" s="2" t="str">
        <x:v>Emulated CPU cycles</x:v>
      </x:c>
      <x:c r="L17" s="2" t="str">
        <x:v>GameSprites_Prepare</x:v>
      </x:c>
      <x:c r="M17" s="2" t="str">
        <x:v>references/experiments/stage-one-3-enemies/profile-route-7x904ch1/summary.json</x:v>
      </x:c>
    </x:row>
    <x:row r="18" ht="25" customHeight="1">
      <x:c r="A18" s="2" t="str">
        <x:v>World sprites publish</x:v>
      </x:c>
      <x:c r="B18" s="3" t="n">
        <x:v>913</x:v>
      </x:c>
      <x:c r="C18" s="3" t="n">
        <x:v>913</x:v>
      </x:c>
      <x:c r="D18" s="10" t="n">
        <x:v>1</x:v>
      </x:c>
      <x:c r="E18" s="10" t="n">
        <x:v>1963.4600219055562</x:v>
      </x:c>
      <x:c r="F18" s="10" t="n">
        <x:v>1951.0000000149012</x:v>
      </x:c>
      <x:c r="G18" s="10" t="n">
        <x:v>3847</x:v>
      </x:c>
      <x:c r="H18" s="10" t="n">
        <x:v>1963.4600219055562</x:v>
      </x:c>
      <x:c r="I18" s="10" t="n">
        <x:v>1951.0000000149012</x:v>
      </x:c>
      <x:c r="J18" s="10" t="n">
        <x:v>3847</x:v>
      </x:c>
      <x:c r="K18" s="2" t="str">
        <x:v>Emulated CPU cycles</x:v>
      </x:c>
      <x:c r="L18" s="2" t="str">
        <x:v>GameSprites_Commit</x:v>
      </x:c>
      <x:c r="M18" s="2" t="str">
        <x:v>references/experiments/stage-one-3-enemies/profile-route-7x904ch1/summary.json</x:v>
      </x:c>
    </x:row>
    <x:row r="19" ht="25" customHeight="1">
      <x:c r="A19" s="2" t="str">
        <x:v>Map drawing</x:v>
      </x:c>
      <x:c r="B19" s="3" t="n">
        <x:v>913</x:v>
      </x:c>
      <x:c r="C19" s="3" t="n">
        <x:v>4565</x:v>
      </x:c>
      <x:c r="D19" s="10" t="n">
        <x:v>5</x:v>
      </x:c>
      <x:c r="E19" s="10" t="n">
        <x:v>22754.049288061542</x:v>
      </x:c>
      <x:c r="F19" s="10" t="n">
        <x:v>46343.0000000298</x:v>
      </x:c>
      <x:c r="G19" s="10" t="n">
        <x:v>82855</x:v>
      </x:c>
      <x:c r="H19" s="10" t="n">
        <x:v>4550.809857612308</x:v>
      </x:c>
      <x:c r="I19" s="10" t="n">
        <x:v>15479.000000014901</x:v>
      </x:c>
      <x:c r="J19" s="10" t="n">
        <x:v>58671</x:v>
      </x:c>
      <x:c r="K19" s="2" t="str">
        <x:v>Emulated CPU cycles</x:v>
      </x:c>
      <x:c r="L19" s="2" t="str">
        <x:v>Ring_Prepare + Game_RingPatch + Ring_UploadNames + Game_DirtyTileUpload + GameDirty_Plan</x:v>
      </x:c>
      <x:c r="M19" s="2" t="str">
        <x:v>references/experiments/stage-one-3-enemies/profile-route-7x904ch1/summary.json</x:v>
      </x:c>
    </x:row>
    <x:row r="20" ht="25" customHeight="1">
      <x:c r="A20" s="2" t="str">
        <x:v>Map ring prepare</x:v>
      </x:c>
      <x:c r="B20" s="3" t="n">
        <x:v>913</x:v>
      </x:c>
      <x:c r="C20" s="3" t="n">
        <x:v>913</x:v>
      </x:c>
      <x:c r="D20" s="10" t="n">
        <x:v>1</x:v>
      </x:c>
      <x:c r="E20" s="10" t="n">
        <x:v>5968.033953997662</x:v>
      </x:c>
      <x:c r="F20" s="10" t="n">
        <x:v>16734</x:v>
      </x:c>
      <x:c r="G20" s="10" t="n">
        <x:v>18467.0000000149</x:v>
      </x:c>
      <x:c r="H20" s="10" t="n">
        <x:v>5968.033953997662</x:v>
      </x:c>
      <x:c r="I20" s="10" t="n">
        <x:v>16734</x:v>
      </x:c>
      <x:c r="J20" s="10" t="n">
        <x:v>18467.0000000149</x:v>
      </x:c>
      <x:c r="K20" s="2" t="str">
        <x:v>Emulated CPU cycles</x:v>
      </x:c>
      <x:c r="L20" s="2" t="str">
        <x:v>Ring_Prepare</x:v>
      </x:c>
      <x:c r="M20" s="2" t="str">
        <x:v>references/experiments/stage-one-3-enemies/profile-route-7x904ch1/summary.json</x:v>
      </x:c>
    </x:row>
    <x:row r="21" ht="25" customHeight="1">
      <x:c r="A21" s="2" t="str">
        <x:v>Map terrain names</x:v>
      </x:c>
      <x:c r="B21" s="3" t="n">
        <x:v>913</x:v>
      </x:c>
      <x:c r="C21" s="3" t="n">
        <x:v>913</x:v>
      </x:c>
      <x:c r="D21" s="10" t="n">
        <x:v>1</x:v>
      </x:c>
      <x:c r="E21" s="10" t="n">
        <x:v>13071.639649507299</x:v>
      </x:c>
      <x:c r="F21" s="10" t="n">
        <x:v>17260</x:v>
      </x:c>
      <x:c r="G21" s="10" t="n">
        <x:v>38332</x:v>
      </x:c>
      <x:c r="H21" s="10" t="n">
        <x:v>13071.639649507299</x:v>
      </x:c>
      <x:c r="I21" s="10" t="n">
        <x:v>17260</x:v>
      </x:c>
      <x:c r="J21" s="10" t="n">
        <x:v>38332</x:v>
      </x:c>
      <x:c r="K21" s="2" t="str">
        <x:v>Emulated CPU cycles</x:v>
      </x:c>
      <x:c r="L21" s="2" t="str">
        <x:v>Ring_UploadNames</x:v>
      </x:c>
      <x:c r="M21" s="2" t="str">
        <x:v>references/experiments/stage-one-3-enemies/profile-route-7x904ch1/summary.json</x:v>
      </x:c>
    </x:row>
    <x:row r="22" ht="25" customHeight="1">
      <x:c r="A22" s="2" t="str">
        <x:v>Radar</x:v>
      </x:c>
      <x:c r="B22" s="3" t="n">
        <x:v>913</x:v>
      </x:c>
      <x:c r="C22" s="3" t="n">
        <x:v>1826</x:v>
      </x:c>
      <x:c r="D22" s="10" t="n">
        <x:v>2</x:v>
      </x:c>
      <x:c r="E22" s="10" t="n">
        <x:v>6735.001095290093</x:v>
      </x:c>
      <x:c r="F22" s="10" t="n">
        <x:v>7595</x:v>
      </x:c>
      <x:c r="G22" s="10" t="n">
        <x:v>8164</x:v>
      </x:c>
      <x:c r="H22" s="10" t="n">
        <x:v>3367.5005476450465</x:v>
      </x:c>
      <x:c r="I22" s="10" t="n">
        <x:v>5228.000000014901</x:v>
      </x:c>
      <x:c r="J22" s="10" t="n">
        <x:v>5827.999999985099</x:v>
      </x:c>
      <x:c r="K22" s="2" t="str">
        <x:v>Emulated CPU cycles</x:v>
      </x:c>
      <x:c r="L22" s="2" t="str">
        <x:v>Game_Radar + Game_RadarUpload</x:v>
      </x:c>
      <x:c r="M22" s="2" t="str">
        <x:v>references/experiments/stage-one-3-enemies/profile-route-7x904ch1/summary.json</x:v>
      </x:c>
    </x:row>
    <x:row r="23" ht="25" customHeight="1">
      <x:c r="A23" s="2" t="str">
        <x:v>HUD dynamic</x:v>
      </x:c>
      <x:c r="B23" s="3" t="n">
        <x:v>913</x:v>
      </x:c>
      <x:c r="C23" s="3" t="n">
        <x:v>1826</x:v>
      </x:c>
      <x:c r="D23" s="10" t="n">
        <x:v>2</x:v>
      </x:c>
      <x:c r="E23" s="10" t="n">
        <x:v>3034.5432639651995</x:v>
      </x:c>
      <x:c r="F23" s="10" t="n">
        <x:v>3646.0000000298023</x:v>
      </x:c>
      <x:c r="G23" s="10" t="n">
        <x:v>10569.000000029802</x:v>
      </x:c>
      <x:c r="H23" s="10" t="n">
        <x:v>1517.2716319825997</x:v>
      </x:c>
      <x:c r="I23" s="10" t="n">
        <x:v>2023.0000000149012</x:v>
      </x:c>
      <x:c r="J23" s="10" t="n">
        <x:v>6125.000000014901</x:v>
      </x:c>
      <x:c r="K23" s="2" t="str">
        <x:v>Emulated CPU cycles</x:v>
      </x:c>
      <x:c r="L23" s="2" t="str">
        <x:v>GameHUD_Prepare + GameHUD_Commit</x:v>
      </x:c>
      <x:c r="M23" s="2" t="str">
        <x:v>references/experiments/stage-one-3-enemies/profile-route-7x904ch1/summary.json</x:v>
      </x:c>
    </x:row>
    <x:row r="24" ht="25" customHeight="1">
      <x:c r="A24" s="2" t="str">
        <x:v>Phase cache selection</x:v>
      </x:c>
      <x:c r="B24" s="3" t="n">
        <x:v>913</x:v>
      </x:c>
      <x:c r="C24" s="3" t="n">
        <x:v>913</x:v>
      </x:c>
      <x:c r="D24" s="10" t="n">
        <x:v>1</x:v>
      </x:c>
      <x:c r="E24" s="10" t="n">
        <x:v>161.20920043794473</x:v>
      </x:c>
      <x:c r="F24" s="10" t="n">
        <x:v>263.00000001490116</x:v>
      </x:c>
      <x:c r="G24" s="10" t="n">
        <x:v>523</x:v>
      </x:c>
      <x:c r="H24" s="10" t="n">
        <x:v>161.20920043794473</x:v>
      </x:c>
      <x:c r="I24" s="10" t="n">
        <x:v>263.00000001490116</x:v>
      </x:c>
      <x:c r="J24" s="10" t="n">
        <x:v>523</x:v>
      </x:c>
      <x:c r="K24" s="2" t="str">
        <x:v>Emulated CPU cycles</x:v>
      </x:c>
      <x:c r="L24" s="2" t="str">
        <x:v>GamePhase_Select</x:v>
      </x:c>
      <x:c r="M24" s="2" t="str">
        <x:v>references/experiments/stage-one-3-enemies/profile-route-7x904ch1/summary.json</x:v>
      </x:c>
    </x:row>
    <x:row r="25" ht="25" customHeight="1">
      <x:c r="A25" s="2" t="str">
        <x:v>HUD static / border</x:v>
      </x:c>
      <x:c r="B25" s="3" t="n">
        <x:v>913</x:v>
      </x:c>
      <x:c r="C25" s="3" t="n">
        <x:v>3660</x:v>
      </x:c>
      <x:c r="D25" s="10" t="n">
        <x:v>4.008762322015334</x:v>
      </x:c>
      <x:c r="E25" s="10" t="n">
        <x:v>6144.773274917625</x:v>
      </x:c>
      <x:c r="F25" s="10" t="n">
        <x:v>6006.000000007451</x:v>
      </x:c>
      <x:c r="G25" s="10" t="n">
        <x:v>53564</x:v>
      </x:c>
      <x:c r="H25" s="10" t="n">
        <x:v>1532.835519125626</x:v>
      </x:c>
      <x:c r="I25" s="10" t="n">
        <x:v>2363.0000000074506</x:v>
      </x:c>
      <x:c r="J25" s="10" t="n">
        <x:v>27913</x:v>
      </x:c>
      <x:c r="K25" s="2" t="str">
        <x:v>Emulated CPU cycles</x:v>
      </x:c>
      <x:c r="L25" s="2" t="str">
        <x:v>hud_upload [self] + GameBoundary_Upload + HUD_NameStores + left_names + boundaries</x:v>
      </x:c>
      <x:c r="M25" s="2" t="str">
        <x:v>references/experiments/stage-one-3-enemies/profile-route-7x904ch1/summary.json</x:v>
      </x:c>
    </x:row>
    <x:row r="26" ht="25" customHeight="1">
      <x:c r="A26" s="2" t="str">
        <x:v>HUD total excluding radar</x:v>
      </x:c>
      <x:c r="B26" s="3" t="n">
        <x:v>913</x:v>
      </x:c>
      <x:c r="C26" s="3" t="n">
        <x:v>6399</x:v>
      </x:c>
      <x:c r="D26" s="10" t="n">
        <x:v>7.008762322015334</x:v>
      </x:c>
      <x:c r="E26" s="10" t="n">
        <x:v>9340.525739320768</x:v>
      </x:c>
      <x:c r="F26" s="10" t="n">
        <x:v>9914.999999996275</x:v>
      </x:c>
      <x:c r="G26" s="10" t="n">
        <x:v>55039.000000003725</x:v>
      </x:c>
      <x:c r="H26" s="10" t="n">
        <x:v>1332.6926082200127</x:v>
      </x:c>
      <x:c r="I26" s="10" t="n">
        <x:v>2363</x:v>
      </x:c>
      <x:c r="J26" s="10" t="n">
        <x:v>27913</x:v>
      </x:c>
      <x:c r="K26" s="2" t="str">
        <x:v>Emulated CPU cycles</x:v>
      </x:c>
      <x:c r="L26" s="2" t="str">
        <x:v>GameHUD_Prepare + GameHUD_Commit + hud_upload [self] + GameBoundary_Upload + HUD_NameStores + left_names + boundaries + GamePhase_Select</x:v>
      </x:c>
      <x:c r="M26" s="2" t="str">
        <x:v>references/experiments/stage-one-3-enemies/profile-route-7x904ch1/summary.json</x:v>
      </x:c>
    </x:row>
    <x:row r="27" ht="25" customHeight="1">
      <x:c r="A27" s="2" t="str">
        <x:v>Audio total</x:v>
      </x:c>
      <x:c r="B27" s="3" t="n">
        <x:v>913</x:v>
      </x:c>
      <x:c r="C27" s="3" t="n">
        <x:v>1833</x:v>
      </x:c>
      <x:c r="D27" s="10" t="n">
        <x:v>2.0076670317634173</x:v>
      </x:c>
      <x:c r="E27" s="10" t="n">
        <x:v>1215.6046002182827</x:v>
      </x:c>
      <x:c r="F27" s="10" t="n">
        <x:v>2033.0000000149012</x:v>
      </x:c>
      <x:c r="G27" s="10" t="n">
        <x:v>3906.9999999701977</x:v>
      </x:c>
      <x:c r="H27" s="10" t="n">
        <x:v>605.4811783956859</x:v>
      </x:c>
      <x:c r="I27" s="10" t="n">
        <x:v>1936.9999999701977</x:v>
      </x:c>
      <x:c r="J27" s="10" t="n">
        <x:v>2294</x:v>
      </x:c>
      <x:c r="K27" s="2" t="str">
        <x:v>Emulated CPU cycles</x:v>
      </x:c>
      <x:c r="L27" s="2" t="str">
        <x:v>GameAudio_Tick</x:v>
      </x:c>
      <x:c r="M27" s="2" t="str">
        <x:v>references/experiments/stage-one-3-enemies/profile-route-7x904ch1/summary.json</x:v>
      </x:c>
    </x:row>
    <x:row r="28" ht="25" customHeight="1">
      <x:c r="A28" s="2" t="str">
        <x:v>Music sequence</x:v>
      </x:c>
      <x:c r="B28" s="3" t="n">
        <x:v>913</x:v>
      </x:c>
      <x:c r="C28" s="3" t="n">
        <x:v>917</x:v>
      </x:c>
      <x:c r="D28" s="10" t="n">
        <x:v>1.004381161007667</x:v>
      </x:c>
      <x:c r="E28" s="10" t="n">
        <x:v>316.3734939757363</x:v>
      </x:c>
      <x:c r="F28" s="10" t="n">
        <x:v>529.0000000149012</x:v>
      </x:c>
      <x:c r="G28" s="10" t="n">
        <x:v>796.9999999925494</x:v>
      </x:c>
      <x:c r="H28" s="10" t="n">
        <x:v>314.9934569245881</x:v>
      </x:c>
      <x:c r="I28" s="10" t="n">
        <x:v>529.0000000149012</x:v>
      </x:c>
      <x:c r="J28" s="10" t="n">
        <x:v>796.9999999925494</x:v>
      </x:c>
      <x:c r="K28" s="2" t="str">
        <x:v>Emulated CPU cycles</x:v>
      </x:c>
      <x:c r="L28" s="2" t="str">
        <x:v>GameAudio_MusicTick</x:v>
      </x:c>
      <x:c r="M28" s="2" t="str">
        <x:v>references/experiments/stage-one-3-enemies/profile-route-7x904ch1/summary.json</x:v>
      </x:c>
    </x:row>
    <x:row r="29" ht="25" customHeight="1">
      <x:c r="A29" s="2" t="str">
        <x:v>Engine / sound effects</x:v>
      </x:c>
      <x:c r="B29" s="3" t="n">
        <x:v>913</x:v>
      </x:c>
      <x:c r="C29" s="3" t="n">
        <x:v>917</x:v>
      </x:c>
      <x:c r="D29" s="10" t="n">
        <x:v>1.004381161007667</x:v>
      </x:c>
      <x:c r="E29" s="10" t="n">
        <x:v>179.1007667029152</x:v>
      </x:c>
      <x:c r="F29" s="10" t="n">
        <x:v>340</x:v>
      </x:c>
      <x:c r="G29" s="10" t="n">
        <x:v>710</x:v>
      </x:c>
      <x:c r="H29" s="10" t="n">
        <x:v>178.31952017422202</x:v>
      </x:c>
      <x:c r="I29" s="10" t="n">
        <x:v>340</x:v>
      </x:c>
      <x:c r="J29" s="10" t="n">
        <x:v>438.00000001490116</x:v>
      </x:c>
      <x:c r="K29" s="2" t="str">
        <x:v>Emulated CPU cycles</x:v>
      </x:c>
      <x:c r="L29" s="2" t="str">
        <x:v>GameAudio_NoiseTick</x:v>
      </x:c>
      <x:c r="M29" s="2" t="str">
        <x:v>references/experiments/stage-one-3-enemies/profile-route-7x904ch1/summary.json</x:v>
      </x:c>
    </x:row>
    <x:row r="30" ht="25" customHeight="1">
      <x:c r="A30" s="2" t="str">
        <x:v>Audio mix overhead</x:v>
      </x:c>
      <x:c r="B30" s="3" t="n">
        <x:v>913</x:v>
      </x:c>
      <x:c r="C30" s="3" t="n">
        <x:v>371</x:v>
      </x:c>
      <x:c r="D30" s="10" t="n">
        <x:v>0.4063526834611172</x:v>
      </x:c>
      <x:c r="E30" s="10" t="n">
        <x:v>29.6637458924045</x:v>
      </x:c>
      <x:c r="F30" s="10" t="n">
        <x:v>73.00000001490116</x:v>
      </x:c>
      <x:c r="G30" s="10" t="n">
        <x:v>146.0000000037253</x:v>
      </x:c>
      <x:c r="H30" s="10" t="n">
        <x:v>72.9999999993674</x:v>
      </x:c>
      <x:c r="I30" s="10" t="n">
        <x:v>73.00000001490116</x:v>
      </x:c>
      <x:c r="J30" s="10" t="n">
        <x:v>73.00000002980232</x:v>
      </x:c>
      <x:c r="K30" s="2" t="str">
        <x:v>Emulated CPU cycles</x:v>
      </x:c>
      <x:c r="L30" s="2" t="str">
        <x:v>GameAudio_RenderMusic [self]</x:v>
      </x:c>
      <x:c r="M30" s="2" t="str">
        <x:v>references/experiments/stage-one-3-enemies/profile-route-7x904ch1/summary.json</x:v>
      </x:c>
    </x:row>
    <x:row r="31" ht="25" customHeight="1">
      <x:c r="A31" s="2" t="str">
        <x:v>PSG register output</x:v>
      </x:c>
      <x:c r="B31" s="3" t="n">
        <x:v>913</x:v>
      </x:c>
      <x:c r="C31" s="3" t="n">
        <x:v>371</x:v>
      </x:c>
      <x:c r="D31" s="10" t="n">
        <x:v>0.4063526834611172</x:v>
      </x:c>
      <x:c r="E31" s="10" t="n">
        <x:v>349.25082146775014</x:v>
      </x:c>
      <x:c r="F31" s="10" t="n">
        <x:v>926</x:v>
      </x:c>
      <x:c r="G31" s="10" t="n">
        <x:v>1732</x:v>
      </x:c>
      <x:c r="H31" s="10" t="n">
        <x:v>859.4770889489376</x:v>
      </x:c>
      <x:c r="I31" s="10" t="n">
        <x:v>926.0000000149012</x:v>
      </x:c>
      <x:c r="J31" s="10" t="n">
        <x:v>1006</x:v>
      </x:c>
      <x:c r="K31" s="2" t="str">
        <x:v>Emulated CPU cycles</x:v>
      </x:c>
      <x:c r="L31" s="2" t="str">
        <x:v>GameAudio_WritePSG</x:v>
      </x:c>
      <x:c r="M31" s="2" t="str">
        <x:v>references/experiments/stage-one-3-enemies/profile-route-7x904ch1/summary.json</x:v>
      </x:c>
    </x:row>
    <x:row r="32" ht="25" customHeight="1">
      <x:c r="A32" s="2" t="str">
        <x:v>Flags</x:v>
      </x:c>
      <x:c r="B32" s="3" t="n">
        <x:v>913</x:v>
      </x:c>
      <x:c r="C32" s="3" t="n">
        <x:v>916</x:v>
      </x:c>
      <x:c r="D32" s="10" t="n">
        <x:v>1.0032858707557504</x:v>
      </x:c>
      <x:c r="E32" s="10" t="n">
        <x:v>692.7053669221201</x:v>
      </x:c>
      <x:c r="F32" s="10" t="n">
        <x:v>675</x:v>
      </x:c>
      <x:c r="G32" s="10" t="n">
        <x:v>4304</x:v>
      </x:c>
      <x:c r="H32" s="10" t="n">
        <x:v>690.4366812225935</x:v>
      </x:c>
      <x:c r="I32" s="10" t="n">
        <x:v>675</x:v>
      </x:c>
      <x:c r="J32" s="10" t="n">
        <x:v>4304</x:v>
      </x:c>
      <x:c r="K32" s="2" t="str">
        <x:v>Emulated CPU cycles</x:v>
      </x:c>
      <x:c r="L32" s="2" t="str">
        <x:v>Flag_Update</x:v>
      </x:c>
      <x:c r="M32" s="2" t="str">
        <x:v>references/experiments/stage-one-3-enemies/profile-route-7x904ch1/summary.json</x:v>
      </x:c>
    </x:row>
    <x:row r="33" ht="25" customHeight="1">
      <x:c r="A33" s="2" t="str">
        <x:v>Score events</x:v>
      </x:c>
      <x:c r="B33" s="3" t="n">
        <x:v>913</x:v>
      </x:c>
      <x:c r="C33" s="3" t="n">
        <x:v>916</x:v>
      </x:c>
      <x:c r="D33" s="10" t="n">
        <x:v>1.0032858707557504</x:v>
      </x:c>
      <x:c r="E33" s="10" t="n">
        <x:v>97.26725082190428</x:v>
      </x:c>
      <x:c r="F33" s="10" t="n">
        <x:v>64.00000001490116</x:v>
      </x:c>
      <x:c r="G33" s="10" t="n">
        <x:v>5225</x:v>
      </x:c>
      <x:c r="H33" s="10" t="n">
        <x:v>96.94868995676704</x:v>
      </x:c>
      <x:c r="I33" s="10" t="n">
        <x:v>64.00000001490116</x:v>
      </x:c>
      <x:c r="J33" s="10" t="n">
        <x:v>5225</x:v>
      </x:c>
      <x:c r="K33" s="2" t="str">
        <x:v>Emulated CPU cycles</x:v>
      </x:c>
      <x:c r="L33" s="2" t="str">
        <x:v>Score_Update</x:v>
      </x:c>
      <x:c r="M33" s="2" t="str">
        <x:v>references/experiments/stage-one-3-enemies/profile-route-7x904ch1/summary.json</x:v>
      </x:c>
    </x:row>
    <x:row r="34" ht="25" customHeight="1">
      <x:c r="A34" s="2" t="str">
        <x:v>Fuel</x:v>
      </x:c>
      <x:c r="B34" s="3" t="n">
        <x:v>913</x:v>
      </x:c>
      <x:c r="C34" s="3" t="n">
        <x:v>1833</x:v>
      </x:c>
      <x:c r="D34" s="10" t="n">
        <x:v>2.0076670317634173</x:v>
      </x:c>
      <x:c r="E34" s="10" t="n">
        <x:v>959.6889375687127</x:v>
      </x:c>
      <x:c r="F34" s="10" t="n">
        <x:v>2098.0000000074506</x:v>
      </x:c>
      <x:c r="G34" s="10" t="n">
        <x:v>2456</x:v>
      </x:c>
      <x:c r="H34" s="10" t="n">
        <x:v>478.012002182343</x:v>
      </x:c>
      <x:c r="I34" s="10" t="n">
        <x:v>1785</x:v>
      </x:c>
      <x:c r="J34" s="10" t="n">
        <x:v>1878.0000000149012</x:v>
      </x:c>
      <x:c r="K34" s="2" t="str">
        <x:v>Emulated CPU cycles</x:v>
      </x:c>
      <x:c r="L34" s="2" t="str">
        <x:v>Fuel_Tick</x:v>
      </x:c>
      <x:c r="M34" s="2" t="str">
        <x:v>references/experiments/stage-one-3-enemies/profile-route-7x904ch1/summary.json</x:v>
      </x:c>
    </x:row>
    <x:row r="35" ht="25" customHeight="1">
      <x:c r="A35" s="2" t="str">
        <x:v>Rocks</x:v>
      </x:c>
      <x:c r="B35" s="3" t="n">
        <x:v>913</x:v>
      </x:c>
      <x:c r="C35" s="3" t="n">
        <x:v>916</x:v>
      </x:c>
      <x:c r="D35" s="10" t="n">
        <x:v>1.0032858707557504</x:v>
      </x:c>
      <x:c r="E35" s="10" t="n">
        <x:v>289.9627601319408</x:v>
      </x:c>
      <x:c r="F35" s="10" t="n">
        <x:v>317.0000000074506</x:v>
      </x:c>
      <x:c r="G35" s="10" t="n">
        <x:v>587</x:v>
      </x:c>
      <x:c r="H35" s="10" t="n">
        <x:v>289.0131004371855</x:v>
      </x:c>
      <x:c r="I35" s="10" t="n">
        <x:v>317</x:v>
      </x:c>
      <x:c r="J35" s="10" t="n">
        <x:v>317.0000000298023</x:v>
      </x:c>
      <x:c r="K35" s="2" t="str">
        <x:v>Emulated CPU cycles</x:v>
      </x:c>
      <x:c r="L35" s="2" t="str">
        <x:v>Rock_Update</x:v>
      </x:c>
      <x:c r="M35" s="2" t="str">
        <x:v>references/experiments/stage-one-3-enemies/profile-route-7x904ch1/summary.json</x:v>
      </x:c>
    </x:row>
    <x:row r="36" ht="25" customHeight="1">
      <x:c r="A36" s="2" t="str">
        <x:v>Smoke</x:v>
      </x:c>
      <x:c r="B36" s="3" t="n">
        <x:v>913</x:v>
      </x:c>
      <x:c r="C36" s="3" t="n">
        <x:v>1833</x:v>
      </x:c>
      <x:c r="D36" s="10" t="n">
        <x:v>2.0076670317634173</x:v>
      </x:c>
      <x:c r="E36" s="10" t="n">
        <x:v>852.4633077768016</x:v>
      </x:c>
      <x:c r="F36" s="10" t="n">
        <x:v>2663.9999999925494</x:v>
      </x:c>
      <x:c r="G36" s="10" t="n">
        <x:v>5975</x:v>
      </x:c>
      <x:c r="H36" s="10" t="n">
        <x:v>424.6039279870266</x:v>
      </x:c>
      <x:c r="I36" s="10" t="n">
        <x:v>1331.9999999962747</x:v>
      </x:c>
      <x:c r="J36" s="10" t="n">
        <x:v>4548.000000014901</x:v>
      </x:c>
      <x:c r="K36" s="2" t="str">
        <x:v>Emulated CPU cycles</x:v>
      </x:c>
      <x:c r="L36" s="2" t="str">
        <x:v>Smoke_Tick</x:v>
      </x:c>
      <x:c r="M36" s="2" t="str">
        <x:v>references/experiments/stage-one-3-enemies/profile-route-7x904ch1/summary.json</x:v>
      </x:c>
    </x:row>
    <x:row r="37" ht="25" customHeight="1">
      <x:c r="A37" s="2" t="str">
        <x:v>Gameplay events</x:v>
      </x:c>
      <x:c r="B37" s="3" t="n">
        <x:v>913</x:v>
      </x:c>
      <x:c r="C37" s="3" t="n">
        <x:v>1833</x:v>
      </x:c>
      <x:c r="D37" s="10" t="n">
        <x:v>2.0076670317634173</x:v>
      </x:c>
      <x:c r="E37" s="10" t="n">
        <x:v>428.802847754504</x:v>
      </x:c>
      <x:c r="F37" s="10" t="n">
        <x:v>422.00000001490116</x:v>
      </x:c>
      <x:c r="G37" s="10" t="n">
        <x:v>844</x:v>
      </x:c>
      <x:c r="H37" s="10" t="n">
        <x:v>213.58265139108684</x:v>
      </x:c>
      <x:c r="I37" s="10" t="n">
        <x:v>211.00000001490116</x:v>
      </x:c>
      <x:c r="J37" s="10" t="n">
        <x:v>533.0000000149012</x:v>
      </x:c>
      <x:c r="K37" s="2" t="str">
        <x:v>Emulated CPU cycles</x:v>
      </x:c>
      <x:c r="L37" s="2" t="str">
        <x:v>Game_Events</x:v>
      </x:c>
      <x:c r="M37" s="2" t="str">
        <x:v>references/experiments/stage-one-3-enemies/profile-route-7x904ch1/summary.json</x:v>
      </x:c>
    </x:row>
    <x:row r="38" ht="25" customHeight="1">
      <x:c r="A38" s="2" t="str">
        <x:v>Background owner</x:v>
      </x:c>
      <x:c r="B38" s="3" t="n">
        <x:v>913</x:v>
      </x:c>
      <x:c r="C38" s="3" t="n">
        <x:v>913</x:v>
      </x:c>
      <x:c r="D38" s="10" t="n">
        <x:v>1</x:v>
      </x:c>
      <x:c r="E38" s="10" t="n">
        <x:v>36504.971522453416</x:v>
      </x:c>
      <x:c r="F38" s="10" t="n">
        <x:v>59630.999999996275</x:v>
      </x:c>
      <x:c r="G38" s="10" t="n">
        <x:v>97370.0000000298</x:v>
      </x:c>
      <x:c r="H38" s="10" t="n">
        <x:v>36504.971522453416</x:v>
      </x:c>
      <x:c r="I38" s="10" t="n">
        <x:v>59630.999999996275</x:v>
      </x:c>
      <x:c r="J38" s="10" t="n">
        <x:v>97370.0000000298</x:v>
      </x:c>
      <x:c r="K38" s="2" t="str">
        <x:v>Emulated CPU cycles</x:v>
      </x:c>
      <x:c r="L38" s="2" t="str">
        <x:v>render</x:v>
      </x:c>
      <x:c r="M38" s="2" t="str">
        <x:v>references/experiments/stage-one-3-enemies/profile-route-7x904ch1/summary.json</x:v>
      </x:c>
    </x:row>
    <x:row r="39" ht="25" customHeight="1">
      <x:c r="A39" s="2" t="str">
        <x:v>Atomic commit</x:v>
      </x:c>
      <x:c r="B39" s="3" t="n">
        <x:v>913</x:v>
      </x:c>
      <x:c r="C39" s="3" t="n">
        <x:v>913</x:v>
      </x:c>
      <x:c r="D39" s="10" t="n">
        <x:v>1</x:v>
      </x:c>
      <x:c r="E39" s="10" t="n">
        <x:v>3745.725082147181</x:v>
      </x:c>
      <x:c r="F39" s="10" t="n">
        <x:v>4117.000000014901</x:v>
      </x:c>
      <x:c r="G39" s="10" t="n">
        <x:v>6938.000000014901</x:v>
      </x:c>
      <x:c r="H39" s="10" t="n">
        <x:v>3745.725082147181</x:v>
      </x:c>
      <x:c r="I39" s="10" t="n">
        <x:v>4117.000000014901</x:v>
      </x:c>
      <x:c r="J39" s="10" t="n">
        <x:v>6938.000000014901</x:v>
      </x:c>
      <x:c r="K39" s="2" t="str">
        <x:v>Emulated CPU cycles</x:v>
      </x:c>
      <x:c r="L39" s="2" t="str">
        <x:v>commit</x:v>
      </x:c>
      <x:c r="M39" s="2" t="str">
        <x:v>references/experiments/stage-one-3-enemies/profile-route-7x904ch1/summary.json</x:v>
      </x:c>
    </x:row>
    <x:row r="40" ht="25" customHeight="1">
      <x:c r="A40" s="2" t="str">
        <x:v>Synchronization wait</x:v>
      </x:c>
      <x:c r="B40" s="3" t="n">
        <x:v>913</x:v>
      </x:c>
      <x:c r="C40" s="3" t="n">
        <x:v>913</x:v>
      </x:c>
      <x:c r="D40" s="10" t="n">
        <x:v>1</x:v>
      </x:c>
      <x:c r="E40" s="10" t="n">
        <x:v>42053.80065717385</x:v>
      </x:c>
      <x:c r="F40" s="10" t="n">
        <x:v>54064.9999999851</x:v>
      </x:c>
      <x:c r="G40" s="10" t="n">
        <x:v>58965</x:v>
      </x:c>
      <x:c r="H40" s="10" t="n">
        <x:v>42053.80065717385</x:v>
      </x:c>
      <x:c r="I40" s="10" t="n">
        <x:v>54064.9999999851</x:v>
      </x:c>
      <x:c r="J40" s="10" t="n">
        <x:v>58965</x:v>
      </x:c>
      <x:c r="K40" s="2" t="str">
        <x:v>Emulated CPU cycles</x:v>
      </x:c>
      <x:c r="L40" s="2" t="str">
        <x:v>wait_blank</x:v>
      </x:c>
      <x:c r="M40" s="2" t="str">
        <x:v>references/experiments/stage-one-3-enemies/profile-route-7x904ch1/summary.json</x:v>
      </x:c>
    </x:row>
    <x:row r="41" ht="25" customHeight="1">
      <x:c r="A41" s="2" t="str">
        <x:v>VBlank ISR body</x:v>
      </x:c>
      <x:c r="B41" s="3" t="n">
        <x:v>913</x:v>
      </x:c>
      <x:c r="C41" s="3" t="n">
        <x:v>1829</x:v>
      </x:c>
      <x:c r="D41" s="10" t="n">
        <x:v>2.00328587075575</x:v>
      </x:c>
      <x:c r="E41" s="10" t="n">
        <x:v>278.4567360351023</x:v>
      </x:c>
      <x:c r="F41" s="10" t="n">
        <x:v>278.00000001490116</x:v>
      </x:c>
      <x:c r="G41" s="10" t="n">
        <x:v>417.0000000298023</x:v>
      </x:c>
      <x:c r="H41" s="10" t="n">
        <x:v>139.0000000000265</x:v>
      </x:c>
      <x:c r="I41" s="10" t="n">
        <x:v>139.00000001490116</x:v>
      </x:c>
      <x:c r="J41" s="10" t="n">
        <x:v>139.00000002980232</x:v>
      </x:c>
      <x:c r="K41" s="2" t="str">
        <x:v>Emulated CPU cycles</x:v>
      </x:c>
      <x:c r="L41" s="2" t="str">
        <x:v>clock_irq</x:v>
      </x:c>
      <x:c r="M41" s="2" t="str">
        <x:v>references/experiments/stage-one-3-enemies/profile-route-7x904ch1/summary.json</x:v>
      </x:c>
    </x:row>
    <x:row r="42" ht="25" customHeight="1">
      <x:c r="A42" s="2" t="str">
        <x:v>Player graphics</x:v>
      </x:c>
      <x:c r="B42" s="3" t="n">
        <x:v>2631</x:v>
      </x:c>
      <x:c r="C42" s="3" t="n">
        <x:v>2631</x:v>
      </x:c>
      <x:c r="D42" s="10" t="n">
        <x:v>1</x:v>
      </x:c>
      <x:c r="E42" s="10" t="n">
        <x:v>1545.9312048653562</x:v>
      </x:c>
      <x:c r="F42" s="10" t="n">
        <x:v>3470.999999985099</x:v>
      </x:c>
      <x:c r="G42" s="10" t="n">
        <x:v>3471.0000000298023</x:v>
      </x:c>
      <x:c r="H42" s="10" t="n">
        <x:v>1545.9312048653562</x:v>
      </x:c>
      <x:c r="I42" s="10" t="n">
        <x:v>3470.999999985099</x:v>
      </x:c>
      <x:c r="J42" s="10" t="n">
        <x:v>3471.0000000298023</x:v>
      </x:c>
      <x:c r="K42" s="2" t="str">
        <x:v>Emulated CPU cycles</x:v>
      </x:c>
      <x:c r="L42" s="2" t="str">
        <x:v>GS_PrepareActor</x:v>
      </x:c>
      <x:c r="M42" s="2" t="str">
        <x:v>references/experiments/stage-one-3-enemies/profile-route-7q39blmi/summary.json</x:v>
      </x:c>
    </x:row>
    <x:row r="43" ht="25" customHeight="1">
      <x:c r="A43" s="2" t="str">
        <x:v>1 enemy graphics</x:v>
      </x:c>
      <x:c r="B43" s="3" t="n">
        <x:v>2631</x:v>
      </x:c>
      <x:c r="C43" s="3" t="n">
        <x:v>2631</x:v>
      </x:c>
      <x:c r="D43" s="10" t="n">
        <x:v>1</x:v>
      </x:c>
      <x:c r="E43" s="10" t="n">
        <x:v>652.5701254270984</x:v>
      </x:c>
      <x:c r="F43" s="10" t="n">
        <x:v>1322.0000000298023</x:v>
      </x:c>
      <x:c r="G43" s="10" t="n">
        <x:v>11493</x:v>
      </x:c>
      <x:c r="H43" s="10" t="n">
        <x:v>652.5701254270984</x:v>
      </x:c>
      <x:c r="I43" s="10" t="n">
        <x:v>1322.0000000298023</x:v>
      </x:c>
      <x:c r="J43" s="10" t="n">
        <x:v>11493</x:v>
      </x:c>
      <x:c r="K43" s="2" t="str">
        <x:v>Emulated CPU cycles</x:v>
      </x:c>
      <x:c r="L43" s="2" t="str">
        <x:v>GS_PrepareActor</x:v>
      </x:c>
      <x:c r="M43" s="2" t="str">
        <x:v>references/experiments/stage-one-3-enemies/profile-route-7q39blmi/summary.json</x:v>
      </x:c>
    </x:row>
    <x:row r="44" ht="25" customHeight="1">
      <x:c r="A44" s="2" t="str">
        <x:v>1 enemy AI decisions</x:v>
      </x:c>
      <x:c r="B44" s="3" t="n">
        <x:v>2631</x:v>
      </x:c>
      <x:c r="C44" s="3" t="n">
        <x:v>1509</x:v>
      </x:c>
      <x:c r="D44" s="10" t="n">
        <x:v>0.5735461801596351</x:v>
      </x:c>
      <x:c r="E44" s="10" t="n">
        <x:v>577.7168377044054</x:v>
      </x:c>
      <x:c r="F44" s="10" t="n">
        <x:v>2215.0000000074506</x:v>
      </x:c>
      <x:c r="G44" s="10" t="n">
        <x:v>2995</x:v>
      </x:c>
      <x:c r="H44" s="10" t="n">
        <x:v>1007.271703114838</x:v>
      </x:c>
      <x:c r="I44" s="10" t="n">
        <x:v>2259</x:v>
      </x:c>
      <x:c r="J44" s="10" t="n">
        <x:v>2995</x:v>
      </x:c>
      <x:c r="K44" s="2" t="str">
        <x:v>Emulated CPU cycles</x:v>
      </x:c>
      <x:c r="L44" s="2" t="str">
        <x:v>Full_MSXActor</x:v>
      </x:c>
      <x:c r="M44" s="2" t="str">
        <x:v>references/experiments/stage-one-3-enemies/profile-route-7q39blmi/summary.json</x:v>
      </x:c>
    </x:row>
    <x:row r="45" ht="25" customHeight="1">
      <x:c r="A45" s="2" t="str">
        <x:v>Player graphics</x:v>
      </x:c>
      <x:c r="B45" s="3" t="n">
        <x:v>2364</x:v>
      </x:c>
      <x:c r="C45" s="3" t="n">
        <x:v>2364</x:v>
      </x:c>
      <x:c r="D45" s="10" t="n">
        <x:v>1</x:v>
      </x:c>
      <x:c r="E45" s="10" t="n">
        <x:v>1604.3527918781538</x:v>
      </x:c>
      <x:c r="F45" s="10" t="n">
        <x:v>3471</x:v>
      </x:c>
      <x:c r="G45" s="10" t="n">
        <x:v>3471.0000000298023</x:v>
      </x:c>
      <x:c r="H45" s="10" t="n">
        <x:v>1604.3527918781538</x:v>
      </x:c>
      <x:c r="I45" s="10" t="n">
        <x:v>3471</x:v>
      </x:c>
      <x:c r="J45" s="10" t="n">
        <x:v>3471.0000000298023</x:v>
      </x:c>
      <x:c r="K45" s="2" t="str">
        <x:v>Emulated CPU cycles</x:v>
      </x:c>
      <x:c r="L45" s="2" t="str">
        <x:v>GS_PrepareActor</x:v>
      </x:c>
      <x:c r="M45" s="2" t="str">
        <x:v>references/experiments/stage-one-3-enemies/profile-route-1dsfd90v/summary.json</x:v>
      </x:c>
    </x:row>
    <x:row r="46" ht="25" customHeight="1">
      <x:c r="A46" s="2" t="str">
        <x:v>2 enemy graphics</x:v>
      </x:c>
      <x:c r="B46" s="3" t="n">
        <x:v>2364</x:v>
      </x:c>
      <x:c r="C46" s="3" t="n">
        <x:v>4728</x:v>
      </x:c>
      <x:c r="D46" s="10" t="n">
        <x:v>2</x:v>
      </x:c>
      <x:c r="E46" s="10" t="n">
        <x:v>2053.0600676817658</x:v>
      </x:c>
      <x:c r="F46" s="10" t="n">
        <x:v>7669.000000029802</x:v>
      </x:c>
      <x:c r="G46" s="10" t="n">
        <x:v>21049.999999970198</x:v>
      </x:c>
      <x:c r="H46" s="10" t="n">
        <x:v>1026.5300338408829</x:v>
      </x:c>
      <x:c r="I46" s="10" t="n">
        <x:v>3432</x:v>
      </x:c>
      <x:c r="J46" s="10" t="n">
        <x:v>18451.000000029802</x:v>
      </x:c>
      <x:c r="K46" s="2" t="str">
        <x:v>Emulated CPU cycles</x:v>
      </x:c>
      <x:c r="L46" s="2" t="str">
        <x:v>GS_PrepareActor</x:v>
      </x:c>
      <x:c r="M46" s="2" t="str">
        <x:v>references/experiments/stage-one-3-enemies/profile-route-1dsfd90v/summary.json</x:v>
      </x:c>
    </x:row>
    <x:row r="47" ht="25" customHeight="1">
      <x:c r="A47" s="2" t="str">
        <x:v>2 enemy AI decisions</x:v>
      </x:c>
      <x:c r="B47" s="3" t="n">
        <x:v>2364</x:v>
      </x:c>
      <x:c r="C47" s="3" t="n">
        <x:v>3286</x:v>
      </x:c>
      <x:c r="D47" s="10" t="n">
        <x:v>1.3900169204737733</x:v>
      </x:c>
      <x:c r="E47" s="10" t="n">
        <x:v>1047.922588832459</x:v>
      </x:c>
      <x:c r="F47" s="10" t="n">
        <x:v>3125</x:v>
      </x:c>
      <x:c r="G47" s="10" t="n">
        <x:v>4843</x:v>
      </x:c>
      <x:c r="H47" s="10" t="n">
        <x:v>753.8919659159869</x:v>
      </x:c>
      <x:c r="I47" s="10" t="n">
        <x:v>2086</x:v>
      </x:c>
      <x:c r="J47" s="10" t="n">
        <x:v>2765.0000000037253</x:v>
      </x:c>
      <x:c r="K47" s="2" t="str">
        <x:v>Emulated CPU cycles</x:v>
      </x:c>
      <x:c r="L47" s="2" t="str">
        <x:v>Full_MSXActor</x:v>
      </x:c>
      <x:c r="M47" s="2" t="str">
        <x:v>references/experiments/stage-one-3-enemies/profile-route-1dsfd90v/summary.json</x:v>
      </x:c>
    </x:row>
    <x:row r="48" ht="25" customHeight="1">
      <x:c r="A48" s="2" t="str">
        <x:v>Player graphics</x:v>
      </x:c>
      <x:c r="B48" s="3" t="n">
        <x:v>913</x:v>
      </x:c>
      <x:c r="C48" s="3" t="n">
        <x:v>913</x:v>
      </x:c>
      <x:c r="D48" s="10" t="n">
        <x:v>1</x:v>
      </x:c>
      <x:c r="E48" s="10" t="n">
        <x:v>1776.0788608982768</x:v>
      </x:c>
      <x:c r="F48" s="10" t="n">
        <x:v>3471</x:v>
      </x:c>
      <x:c r="G48" s="10" t="n">
        <x:v>3471.0000000298023</x:v>
      </x:c>
      <x:c r="H48" s="10" t="n">
        <x:v>1776.0788608982768</x:v>
      </x:c>
      <x:c r="I48" s="10" t="n">
        <x:v>3471</x:v>
      </x:c>
      <x:c r="J48" s="10" t="n">
        <x:v>3471.0000000298023</x:v>
      </x:c>
      <x:c r="K48" s="2" t="str">
        <x:v>Emulated CPU cycles</x:v>
      </x:c>
      <x:c r="L48" s="2" t="str">
        <x:v>GS_PrepareActor</x:v>
      </x:c>
      <x:c r="M48" s="2" t="str">
        <x:v>references/experiments/stage-one-3-enemies/profile-route-2oiu22_v/summary.json</x:v>
      </x:c>
    </x:row>
    <x:row r="49" ht="25" customHeight="1">
      <x:c r="A49" s="2" t="str">
        <x:v>3 enemy graphics</x:v>
      </x:c>
      <x:c r="B49" s="3" t="n">
        <x:v>913</x:v>
      </x:c>
      <x:c r="C49" s="3" t="n">
        <x:v>2739</x:v>
      </x:c>
      <x:c r="D49" s="10" t="n">
        <x:v>3</x:v>
      </x:c>
      <x:c r="E49" s="10" t="n">
        <x:v>2861.4753559698584</x:v>
      </x:c>
      <x:c r="F49" s="10" t="n">
        <x:v>9959.999999985099</x:v>
      </x:c>
      <x:c r="G49" s="10" t="n">
        <x:v>25198.000000003725</x:v>
      </x:c>
      <x:c r="H49" s="10" t="n">
        <x:v>953.8251186566195</x:v>
      </x:c>
      <x:c r="I49" s="10" t="n">
        <x:v>3471</x:v>
      </x:c>
      <x:c r="J49" s="10" t="n">
        <x:v>11336</x:v>
      </x:c>
      <x:c r="K49" s="2" t="str">
        <x:v>Emulated CPU cycles</x:v>
      </x:c>
      <x:c r="L49" s="2" t="str">
        <x:v>GS_PrepareActor</x:v>
      </x:c>
      <x:c r="M49" s="2" t="str">
        <x:v>references/experiments/stage-one-3-enemies/profile-route-2oiu22_v/summary.json</x:v>
      </x:c>
    </x:row>
    <x:row r="50" ht="25" customHeight="1">
      <x:c r="A50" s="2" t="str">
        <x:v>3 enemy AI decisions</x:v>
      </x:c>
      <x:c r="B50" s="3" t="n">
        <x:v>913</x:v>
      </x:c>
      <x:c r="C50" s="3" t="n">
        <x:v>2748</x:v>
      </x:c>
      <x:c r="D50" s="10" t="n">
        <x:v>3.009857612267251</x:v>
      </x:c>
      <x:c r="E50" s="10" t="n">
        <x:v>2980.3033953996505</x:v>
      </x:c>
      <x:c r="F50" s="10" t="n">
        <x:v>4973</x:v>
      </x:c>
      <x:c r="G50" s="10" t="n">
        <x:v>8796.999999985099</x:v>
      </x:c>
      <x:c r="H50" s="10" t="n">
        <x:v>990.1808588063612</x:v>
      </x:c>
      <x:c r="I50" s="10" t="n">
        <x:v>2368</x:v>
      </x:c>
      <x:c r="J50" s="10" t="n">
        <x:v>3047.000000014901</x:v>
      </x:c>
      <x:c r="K50" s="2" t="str">
        <x:v>Emulated CPU cycles</x:v>
      </x:c>
      <x:c r="L50" s="2" t="str">
        <x:v>Full_MSXActor</x:v>
      </x:c>
      <x:c r="M50" s="2" t="str">
        <x:v>references/experiments/stage-one-3-enemies/profile-route-2oiu22_v/summary.json</x:v>
      </x:c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2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42" customHeight="1">
      <x:c r="A55" s="9" t="str">
        <x:v>Routine</x:v>
      </x:c>
      <x:c r="B55" s="9" t="str">
        <x:v>Calls</x:v>
      </x:c>
      <x:c r="C55" s="9" t="str">
        <x:v>Calls/frame</x:v>
      </x:c>
      <x:c r="D55" s="9" t="str">
        <x:v>Mean incl. cycles</x:v>
      </x:c>
      <x:c r="E55" s="9" t="str">
        <x:v>P95 incl. cycles</x:v>
      </x:c>
      <x:c r="F55" s="9" t="str">
        <x:v>Max incl. cycles</x:v>
      </x:c>
      <x:c r="G55" s="9" t="str">
        <x:v>Mean self cycles</x:v>
      </x:c>
      <x:c r="H55" s="9" t="str">
        <x:v>Self/frame cycles</x:v>
      </x:c>
      <x:c r="I55" s="9" t="str">
        <x:v>Ownership</x:v>
      </x:c>
      <x:c r="J55" s="9" t="str">
        <x:v>Evidence source</x:v>
      </x:c>
      <x:c r="K55" s="2"/>
      <x:c r="L55" s="2"/>
      <x:c r="M55" s="2"/>
    </x:row>
    <x:row r="56" ht="25" customHeight="1">
      <x:c r="A56" s="2" t="str">
        <x:v>Game_Prepare</x:v>
      </x:c>
      <x:c r="B56" s="3" t="n">
        <x:v>913</x:v>
      </x:c>
      <x:c r="C56" s="10" t="n">
        <x:v>1</x:v>
      </x:c>
      <x:c r="D56" s="10" t="n">
        <x:v>37249.899233296666</x:v>
      </x:c>
      <x:c r="E56" s="10" t="n">
        <x:v>46833</x:v>
      </x:c>
      <x:c r="F56" s="10" t="n">
        <x:v>91935</x:v>
      </x:c>
      <x:c r="G56" s="10" t="n">
        <x:v>161.99999999953076</x:v>
      </x:c>
      <x:c r="H56" s="10" t="n">
        <x:v>161.99999999953076</x:v>
      </x:c>
      <x:c r="I56" s="2" t="str">
        <x:v>Inclusive minus tracked children for self</x:v>
      </x:c>
      <x:c r="J56" s="2" t="str">
        <x:v>references/experiments/stage-one-3-enemies/profile-route-7x904ch1/summary.json</x:v>
      </x:c>
      <x:c r="K56" s="2"/>
      <x:c r="L56" s="2"/>
      <x:c r="M56" s="2"/>
    </x:row>
    <x:row r="57" ht="25" customHeight="1">
      <x:c r="A57" s="2" t="str">
        <x:v>Game_Frame</x:v>
      </x:c>
      <x:c r="B57" s="3" t="n">
        <x:v>913</x:v>
      </x:c>
      <x:c r="C57" s="10" t="n">
        <x:v>1</x:v>
      </x:c>
      <x:c r="D57" s="10" t="n">
        <x:v>25171.066812705583</x:v>
      </x:c>
      <x:c r="E57" s="10" t="n">
        <x:v>29640.0000000149</x:v>
      </x:c>
      <x:c r="F57" s="10" t="n">
        <x:v>74617.99999999627</x:v>
      </x:c>
      <x:c r="G57" s="10" t="n">
        <x:v>565.9934282592434</x:v>
      </x:c>
      <x:c r="H57" s="10" t="n">
        <x:v>565.9934282592434</x:v>
      </x:c>
      <x:c r="I57" s="2" t="str">
        <x:v>Inclusive minus tracked children for self</x:v>
      </x:c>
      <x:c r="J57" s="2" t="str">
        <x:v>references/experiments/stage-one-3-enemies/profile-route-7x904ch1/summary.json</x:v>
      </x:c>
      <x:c r="K57" s="2"/>
      <x:c r="L57" s="2"/>
      <x:c r="M57" s="2"/>
    </x:row>
    <x:row r="58" ht="25" customHeight="1">
      <x:c r="A58" s="2" t="str">
        <x:v>Game_ReadInput</x:v>
      </x:c>
      <x:c r="B58" s="3" t="n">
        <x:v>1833</x:v>
      </x:c>
      <x:c r="C58" s="10" t="n">
        <x:v>2.0076670317634173</x:v>
      </x:c>
      <x:c r="D58" s="10" t="n">
        <x:v>257.11292962371425</x:v>
      </x:c>
      <x:c r="E58" s="10" t="n">
        <x:v>256.0000000298023</x:v>
      </x:c>
      <x:c r="F58" s="10" t="n">
        <x:v>280.00000001490116</x:v>
      </x:c>
      <x:c r="G58" s="10" t="n">
        <x:v>257.11292962371425</x:v>
      </x:c>
      <x:c r="H58" s="10" t="n">
        <x:v>516.1971522456388</x:v>
      </x:c>
      <x:c r="I58" s="2" t="str">
        <x:v>Inclusive minus tracked children for self</x:v>
      </x:c>
      <x:c r="J58" s="2" t="str">
        <x:v>references/experiments/stage-one-3-enemies/profile-route-7x904ch1/summary.json</x:v>
      </x:c>
      <x:c r="K58" s="2"/>
      <x:c r="L58" s="2"/>
      <x:c r="M58" s="2"/>
    </x:row>
    <x:row r="59" ht="25" customHeight="1">
      <x:c r="A59" s="2" t="str">
        <x:v>Native_Input</x:v>
      </x:c>
      <x:c r="B59" s="3" t="n">
        <x:v>1833</x:v>
      </x:c>
      <x:c r="C59" s="10" t="n">
        <x:v>2.0076670317634173</x:v>
      </x:c>
      <x:c r="D59" s="10" t="n">
        <x:v>167.90671031115056</x:v>
      </x:c>
      <x:c r="E59" s="10" t="n">
        <x:v>183</x:v>
      </x:c>
      <x:c r="F59" s="10" t="n">
        <x:v>183.00000001490116</x:v>
      </x:c>
      <x:c r="G59" s="10" t="n">
        <x:v>167.90671031115056</x:v>
      </x:c>
      <x:c r="H59" s="10" t="n">
        <x:v>337.10076670354766</x:v>
      </x:c>
      <x:c r="I59" s="2" t="str">
        <x:v>Inclusive minus tracked children for self</x:v>
      </x:c>
      <x:c r="J59" s="2" t="str">
        <x:v>references/experiments/stage-one-3-enemies/profile-route-7x904ch1/summary.json</x:v>
      </x:c>
      <x:c r="K59" s="2"/>
      <x:c r="L59" s="2"/>
      <x:c r="M59" s="2"/>
    </x:row>
    <x:row r="60" ht="25" customHeight="1">
      <x:c r="A60" s="2" t="str">
        <x:v>Native_Steering</x:v>
      </x:c>
      <x:c r="B60" s="3" t="n">
        <x:v>1833</x:v>
      </x:c>
      <x:c r="C60" s="10" t="n">
        <x:v>2.0076670317634173</x:v>
      </x:c>
      <x:c r="D60" s="10" t="n">
        <x:v>93.15875613718688</x:v>
      </x:c>
      <x:c r="E60" s="10" t="n">
        <x:v>92.00000001490116</x:v>
      </x:c>
      <x:c r="F60" s="10" t="n">
        <x:v>201</x:v>
      </x:c>
      <x:c r="G60" s="10" t="n">
        <x:v>93.15875613718688</x:v>
      </x:c>
      <x:c r="H60" s="10" t="n">
        <x:v>187.03176341671804</x:v>
      </x:c>
      <x:c r="I60" s="2" t="str">
        <x:v>Inclusive minus tracked children for self</x:v>
      </x:c>
      <x:c r="J60" s="2" t="str">
        <x:v>references/experiments/stage-one-3-enemies/profile-route-7x904ch1/summary.json</x:v>
      </x:c>
      <x:c r="K60" s="2"/>
      <x:c r="L60" s="2"/>
      <x:c r="M60" s="2"/>
    </x:row>
    <x:row r="61" ht="25" customHeight="1">
      <x:c r="A61" s="2" t="str">
        <x:v>Game_LogicTick</x:v>
      </x:c>
      <x:c r="B61" s="3" t="n">
        <x:v>1833</x:v>
      </x:c>
      <x:c r="C61" s="10" t="n">
        <x:v>2.0076670317634173</x:v>
      </x:c>
      <x:c r="D61" s="10" t="n">
        <x:v>10477.559738134358</x:v>
      </x:c>
      <x:c r="E61" s="10" t="n">
        <x:v>20986</x:v>
      </x:c>
      <x:c r="F61" s="10" t="n">
        <x:v>63843</x:v>
      </x:c>
      <x:c r="G61" s="10" t="n">
        <x:v>400.79541734798084</x:v>
      </x:c>
      <x:c r="H61" s="10" t="n">
        <x:v>804.6637458914007</x:v>
      </x:c>
      <x:c r="I61" s="2" t="str">
        <x:v>Inclusive minus tracked children for self</x:v>
      </x:c>
      <x:c r="J61" s="2" t="str">
        <x:v>references/experiments/stage-one-3-enemies/profile-route-7x904ch1/summary.json</x:v>
      </x:c>
      <x:c r="K61" s="2"/>
      <x:c r="L61" s="2"/>
      <x:c r="M61" s="2"/>
    </x:row>
    <x:row r="62" ht="25" customHeight="1">
      <x:c r="A62" s="2" t="str">
        <x:v>Fuel_Tick</x:v>
      </x:c>
      <x:c r="B62" s="3" t="n">
        <x:v>1833</x:v>
      </x:c>
      <x:c r="C62" s="10" t="n">
        <x:v>2.0076670317634173</x:v>
      </x:c>
      <x:c r="D62" s="10" t="n">
        <x:v>478.012002182343</x:v>
      </x:c>
      <x:c r="E62" s="10" t="n">
        <x:v>1785</x:v>
      </x:c>
      <x:c r="F62" s="10" t="n">
        <x:v>1878.0000000149012</x:v>
      </x:c>
      <x:c r="G62" s="10" t="n">
        <x:v>478.012002182343</x:v>
      </x:c>
      <x:c r="H62" s="10" t="n">
        <x:v>959.6889375687127</x:v>
      </x:c>
      <x:c r="I62" s="2" t="str">
        <x:v>Inclusive minus tracked children for self</x:v>
      </x:c>
      <x:c r="J62" s="2" t="str">
        <x:v>references/experiments/stage-one-3-enemies/profile-route-7x904ch1/summary.json</x:v>
      </x:c>
      <x:c r="K62" s="2"/>
      <x:c r="L62" s="2"/>
      <x:c r="M62" s="2"/>
    </x:row>
    <x:row r="63" ht="25" customHeight="1">
      <x:c r="A63" s="2" t="str">
        <x:v>Native_FuelSpeed</x:v>
      </x:c>
      <x:c r="B63" s="3" t="n">
        <x:v>227</x:v>
      </x:c>
      <x:c r="C63" s="10" t="n">
        <x:v>0.24863088718510407</x:v>
      </x:c>
      <x:c r="D63" s="10" t="n">
        <x:v>98.99999999967179</x:v>
      </x:c>
      <x:c r="E63" s="10" t="n">
        <x:v>99.00000001490116</x:v>
      </x:c>
      <x:c r="F63" s="10" t="n">
        <x:v>99.00000001490116</x:v>
      </x:c>
      <x:c r="G63" s="10" t="n">
        <x:v>98.99999999967179</x:v>
      </x:c>
      <x:c r="H63" s="10" t="n">
        <x:v>24.614457831243694</x:v>
      </x:c>
      <x:c r="I63" s="2" t="str">
        <x:v>Inclusive minus tracked children for self</x:v>
      </x:c>
      <x:c r="J63" s="2" t="str">
        <x:v>references/experiments/stage-one-3-enemies/profile-route-7x904ch1/summary.json</x:v>
      </x:c>
      <x:c r="K63" s="2"/>
      <x:c r="L63" s="2"/>
      <x:c r="M63" s="2"/>
    </x:row>
    <x:row r="64" ht="25" customHeight="1">
      <x:c r="A64" s="2" t="str">
        <x:v>Smoke_PreTick</x:v>
      </x:c>
      <x:c r="B64" s="3" t="n">
        <x:v>916</x:v>
      </x:c>
      <x:c r="C64" s="10" t="n">
        <x:v>1.0032858707557504</x:v>
      </x:c>
      <x:c r="D64" s="10" t="n">
        <x:v>2722.308951965362</x:v>
      </x:c>
      <x:c r="E64" s="10" t="n">
        <x:v>4486</x:v>
      </x:c>
      <x:c r="F64" s="10" t="n">
        <x:v>49232.000000003725</x:v>
      </x:c>
      <x:c r="G64" s="10" t="n">
        <x:v>2302.960698690607</x:v>
      </x:c>
      <x:c r="H64" s="10" t="n">
        <x:v>2310.5279299020767</x:v>
      </x:c>
      <x:c r="I64" s="2" t="str">
        <x:v>Inclusive minus tracked children for self</x:v>
      </x:c>
      <x:c r="J64" s="2" t="str">
        <x:v>references/experiments/stage-one-3-enemies/profile-route-7x904ch1/summary.json</x:v>
      </x:c>
      <x:c r="K64" s="2"/>
      <x:c r="L64" s="2"/>
      <x:c r="M64" s="2"/>
    </x:row>
    <x:row r="65" ht="25" customHeight="1">
      <x:c r="A65" s="2" t="str">
        <x:v>Full_MSXPlayerSpeed</x:v>
      </x:c>
      <x:c r="B65" s="3" t="n">
        <x:v>916</x:v>
      </x:c>
      <x:c r="C65" s="10" t="n">
        <x:v>1.0032858707557504</x:v>
      </x:c>
      <x:c r="D65" s="10" t="n">
        <x:v>217.38209606942976</x:v>
      </x:c>
      <x:c r="E65" s="10" t="n">
        <x:v>275</x:v>
      </x:c>
      <x:c r="F65" s="10" t="n">
        <x:v>275.00000001490116</x:v>
      </x:c>
      <x:c r="G65" s="10" t="n">
        <x:v>73.99999999916221</x:v>
      </x:c>
      <x:c r="H65" s="10" t="n">
        <x:v>74.24315443508499</x:v>
      </x:c>
      <x:c r="I65" s="2" t="str">
        <x:v>Inclusive minus tracked children for self</x:v>
      </x:c>
      <x:c r="J65" s="2" t="str">
        <x:v>references/experiments/stage-one-3-enemies/profile-route-7x904ch1/summary.json</x:v>
      </x:c>
      <x:c r="K65" s="2"/>
      <x:c r="L65" s="2"/>
      <x:c r="M65" s="2"/>
    </x:row>
    <x:row r="66" ht="25" customHeight="1">
      <x:c r="A66" s="2" t="str">
        <x:v>Full_MSXBoundVelocity</x:v>
      </x:c>
      <x:c r="B66" s="3" t="n">
        <x:v>3376</x:v>
      </x:c>
      <x:c r="C66" s="10" t="n">
        <x:v>3.697699890470975</x:v>
      </x:c>
      <x:c r="D66" s="10" t="n">
        <x:v>137.71741706169414</x:v>
      </x:c>
      <x:c r="E66" s="10" t="n">
        <x:v>153.00000001490116</x:v>
      </x:c>
      <x:c r="F66" s="10" t="n">
        <x:v>201.00000001490116</x:v>
      </x:c>
      <x:c r="G66" s="10" t="n">
        <x:v>137.71741706169414</x:v>
      </x:c>
      <x:c r="H66" s="10" t="n">
        <x:v>509.237677984972</x:v>
      </x:c>
      <x:c r="I66" s="2" t="str">
        <x:v>Inclusive minus tracked children for self</x:v>
      </x:c>
      <x:c r="J66" s="2" t="str">
        <x:v>references/experiments/stage-one-3-enemies/profile-route-7x904ch1/summary.json</x:v>
      </x:c>
      <x:c r="K66" s="2"/>
      <x:c r="L66" s="2"/>
      <x:c r="M66" s="2"/>
    </x:row>
    <x:row r="67" ht="25" customHeight="1">
      <x:c r="A67" s="2" t="str">
        <x:v>Native_MotionDispatcher</x:v>
      </x:c>
      <x:c r="B67" s="3" t="n">
        <x:v>1833</x:v>
      </x:c>
      <x:c r="C67" s="10" t="n">
        <x:v>2.0076670317634173</x:v>
      </x:c>
      <x:c r="D67" s="10" t="n">
        <x:v>3207.8183306056662</x:v>
      </x:c>
      <x:c r="E67" s="10" t="n">
        <x:v>5078.999999985099</x:v>
      </x:c>
      <x:c r="F67" s="10" t="n">
        <x:v>5247</x:v>
      </x:c>
      <x:c r="G67" s="10" t="n">
        <x:v>1230.776868522277</x:v>
      </x:c>
      <x:c r="H67" s="10" t="n">
        <x:v>2470.9901423891934</x:v>
      </x:c>
      <x:c r="I67" s="2" t="str">
        <x:v>Inclusive minus tracked children for self</x:v>
      </x:c>
      <x:c r="J67" s="2" t="str">
        <x:v>references/experiments/stage-one-3-enemies/profile-route-7x904ch1/summary.json</x:v>
      </x:c>
      <x:c r="K67" s="2"/>
      <x:c r="L67" s="2"/>
      <x:c r="M67" s="2"/>
    </x:row>
    <x:row r="68" ht="25" customHeight="1">
      <x:c r="A68" s="2" t="str">
        <x:v>Full_NativeMotion</x:v>
      </x:c>
      <x:c r="B68" s="3" t="n">
        <x:v>6754</x:v>
      </x:c>
      <x:c r="C68" s="10" t="n">
        <x:v>7.397590361445783</x:v>
      </x:c>
      <x:c r="D68" s="10" t="n">
        <x:v>480.90183594896354</x:v>
      </x:c>
      <x:c r="E68" s="10" t="n">
        <x:v>1099.9999999962747</x:v>
      </x:c>
      <x:c r="F68" s="10" t="n">
        <x:v>1146.0000000149012</x:v>
      </x:c>
      <x:c r="G68" s="10" t="n">
        <x:v>431.50947586606236</x:v>
      </x:c>
      <x:c r="H68" s="10" t="n">
        <x:v>3192.1303395393047</x:v>
      </x:c>
      <x:c r="I68" s="2" t="str">
        <x:v>Inclusive minus tracked children for self</x:v>
      </x:c>
      <x:c r="J68" s="2" t="str">
        <x:v>references/experiments/stage-one-3-enemies/profile-route-7x904ch1/summary.json</x:v>
      </x:c>
      <x:c r="K68" s="2"/>
      <x:c r="L68" s="2"/>
      <x:c r="M68" s="2"/>
    </x:row>
    <x:row r="69" ht="25" customHeight="1">
      <x:c r="A69" s="2" t="str">
        <x:v>Smoke_Tick</x:v>
      </x:c>
      <x:c r="B69" s="3" t="n">
        <x:v>1833</x:v>
      </x:c>
      <x:c r="C69" s="10" t="n">
        <x:v>2.0076670317634173</x:v>
      </x:c>
      <x:c r="D69" s="10" t="n">
        <x:v>424.6039279870266</x:v>
      </x:c>
      <x:c r="E69" s="10" t="n">
        <x:v>1331.9999999962747</x:v>
      </x:c>
      <x:c r="F69" s="10" t="n">
        <x:v>4548.000000014901</x:v>
      </x:c>
      <x:c r="G69" s="10" t="n">
        <x:v>385.068739771091</x:v>
      </x:c>
      <x:c r="H69" s="10" t="n">
        <x:v>773.0898138011061</x:v>
      </x:c>
      <x:c r="I69" s="2" t="str">
        <x:v>Inclusive minus tracked children for self</x:v>
      </x:c>
      <x:c r="J69" s="2" t="str">
        <x:v>references/experiments/stage-one-3-enemies/profile-route-7x904ch1/summary.json</x:v>
      </x:c>
      <x:c r="K69" s="2"/>
      <x:c r="L69" s="2"/>
      <x:c r="M69" s="2"/>
    </x:row>
    <x:row r="70" ht="25" customHeight="1">
      <x:c r="A70" s="2" t="str">
        <x:v>Smoke_AfterNative</x:v>
      </x:c>
      <x:c r="B70" s="3" t="n">
        <x:v>1833</x:v>
      </x:c>
      <x:c r="C70" s="10" t="n">
        <x:v>2.0076670317634173</x:v>
      </x:c>
      <x:c r="D70" s="10" t="n">
        <x:v>39.535188215935634</x:v>
      </x:c>
      <x:c r="E70" s="10" t="n">
        <x:v>36.00000001490116</x:v>
      </x:c>
      <x:c r="F70" s="10" t="n">
        <x:v>756.0000000037253</x:v>
      </x:c>
      <x:c r="G70" s="10" t="n">
        <x:v>39.535188215935634</x:v>
      </x:c>
      <x:c r="H70" s="10" t="n">
        <x:v>79.37349397569552</x:v>
      </x:c>
      <x:c r="I70" s="2" t="str">
        <x:v>Inclusive minus tracked children for self</x:v>
      </x:c>
      <x:c r="J70" s="2" t="str">
        <x:v>references/experiments/stage-one-3-enemies/profile-route-7x904ch1/summary.json</x:v>
      </x:c>
      <x:c r="K70" s="2"/>
      <x:c r="L70" s="2"/>
      <x:c r="M70" s="2"/>
    </x:row>
    <x:row r="71" ht="25" customHeight="1">
      <x:c r="A71" s="2" t="str">
        <x:v>Native_PlayerFinalize</x:v>
      </x:c>
      <x:c r="B71" s="3" t="n">
        <x:v>916</x:v>
      </x:c>
      <x:c r="C71" s="10" t="n">
        <x:v>1.0032858707557504</x:v>
      </x:c>
      <x:c r="D71" s="10" t="n">
        <x:v>1999.1834061134232</x:v>
      </x:c>
      <x:c r="E71" s="10" t="n">
        <x:v>2261</x:v>
      </x:c>
      <x:c r="F71" s="10" t="n">
        <x:v>4070</x:v>
      </x:c>
      <x:c r="G71" s="10" t="n">
        <x:v>1999.0316593885366</x:v>
      </x:c>
      <x:c r="H71" s="10" t="n">
        <x:v>2005.6002190579402</x:v>
      </x:c>
      <x:c r="I71" s="2" t="str">
        <x:v>Inclusive minus tracked children for self</x:v>
      </x:c>
      <x:c r="J71" s="2" t="str">
        <x:v>references/experiments/stage-one-3-enemies/profile-route-7x904ch1/summary.json</x:v>
      </x:c>
      <x:c r="K71" s="2"/>
      <x:c r="L71" s="2"/>
      <x:c r="M71" s="2"/>
    </x:row>
    <x:row r="72" ht="25" customHeight="1">
      <x:c r="A72" s="2" t="str">
        <x:v>Full_MSXPan</x:v>
      </x:c>
      <x:c r="B72" s="3" t="n">
        <x:v>3666</x:v>
      </x:c>
      <x:c r="C72" s="10" t="n">
        <x:v>4.015334063526835</x:v>
      </x:c>
      <x:c r="D72" s="10" t="n">
        <x:v>102.5384615383396</x:v>
      </x:c>
      <x:c r="E72" s="10" t="n">
        <x:v>130.00000000745058</x:v>
      </x:c>
      <x:c r="F72" s="10" t="n">
        <x:v>130.00000002980232</x:v>
      </x:c>
      <x:c r="G72" s="10" t="n">
        <x:v>102.5384615383396</x:v>
      </x:c>
      <x:c r="H72" s="10" t="n">
        <x:v>411.7261774365312</x:v>
      </x:c>
      <x:c r="I72" s="2" t="str">
        <x:v>Inclusive minus tracked children for self</x:v>
      </x:c>
      <x:c r="J72" s="2" t="str">
        <x:v>references/experiments/stage-one-3-enemies/profile-route-7x904ch1/summary.json</x:v>
      </x:c>
      <x:c r="K72" s="2"/>
      <x:c r="L72" s="2"/>
      <x:c r="M72" s="2"/>
    </x:row>
    <x:row r="73" ht="25" customHeight="1">
      <x:c r="A73" s="2" t="str">
        <x:v>Game_Animation</x:v>
      </x:c>
      <x:c r="B73" s="3" t="n">
        <x:v>1833</x:v>
      </x:c>
      <x:c r="C73" s="10" t="n">
        <x:v>2.0076670317634173</x:v>
      </x:c>
      <x:c r="D73" s="10" t="n">
        <x:v>413.52427714153214</x:v>
      </x:c>
      <x:c r="E73" s="10" t="n">
        <x:v>1778</x:v>
      </x:c>
      <x:c r="F73" s="10" t="n">
        <x:v>2720</x:v>
      </x:c>
      <x:c r="G73" s="10" t="n">
        <x:v>60.474086197583944</x:v>
      </x:c>
      <x:c r="H73" s="10" t="n">
        <x:v>121.41182913490839</x:v>
      </x:c>
      <x:c r="I73" s="2" t="str">
        <x:v>Inclusive minus tracked children for self</x:v>
      </x:c>
      <x:c r="J73" s="2" t="str">
        <x:v>references/experiments/stage-one-3-enemies/profile-route-7x904ch1/summary.json</x:v>
      </x:c>
      <x:c r="K73" s="2"/>
      <x:c r="L73" s="2"/>
      <x:c r="M73" s="2"/>
    </x:row>
    <x:row r="74" ht="25" customHeight="1">
      <x:c r="A74" s="2" t="str">
        <x:v>Full_MSXAnimation</x:v>
      </x:c>
      <x:c r="B74" s="3" t="n">
        <x:v>457</x:v>
      </x:c>
      <x:c r="C74" s="10" t="n">
        <x:v>0.5005476451259584</x:v>
      </x:c>
      <x:c r="D74" s="10" t="n">
        <x:v>1416.0634573309783</x:v>
      </x:c>
      <x:c r="E74" s="10" t="n">
        <x:v>2198.000000014901</x:v>
      </x:c>
      <x:c r="F74" s="10" t="n">
        <x:v>2630.999999985099</x:v>
      </x:c>
      <x:c r="G74" s="10" t="n">
        <x:v>1416.0634573309783</x:v>
      </x:c>
      <x:c r="H74" s="10" t="n">
        <x:v>708.8072289159442</x:v>
      </x:c>
      <x:c r="I74" s="2" t="str">
        <x:v>Inclusive minus tracked children for self</x:v>
      </x:c>
      <x:c r="J74" s="2" t="str">
        <x:v>references/experiments/stage-one-3-enemies/profile-route-7x904ch1/summary.json</x:v>
      </x:c>
      <x:c r="K74" s="2"/>
      <x:c r="L74" s="2"/>
      <x:c r="M74" s="2"/>
    </x:row>
    <x:row r="75" ht="25" customHeight="1">
      <x:c r="A75" s="2" t="str">
        <x:v>Enemy_AfterMove</x:v>
      </x:c>
      <x:c r="B75" s="3" t="n">
        <x:v>916</x:v>
      </x:c>
      <x:c r="C75" s="10" t="n">
        <x:v>1.0032858707557504</x:v>
      </x:c>
      <x:c r="D75" s="10" t="n">
        <x:v>4523.588427947574</x:v>
      </x:c>
      <x:c r="E75" s="10" t="n">
        <x:v>6595</x:v>
      </x:c>
      <x:c r="F75" s="10" t="n">
        <x:v>7934.999999985099</x:v>
      </x:c>
      <x:c r="G75" s="10" t="n">
        <x:v>95.99999999974378</x:v>
      </x:c>
      <x:c r="H75" s="10" t="n">
        <x:v>96.31544359229497</x:v>
      </x:c>
      <x:c r="I75" s="2" t="str">
        <x:v>Inclusive minus tracked children for self</x:v>
      </x:c>
      <x:c r="J75" s="2" t="str">
        <x:v>references/experiments/stage-one-3-enemies/profile-route-7x904ch1/summary.json</x:v>
      </x:c>
      <x:c r="K75" s="2"/>
      <x:c r="L75" s="2"/>
      <x:c r="M75" s="2"/>
    </x:row>
    <x:row r="76" ht="25" customHeight="1">
      <x:c r="A76" s="2" t="str">
        <x:v>Enemy_CameraOnly</x:v>
      </x:c>
      <x:c r="B76" s="3" t="n">
        <x:v>1833</x:v>
      </x:c>
      <x:c r="C76" s="10" t="n">
        <x:v>2.0076670317634173</x:v>
      </x:c>
      <x:c r="D76" s="10" t="n">
        <x:v>129.57119476257031</x:v>
      </x:c>
      <x:c r="E76" s="10" t="n">
        <x:v>285</x:v>
      </x:c>
      <x:c r="F76" s="10" t="n">
        <x:v>285.0000000298023</x:v>
      </x:c>
      <x:c r="G76" s="10" t="n">
        <x:v>129.57119476257031</x:v>
      </x:c>
      <x:c r="H76" s="10" t="n">
        <x:v>260.13581599100917</x:v>
      </x:c>
      <x:c r="I76" s="2" t="str">
        <x:v>Inclusive minus tracked children for self</x:v>
      </x:c>
      <x:c r="J76" s="2" t="str">
        <x:v>references/experiments/stage-one-3-enemies/profile-route-7x904ch1/summary.json</x:v>
      </x:c>
      <x:c r="K76" s="2"/>
      <x:c r="L76" s="2"/>
      <x:c r="M76" s="2"/>
    </x:row>
    <x:row r="77" ht="25" customHeight="1">
      <x:c r="A77" s="2" t="str">
        <x:v>Full_MSXContact</x:v>
      </x:c>
      <x:c r="B77" s="3" t="n">
        <x:v>916</x:v>
      </x:c>
      <x:c r="C77" s="10" t="n">
        <x:v>1.0032858707557504</x:v>
      </x:c>
      <x:c r="D77" s="10" t="n">
        <x:v>696.146288209729</x:v>
      </x:c>
      <x:c r="E77" s="10" t="n">
        <x:v>1069</x:v>
      </x:c>
      <x:c r="F77" s="10" t="n">
        <x:v>1217.0000000149012</x:v>
      </x:c>
      <x:c r="G77" s="10" t="n">
        <x:v>696.146288209729</x:v>
      </x:c>
      <x:c r="H77" s="10" t="n">
        <x:v>698.4337349398814</x:v>
      </x:c>
      <x:c r="I77" s="2" t="str">
        <x:v>Inclusive minus tracked children for self</x:v>
      </x:c>
      <x:c r="J77" s="2" t="str">
        <x:v>references/experiments/stage-one-3-enemies/profile-route-7x904ch1/summary.json</x:v>
      </x:c>
      <x:c r="K77" s="2"/>
      <x:c r="L77" s="2"/>
      <x:c r="M77" s="2"/>
    </x:row>
    <x:row r="78" ht="25" customHeight="1">
      <x:c r="A78" s="2" t="str">
        <x:v>Full_MSXAI</x:v>
      </x:c>
      <x:c r="B78" s="3" t="n">
        <x:v>1833</x:v>
      </x:c>
      <x:c r="C78" s="10" t="n">
        <x:v>2.0076670317634173</x:v>
      </x:c>
      <x:c r="D78" s="10" t="n">
        <x:v>1832.8172394979442</x:v>
      </x:c>
      <x:c r="E78" s="10" t="n">
        <x:v>5234.000000014901</x:v>
      </x:c>
      <x:c r="F78" s="10" t="n">
        <x:v>6968.999999985099</x:v>
      </x:c>
      <x:c r="G78" s="10" t="n">
        <x:v>348.35624659020783</x:v>
      </x:c>
      <x:c r="H78" s="10" t="n">
        <x:v>699.3833515880076</x:v>
      </x:c>
      <x:c r="I78" s="2" t="str">
        <x:v>Inclusive minus tracked children for self</x:v>
      </x:c>
      <x:c r="J78" s="2" t="str">
        <x:v>references/experiments/stage-one-3-enemies/profile-route-7x904ch1/summary.json</x:v>
      </x:c>
      <x:c r="K78" s="2"/>
      <x:c r="L78" s="2"/>
      <x:c r="M78" s="2"/>
    </x:row>
    <x:row r="79" ht="25" customHeight="1">
      <x:c r="A79" s="2" t="str">
        <x:v>Full_MSXActor</x:v>
      </x:c>
      <x:c r="B79" s="3" t="n">
        <x:v>2748</x:v>
      </x:c>
      <x:c r="C79" s="10" t="n">
        <x:v>3.009857612267251</x:v>
      </x:c>
      <x:c r="D79" s="10" t="n">
        <x:v>990.1808588063612</x:v>
      </x:c>
      <x:c r="E79" s="10" t="n">
        <x:v>2368</x:v>
      </x:c>
      <x:c r="F79" s="10" t="n">
        <x:v>3047.000000014901</x:v>
      </x:c>
      <x:c r="G79" s="10" t="n">
        <x:v>650.0636826782735</x:v>
      </x:c>
      <x:c r="H79" s="10" t="n">
        <x:v>1956.5991237676842</x:v>
      </x:c>
      <x:c r="I79" s="2" t="str">
        <x:v>Inclusive minus tracked children for self</x:v>
      </x:c>
      <x:c r="J79" s="2" t="str">
        <x:v>references/experiments/stage-one-3-enemies/profile-route-7x904ch1/summary.json</x:v>
      </x:c>
      <x:c r="K79" s="2"/>
      <x:c r="L79" s="2"/>
      <x:c r="M79" s="2"/>
    </x:row>
    <x:row r="80" ht="25" customHeight="1">
      <x:c r="A80" s="2" t="str">
        <x:v>Full_MSXSmoke</x:v>
      </x:c>
      <x:c r="B80" s="3" t="n">
        <x:v>2267</x:v>
      </x:c>
      <x:c r="C80" s="10" t="n">
        <x:v>2.4830230010952903</x:v>
      </x:c>
      <x:c r="D80" s="10" t="n">
        <x:v>412.28142920158143</x:v>
      </x:c>
      <x:c r="E80" s="10" t="n">
        <x:v>533</x:v>
      </x:c>
      <x:c r="F80" s="10" t="n">
        <x:v>533.0000000298023</x:v>
      </x:c>
      <x:c r="G80" s="10" t="n">
        <x:v>412.28142920158143</x:v>
      </x:c>
      <x:c r="H80" s="10" t="n">
        <x:v>1023.7042716319662</x:v>
      </x:c>
      <x:c r="I80" s="2" t="str">
        <x:v>Inclusive minus tracked children for self</x:v>
      </x:c>
      <x:c r="J80" s="2" t="str">
        <x:v>references/experiments/stage-one-3-enemies/profile-route-7x904ch1/summary.json</x:v>
      </x:c>
      <x:c r="K80" s="2"/>
      <x:c r="L80" s="2"/>
      <x:c r="M80" s="2"/>
    </x:row>
    <x:row r="81" ht="25" customHeight="1">
      <x:c r="A81" s="2" t="str">
        <x:v>Rock_Update</x:v>
      </x:c>
      <x:c r="B81" s="3" t="n">
        <x:v>916</x:v>
      </x:c>
      <x:c r="C81" s="10" t="n">
        <x:v>1.0032858707557504</x:v>
      </x:c>
      <x:c r="D81" s="10" t="n">
        <x:v>289.0131004371855</x:v>
      </x:c>
      <x:c r="E81" s="10" t="n">
        <x:v>317</x:v>
      </x:c>
      <x:c r="F81" s="10" t="n">
        <x:v>317.0000000298023</x:v>
      </x:c>
      <x:c r="G81" s="10" t="n">
        <x:v>92.0000000006263</x:v>
      </x:c>
      <x:c r="H81" s="10" t="n">
        <x:v>92.30230011015739</x:v>
      </x:c>
      <x:c r="I81" s="2" t="str">
        <x:v>Inclusive minus tracked children for self</x:v>
      </x:c>
      <x:c r="J81" s="2" t="str">
        <x:v>references/experiments/stage-one-3-enemies/profile-route-7x904ch1/summary.json</x:v>
      </x:c>
      <x:c r="K81" s="2"/>
      <x:c r="L81" s="2"/>
      <x:c r="M81" s="2"/>
    </x:row>
    <x:row r="82" ht="25" customHeight="1">
      <x:c r="A82" s="2" t="str">
        <x:v>Native_ContactCell</x:v>
      </x:c>
      <x:c r="B82" s="3" t="n">
        <x:v>916</x:v>
      </x:c>
      <x:c r="C82" s="10" t="n">
        <x:v>1.0032858707557504</x:v>
      </x:c>
      <x:c r="D82" s="10" t="n">
        <x:v>197.01310043655923</x:v>
      </x:c>
      <x:c r="E82" s="10" t="n">
        <x:v>225</x:v>
      </x:c>
      <x:c r="F82" s="10" t="n">
        <x:v>225.00000001490116</x:v>
      </x:c>
      <x:c r="G82" s="10" t="n">
        <x:v>197.01310043655923</x:v>
      </x:c>
      <x:c r="H82" s="10" t="n">
        <x:v>197.6604600217834</x:v>
      </x:c>
      <x:c r="I82" s="2" t="str">
        <x:v>Inclusive minus tracked children for self</x:v>
      </x:c>
      <x:c r="J82" s="2" t="str">
        <x:v>references/experiments/stage-one-3-enemies/profile-route-7x904ch1/summary.json</x:v>
      </x:c>
      <x:c r="K82" s="2"/>
      <x:c r="L82" s="2"/>
      <x:c r="M82" s="2"/>
    </x:row>
    <x:row r="83" ht="25" customHeight="1">
      <x:c r="A83" s="2" t="str">
        <x:v>Flag_Update</x:v>
      </x:c>
      <x:c r="B83" s="3" t="n">
        <x:v>916</x:v>
      </x:c>
      <x:c r="C83" s="10" t="n">
        <x:v>1.0032858707557504</x:v>
      </x:c>
      <x:c r="D83" s="10" t="n">
        <x:v>690.4366812225935</x:v>
      </x:c>
      <x:c r="E83" s="10" t="n">
        <x:v>675</x:v>
      </x:c>
      <x:c r="F83" s="10" t="n">
        <x:v>4304</x:v>
      </x:c>
      <x:c r="G83" s="10" t="n">
        <x:v>690.4366812225935</x:v>
      </x:c>
      <x:c r="H83" s="10" t="n">
        <x:v>692.7053669221201</x:v>
      </x:c>
      <x:c r="I83" s="2" t="str">
        <x:v>Inclusive minus tracked children for self</x:v>
      </x:c>
      <x:c r="J83" s="2" t="str">
        <x:v>references/experiments/stage-one-3-enemies/profile-route-7x904ch1/summary.json</x:v>
      </x:c>
      <x:c r="K83" s="2"/>
      <x:c r="L83" s="2"/>
      <x:c r="M83" s="2"/>
    </x:row>
    <x:row r="84" ht="25" customHeight="1">
      <x:c r="A84" s="2" t="str">
        <x:v>Score_Update</x:v>
      </x:c>
      <x:c r="B84" s="3" t="n">
        <x:v>916</x:v>
      </x:c>
      <x:c r="C84" s="10" t="n">
        <x:v>1.0032858707557504</x:v>
      </x:c>
      <x:c r="D84" s="10" t="n">
        <x:v>96.94868995676704</x:v>
      </x:c>
      <x:c r="E84" s="10" t="n">
        <x:v>64.00000001490116</x:v>
      </x:c>
      <x:c r="F84" s="10" t="n">
        <x:v>5225</x:v>
      </x:c>
      <x:c r="G84" s="10" t="n">
        <x:v>96.94868995676704</x:v>
      </x:c>
      <x:c r="H84" s="10" t="n">
        <x:v>97.26725082190428</x:v>
      </x:c>
      <x:c r="I84" s="2" t="str">
        <x:v>Inclusive minus tracked children for self</x:v>
      </x:c>
      <x:c r="J84" s="2" t="str">
        <x:v>references/experiments/stage-one-3-enemies/profile-route-7x904ch1/summary.json</x:v>
      </x:c>
      <x:c r="K84" s="2"/>
      <x:c r="L84" s="2"/>
      <x:c r="M84" s="2"/>
    </x:row>
    <x:row r="85" ht="25" customHeight="1">
      <x:c r="A85" s="2" t="str">
        <x:v>Fuel_Begin</x:v>
      </x:c>
      <x:c r="B85" s="3" t="n">
        <x:v>916</x:v>
      </x:c>
      <x:c r="C85" s="10" t="n">
        <x:v>1.0032858707557504</x:v>
      </x:c>
      <x:c r="D85" s="10" t="n">
        <x:v>35.999999999983736</x:v>
      </x:c>
      <x:c r="E85" s="10" t="n">
        <x:v>36.00000001490116</x:v>
      </x:c>
      <x:c r="F85" s="10" t="n">
        <x:v>36.00000002980232</x:v>
      </x:c>
      <x:c r="G85" s="10" t="n">
        <x:v>35.999999999983736</x:v>
      </x:c>
      <x:c r="H85" s="10" t="n">
        <x:v>36.11829134719069</x:v>
      </x:c>
      <x:c r="I85" s="2" t="str">
        <x:v>Inclusive minus tracked children for self</x:v>
      </x:c>
      <x:c r="J85" s="2" t="str">
        <x:v>references/experiments/stage-one-3-enemies/profile-route-7x904ch1/summary.json</x:v>
      </x:c>
      <x:c r="K85" s="2"/>
      <x:c r="L85" s="2"/>
      <x:c r="M85" s="2"/>
    </x:row>
    <x:row r="86" ht="25" customHeight="1">
      <x:c r="A86" s="2" t="str">
        <x:v>Parameters_Update</x:v>
      </x:c>
      <x:c r="B86" s="3" t="n">
        <x:v>916</x:v>
      </x:c>
      <x:c r="C86" s="10" t="n">
        <x:v>1.0032858707557504</x:v>
      </x:c>
      <x:c r="D86" s="10" t="n">
        <x:v>77.80131004380233</x:v>
      </x:c>
      <x:c r="E86" s="10" t="n">
        <x:v>70.00000001490116</x:v>
      </x:c>
      <x:c r="F86" s="10" t="n">
        <x:v>964</x:v>
      </x:c>
      <x:c r="G86" s="10" t="n">
        <x:v>77.80131004380233</x:v>
      </x:c>
      <x:c r="H86" s="10" t="n">
        <x:v>78.05695509323432</x:v>
      </x:c>
      <x:c r="I86" s="2" t="str">
        <x:v>Inclusive minus tracked children for self</x:v>
      </x:c>
      <x:c r="J86" s="2" t="str">
        <x:v>references/experiments/stage-one-3-enemies/profile-route-7x904ch1/summary.json</x:v>
      </x:c>
      <x:c r="K86" s="2"/>
      <x:c r="L86" s="2"/>
      <x:c r="M86" s="2"/>
    </x:row>
    <x:row r="87" ht="25" customHeight="1">
      <x:c r="A87" s="2" t="str">
        <x:v>GameMulti_Parameters</x:v>
      </x:c>
      <x:c r="B87" s="3" t="n">
        <x:v>916</x:v>
      </x:c>
      <x:c r="C87" s="10" t="n">
        <x:v>1.0032858707557504</x:v>
      </x:c>
      <x:c r="D87" s="10" t="n">
        <x:v>33</x:v>
      </x:c>
      <x:c r="E87" s="10" t="n">
        <x:v>33.00000001490116</x:v>
      </x:c>
      <x:c r="F87" s="10" t="n">
        <x:v>33.00000002980232</x:v>
      </x:c>
      <x:c r="G87" s="10" t="n">
        <x:v>33</x:v>
      </x:c>
      <x:c r="H87" s="10" t="n">
        <x:v>33.10843373493976</x:v>
      </x:c>
      <x:c r="I87" s="2" t="str">
        <x:v>Inclusive minus tracked children for self</x:v>
      </x:c>
      <x:c r="J87" s="2" t="str">
        <x:v>references/experiments/stage-one-3-enemies/profile-route-7x904ch1/summary.json</x:v>
      </x:c>
      <x:c r="K87" s="2"/>
      <x:c r="L87" s="2"/>
      <x:c r="M87" s="2"/>
    </x:row>
    <x:row r="88" ht="25" customHeight="1">
      <x:c r="A88" s="2" t="str">
        <x:v>Death_Begin</x:v>
      </x:c>
      <x:c r="B88" s="3" t="n">
        <x:v>916</x:v>
      </x:c>
      <x:c r="C88" s="10" t="n">
        <x:v>1.0032858707557504</x:v>
      </x:c>
      <x:c r="D88" s="10" t="n">
        <x:v>50.00000000044736</x:v>
      </x:c>
      <x:c r="E88" s="10" t="n">
        <x:v>50.00000001490116</x:v>
      </x:c>
      <x:c r="F88" s="10" t="n">
        <x:v>50.00000002980232</x:v>
      </x:c>
      <x:c r="G88" s="10" t="n">
        <x:v>50.00000000044736</x:v>
      </x:c>
      <x:c r="H88" s="10" t="n">
        <x:v>50.16429353823634</x:v>
      </x:c>
      <x:c r="I88" s="2" t="str">
        <x:v>Inclusive minus tracked children for self</x:v>
      </x:c>
      <x:c r="J88" s="2" t="str">
        <x:v>references/experiments/stage-one-3-enemies/profile-route-7x904ch1/summary.json</x:v>
      </x:c>
      <x:c r="K88" s="2"/>
      <x:c r="L88" s="2"/>
      <x:c r="M88" s="2"/>
    </x:row>
    <x:row r="89" ht="25" customHeight="1">
      <x:c r="A89" s="2" t="str">
        <x:v>Death_Tick</x:v>
      </x:c>
      <x:c r="B89" s="3" t="n">
        <x:v>0</x:v>
      </x:c>
      <x:c r="C89" s="10" t="n">
        <x:v>0</x:v>
      </x:c>
      <x:c r="D89" s="10"/>
      <x:c r="E89" s="10"/>
      <x:c r="F89" s="10"/>
      <x:c r="G89" s="10"/>
      <x:c r="H89" s="10" t="n">
        <x:v>0</x:v>
      </x:c>
      <x:c r="I89" s="2" t="str">
        <x:v>Inclusive minus tracked children for self</x:v>
      </x:c>
      <x:c r="J89" s="2" t="str">
        <x:v>references/experiments/stage-one-3-enemies/profile-route-7x904ch1/summary.json</x:v>
      </x:c>
      <x:c r="K89" s="2"/>
      <x:c r="L89" s="2"/>
      <x:c r="M89" s="2"/>
    </x:row>
    <x:row r="90" ht="25" customHeight="1">
      <x:c r="A90" s="2" t="str">
        <x:v>Round_Frame</x:v>
      </x:c>
      <x:c r="B90" s="3" t="n">
        <x:v>916</x:v>
      </x:c>
      <x:c r="C90" s="10" t="n">
        <x:v>1.0032858707557504</x:v>
      </x:c>
      <x:c r="D90" s="10" t="n">
        <x:v>155.99999999999594</x:v>
      </x:c>
      <x:c r="E90" s="10" t="n">
        <x:v>156.00000001490116</x:v>
      </x:c>
      <x:c r="F90" s="10" t="n">
        <x:v>156.00000002980232</x:v>
      </x:c>
      <x:c r="G90" s="10" t="n">
        <x:v>155.99999999999594</x:v>
      </x:c>
      <x:c r="H90" s="10" t="n">
        <x:v>156.51259583789297</x:v>
      </x:c>
      <x:c r="I90" s="2" t="str">
        <x:v>Inclusive minus tracked children for self</x:v>
      </x:c>
      <x:c r="J90" s="2" t="str">
        <x:v>references/experiments/stage-one-3-enemies/profile-route-7x904ch1/summary.json</x:v>
      </x:c>
      <x:c r="K90" s="2"/>
      <x:c r="L90" s="2"/>
      <x:c r="M90" s="2"/>
    </x:row>
    <x:row r="91" ht="25" customHeight="1">
      <x:c r="A91" s="2" t="str">
        <x:v>Round_Tick</x:v>
      </x:c>
      <x:c r="B91" s="3" t="n">
        <x:v>0</x:v>
      </x:c>
      <x:c r="C91" s="10" t="n">
        <x:v>0</x:v>
      </x:c>
      <x:c r="D91" s="10"/>
      <x:c r="E91" s="10"/>
      <x:c r="F91" s="10"/>
      <x:c r="G91" s="10"/>
      <x:c r="H91" s="10" t="n">
        <x:v>0</x:v>
      </x:c>
      <x:c r="I91" s="2" t="str">
        <x:v>Inclusive minus tracked children for self</x:v>
      </x:c>
      <x:c r="J91" s="2" t="str">
        <x:v>references/experiments/stage-one-3-enemies/profile-route-7x904ch1/summary.json</x:v>
      </x:c>
      <x:c r="K91" s="2"/>
      <x:c r="L91" s="2"/>
      <x:c r="M91" s="2"/>
    </x:row>
    <x:row r="92" ht="25" customHeight="1">
      <x:c r="A92" s="2" t="str">
        <x:v>Game_Events</x:v>
      </x:c>
      <x:c r="B92" s="3" t="n">
        <x:v>1833</x:v>
      </x:c>
      <x:c r="C92" s="10" t="n">
        <x:v>2.0076670317634173</x:v>
      </x:c>
      <x:c r="D92" s="10" t="n">
        <x:v>213.58265139108684</x:v>
      </x:c>
      <x:c r="E92" s="10" t="n">
        <x:v>211.00000001490116</x:v>
      </x:c>
      <x:c r="F92" s="10" t="n">
        <x:v>533.0000000149012</x:v>
      </x:c>
      <x:c r="G92" s="10" t="n">
        <x:v>213.58265139108684</x:v>
      </x:c>
      <x:c r="H92" s="10" t="n">
        <x:v>428.802847754504</x:v>
      </x:c>
      <x:c r="I92" s="2" t="str">
        <x:v>Inclusive minus tracked children for self</x:v>
      </x:c>
      <x:c r="J92" s="2" t="str">
        <x:v>references/experiments/stage-one-3-enemies/profile-route-7x904ch1/summary.json</x:v>
      </x:c>
      <x:c r="K92" s="2"/>
      <x:c r="L92" s="2"/>
      <x:c r="M92" s="2"/>
    </x:row>
    <x:row r="93" ht="25" customHeight="1">
      <x:c r="A93" s="2" t="str">
        <x:v>Game_Position</x:v>
      </x:c>
      <x:c r="B93" s="3" t="n">
        <x:v>913</x:v>
      </x:c>
      <x:c r="C93" s="10" t="n">
        <x:v>1</x:v>
      </x:c>
      <x:c r="D93" s="10" t="n">
        <x:v>884.8849945235528</x:v>
      </x:c>
      <x:c r="E93" s="10" t="n">
        <x:v>900</x:v>
      </x:c>
      <x:c r="F93" s="10" t="n">
        <x:v>900.0000000298023</x:v>
      </x:c>
      <x:c r="G93" s="10" t="n">
        <x:v>447.8849945236426</x:v>
      </x:c>
      <x:c r="H93" s="10" t="n">
        <x:v>447.8849945236426</x:v>
      </x:c>
      <x:c r="I93" s="2" t="str">
        <x:v>Inclusive minus tracked children for self</x:v>
      </x:c>
      <x:c r="J93" s="2" t="str">
        <x:v>references/experiments/stage-one-3-enemies/profile-route-7x904ch1/summary.json</x:v>
      </x:c>
      <x:c r="K93" s="2"/>
      <x:c r="L93" s="2"/>
      <x:c r="M93" s="2"/>
    </x:row>
    <x:row r="94" ht="25" customHeight="1">
      <x:c r="A94" s="2" t="str">
        <x:v>Player_Axis</x:v>
      </x:c>
      <x:c r="B94" s="3" t="n">
        <x:v>1792</x:v>
      </x:c>
      <x:c r="C94" s="10" t="n">
        <x:v>1.9627601314348302</x:v>
      </x:c>
      <x:c r="D94" s="10" t="n">
        <x:v>206.9999999998233</x:v>
      </x:c>
      <x:c r="E94" s="10" t="n">
        <x:v>207.00000001490116</x:v>
      </x:c>
      <x:c r="F94" s="10" t="n">
        <x:v>207.00000002980232</x:v>
      </x:c>
      <x:c r="G94" s="10" t="n">
        <x:v>206.9999999998233</x:v>
      </x:c>
      <x:c r="H94" s="10" t="n">
        <x:v>406.29134720666303</x:v>
      </x:c>
      <x:c r="I94" s="2" t="str">
        <x:v>Inclusive minus tracked children for self</x:v>
      </x:c>
      <x:c r="J94" s="2" t="str">
        <x:v>references/experiments/stage-one-3-enemies/profile-route-7x904ch1/summary.json</x:v>
      </x:c>
      <x:c r="K94" s="2"/>
      <x:c r="L94" s="2"/>
      <x:c r="M94" s="2"/>
    </x:row>
    <x:row r="95" ht="25" customHeight="1">
      <x:c r="A95" s="2" t="str">
        <x:v>Player_AxisY</x:v>
      </x:c>
      <x:c r="B95" s="3" t="n">
        <x:v>1792</x:v>
      </x:c>
      <x:c r="C95" s="10" t="n">
        <x:v>1.9627601314348302</x:v>
      </x:c>
      <x:c r="D95" s="10" t="n">
        <x:v>229.99999999995012</x:v>
      </x:c>
      <x:c r="E95" s="10" t="n">
        <x:v>230.00000001490116</x:v>
      </x:c>
      <x:c r="F95" s="10" t="n">
        <x:v>230.00000002980232</x:v>
      </x:c>
      <x:c r="G95" s="10" t="n">
        <x:v>229.99999999995012</x:v>
      </x:c>
      <x:c r="H95" s="10" t="n">
        <x:v>451.434830229913</x:v>
      </x:c>
      <x:c r="I95" s="2" t="str">
        <x:v>Inclusive minus tracked children for self</x:v>
      </x:c>
      <x:c r="J95" s="2" t="str">
        <x:v>references/experiments/stage-one-3-enemies/profile-route-7x904ch1/summary.json</x:v>
      </x:c>
      <x:c r="K95" s="2"/>
      <x:c r="L95" s="2"/>
      <x:c r="M95" s="2"/>
    </x:row>
    <x:row r="96" ht="25" customHeight="1">
      <x:c r="A96" s="2" t="str">
        <x:v>Game_Actors</x:v>
      </x:c>
      <x:c r="B96" s="3" t="n">
        <x:v>913</x:v>
      </x:c>
      <x:c r="C96" s="10" t="n">
        <x:v>1</x:v>
      </x:c>
      <x:c r="D96" s="10" t="n">
        <x:v>3985.0000000002815</x:v>
      </x:c>
      <x:c r="E96" s="10" t="n">
        <x:v>3985.000000014901</x:v>
      </x:c>
      <x:c r="F96" s="10" t="n">
        <x:v>3985.0000000298023</x:v>
      </x:c>
      <x:c r="G96" s="10" t="n">
        <x:v>3985.0000000002815</x:v>
      </x:c>
      <x:c r="H96" s="10" t="n">
        <x:v>3985.0000000002815</x:v>
      </x:c>
      <x:c r="I96" s="2" t="str">
        <x:v>Inclusive minus tracked children for self</x:v>
      </x:c>
      <x:c r="J96" s="2" t="str">
        <x:v>references/experiments/stage-one-3-enemies/profile-route-7x904ch1/summary.json</x:v>
      </x:c>
      <x:c r="K96" s="2"/>
      <x:c r="L96" s="2"/>
      <x:c r="M96" s="2"/>
    </x:row>
    <x:row r="97" ht="25" customHeight="1">
      <x:c r="A97" s="2" t="str">
        <x:v>GameSprites_Prepare</x:v>
      </x:c>
      <x:c r="B97" s="3" t="n">
        <x:v>913</x:v>
      </x:c>
      <x:c r="C97" s="10" t="n">
        <x:v>1</x:v>
      </x:c>
      <x:c r="D97" s="10" t="n">
        <x:v>6136.554216867213</x:v>
      </x:c>
      <x:c r="E97" s="10" t="n">
        <x:v>13129.999999985099</x:v>
      </x:c>
      <x:c r="F97" s="10" t="n">
        <x:v>28019</x:v>
      </x:c>
      <x:c r="G97" s="10" t="n">
        <x:v>5821.079956188079</x:v>
      </x:c>
      <x:c r="H97" s="10" t="n">
        <x:v>5821.079956188079</x:v>
      </x:c>
      <x:c r="I97" s="2" t="str">
        <x:v>Inclusive minus tracked children for self</x:v>
      </x:c>
      <x:c r="J97" s="2" t="str">
        <x:v>references/experiments/stage-one-3-enemies/profile-route-7x904ch1/summary.json</x:v>
      </x:c>
      <x:c r="K97" s="2"/>
      <x:c r="L97" s="2"/>
      <x:c r="M97" s="2"/>
    </x:row>
    <x:row r="98" ht="25" customHeight="1">
      <x:c r="A98" s="2" t="str">
        <x:v>GameHUD_Prepare</x:v>
      </x:c>
      <x:c r="B98" s="3" t="n">
        <x:v>913</x:v>
      </x:c>
      <x:c r="C98" s="10" t="n">
        <x:v>1</x:v>
      </x:c>
      <x:c r="D98" s="10" t="n">
        <x:v>1795.2782037240563</x:v>
      </x:c>
      <x:c r="E98" s="10" t="n">
        <x:v>2023.0000000149012</x:v>
      </x:c>
      <x:c r="F98" s="10" t="n">
        <x:v>6125.000000014901</x:v>
      </x:c>
      <x:c r="G98" s="10" t="n">
        <x:v>1794.821467689007</x:v>
      </x:c>
      <x:c r="H98" s="10" t="n">
        <x:v>1794.821467689007</x:v>
      </x:c>
      <x:c r="I98" s="2" t="str">
        <x:v>Inclusive minus tracked children for self</x:v>
      </x:c>
      <x:c r="J98" s="2" t="str">
        <x:v>references/experiments/stage-one-3-enemies/profile-route-7x904ch1/summary.json</x:v>
      </x:c>
      <x:c r="K98" s="2"/>
      <x:c r="L98" s="2"/>
      <x:c r="M98" s="2"/>
    </x:row>
    <x:row r="99" ht="25" customHeight="1">
      <x:c r="A99" s="2" t="str">
        <x:v>GameAudio_Tick</x:v>
      </x:c>
      <x:c r="B99" s="3" t="n">
        <x:v>1833</x:v>
      </x:c>
      <x:c r="C99" s="10" t="n">
        <x:v>2.0076670317634173</x:v>
      </x:c>
      <x:c r="D99" s="10" t="n">
        <x:v>605.4811783956859</x:v>
      </x:c>
      <x:c r="E99" s="10" t="n">
        <x:v>1936.9999999701977</x:v>
      </x:c>
      <x:c r="F99" s="10" t="n">
        <x:v>2294</x:v>
      </x:c>
      <x:c r="G99" s="10" t="n">
        <x:v>169.95635570096135</x:v>
      </x:c>
      <x:c r="H99" s="10" t="n">
        <x:v>341.21577217947663</x:v>
      </x:c>
      <x:c r="I99" s="2" t="str">
        <x:v>Inclusive minus tracked children for self</x:v>
      </x:c>
      <x:c r="J99" s="2" t="str">
        <x:v>references/experiments/stage-one-3-enemies/profile-route-7x904ch1/summary.json</x:v>
      </x:c>
      <x:c r="K99" s="2"/>
      <x:c r="L99" s="2"/>
      <x:c r="M99" s="2"/>
    </x:row>
    <x:row r="100" ht="25" customHeight="1">
      <x:c r="A100" s="2" t="str">
        <x:v>render</x:v>
      </x:c>
      <x:c r="B100" s="3" t="n">
        <x:v>913</x:v>
      </x:c>
      <x:c r="C100" s="10" t="n">
        <x:v>1</x:v>
      </x:c>
      <x:c r="D100" s="10" t="n">
        <x:v>36504.971522453416</x:v>
      </x:c>
      <x:c r="E100" s="10" t="n">
        <x:v>59630.999999996275</x:v>
      </x:c>
      <x:c r="F100" s="10" t="n">
        <x:v>97370.0000000298</x:v>
      </x:c>
      <x:c r="G100" s="10" t="n">
        <x:v>706.4370208108779</x:v>
      </x:c>
      <x:c r="H100" s="10" t="n">
        <x:v>706.4370208108779</x:v>
      </x:c>
      <x:c r="I100" s="2" t="str">
        <x:v>Inclusive minus tracked children for self</x:v>
      </x:c>
      <x:c r="J100" s="2" t="str">
        <x:v>references/experiments/stage-one-3-enemies/profile-route-7x904ch1/summary.json</x:v>
      </x:c>
      <x:c r="K100" s="2"/>
      <x:c r="L100" s="2"/>
      <x:c r="M100" s="2"/>
    </x:row>
    <x:row r="101" ht="25" customHeight="1">
      <x:c r="A101" s="2" t="str">
        <x:v>wait_blank</x:v>
      </x:c>
      <x:c r="B101" s="3" t="n">
        <x:v>913</x:v>
      </x:c>
      <x:c r="C101" s="10" t="n">
        <x:v>1</x:v>
      </x:c>
      <x:c r="D101" s="10" t="n">
        <x:v>42053.80065717385</x:v>
      </x:c>
      <x:c r="E101" s="10" t="n">
        <x:v>54064.9999999851</x:v>
      </x:c>
      <x:c r="F101" s="10" t="n">
        <x:v>58965</x:v>
      </x:c>
      <x:c r="G101" s="10" t="n">
        <x:v>41914.800657173895</x:v>
      </x:c>
      <x:c r="H101" s="10" t="n">
        <x:v>41914.800657173895</x:v>
      </x:c>
      <x:c r="I101" s="2" t="str">
        <x:v>Inclusive minus tracked children for self</x:v>
      </x:c>
      <x:c r="J101" s="2" t="str">
        <x:v>references/experiments/stage-one-3-enemies/profile-route-7x904ch1/summary.json</x:v>
      </x:c>
      <x:c r="K101" s="2"/>
      <x:c r="L101" s="2"/>
      <x:c r="M101" s="2"/>
    </x:row>
    <x:row r="102" ht="25" customHeight="1">
      <x:c r="A102" s="2" t="str">
        <x:v>commit</x:v>
      </x:c>
      <x:c r="B102" s="3" t="n">
        <x:v>913</x:v>
      </x:c>
      <x:c r="C102" s="10" t="n">
        <x:v>1</x:v>
      </x:c>
      <x:c r="D102" s="10" t="n">
        <x:v>3745.725082147181</x:v>
      </x:c>
      <x:c r="E102" s="10" t="n">
        <x:v>4117.000000014901</x:v>
      </x:c>
      <x:c r="F102" s="10" t="n">
        <x:v>6938.000000014901</x:v>
      </x:c>
      <x:c r="G102" s="10" t="n">
        <x:v>543.0000000004815</x:v>
      </x:c>
      <x:c r="H102" s="10" t="n">
        <x:v>543.0000000004815</x:v>
      </x:c>
      <x:c r="I102" s="2" t="str">
        <x:v>Inclusive minus tracked children for self</x:v>
      </x:c>
      <x:c r="J102" s="2" t="str">
        <x:v>references/experiments/stage-one-3-enemies/profile-route-7x904ch1/summary.json</x:v>
      </x:c>
      <x:c r="K102" s="2"/>
      <x:c r="L102" s="2"/>
      <x:c r="M102" s="2"/>
    </x:row>
    <x:row r="103" ht="25" customHeight="1">
      <x:c r="A103" s="2" t="str">
        <x:v>clock_irq</x:v>
      </x:c>
      <x:c r="B103" s="3" t="n">
        <x:v>1829</x:v>
      </x:c>
      <x:c r="C103" s="10" t="n">
        <x:v>2.00328587075575</x:v>
      </x:c>
      <x:c r="D103" s="10" t="n">
        <x:v>139.0000000000265</x:v>
      </x:c>
      <x:c r="E103" s="10" t="n">
        <x:v>139.00000001490116</x:v>
      </x:c>
      <x:c r="F103" s="10" t="n">
        <x:v>139.00000002980232</x:v>
      </x:c>
      <x:c r="G103" s="10" t="n">
        <x:v>139.0000000000265</x:v>
      </x:c>
      <x:c r="H103" s="10" t="n">
        <x:v>278.4567360351023</x:v>
      </x:c>
      <x:c r="I103" s="2" t="str">
        <x:v>Inclusive minus tracked children for self</x:v>
      </x:c>
      <x:c r="J103" s="2" t="str">
        <x:v>references/experiments/stage-one-3-enemies/profile-route-7x904ch1/summary.json</x:v>
      </x:c>
      <x:c r="K103" s="2"/>
      <x:c r="L103" s="2"/>
      <x:c r="M103" s="2"/>
    </x:row>
    <x:row r="104" ht="25" customHeight="1">
      <x:c r="A104" s="2" t="str">
        <x:v>GameAudio_MusicTick</x:v>
      </x:c>
      <x:c r="B104" s="3" t="n">
        <x:v>917</x:v>
      </x:c>
      <x:c r="C104" s="10" t="n">
        <x:v>1.004381161007667</x:v>
      </x:c>
      <x:c r="D104" s="10" t="n">
        <x:v>314.9934569245881</x:v>
      </x:c>
      <x:c r="E104" s="10" t="n">
        <x:v>529.0000000149012</x:v>
      </x:c>
      <x:c r="F104" s="10" t="n">
        <x:v>796.9999999925494</x:v>
      </x:c>
      <x:c r="G104" s="10" t="n">
        <x:v>314.9934569245881</x:v>
      </x:c>
      <x:c r="H104" s="10" t="n">
        <x:v>316.3734939757363</x:v>
      </x:c>
      <x:c r="I104" s="2" t="str">
        <x:v>Inclusive minus tracked children for self</x:v>
      </x:c>
      <x:c r="J104" s="2" t="str">
        <x:v>references/experiments/stage-one-3-enemies/profile-route-7x904ch1/summary.json</x:v>
      </x:c>
      <x:c r="K104" s="2"/>
      <x:c r="L104" s="2"/>
      <x:c r="M104" s="2"/>
    </x:row>
    <x:row r="105" ht="25" customHeight="1">
      <x:c r="A105" s="2" t="str">
        <x:v>GameAudio_NoiseTick</x:v>
      </x:c>
      <x:c r="B105" s="3" t="n">
        <x:v>917</x:v>
      </x:c>
      <x:c r="C105" s="10" t="n">
        <x:v>1.004381161007667</x:v>
      </x:c>
      <x:c r="D105" s="10" t="n">
        <x:v>178.31952017422202</x:v>
      </x:c>
      <x:c r="E105" s="10" t="n">
        <x:v>340</x:v>
      </x:c>
      <x:c r="F105" s="10" t="n">
        <x:v>438.00000001490116</x:v>
      </x:c>
      <x:c r="G105" s="10" t="n">
        <x:v>178.31952017422202</x:v>
      </x:c>
      <x:c r="H105" s="10" t="n">
        <x:v>179.1007667029152</x:v>
      </x:c>
      <x:c r="I105" s="2" t="str">
        <x:v>Inclusive minus tracked children for self</x:v>
      </x:c>
      <x:c r="J105" s="2" t="str">
        <x:v>references/experiments/stage-one-3-enemies/profile-route-7x904ch1/summary.json</x:v>
      </x:c>
      <x:c r="K105" s="2"/>
      <x:c r="L105" s="2"/>
      <x:c r="M105" s="2"/>
    </x:row>
    <x:row r="106" ht="25" customHeight="1">
      <x:c r="A106" s="2" t="str">
        <x:v>GameAudio_RenderMusic</x:v>
      </x:c>
      <x:c r="B106" s="3" t="n">
        <x:v>371</x:v>
      </x:c>
      <x:c r="C106" s="10" t="n">
        <x:v>0.4063526834611172</x:v>
      </x:c>
      <x:c r="D106" s="10" t="n">
        <x:v>932.4770889483051</x:v>
      </x:c>
      <x:c r="E106" s="10" t="n">
        <x:v>999.0000000149012</x:v>
      </x:c>
      <x:c r="F106" s="10" t="n">
        <x:v>1079.0000000149012</x:v>
      </x:c>
      <x:c r="G106" s="10" t="n">
        <x:v>72.9999999993674</x:v>
      </x:c>
      <x:c r="H106" s="10" t="n">
        <x:v>29.6637458924045</x:v>
      </x:c>
      <x:c r="I106" s="2" t="str">
        <x:v>Inclusive minus tracked children for self</x:v>
      </x:c>
      <x:c r="J106" s="2" t="str">
        <x:v>references/experiments/stage-one-3-enemies/profile-route-7x904ch1/summary.json</x:v>
      </x:c>
      <x:c r="K106" s="2"/>
      <x:c r="L106" s="2"/>
      <x:c r="M106" s="2"/>
    </x:row>
    <x:row r="107" ht="25" customHeight="1">
      <x:c r="A107" s="2" t="str">
        <x:v>GameAudio_WritePSG</x:v>
      </x:c>
      <x:c r="B107" s="3" t="n">
        <x:v>371</x:v>
      </x:c>
      <x:c r="C107" s="10" t="n">
        <x:v>0.4063526834611172</x:v>
      </x:c>
      <x:c r="D107" s="10" t="n">
        <x:v>859.4770889489376</x:v>
      </x:c>
      <x:c r="E107" s="10" t="n">
        <x:v>926.0000000149012</x:v>
      </x:c>
      <x:c r="F107" s="10" t="n">
        <x:v>1006</x:v>
      </x:c>
      <x:c r="G107" s="10" t="n">
        <x:v>859.4770889489376</x:v>
      </x:c>
      <x:c r="H107" s="10" t="n">
        <x:v>349.25082146775014</x:v>
      </x:c>
      <x:c r="I107" s="2" t="str">
        <x:v>Inclusive minus tracked children for self</x:v>
      </x:c>
      <x:c r="J107" s="2" t="str">
        <x:v>references/experiments/stage-one-3-enemies/profile-route-7x904ch1/summary.json</x:v>
      </x:c>
      <x:c r="K107" s="2"/>
      <x:c r="L107" s="2"/>
      <x:c r="M107" s="2"/>
    </x:row>
    <x:row r="108" ht="25" customHeight="1">
      <x:c r="A108" s="2" t="str">
        <x:v>GameHUD_Commit</x:v>
      </x:c>
      <x:c r="B108" s="3" t="n">
        <x:v>913</x:v>
      </x:c>
      <x:c r="C108" s="10" t="n">
        <x:v>1</x:v>
      </x:c>
      <x:c r="D108" s="10" t="n">
        <x:v>1239.2650602411434</x:v>
      </x:c>
      <x:c r="E108" s="10" t="n">
        <x:v>1623.0000000149012</x:v>
      </x:c>
      <x:c r="F108" s="10" t="n">
        <x:v>4444.000000014901</x:v>
      </x:c>
      <x:c r="G108" s="10" t="n">
        <x:v>1239.2650602411434</x:v>
      </x:c>
      <x:c r="H108" s="10" t="n">
        <x:v>1239.2650602411434</x:v>
      </x:c>
      <x:c r="I108" s="2" t="str">
        <x:v>Inclusive minus tracked children for self</x:v>
      </x:c>
      <x:c r="J108" s="2" t="str">
        <x:v>references/experiments/stage-one-3-enemies/profile-route-7x904ch1/summary.json</x:v>
      </x:c>
      <x:c r="K108" s="2"/>
      <x:c r="L108" s="2"/>
      <x:c r="M108" s="2"/>
    </x:row>
    <x:row r="109" ht="25" customHeight="1">
      <x:c r="A109" s="2" t="str">
        <x:v>GameSprites_Commit</x:v>
      </x:c>
      <x:c r="B109" s="3" t="n">
        <x:v>913</x:v>
      </x:c>
      <x:c r="C109" s="10" t="n">
        <x:v>1</x:v>
      </x:c>
      <x:c r="D109" s="10" t="n">
        <x:v>1963.4600219055562</x:v>
      </x:c>
      <x:c r="E109" s="10" t="n">
        <x:v>1951.0000000149012</x:v>
      </x:c>
      <x:c r="F109" s="10" t="n">
        <x:v>3847</x:v>
      </x:c>
      <x:c r="G109" s="10" t="n">
        <x:v>1963.4600219055562</x:v>
      </x:c>
      <x:c r="H109" s="10" t="n">
        <x:v>1963.4600219055562</x:v>
      </x:c>
      <x:c r="I109" s="2" t="str">
        <x:v>Inclusive minus tracked children for self</x:v>
      </x:c>
      <x:c r="J109" s="2" t="str">
        <x:v>references/experiments/stage-one-3-enemies/profile-route-7x904ch1/summary.json</x:v>
      </x:c>
      <x:c r="K109" s="2"/>
      <x:c r="L109" s="2"/>
      <x:c r="M109" s="2"/>
    </x:row>
    <x:row r="110" ht="25" customHeight="1">
      <x:c r="A110" s="2" t="str">
        <x:v>Ring_Prepare</x:v>
      </x:c>
      <x:c r="B110" s="3" t="n">
        <x:v>913</x:v>
      </x:c>
      <x:c r="C110" s="10" t="n">
        <x:v>1</x:v>
      </x:c>
      <x:c r="D110" s="10" t="n">
        <x:v>5968.033953997662</x:v>
      </x:c>
      <x:c r="E110" s="10" t="n">
        <x:v>16734</x:v>
      </x:c>
      <x:c r="F110" s="10" t="n">
        <x:v>18467.0000000149</x:v>
      </x:c>
      <x:c r="G110" s="10" t="n">
        <x:v>4576.40306681273</x:v>
      </x:c>
      <x:c r="H110" s="10" t="n">
        <x:v>4576.40306681273</x:v>
      </x:c>
      <x:c r="I110" s="2" t="str">
        <x:v>Inclusive minus tracked children for self</x:v>
      </x:c>
      <x:c r="J110" s="2" t="str">
        <x:v>references/experiments/stage-one-3-enemies/profile-route-7x904ch1/summary.json</x:v>
      </x:c>
      <x:c r="K110" s="2"/>
      <x:c r="L110" s="2"/>
      <x:c r="M110" s="2"/>
    </x:row>
    <x:row r="111" ht="25" customHeight="1">
      <x:c r="A111" s="2" t="str">
        <x:v>Ring_LoadColumns</x:v>
      </x:c>
      <x:c r="B111" s="3" t="n">
        <x:v>121</x:v>
      </x:c>
      <x:c r="C111" s="10" t="n">
        <x:v>0.13253012048192772</x:v>
      </x:c>
      <x:c r="D111" s="10" t="n">
        <x:v>7084.280991735691</x:v>
      </x:c>
      <x:c r="E111" s="10" t="n">
        <x:v>7429</x:v>
      </x:c>
      <x:c r="F111" s="10" t="n">
        <x:v>9132</x:v>
      </x:c>
      <x:c r="G111" s="10" t="n">
        <x:v>7077.388429752189</x:v>
      </x:c>
      <x:c r="H111" s="10" t="n">
        <x:v>937.9671412924588</x:v>
      </x:c>
      <x:c r="I111" s="2" t="str">
        <x:v>Inclusive minus tracked children for self</x:v>
      </x:c>
      <x:c r="J111" s="2" t="str">
        <x:v>references/experiments/stage-one-3-enemies/profile-route-7x904ch1/summary.json</x:v>
      </x:c>
      <x:c r="K111" s="2"/>
      <x:c r="L111" s="2"/>
      <x:c r="M111" s="2"/>
    </x:row>
    <x:row r="112" ht="25" customHeight="1">
      <x:c r="A112" s="2" t="str">
        <x:v>Ring_LoadRun</x:v>
      </x:c>
      <x:c r="B112" s="3" t="n">
        <x:v>316</x:v>
      </x:c>
      <x:c r="C112" s="10" t="n">
        <x:v>0.34611171960569553</x:v>
      </x:c>
      <x:c r="D112" s="10" t="n">
        <x:v>1295.7879746828487</x:v>
      </x:c>
      <x:c r="E112" s="10" t="n">
        <x:v>1316.0000000149012</x:v>
      </x:c>
      <x:c r="F112" s="10" t="n">
        <x:v>1441</x:v>
      </x:c>
      <x:c r="G112" s="10" t="n">
        <x:v>1295.3481012651273</x:v>
      </x:c>
      <x:c r="H112" s="10" t="n">
        <x:v>448.3351588168458</x:v>
      </x:c>
      <x:c r="I112" s="2" t="str">
        <x:v>Inclusive minus tracked children for self</x:v>
      </x:c>
      <x:c r="J112" s="2" t="str">
        <x:v>references/experiments/stage-one-3-enemies/profile-route-7x904ch1/summary.json</x:v>
      </x:c>
      <x:c r="K112" s="2"/>
      <x:c r="L112" s="2"/>
      <x:c r="M112" s="2"/>
    </x:row>
    <x:row r="113" ht="25" customHeight="1">
      <x:c r="A113" s="2" t="str">
        <x:v>Ring_UploadNames</x:v>
      </x:c>
      <x:c r="B113" s="3" t="n">
        <x:v>913</x:v>
      </x:c>
      <x:c r="C113" s="10" t="n">
        <x:v>1</x:v>
      </x:c>
      <x:c r="D113" s="10" t="n">
        <x:v>13071.639649507299</x:v>
      </x:c>
      <x:c r="E113" s="10" t="n">
        <x:v>17260</x:v>
      </x:c>
      <x:c r="F113" s="10" t="n">
        <x:v>38332</x:v>
      </x:c>
      <x:c r="G113" s="10" t="n">
        <x:v>10932.891566265118</x:v>
      </x:c>
      <x:c r="H113" s="10" t="n">
        <x:v>10932.891566265118</x:v>
      </x:c>
      <x:c r="I113" s="2" t="str">
        <x:v>Inclusive minus tracked children for self</x:v>
      </x:c>
      <x:c r="J113" s="2" t="str">
        <x:v>references/experiments/stage-one-3-enemies/profile-route-7x904ch1/summary.json</x:v>
      </x:c>
      <x:c r="K113" s="2"/>
      <x:c r="L113" s="2"/>
      <x:c r="M113" s="2"/>
    </x:row>
    <x:row r="114" ht="25" customHeight="1">
      <x:c r="A114" s="2" t="str">
        <x:v>Ring_UploadColumn</x:v>
      </x:c>
      <x:c r="B114" s="3" t="n">
        <x:v>242</x:v>
      </x:c>
      <x:c r="C114" s="10" t="n">
        <x:v>0.26506024096385544</x:v>
      </x:c>
      <x:c r="D114" s="10" t="n">
        <x:v>4023.76033057822</x:v>
      </x:c>
      <x:c r="E114" s="10" t="n">
        <x:v>4176</x:v>
      </x:c>
      <x:c r="F114" s="10" t="n">
        <x:v>4176.000000014901</x:v>
      </x:c>
      <x:c r="G114" s="10" t="n">
        <x:v>4009.9752066113238</x:v>
      </x:c>
      <x:c r="H114" s="10" t="n">
        <x:v>1062.8849945234836</x:v>
      </x:c>
      <x:c r="I114" s="2" t="str">
        <x:v>Inclusive minus tracked children for self</x:v>
      </x:c>
      <x:c r="J114" s="2" t="str">
        <x:v>references/experiments/stage-one-3-enemies/profile-route-7x904ch1/summary.json</x:v>
      </x:c>
      <x:c r="K114" s="2"/>
      <x:c r="L114" s="2"/>
      <x:c r="M114" s="2"/>
    </x:row>
    <x:row r="115" ht="25" customHeight="1">
      <x:c r="A115" s="2" t="str">
        <x:v>Ring_UploadRow</x:v>
      </x:c>
      <x:c r="B115" s="3" t="n">
        <x:v>628</x:v>
      </x:c>
      <x:c r="C115" s="10" t="n">
        <x:v>0.687842278203724</x:v>
      </x:c>
      <x:c r="D115" s="10" t="n">
        <x:v>1236.380573248467</x:v>
      </x:c>
      <x:c r="E115" s="10" t="n">
        <x:v>1393.9999999850988</x:v>
      </x:c>
      <x:c r="F115" s="10" t="n">
        <x:v>1399.0000000149012</x:v>
      </x:c>
      <x:c r="G115" s="10" t="n">
        <x:v>1229.0764331211021</x:v>
      </x:c>
      <x:c r="H115" s="10" t="n">
        <x:v>845.4107338445259</x:v>
      </x:c>
      <x:c r="I115" s="2" t="str">
        <x:v>Inclusive minus tracked children for self</x:v>
      </x:c>
      <x:c r="J115" s="2" t="str">
        <x:v>references/experiments/stage-one-3-enemies/profile-route-7x904ch1/summary.json</x:v>
      </x:c>
      <x:c r="K115" s="2"/>
      <x:c r="L115" s="2"/>
      <x:c r="M115" s="2"/>
    </x:row>
    <x:row r="116" ht="25" customHeight="1">
      <x:c r="A116" s="2" t="str">
        <x:v>Game_RingPatch</x:v>
      </x:c>
      <x:c r="B116" s="3" t="n">
        <x:v>913</x:v>
      </x:c>
      <x:c r="C116" s="10" t="n">
        <x:v>1</x:v>
      </x:c>
      <x:c r="D116" s="10" t="n">
        <x:v>3262.9167579409113</x:v>
      </x:c>
      <x:c r="E116" s="10" t="n">
        <x:v>15493</x:v>
      </x:c>
      <x:c r="F116" s="10" t="n">
        <x:v>58671</x:v>
      </x:c>
      <x:c r="G116" s="10" t="n">
        <x:v>1474.2409638558584</x:v>
      </x:c>
      <x:c r="H116" s="10" t="n">
        <x:v>1474.2409638558584</x:v>
      </x:c>
      <x:c r="I116" s="2" t="str">
        <x:v>Inclusive minus tracked children for self</x:v>
      </x:c>
      <x:c r="J116" s="2" t="str">
        <x:v>references/experiments/stage-one-3-enemies/profile-route-7x904ch1/summary.json</x:v>
      </x:c>
      <x:c r="K116" s="2"/>
      <x:c r="L116" s="2"/>
      <x:c r="M116" s="2"/>
    </x:row>
    <x:row r="117" ht="25" customHeight="1">
      <x:c r="A117" s="2" t="str">
        <x:v>GameSmoke_BuildCache</x:v>
      </x:c>
      <x:c r="B117" s="3" t="n">
        <x:v>24</x:v>
      </x:c>
      <x:c r="C117" s="10" t="n">
        <x:v>0.02628696604600219</x:v>
      </x:c>
      <x:c r="D117" s="10" t="n">
        <x:v>16443.333333333798</x:v>
      </x:c>
      <x:c r="E117" s="10" t="n">
        <x:v>28794</x:v>
      </x:c>
      <x:c r="F117" s="10" t="n">
        <x:v>30666</x:v>
      </x:c>
      <x:c r="G117" s="10" t="n">
        <x:v>16362.25</x:v>
      </x:c>
      <x:c r="H117" s="10" t="n">
        <x:v>430.11391018619935</x:v>
      </x:c>
      <x:c r="I117" s="2" t="str">
        <x:v>Inclusive minus tracked children for self</x:v>
      </x:c>
      <x:c r="J117" s="2" t="str">
        <x:v>references/experiments/stage-one-3-enemies/profile-route-7x904ch1/summary.json</x:v>
      </x:c>
      <x:c r="K117" s="2"/>
      <x:c r="L117" s="2"/>
      <x:c r="M117" s="2"/>
    </x:row>
    <x:row r="118" ht="25" customHeight="1">
      <x:c r="A118" s="2" t="str">
        <x:v>Game_PatchSquare</x:v>
      </x:c>
      <x:c r="B118" s="3" t="n">
        <x:v>1219</x:v>
      </x:c>
      <x:c r="C118" s="10" t="n">
        <x:v>1.3351588170865278</x:v>
      </x:c>
      <x:c r="D118" s="10" t="n">
        <x:v>416.78999179651174</x:v>
      </x:c>
      <x:c r="E118" s="10" t="n">
        <x:v>4381.999999992549</x:v>
      </x:c>
      <x:c r="F118" s="10" t="n">
        <x:v>8754.000000014901</x:v>
      </x:c>
      <x:c r="G118" s="10" t="n">
        <x:v>182.32731747248923</x:v>
      </x:c>
      <x:c r="H118" s="10" t="n">
        <x:v>243.43592551912855</x:v>
      </x:c>
      <x:c r="I118" s="2" t="str">
        <x:v>Inclusive minus tracked children for self</x:v>
      </x:c>
      <x:c r="J118" s="2" t="str">
        <x:v>references/experiments/stage-one-3-enemies/profile-route-7x904ch1/summary.json</x:v>
      </x:c>
      <x:c r="K118" s="2"/>
      <x:c r="L118" s="2"/>
      <x:c r="M118" s="2"/>
    </x:row>
    <x:row r="119" ht="25" customHeight="1">
      <x:c r="A119" s="2" t="str">
        <x:v>Game_PatchOne</x:v>
      </x:c>
      <x:c r="B119" s="3" t="n">
        <x:v>2958</x:v>
      </x:c>
      <x:c r="C119" s="10" t="n">
        <x:v>3.23986856516977</x:v>
      </x:c>
      <x:c r="D119" s="10" t="n">
        <x:v>336.982420554678</x:v>
      </x:c>
      <x:c r="E119" s="10" t="n">
        <x:v>495</x:v>
      </x:c>
      <x:c r="F119" s="10" t="n">
        <x:v>885.9999999925494</x:v>
      </x:c>
      <x:c r="G119" s="10" t="n">
        <x:v>315.6913455039656</x:v>
      </x:c>
      <x:c r="H119" s="10" t="n">
        <x:v>1022.7984665944471</x:v>
      </x:c>
      <x:c r="I119" s="2" t="str">
        <x:v>Inclusive minus tracked children for self</x:v>
      </x:c>
      <x:c r="J119" s="2" t="str">
        <x:v>references/experiments/stage-one-3-enemies/profile-route-7x904ch1/summary.json</x:v>
      </x:c>
      <x:c r="K119" s="2"/>
      <x:c r="L119" s="2"/>
      <x:c r="M119" s="2"/>
    </x:row>
    <x:row r="120" ht="25" customHeight="1">
      <x:c r="A120" s="2" t="str">
        <x:v>Game_RestoreOne</x:v>
      </x:c>
      <x:c r="B120" s="3" t="n">
        <x:v>63</x:v>
      </x:c>
      <x:c r="C120" s="10" t="n">
        <x:v>0.06900328587075576</x:v>
      </x:c>
      <x:c r="D120" s="10" t="n">
        <x:v>279.9999999999409</x:v>
      </x:c>
      <x:c r="E120" s="10" t="n">
        <x:v>280.00000001490116</x:v>
      </x:c>
      <x:c r="F120" s="10" t="n">
        <x:v>280.0000000298023</x:v>
      </x:c>
      <x:c r="G120" s="10" t="n">
        <x:v>217.00000000070958</x:v>
      </x:c>
      <x:c r="H120" s="10" t="n">
        <x:v>14.97371303400296</x:v>
      </x:c>
      <x:c r="I120" s="2" t="str">
        <x:v>Inclusive minus tracked children for self</x:v>
      </x:c>
      <x:c r="J120" s="2" t="str">
        <x:v>references/experiments/stage-one-3-enemies/profile-route-7x904ch1/summary.json</x:v>
      </x:c>
      <x:c r="K120" s="2"/>
      <x:c r="L120" s="2"/>
      <x:c r="M120" s="2"/>
    </x:row>
    <x:row r="121" ht="25" customHeight="1">
      <x:c r="A121" s="2" t="str">
        <x:v>GameDirty_Mark</x:v>
      </x:c>
      <x:c r="B121" s="3" t="n">
        <x:v>135</x:v>
      </x:c>
      <x:c r="C121" s="10" t="n">
        <x:v>0.14786418400876233</x:v>
      </x:c>
      <x:c r="D121" s="10" t="n">
        <x:v>427.3851851855439</x:v>
      </x:c>
      <x:c r="E121" s="10" t="n">
        <x:v>492.00000001490116</x:v>
      </x:c>
      <x:c r="F121" s="10" t="n">
        <x:v>546.9999999925494</x:v>
      </x:c>
      <x:c r="G121" s="10" t="n">
        <x:v>426.3555555559695</x:v>
      </x:c>
      <x:c r="H121" s="10" t="n">
        <x:v>63.042716319885955</x:v>
      </x:c>
      <x:c r="I121" s="2" t="str">
        <x:v>Inclusive minus tracked children for self</x:v>
      </x:c>
      <x:c r="J121" s="2" t="str">
        <x:v>references/experiments/stage-one-3-enemies/profile-route-7x904ch1/summary.json</x:v>
      </x:c>
      <x:c r="K121" s="2"/>
      <x:c r="L121" s="2"/>
      <x:c r="M121" s="2"/>
    </x:row>
    <x:row r="122" ht="25" customHeight="1">
      <x:c r="A122" s="2" t="str">
        <x:v>Game_DirtyTileUpload</x:v>
      </x:c>
      <x:c r="B122" s="3" t="n">
        <x:v>913</x:v>
      </x:c>
      <x:c r="C122" s="10" t="n">
        <x:v>1</x:v>
      </x:c>
      <x:c r="D122" s="10" t="n">
        <x:v>344.0164293539216</x:v>
      </x:c>
      <x:c r="E122" s="10" t="n">
        <x:v>145.00000001490116</x:v>
      </x:c>
      <x:c r="F122" s="10" t="n">
        <x:v>8480.000000014901</x:v>
      </x:c>
      <x:c r="G122" s="10" t="n">
        <x:v>343.4074479738558</x:v>
      </x:c>
      <x:c r="H122" s="10" t="n">
        <x:v>343.4074479738558</x:v>
      </x:c>
      <x:c r="I122" s="2" t="str">
        <x:v>Inclusive minus tracked children for self</x:v>
      </x:c>
      <x:c r="J122" s="2" t="str">
        <x:v>references/experiments/stage-one-3-enemies/profile-route-7x904ch1/summary.json</x:v>
      </x:c>
      <x:c r="K122" s="2"/>
      <x:c r="L122" s="2"/>
      <x:c r="M122" s="2"/>
    </x:row>
    <x:row r="123" ht="25" customHeight="1">
      <x:c r="A123" s="2" t="str">
        <x:v>Game_Radar</x:v>
      </x:c>
      <x:c r="B123" s="3" t="n">
        <x:v>913</x:v>
      </x:c>
      <x:c r="C123" s="10" t="n">
        <x:v>1</x:v>
      </x:c>
      <x:c r="D123" s="10" t="n">
        <x:v>4743.480832420339</x:v>
      </x:c>
      <x:c r="E123" s="10" t="n">
        <x:v>5259</x:v>
      </x:c>
      <x:c r="F123" s="10" t="n">
        <x:v>5827.999999985099</x:v>
      </x:c>
      <x:c r="G123" s="10" t="n">
        <x:v>4712.575027381995</x:v>
      </x:c>
      <x:c r="H123" s="10" t="n">
        <x:v>4712.575027381995</x:v>
      </x:c>
      <x:c r="I123" s="2" t="str">
        <x:v>Inclusive minus tracked children for self</x:v>
      </x:c>
      <x:c r="J123" s="2" t="str">
        <x:v>references/experiments/stage-one-3-enemies/profile-route-7x904ch1/summary.json</x:v>
      </x:c>
      <x:c r="K123" s="2"/>
      <x:c r="L123" s="2"/>
      <x:c r="M123" s="2"/>
    </x:row>
    <x:row r="124" ht="25" customHeight="1">
      <x:c r="A124" s="2" t="str">
        <x:v>Game_RadarUpload</x:v>
      </x:c>
      <x:c r="B124" s="3" t="n">
        <x:v>913</x:v>
      </x:c>
      <x:c r="C124" s="10" t="n">
        <x:v>1</x:v>
      </x:c>
      <x:c r="D124" s="10" t="n">
        <x:v>1991.5202628697543</x:v>
      </x:c>
      <x:c r="E124" s="10" t="n">
        <x:v>2336.0000000037253</x:v>
      </x:c>
      <x:c r="F124" s="10" t="n">
        <x:v>2505.000000014901</x:v>
      </x:c>
      <x:c r="G124" s="10" t="n">
        <x:v>1986.3439211392079</x:v>
      </x:c>
      <x:c r="H124" s="10" t="n">
        <x:v>1986.3439211392079</x:v>
      </x:c>
      <x:c r="I124" s="2" t="str">
        <x:v>Inclusive minus tracked children for self</x:v>
      </x:c>
      <x:c r="J124" s="2" t="str">
        <x:v>references/experiments/stage-one-3-enemies/profile-route-7x904ch1/summary.json</x:v>
      </x:c>
      <x:c r="K124" s="2"/>
      <x:c r="L124" s="2"/>
      <x:c r="M124" s="2"/>
    </x:row>
    <x:row r="125" ht="25" customHeight="1">
      <x:c r="A125" s="2" t="str">
        <x:v>GamePhase_Select</x:v>
      </x:c>
      <x:c r="B125" s="3" t="n">
        <x:v>913</x:v>
      </x:c>
      <x:c r="C125" s="10" t="n">
        <x:v>1</x:v>
      </x:c>
      <x:c r="D125" s="10" t="n">
        <x:v>161.20920043794473</x:v>
      </x:c>
      <x:c r="E125" s="10" t="n">
        <x:v>263.00000001490116</x:v>
      </x:c>
      <x:c r="F125" s="10" t="n">
        <x:v>523</x:v>
      </x:c>
      <x:c r="G125" s="10" t="n">
        <x:v>160.75246440289544</x:v>
      </x:c>
      <x:c r="H125" s="10" t="n">
        <x:v>160.75246440289544</x:v>
      </x:c>
      <x:c r="I125" s="2" t="str">
        <x:v>Inclusive minus tracked children for self</x:v>
      </x:c>
      <x:c r="J125" s="2" t="str">
        <x:v>references/experiments/stage-one-3-enemies/profile-route-7x904ch1/summary.json</x:v>
      </x:c>
      <x:c r="K125" s="2"/>
      <x:c r="L125" s="2"/>
      <x:c r="M125" s="2"/>
    </x:row>
    <x:row r="126" ht="25" customHeight="1">
      <x:c r="A126" s="2" t="str">
        <x:v>hud_upload</x:v>
      </x:c>
      <x:c r="B126" s="3" t="n">
        <x:v>913</x:v>
      </x:c>
      <x:c r="C126" s="10" t="n">
        <x:v>1</x:v>
      </x:c>
      <x:c r="D126" s="10" t="n">
        <x:v>508.0306681269353</x:v>
      </x:c>
      <x:c r="E126" s="10" t="n">
        <x:v>356.00000001490116</x:v>
      </x:c>
      <x:c r="F126" s="10" t="n">
        <x:v>20309</x:v>
      </x:c>
      <x:c r="G126" s="10" t="n">
        <x:v>506.2037239867586</x:v>
      </x:c>
      <x:c r="H126" s="10" t="n">
        <x:v>506.2037239867586</x:v>
      </x:c>
      <x:c r="I126" s="2" t="str">
        <x:v>Inclusive minus tracked children for self</x:v>
      </x:c>
      <x:c r="J126" s="2" t="str">
        <x:v>references/experiments/stage-one-3-enemies/profile-route-7x904ch1/summary.json</x:v>
      </x:c>
      <x:c r="K126" s="2"/>
      <x:c r="L126" s="2"/>
      <x:c r="M126" s="2"/>
    </x:row>
    <x:row r="127" ht="25" customHeight="1">
      <x:c r="A127" s="2" t="str">
        <x:v>HUD_NameStores</x:v>
      </x:c>
      <x:c r="B127" s="3" t="n">
        <x:v>913</x:v>
      </x:c>
      <x:c r="C127" s="10" t="n">
        <x:v>1</x:v>
      </x:c>
      <x:c r="D127" s="10" t="n">
        <x:v>2371.3296823661412</x:v>
      </x:c>
      <x:c r="E127" s="10" t="n">
        <x:v>2363.0000000298023</x:v>
      </x:c>
      <x:c r="F127" s="10" t="n">
        <x:v>2532.0000000298023</x:v>
      </x:c>
      <x:c r="G127" s="10" t="n">
        <x:v>2364.478641840357</x:v>
      </x:c>
      <x:c r="H127" s="10" t="n">
        <x:v>2364.478641840357</x:v>
      </x:c>
      <x:c r="I127" s="2" t="str">
        <x:v>Inclusive minus tracked children for self</x:v>
      </x:c>
      <x:c r="J127" s="2" t="str">
        <x:v>references/experiments/stage-one-3-enemies/profile-route-7x904ch1/summary.json</x:v>
      </x:c>
      <x:c r="K127" s="2"/>
      <x:c r="L127" s="2"/>
      <x:c r="M127" s="2"/>
    </x:row>
    <x:row r="128" ht="25" customHeight="1">
      <x:c r="A128" s="2" t="str">
        <x:v>left_names</x:v>
      </x:c>
      <x:c r="B128" s="3" t="n">
        <x:v>913</x:v>
      </x:c>
      <x:c r="C128" s="10" t="n">
        <x:v>1</x:v>
      </x:c>
      <x:c r="D128" s="10" t="n">
        <x:v>797.5914567358025</x:v>
      </x:c>
      <x:c r="E128" s="10" t="n">
        <x:v>795.0000000149012</x:v>
      </x:c>
      <x:c r="F128" s="10" t="n">
        <x:v>964.0000000074506</x:v>
      </x:c>
      <x:c r="G128" s="10" t="n">
        <x:v>795.4600219055684</x:v>
      </x:c>
      <x:c r="H128" s="10" t="n">
        <x:v>795.4600219055684</x:v>
      </x:c>
      <x:c r="I128" s="2" t="str">
        <x:v>Inclusive minus tracked children for self</x:v>
      </x:c>
      <x:c r="J128" s="2" t="str">
        <x:v>references/experiments/stage-one-3-enemies/profile-route-7x904ch1/summary.json</x:v>
      </x:c>
      <x:c r="K128" s="2"/>
      <x:c r="L128" s="2"/>
      <x:c r="M128" s="2"/>
    </x:row>
    <x:row r="129" ht="25" customHeight="1">
      <x:c r="A129" s="2" t="str">
        <x:v>boundaries</x:v>
      </x:c>
      <x:c r="B129" s="3" t="n">
        <x:v>913</x:v>
      </x:c>
      <x:c r="C129" s="10" t="n">
        <x:v>1</x:v>
      </x:c>
      <x:c r="D129" s="10" t="n">
        <x:v>2334.8466593645358</x:v>
      </x:c>
      <x:c r="E129" s="10" t="n">
        <x:v>2492</x:v>
      </x:c>
      <x:c r="F129" s="10" t="n">
        <x:v>2492.000000014901</x:v>
      </x:c>
      <x:c r="G129" s="10" t="n">
        <x:v>2325.1029572833904</x:v>
      </x:c>
      <x:c r="H129" s="10" t="n">
        <x:v>2325.1029572833904</x:v>
      </x:c>
      <x:c r="I129" s="2" t="str">
        <x:v>Inclusive minus tracked children for self</x:v>
      </x:c>
      <x:c r="J129" s="2" t="str">
        <x:v>references/experiments/stage-one-3-enemies/profile-route-7x904ch1/summary.json</x:v>
      </x:c>
      <x:c r="K129" s="2"/>
      <x:c r="L129" s="2"/>
      <x:c r="M129" s="2"/>
    </x:row>
    <x:row r="130" ht="25" customHeight="1">
      <x:c r="A130" s="2" t="str">
        <x:v>GameBoundary_Upload</x:v>
      </x:c>
      <x:c r="B130" s="3" t="n">
        <x:v>8</x:v>
      </x:c>
      <x:c r="C130" s="10" t="n">
        <x:v>0.008762322015334063</x:v>
      </x:c>
      <x:c r="D130" s="10" t="n">
        <x:v>15384.249999998137</x:v>
      </x:c>
      <x:c r="E130" s="10" t="n">
        <x:v>27913</x:v>
      </x:c>
      <x:c r="F130" s="10" t="n">
        <x:v>27913</x:v>
      </x:c>
      <x:c r="G130" s="10" t="n">
        <x:v>15332.124999998137</x:v>
      </x:c>
      <x:c r="H130" s="10" t="n">
        <x:v>134.34501642933745</x:v>
      </x:c>
      <x:c r="I130" s="2" t="str">
        <x:v>Inclusive minus tracked children for self</x:v>
      </x:c>
      <x:c r="J130" s="2" t="str">
        <x:v>references/experiments/stage-one-3-enemies/profile-route-7x904ch1/summary.json</x:v>
      </x:c>
      <x:c r="K130" s="2"/>
      <x:c r="L130" s="2"/>
      <x:c r="M130" s="2"/>
    </x:row>
    <x:row r="131" ht="25" customHeight="1">
      <x:c r="A131" s="2" t="str">
        <x:v>GameDirty_Plan</x:v>
      </x:c>
      <x:c r="B131" s="3" t="n">
        <x:v>913</x:v>
      </x:c>
      <x:c r="C131" s="10" t="n">
        <x:v>1</x:v>
      </x:c>
      <x:c r="D131" s="10" t="n">
        <x:v>107.44249726174581</x:v>
      </x:c>
      <x:c r="E131" s="10" t="n">
        <x:v>114.00000000372529</x:v>
      </x:c>
      <x:c r="F131" s="10" t="n">
        <x:v>305</x:v>
      </x:c>
      <x:c r="G131" s="10" t="n">
        <x:v>107.29025191671306</x:v>
      </x:c>
      <x:c r="H131" s="10" t="n">
        <x:v>107.29025191671306</x:v>
      </x:c>
      <x:c r="I131" s="2" t="str">
        <x:v>Inclusive minus tracked children for self</x:v>
      </x:c>
      <x:c r="J131" s="2" t="str">
        <x:v>references/experiments/stage-one-3-enemies/profile-route-7x904ch1/summary.json</x:v>
      </x:c>
      <x:c r="K131" s="2"/>
      <x:c r="L131" s="2"/>
      <x:c r="M131" s="2"/>
    </x:row>
    <x:row r="132" ht="25" customHeight="1">
      <x:c r="A132" s="2" t="str">
        <x:v>GameNameStream_Wide</x:v>
      </x:c>
      <x:c r="B132" s="3" t="n">
        <x:v>9</x:v>
      </x:c>
      <x:c r="C132" s="10" t="n">
        <x:v>0.009857612267250822</x:v>
      </x:c>
      <x:c r="D132" s="10" t="n">
        <x:v>22476.1111111107</x:v>
      </x:c>
      <x:c r="E132" s="10" t="n">
        <x:v>38177</x:v>
      </x:c>
      <x:c r="F132" s="10" t="n">
        <x:v>38177</x:v>
      </x:c>
      <x:c r="G132" s="10" t="n">
        <x:v>17462.88888889551</x:v>
      </x:c>
      <x:c r="H132" s="10" t="n">
        <x:v>172.14238773281446</x:v>
      </x:c>
      <x:c r="I132" s="2" t="str">
        <x:v>Inclusive minus tracked children for self</x:v>
      </x:c>
      <x:c r="J132" s="2" t="str">
        <x:v>references/experiments/stage-one-3-enemies/profile-route-7x904ch1/summary.json</x:v>
      </x:c>
      <x:c r="K132" s="2"/>
      <x:c r="L132" s="2"/>
      <x:c r="M132" s="2"/>
    </x:row>
    <x:row r="133" ht="25" customHeight="1">
      <x:c r="A133" s="2" t="str">
        <x:v>GS_MaskedCopyFast</x:v>
      </x:c>
      <x:c r="B133" s="3" t="n">
        <x:v>62</x:v>
      </x:c>
      <x:c r="C133" s="10" t="n">
        <x:v>0.06790799561883899</x:v>
      </x:c>
      <x:c r="D133" s="10" t="n">
        <x:v>4632.161290322881</x:v>
      </x:c>
      <x:c r="E133" s="10" t="n">
        <x:v>5690.999999985099</x:v>
      </x:c>
      <x:c r="F133" s="10" t="n">
        <x:v>5691</x:v>
      </x:c>
      <x:c r="G133" s="10" t="n">
        <x:v>4632.161290322881</x:v>
      </x:c>
      <x:c r="H133" s="10" t="n">
        <x:v>314.5607886090018</x:v>
      </x:c>
      <x:c r="I133" s="2" t="str">
        <x:v>Inclusive minus tracked children for self</x:v>
      </x:c>
      <x:c r="J133" s="2" t="str">
        <x:v>references/experiments/stage-one-3-enemies/profile-route-7x904ch1/summary.json</x:v>
      </x:c>
      <x:c r="K133" s="2"/>
      <x:c r="L133" s="2"/>
      <x:c r="M133" s="2"/>
    </x:row>
    <x:row r="134" ht="2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 ht="2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 ht="2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 ht="42" customHeight="1">
      <x:c r="A137" s="9" t="str">
        <x:v>Scheduling input</x:v>
      </x:c>
      <x:c r="B137" s="9" t="str">
        <x:v>Observed value</x:v>
      </x:c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 ht="25" customHeight="1">
      <x:c r="A138" s="2" t="str">
        <x:v>Active frames</x:v>
      </x:c>
      <x:c r="B138" s="16" t="n">
        <x:v>913</x:v>
      </x:c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 ht="25" customHeight="1">
      <x:c r="A139" s="2" t="str">
        <x:v>Late publications</x:v>
      </x:c>
      <x:c r="B139" s="16" t="n">
        <x:v>16</x:v>
      </x:c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 ht="25" customHeight="1">
      <x:c r="A140" s="2" t="str">
        <x:v>Foreground mean cycles</x:v>
      </x:c>
      <x:c r="B140" s="16" t="n">
        <x:v>73790.87075575028</x:v>
      </x:c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 ht="25" customHeight="1">
      <x:c r="A141" s="2" t="str">
        <x:v>Foreground P95 cycles</x:v>
      </x:c>
      <x:c r="B141" s="16" t="n">
        <x:v>99324</x:v>
      </x:c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 ht="25" customHeight="1">
      <x:c r="A142" s="2" t="str">
        <x:v>Foreground max cycles</x:v>
      </x:c>
      <x:c r="B142" s="16" t="n">
        <x:v>160802</x:v>
      </x:c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 ht="25" customHeight="1">
      <x:c r="A143" s="2" t="str">
        <x:v>Ready margin mean cycles</x:v>
      </x:c>
      <x:c r="B143" s="16" t="n">
        <x:v>41675.18692953808</x:v>
      </x:c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 ht="25" customHeight="1">
      <x:c r="A144" s="2" t="str">
        <x:v>Ready margin P05 cycles</x:v>
      </x:c>
      <x:c r="B144" s="16" t="n">
        <x:v>16927.66666666791</x:v>
      </x:c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 ht="25" customHeight="1">
      <x:c r="A145" s="2" t="str">
        <x:v>Ready margin minimum cycles</x:v>
      </x:c>
      <x:c r="B145" s="16" t="n">
        <x:v>-48522.33333334327</x:v>
      </x:c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 ht="25" customHeight="1">
      <x:c r="A146" s="2" t="str">
        <x:v>Late shortfall mean cycles</x:v>
      </x:c>
      <x:c r="B146" s="16" t="n">
        <x:v>21398.64583333023</x:v>
      </x:c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 ht="25" customHeight="1">
      <x:c r="A147" s="2" t="str">
        <x:v>Late shortfall P95 cycles</x:v>
      </x:c>
      <x:c r="B147" s="16" t="n">
        <x:v>48522.33333334327</x:v>
      </x:c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 ht="25" customHeight="1">
      <x:c r="A148" s="2" t="str">
        <x:v>Late shortfall max cycles</x:v>
      </x:c>
      <x:c r="B148" s="16" t="n">
        <x:v>48522.33333334327</x:v>
      </x:c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 ht="25" customHeight="1">
      <x:c r="A149" s="2" t="str">
        <x:v>Measured two-refresh FPS</x:v>
      </x:c>
      <x:c r="B149" s="16" t="n">
        <x:v>29.961371702156153</x:v>
      </x:c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 ht="2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  <x:row r="151" ht="2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</x:row>
    <x:row r="152" ht="42" customHeight="1">
      <x:c r="A152" s="9" t="str">
        <x:v>Foreground self owner</x:v>
      </x:c>
      <x:c r="B152" s="9" t="str">
        <x:v>Self/all frame cycles</x:v>
      </x:c>
      <x:c r="C152" s="9" t="str">
        <x:v>Self/late frame cycles</x:v>
      </x:c>
      <x:c r="D152" s="9" t="str">
        <x:v>Max incl. call cycles</x:v>
      </x:c>
      <x:c r="E152" s="2"/>
      <x:c r="F152" s="2"/>
      <x:c r="G152" s="2"/>
      <x:c r="H152" s="2"/>
      <x:c r="I152" s="2"/>
      <x:c r="J152" s="2"/>
      <x:c r="K152" s="2"/>
      <x:c r="L152" s="2"/>
      <x:c r="M152" s="2"/>
    </x:row>
    <x:row r="153" ht="25" customHeight="1">
      <x:c r="A153" s="2" t="str">
        <x:v>GameSmoke_BuildCache</x:v>
      </x:c>
      <x:c r="B153" s="2" t="n">
        <x:v>430.11391018619935</x:v>
      </x:c>
      <x:c r="C153" s="2" t="n">
        <x:v>11329.31249999837</x:v>
      </x:c>
      <x:c r="D153" s="2" t="n">
        <x:v>30666</x:v>
      </x:c>
      <x:c r="E153" s="2"/>
      <x:c r="F153" s="2"/>
      <x:c r="G153" s="2"/>
      <x:c r="H153" s="2"/>
      <x:c r="I153" s="2"/>
      <x:c r="J153" s="2"/>
      <x:c r="K153" s="2"/>
      <x:c r="L153" s="2"/>
      <x:c r="M153" s="2"/>
    </x:row>
    <x:row r="154" ht="25" customHeight="1">
      <x:c r="A154" s="2" t="str">
        <x:v>Ring_UploadNames</x:v>
      </x:c>
      <x:c r="B154" s="2" t="n">
        <x:v>10932.891566265118</x:v>
      </x:c>
      <x:c r="C154" s="2" t="n">
        <x:v>10661.249999995343</x:v>
      </x:c>
      <x:c r="D154" s="2" t="n">
        <x:v>38332</x:v>
      </x:c>
      <x:c r="E154" s="2"/>
      <x:c r="F154" s="2"/>
      <x:c r="G154" s="2"/>
      <x:c r="H154" s="2"/>
      <x:c r="I154" s="2"/>
      <x:c r="J154" s="2"/>
      <x:c r="K154" s="2"/>
      <x:c r="L154" s="2"/>
      <x:c r="M154" s="2"/>
    </x:row>
    <x:row r="155" ht="25" customHeight="1">
      <x:c r="A155" s="2" t="str">
        <x:v>Game_RingPatch</x:v>
      </x:c>
      <x:c r="B155" s="2" t="n">
        <x:v>1474.2409638558584</x:v>
      </x:c>
      <x:c r="C155" s="2" t="n">
        <x:v>9117.499999997672</x:v>
      </x:c>
      <x:c r="D155" s="2" t="n">
        <x:v>58671</x:v>
      </x:c>
      <x:c r="E155" s="2"/>
      <x:c r="F155" s="2"/>
      <x:c r="G155" s="2"/>
      <x:c r="H155" s="2"/>
      <x:c r="I155" s="2"/>
      <x:c r="J155" s="2"/>
      <x:c r="K155" s="2"/>
      <x:c r="L155" s="2"/>
      <x:c r="M155" s="2"/>
    </x:row>
    <x:row r="156" ht="25" customHeight="1">
      <x:c r="A156" s="2" t="str">
        <x:v>GameSprites_Prepare</x:v>
      </x:c>
      <x:c r="B156" s="2" t="n">
        <x:v>5821.079956188079</x:v>
      </x:c>
      <x:c r="C156" s="2" t="n">
        <x:v>8490.499999994878</x:v>
      </x:c>
      <x:c r="D156" s="2" t="n">
        <x:v>28019</x:v>
      </x:c>
      <x:c r="E156" s="2"/>
      <x:c r="F156" s="2"/>
      <x:c r="G156" s="2"/>
      <x:c r="H156" s="2"/>
      <x:c r="I156" s="2"/>
      <x:c r="J156" s="2"/>
      <x:c r="K156" s="2"/>
      <x:c r="L156" s="2"/>
      <x:c r="M156" s="2"/>
    </x:row>
    <x:row r="157" ht="25" customHeight="1">
      <x:c r="A157" s="2" t="str">
        <x:v>Smoke_PreTick</x:v>
      </x:c>
      <x:c r="B157" s="2" t="n">
        <x:v>2310.5279299020767</x:v>
      </x:c>
      <x:c r="C157" s="2" t="n">
        <x:v>7079.750000002561</x:v>
      </x:c>
      <x:c r="D157" s="2" t="n">
        <x:v>49232.000000003725</x:v>
      </x:c>
      <x:c r="E157" s="2"/>
      <x:c r="F157" s="2"/>
      <x:c r="G157" s="2"/>
      <x:c r="H157" s="2"/>
      <x:c r="I157" s="2"/>
      <x:c r="J157" s="2"/>
      <x:c r="K157" s="2"/>
      <x:c r="L157" s="2"/>
      <x:c r="M157" s="2"/>
    </x:row>
    <x:row r="158" ht="25" customHeight="1">
      <x:c r="A158" s="2" t="str">
        <x:v>Game_PatchOne</x:v>
      </x:c>
      <x:c r="B158" s="2" t="n">
        <x:v>1022.7984665944471</x:v>
      </x:c>
      <x:c r="C158" s="2" t="n">
        <x:v>6240.000000005122</x:v>
      </x:c>
      <x:c r="D158" s="2" t="n">
        <x:v>885.9999999925494</x:v>
      </x:c>
      <x:c r="E158" s="2"/>
      <x:c r="F158" s="2"/>
      <x:c r="G158" s="2"/>
      <x:c r="H158" s="2"/>
      <x:c r="I158" s="2"/>
      <x:c r="J158" s="2"/>
      <x:c r="K158" s="2"/>
      <x:c r="L158" s="2"/>
      <x:c r="M158" s="2"/>
    </x:row>
    <x:row r="159" ht="25" customHeight="1">
      <x:c r="A159" s="2" t="str">
        <x:v>Ring_Prepare</x:v>
      </x:c>
      <x:c r="B159" s="2" t="n">
        <x:v>4576.40306681273</x:v>
      </x:c>
      <x:c r="C159" s="2" t="n">
        <x:v>5341.937500001164</x:v>
      </x:c>
      <x:c r="D159" s="2" t="n">
        <x:v>18467.0000000149</x:v>
      </x:c>
      <x:c r="E159" s="2"/>
      <x:c r="F159" s="2"/>
      <x:c r="G159" s="2"/>
      <x:c r="H159" s="2"/>
      <x:c r="I159" s="2"/>
      <x:c r="J159" s="2"/>
      <x:c r="K159" s="2"/>
      <x:c r="L159" s="2"/>
      <x:c r="M159" s="2"/>
    </x:row>
    <x:row r="160" ht="25" customHeight="1">
      <x:c r="A160" s="2" t="str">
        <x:v>GameNameStream_Wide</x:v>
      </x:c>
      <x:c r="B160" s="2" t="n">
        <x:v>172.14238773281446</x:v>
      </x:c>
      <x:c r="C160" s="2" t="n">
        <x:v>4752.562500000931</x:v>
      </x:c>
      <x:c r="D160" s="2" t="n">
        <x:v>38177</x:v>
      </x:c>
      <x:c r="E160" s="2"/>
      <x:c r="F160" s="2"/>
      <x:c r="G160" s="2"/>
      <x:c r="H160" s="2"/>
      <x:c r="I160" s="2"/>
      <x:c r="J160" s="2"/>
      <x:c r="K160" s="2"/>
      <x:c r="L160" s="2"/>
      <x:c r="M160" s="2"/>
    </x:row>
    <x:row r="161" ht="25" customHeight="1">
      <x:c r="A161" s="2" t="str">
        <x:v>Game_Radar</x:v>
      </x:c>
      <x:c r="B161" s="2" t="n">
        <x:v>4712.575027381995</x:v>
      </x:c>
      <x:c r="C161" s="2" t="n">
        <x:v>4690.6250000020955</x:v>
      </x:c>
      <x:c r="D161" s="2" t="n">
        <x:v>5827.999999985099</x:v>
      </x:c>
      <x:c r="E161" s="2"/>
      <x:c r="F161" s="2"/>
      <x:c r="G161" s="2"/>
      <x:c r="H161" s="2"/>
      <x:c r="I161" s="2"/>
      <x:c r="J161" s="2"/>
      <x:c r="K161" s="2"/>
      <x:c r="L161" s="2"/>
      <x:c r="M161" s="2"/>
    </x:row>
    <x:row r="162" ht="25" customHeight="1">
      <x:c r="A162" s="2" t="str">
        <x:v>Game_DirtyTileUpload</x:v>
      </x:c>
      <x:c r="B162" s="2" t="n">
        <x:v>343.4074479738558</x:v>
      </x:c>
      <x:c r="C162" s="2" t="n">
        <x:v>4662.499999999069</x:v>
      </x:c>
      <x:c r="D162" s="2" t="n">
        <x:v>8480.000000014901</x:v>
      </x:c>
      <x:c r="E162" s="2"/>
      <x:c r="F162" s="2"/>
      <x:c r="G162" s="2"/>
      <x:c r="H162" s="2"/>
      <x:c r="I162" s="2"/>
      <x:c r="J162" s="2"/>
      <x:c r="K162" s="2"/>
      <x:c r="L162" s="2"/>
      <x:c r="M162" s="2"/>
    </x:row>
    <x:row r="163" ht="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</x:row>
    <x:row r="164" ht="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</x:row>
    <x:row r="165" ht="42" customHeight="1">
      <x:c r="A165" s="9" t="str">
        <x:v>Main phase</x:v>
      </x:c>
      <x:c r="B165" s="9" t="str">
        <x:v>Mean cycles</x:v>
      </x:c>
      <x:c r="C165" s="9" t="str">
        <x:v>P95 cycles</x:v>
      </x:c>
      <x:c r="D165" s="9" t="str">
        <x:v>Max cycles</x:v>
      </x:c>
      <x:c r="E165" s="2"/>
      <x:c r="F165" s="2"/>
      <x:c r="G165" s="2"/>
      <x:c r="H165" s="2"/>
      <x:c r="I165" s="2"/>
      <x:c r="J165" s="2"/>
      <x:c r="K165" s="2"/>
      <x:c r="L165" s="2"/>
      <x:c r="M165" s="2"/>
    </x:row>
    <x:row r="166" ht="25" customHeight="1">
      <x:c r="A166" s="2" t="str">
        <x:v>Game_Prepare</x:v>
      </x:c>
      <x:c r="B166" s="2" t="n">
        <x:v>37249.89923329668</x:v>
      </x:c>
      <x:c r="C166" s="2" t="n">
        <x:v>46833.000000015745</x:v>
      </x:c>
      <x:c r="D166" s="2" t="n">
        <x:v>91934.9999999992</x:v>
      </x:c>
      <x:c r="E166" s="2"/>
      <x:c r="F166" s="2"/>
      <x:c r="G166" s="2"/>
      <x:c r="H166" s="2"/>
      <x:c r="I166" s="2"/>
      <x:c r="J166" s="2"/>
      <x:c r="K166" s="2"/>
      <x:c r="L166" s="2"/>
      <x:c r="M166" s="2"/>
    </x:row>
    <x:row r="167" ht="25" customHeight="1">
      <x:c r="A167" s="2" t="str">
        <x:v>render</x:v>
      </x:c>
      <x:c r="B167" s="2" t="n">
        <x:v>36504.971522453394</x:v>
      </x:c>
      <x:c r="C167" s="2" t="n">
        <x:v>59630.99999999784</x:v>
      </x:c>
      <x:c r="D167" s="2" t="n">
        <x:v>97370.0000000033</x:v>
      </x:c>
      <x:c r="E167" s="2"/>
      <x:c r="F167" s="2"/>
      <x:c r="G167" s="2"/>
      <x:c r="H167" s="2"/>
      <x:c r="I167" s="2"/>
      <x:c r="J167" s="2"/>
      <x:c r="K167" s="2"/>
      <x:c r="L167" s="2"/>
      <x:c r="M167" s="2"/>
    </x:row>
    <x:row r="168" ht="25" customHeight="1">
      <x:c r="A168" s="2" t="str">
        <x:v>wait_blank</x:v>
      </x:c>
      <x:c r="B168" s="2" t="n">
        <x:v>42053.80065717416</x:v>
      </x:c>
      <x:c r="C168" s="2" t="n">
        <x:v>54064.99999998522</x:v>
      </x:c>
      <x:c r="D168" s="2" t="n">
        <x:v>58964.99999999822</x:v>
      </x:c>
      <x:c r="E168" s="2"/>
      <x:c r="F168" s="2"/>
      <x:c r="G168" s="2"/>
      <x:c r="H168" s="2"/>
      <x:c r="I168" s="2"/>
      <x:c r="J168" s="2"/>
      <x:c r="K168" s="2"/>
      <x:c r="L168" s="2"/>
      <x:c r="M168" s="2"/>
    </x:row>
    <x:row r="169" ht="25" customHeight="1">
      <x:c r="A169" s="2" t="str">
        <x:v>commit</x:v>
      </x:c>
      <x:c r="B169" s="2" t="n">
        <x:v>3745.7250821471403</x:v>
      </x:c>
      <x:c r="C169" s="2" t="n">
        <x:v>4117.000000011765</x:v>
      </x:c>
      <x:c r="D169" s="2" t="n">
        <x:v>6938.000000005704</x:v>
      </x:c>
      <x:c r="E169" s="2"/>
      <x:c r="F169" s="2"/>
      <x:c r="G169" s="2"/>
      <x:c r="H169" s="2"/>
      <x:c r="I169" s="2"/>
      <x:c r="J169" s="2"/>
      <x:c r="K169" s="2"/>
      <x:c r="L169" s="2"/>
      <x:c r="M169" s="2"/>
    </x:row>
    <x:row r="170" ht="2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</x:row>
    <x:row r="171" ht="2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</x:row>
    <x:row r="172" ht="42" customHeight="1">
      <x:c r="A172" s="9" t="str">
        <x:v>Transfer bytes</x:v>
      </x:c>
      <x:c r="B172" s="9" t="str">
        <x:v>OTIR with RET cycles</x:v>
      </x:c>
      <x:c r="C172" s="9" t="str">
        <x:v>Helper with RET cycles</x:v>
      </x:c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</x:row>
    <x:row r="173" ht="25" customHeight="1">
      <x:c r="A173" s="2" t="n">
        <x:v>32</x:v>
      </x:c>
      <x:c r="B173" s="2" t="n">
        <x:v>774</x:v>
      </x:c>
      <x:c r="C173" s="2" t="n">
        <x:v>693</x:v>
      </x:c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</x:row>
    <x:row r="174" ht="25" customHeight="1">
      <x:c r="A174" s="2" t="n">
        <x:v>64</x:v>
      </x:c>
      <x:c r="B174" s="2" t="n">
        <x:v>1542</x:v>
      </x:c>
      <x:c r="C174" s="2" t="n">
        <x:v>1353</x:v>
      </x:c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</x:row>
    <x:row r="175" ht="25" customHeight="1">
      <x:c r="A175" s="2" t="n">
        <x:v>128</x:v>
      </x:c>
      <x:c r="B175" s="2" t="n">
        <x:v>3078</x:v>
      </x:c>
      <x:c r="C175" s="2" t="n">
        <x:v>2673</x:v>
      </x:c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</x:row>
    <x:row r="176" ht="25" customHeight="1">
      <x:c r="A176" s="2" t="n">
        <x:v>255</x:v>
      </x:c>
      <x:c r="B176" s="2" t="n">
        <x:v>6126</x:v>
      </x:c>
      <x:c r="C176" s="2" t="n">
        <x:v>5343</x:v>
      </x:c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</x:row>
    <x:row r="177" ht="2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</x:row>
    <x:row r="178" ht="2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</x:row>
    <x:row r="179" ht="2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</x:row>
    <x:row r="180" ht="2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</x:row>
    <x:row r="181" ht="2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</x:row>
    <x:row r="182" ht="2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</x:row>
    <x:row r="183" ht="2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</x:row>
    <x:row r="184" ht="2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</x:row>
    <x:row r="185" ht="2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</x:row>
    <x:row r="186" ht="2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</x:row>
    <x:row r="187" ht="2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</x:row>
    <x:row r="188" ht="2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</x:row>
    <x:row r="189" ht="2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</x:row>
    <x:row r="190" ht="2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</x:row>
    <x:row r="191" ht="2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</x:row>
    <x:row r="192" ht="2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</x:row>
    <x:row r="193" ht="2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</x:row>
    <x:row r="194" ht="2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</x:row>
    <x:row r="195" ht="2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</x:row>
    <x:row r="196" ht="2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</x:row>
    <x:row r="197" ht="2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</x:row>
    <x:row r="198" ht="2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</x:row>
    <x:row r="199" ht="2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</x:row>
    <x:row r="200" ht="2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</x:row>
    <x:row r="201" ht="2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</x:row>
    <x:row r="202" ht="2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</x:row>
    <x:row r="203" ht="2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</x:row>
    <x:row r="204" ht="42" customHeight="1">
      <x:c r="A204" s="9" t="str">
        <x:v>Video timing source</x:v>
      </x:c>
      <x:c r="B204" s="9" t="str">
        <x:v>Lines / refresh</x:v>
      </x:c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</x:row>
    <x:row r="205" ht="25" customHeight="1">
      <x:c r="A205" s="2" t="str">
        <x:v>60Hz nominal</x:v>
      </x:c>
      <x:c r="B205" s="2" t="n">
        <x:v>262</x:v>
      </x:c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</x:row>
    <x:row r="206" ht="25" customHeight="1">
      <x:c r="A206" s="2" t="str">
        <x:v>50Hz nominal (calculated)</x:v>
      </x:c>
      <x:c r="B206" s="2" t="n">
        <x:v>313</x:v>
      </x:c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</x:row>
    <x:row r="207" ht="2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</x:row>
    <x:row r="208" ht="25" customHeight="1">
      <x:c r="A208" s="2" t="str">
        <x:v>60Hz mode measured above.50Hz figures calculated from official313-line timing constants, not a50Hz runtime run. Same CPU clock per second; native tick/audio adaptation would be required.</x:v>
      </x:c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</x:row>
    <x:row r="209" ht="25" customHeight="1">
      <x:c r="A209" s="2" t="str">
        <x:v>https://raw.githubusercontent.com/openMSX/openMSX/RELEASE_21_0/src/video/VDP.hh</x:v>
      </x:c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</x:row>
    <x:row r="210" ht="2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</x:row>
    <x:row r="211" ht="2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</x:row>
    <x:row r="212" ht="2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</x:row>
    <x:row r="213" ht="2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</x:row>
    <x:row r="214" ht="2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</x:row>
    <x:row r="215" ht="2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</x:row>
    <x:row r="216" ht="2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</x:row>
    <x:row r="217" ht="2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</x:row>
    <x:row r="218" ht="2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</x:row>
    <x:row r="219" ht="2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</x:row>
    <x:row r="220" ht="2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</x:row>
    <x:row r="221" ht="2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</x:row>
    <x:row r="222" ht="2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</x:row>
    <x:row r="223" ht="2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</x:row>
    <x:row r="224" ht="2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</x:row>
    <x:row r="225" ht="2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</x:row>
    <x:row r="226" ht="2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</x:row>
    <x:row r="227" ht="2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</x:row>
    <x:row r="228" ht="2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</x:row>
    <x:row r="229" ht="2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</x:row>
    <x:row r="230" ht="2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</x:row>
    <x:row r="231" ht="2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</x:row>
    <x:row r="232" ht="2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</x:row>
  </x:sheetData>
  <x:pageMargins left="0.7" right="0.7" top="0.75" bottom="0.75" header="0.3" footer="0.3"/>
  <x:tableParts count="1">
    <x:tablePart xmlns:r="http://schemas.openxmlformats.org/officeDocument/2006/relationships" r:id="Rdf44ef4bdea5499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83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11" t="str">
        <x:v>Late-frame optimization</x:v>
      </x:c>
      <x:c r="B2" s="2"/>
      <x:c r="C2" s="2"/>
      <x:c r="D2" s="2"/>
      <x:c r="E2" s="2"/>
      <x:c r="F2" s="2"/>
    </x:row>
    <x:row r="3" ht="25" customHeight="1">
      <x:c r="A3" s="12" t="str">
        <x:v>Three-enemy active gameplay: 908 before / 913 current frames; same controller and active filter.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42" customHeight="1">
      <x:c r="A5" s="9" t="str">
        <x:v>Measure</x:v>
      </x:c>
      <x:c r="B5" s="9" t="str">
        <x:v>Before</x:v>
      </x:c>
      <x:c r="C5" s="9" t="str">
        <x:v>Current</x:v>
      </x:c>
      <x:c r="D5" s="9" t="str">
        <x:v>Change</x:v>
      </x:c>
      <x:c r="E5" s="9" t="str">
        <x:v>Unit</x:v>
      </x:c>
      <x:c r="F5" s="9" t="str">
        <x:v>Scope</x:v>
      </x:c>
    </x:row>
    <x:row r="6" ht="25" customHeight="1">
      <x:c r="A6" s="2" t="str">
        <x:v>Presentation</x:v>
      </x:c>
      <x:c r="B6" s="13" t="n">
        <x:v>29.50835342242866</x:v>
      </x:c>
      <x:c r="C6" s="13" t="n">
        <x:v>29.91419972561634</x:v>
      </x:c>
      <x:c r="D6" s="13" t="n">
        <x:f>C6-B6</x:f>
        <x:v>0.4058463031876798</x:v>
      </x:c>
      <x:c r="E6" s="2" t="str">
        <x:v>FPS</x:v>
      </x:c>
      <x:c r="F6" s="2" t="str">
        <x:v>Actual routes differ; this is a scoped run comparison</x:v>
      </x:c>
    </x:row>
    <x:row r="7" ht="25" customHeight="1">
      <x:c r="A7" s="2" t="str">
        <x:v>CPU work / frame</x:v>
      </x:c>
      <x:c r="B7" s="13" t="n">
        <x:v>22.202670800646786</x:v>
      </x:c>
      <x:c r="C7" s="13" t="n">
        <x:v>21.68057555859678</x:v>
      </x:c>
      <x:c r="D7" s="13" t="n">
        <x:f>C7-B7</x:f>
        <x:v>-0.5220952420500069</x:v>
      </x:c>
      <x:c r="E7" s="2" t="str">
        <x:v>ms</x:v>
      </x:c>
      <x:c r="F7" s="2" t="str">
        <x:v>Excludes synchronization waiting</x:v>
      </x:c>
    </x:row>
    <x:row r="8" ht="25" customHeight="1">
      <x:c r="A8" s="2" t="str">
        <x:v>Presentation interval P95</x:v>
      </x:c>
      <x:c r="B8" s="13" t="n">
        <x:v>34.59517899621321</x:v>
      </x:c>
      <x:c r="C8" s="13" t="n">
        <x:v>33.81044238862761</x:v>
      </x:c>
      <x:c r="D8" s="13" t="n">
        <x:f>C8-B8</x:f>
        <x:v>-0.7847366075856002</x:v>
      </x:c>
      <x:c r="E8" s="2" t="str">
        <x:v>ms</x:v>
      </x:c>
      <x:c r="F8" s="2" t="str">
        <x:v>Tail cadence; not stable 30 FPS</x:v>
      </x:c>
    </x:row>
    <x:row r="9" ht="25" customHeight="1">
      <x:c r="A9" s="2" t="str">
        <x:v>HUD static / border</x:v>
      </x:c>
      <x:c r="B9" s="13" t="n">
        <x:v>2.158992064941593</x:v>
      </x:c>
      <x:c r="C9" s="13" t="n">
        <x:v>1.7166352916132146</x:v>
      </x:c>
      <x:c r="D9" s="13" t="n">
        <x:f>C9-B9</x:f>
        <x:v>-0.4423567733283784</x:v>
      </x:c>
      <x:c r="E9" s="2" t="str">
        <x:v>ms</x:v>
      </x:c>
      <x:c r="F9" s="2" t="str">
        <x:v>Mean per presented frame; inclusive owners overlap children</x:v>
      </x:c>
    </x:row>
    <x:row r="10" ht="25" customHeight="1">
      <x:c r="A10" s="2" t="str">
        <x:v>World sprites prepare</x:v>
      </x:c>
      <x:c r="B10" s="13" t="n">
        <x:v>1.6976731894954453</x:v>
      </x:c>
      <x:c r="C10" s="13" t="n">
        <x:v>1.7143391735170848</x:v>
      </x:c>
      <x:c r="D10" s="13" t="n">
        <x:f>C10-B10</x:f>
        <x:v>0.016665984021639435</x:v>
      </x:c>
      <x:c r="E10" s="2" t="str">
        <x:v>ms</x:v>
      </x:c>
      <x:c r="F10" s="2" t="str">
        <x:v>Mean per presented frame; inclusive owners overlap children</x:v>
      </x:c>
    </x:row>
    <x:row r="11" ht="25" customHeight="1">
      <x:c r="A11" s="2" t="str">
        <x:v>World sprites publish</x:v>
      </x:c>
      <x:c r="B11" s="13" t="n">
        <x:v>0.548541402430046</x:v>
      </x:c>
      <x:c r="C11" s="13" t="n">
        <x:v>0.5485222345034233</x:v>
      </x:c>
      <x:c r="D11" s="13" t="n">
        <x:f>C11-B11</x:f>
        <x:v>-0.000019167926622709608</x:v>
      </x:c>
      <x:c r="E11" s="2" t="str">
        <x:v>ms</x:v>
      </x:c>
      <x:c r="F11" s="2" t="str">
        <x:v>Mean per presented frame; inclusive owners overlap children</x:v>
      </x:c>
    </x:row>
    <x:row r="12" ht="25" customHeight="1">
      <x:c r="A12" s="2" t="str">
        <x:v>Map drawing</x:v>
      </x:c>
      <x:c r="B12" s="13" t="n">
        <x:v>6.415253118670332</x:v>
      </x:c>
      <x:c r="C12" s="13" t="n">
        <x:v>6.356687592434665</x:v>
      </x:c>
      <x:c r="D12" s="13" t="n">
        <x:f>C12-B12</x:f>
        <x:v>-0.05856552623566724</x:v>
      </x:c>
      <x:c r="E12" s="2" t="str">
        <x:v>ms</x:v>
      </x:c>
      <x:c r="F12" s="2" t="str">
        <x:v>Mean per presented frame; inclusive owners overlap children</x:v>
      </x:c>
    </x:row>
    <x:row r="13" ht="25" customHeight="1">
      <x:c r="A13" s="2" t="str">
        <x:v>Late publications</x:v>
      </x:c>
      <x:c r="B13" s="13" t="n">
        <x:v>38</x:v>
      </x:c>
      <x:c r="C13" s="13" t="n">
        <x:v>16</x:v>
      </x:c>
      <x:c r="D13" s="13" t="n">
        <x:f>C13-B13</x:f>
        <x:v>-22</x:v>
      </x:c>
      <x:c r="E13" s="2" t="str">
        <x:v>frames</x:v>
      </x:c>
      <x:c r="F13" s="2" t="str">
        <x:v>Different active sample counts; compare rates below</x:v>
      </x:c>
    </x:row>
    <x:row r="14" ht="25" customHeight="1">
      <x:c r="A14" s="2" t="str">
        <x:v>Late publication rate</x:v>
      </x:c>
      <x:c r="B14" s="13" t="n">
        <x:v>4.185022026431718</x:v>
      </x:c>
      <x:c r="C14" s="13" t="n">
        <x:v>1.7524644030668126</x:v>
      </x:c>
      <x:c r="D14" s="13" t="n">
        <x:f>C14-B14</x:f>
        <x:v>-2.4325576233649056</x:v>
      </x:c>
      <x:c r="E14" s="2" t="str">
        <x:v>%</x:v>
      </x:c>
      <x:c r="F14" s="2" t="str">
        <x:v>Actual native VDP edges; publications after more than two refreshes</x:v>
      </x:c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 t="str">
        <x:v>Applied: four exact VRAM phase sets; inactive-set selection; name buffering remains independent. No native-rule or pixel changes.</x:v>
      </x:c>
      <x:c r="B16" s="2"/>
      <x:c r="C16" s="2"/>
      <x:c r="D16" s="2"/>
      <x:c r="E16" s="2"/>
      <x:c r="F16" s="2"/>
    </x:row>
    <x:row r="17" ht="25" customHeight="1">
      <x:c r="A17" s="2" t="str">
        <x:v>Exact proofs: 16,640 transitions, 1247 live visible-set guards, 73 identical graphics/map payloads.</x:v>
      </x:c>
      <x:c r="B17" s="2"/>
      <x:c r="C17" s="2"/>
      <x:c r="D17" s="2"/>
      <x:c r="E17" s="2"/>
      <x:c r="F17" s="2"/>
    </x:row>
    <x:row r="18" ht="25" customHeight="1">
      <x:c r="A18" s="2" t="str">
        <x:v>Before ROM: 299b5380068760e244d15b53547e4da28522c8ea49fb28a54248b9a5067ea2d9</x:v>
      </x:c>
      <x:c r="B18" s="2"/>
      <x:c r="C18" s="2"/>
      <x:c r="D18" s="2"/>
      <x:c r="E18" s="2"/>
      <x:c r="F18" s="2"/>
    </x:row>
    <x:row r="19" ht="25" customHeight="1">
      <x:c r="A19" s="2" t="str">
        <x:v>Current ROM: 34aab943550df300e3258bd6bb43f853330eca48a7a06acbf8a4b1d8702cf46a</x:v>
      </x:c>
      <x:c r="B19" s="2"/>
      <x:c r="C19" s="2"/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2" t="str">
        <x:v>Before source: outputs/component-timing/baseline-299b5380.json</x:v>
      </x:c>
      <x:c r="B21" s="2"/>
      <x:c r="C21" s="2"/>
      <x:c r="D21" s="2"/>
      <x:c r="E21" s="2"/>
      <x:c r="F21" s="2"/>
    </x:row>
    <x:row r="22" ht="25" customHeight="1">
      <x:c r="A22" s="2" t="str">
        <x:v>Current source: references/experiments/stage-one-3-enemies/profile-route-7x904ch1/summary.json</x:v>
      </x:c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2"/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</x:sheetData>
  <x:pageMargins left="0.7" right="0.7" top="0.75" bottom="0.75" header="0.3" footer="0.3"/>
</x:worksheet>
</file>